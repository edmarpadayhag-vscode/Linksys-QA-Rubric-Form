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rgie.gucor\Downloads\"/>
    </mc:Choice>
  </mc:AlternateContent>
  <xr:revisionPtr revIDLastSave="0" documentId="13_ncr:1_{C0BD2B22-AD76-432A-A229-F7E4C7A1A014}" xr6:coauthVersionLast="47" xr6:coauthVersionMax="47" xr10:uidLastSave="{00000000-0000-0000-0000-000000000000}"/>
  <bookViews>
    <workbookView xWindow="-120" yWindow="-120" windowWidth="19440" windowHeight="14880" firstSheet="5" activeTab="7" xr2:uid="{00000000-000D-0000-FFFF-FFFF00000000}"/>
  </bookViews>
  <sheets>
    <sheet name="Quick Start" sheetId="1" r:id="rId1"/>
    <sheet name="Scoring Form" sheetId="2" r:id="rId2"/>
    <sheet name="Scoring Guide" sheetId="3" r:id="rId3"/>
    <sheet name="Multi-Touch Guide" sheetId="4" r:id="rId4"/>
    <sheet name="Team Scoring" sheetId="5" r:id="rId5"/>
    <sheet name="TE00117249_Edgar Ian Mark Catul" sheetId="6" r:id="rId6"/>
    <sheet name="TE00117249_Girly Joy Pocot" sheetId="9" r:id="rId7"/>
    <sheet name="Case Tracker" sheetId="7" r:id="rId8"/>
    <sheet name="Lists" sheetId="8" state="hidden"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7" l="1"/>
  <c r="C152" i="9"/>
  <c r="E137" i="9"/>
  <c r="C128" i="9"/>
  <c r="D127" i="9"/>
  <c r="D126" i="9"/>
  <c r="D125" i="9"/>
  <c r="D124" i="9"/>
  <c r="D123" i="9"/>
  <c r="D122" i="9"/>
  <c r="D121" i="9"/>
  <c r="D116" i="9"/>
  <c r="C115" i="9"/>
  <c r="D101" i="9"/>
  <c r="C100" i="9"/>
  <c r="D87" i="9"/>
  <c r="C86" i="9"/>
  <c r="D74" i="9"/>
  <c r="C73" i="9"/>
  <c r="D58" i="9"/>
  <c r="C57" i="9"/>
  <c r="D42" i="9"/>
  <c r="C41" i="9"/>
  <c r="D27" i="9"/>
  <c r="C26" i="9"/>
  <c r="D59" i="7"/>
  <c r="G59" i="7" s="1"/>
  <c r="H59" i="7" s="1"/>
  <c r="C59" i="7"/>
  <c r="D58" i="7"/>
  <c r="G58" i="7" s="1"/>
  <c r="H58" i="7" s="1"/>
  <c r="C58" i="7"/>
  <c r="D57" i="7"/>
  <c r="G57" i="7" s="1"/>
  <c r="H57" i="7" s="1"/>
  <c r="C57" i="7"/>
  <c r="D56" i="7"/>
  <c r="C56" i="7"/>
  <c r="K51" i="7"/>
  <c r="J51" i="7"/>
  <c r="I51" i="7"/>
  <c r="H51" i="7"/>
  <c r="G51" i="7"/>
  <c r="F51" i="7"/>
  <c r="E51" i="7"/>
  <c r="L49" i="7"/>
  <c r="L48" i="7"/>
  <c r="M48" i="7" s="1"/>
  <c r="L47" i="7"/>
  <c r="M47" i="7" s="1"/>
  <c r="L46" i="7"/>
  <c r="M46" i="7" s="1"/>
  <c r="L45" i="7"/>
  <c r="M45" i="7" s="1"/>
  <c r="L44" i="7"/>
  <c r="M44" i="7" s="1"/>
  <c r="L43" i="7"/>
  <c r="M43" i="7" s="1"/>
  <c r="L42" i="7"/>
  <c r="L41" i="7"/>
  <c r="M41" i="7" s="1"/>
  <c r="L40" i="7"/>
  <c r="M40" i="7" s="1"/>
  <c r="L39" i="7"/>
  <c r="M39" i="7" s="1"/>
  <c r="L38" i="7"/>
  <c r="M38" i="7" s="1"/>
  <c r="L37" i="7"/>
  <c r="M37" i="7" s="1"/>
  <c r="L36" i="7"/>
  <c r="M36" i="7" s="1"/>
  <c r="L35" i="7"/>
  <c r="L34" i="7"/>
  <c r="M34" i="7" s="1"/>
  <c r="L33" i="7"/>
  <c r="M33" i="7" s="1"/>
  <c r="L32" i="7"/>
  <c r="M32" i="7" s="1"/>
  <c r="L31" i="7"/>
  <c r="M31" i="7" s="1"/>
  <c r="L30" i="7"/>
  <c r="M30" i="7" s="1"/>
  <c r="L29" i="7"/>
  <c r="M29" i="7" s="1"/>
  <c r="L28" i="7"/>
  <c r="L27" i="7"/>
  <c r="M27" i="7" s="1"/>
  <c r="L26" i="7"/>
  <c r="M26" i="7" s="1"/>
  <c r="L25" i="7"/>
  <c r="M25" i="7" s="1"/>
  <c r="L24" i="7"/>
  <c r="M24" i="7" s="1"/>
  <c r="L23" i="7"/>
  <c r="M23" i="7" s="1"/>
  <c r="L22" i="7"/>
  <c r="M22" i="7" s="1"/>
  <c r="L21" i="7"/>
  <c r="L20" i="7"/>
  <c r="M20" i="7" s="1"/>
  <c r="L19" i="7"/>
  <c r="M19" i="7" s="1"/>
  <c r="L18" i="7"/>
  <c r="M18" i="7" s="1"/>
  <c r="L17" i="7"/>
  <c r="M17" i="7" s="1"/>
  <c r="L16" i="7"/>
  <c r="M16" i="7" s="1"/>
  <c r="L15" i="7"/>
  <c r="M15" i="7" s="1"/>
  <c r="L14" i="7"/>
  <c r="L13" i="7"/>
  <c r="M13" i="7" s="1"/>
  <c r="L12" i="7"/>
  <c r="M12" i="7" s="1"/>
  <c r="L11" i="7"/>
  <c r="M11" i="7" s="1"/>
  <c r="L10" i="7"/>
  <c r="M10" i="7" s="1"/>
  <c r="L9" i="7"/>
  <c r="M9" i="7" s="1"/>
  <c r="L8" i="7"/>
  <c r="M8" i="7" s="1"/>
  <c r="L7" i="7"/>
  <c r="L6" i="7"/>
  <c r="L5" i="7"/>
  <c r="A3" i="7"/>
  <c r="C152" i="6"/>
  <c r="E137" i="6"/>
  <c r="C128" i="6"/>
  <c r="D127" i="6"/>
  <c r="F127" i="6" s="1"/>
  <c r="D126" i="6"/>
  <c r="F126" i="6" s="1"/>
  <c r="D125" i="6"/>
  <c r="F125" i="6" s="1"/>
  <c r="D124" i="6"/>
  <c r="F124" i="6" s="1"/>
  <c r="D123" i="6"/>
  <c r="E123" i="6" s="1"/>
  <c r="F122" i="6"/>
  <c r="E122" i="6"/>
  <c r="D122" i="6"/>
  <c r="D121" i="6"/>
  <c r="D116" i="6"/>
  <c r="C115" i="6"/>
  <c r="D101" i="6"/>
  <c r="C100" i="6"/>
  <c r="D87" i="6"/>
  <c r="C86" i="6"/>
  <c r="D74" i="6"/>
  <c r="C73" i="6"/>
  <c r="D58" i="6"/>
  <c r="C57" i="6"/>
  <c r="D42" i="6"/>
  <c r="C41" i="6"/>
  <c r="D27" i="6"/>
  <c r="C26" i="6"/>
  <c r="D76" i="5"/>
  <c r="C76" i="5"/>
  <c r="B76" i="5"/>
  <c r="D75" i="5"/>
  <c r="C75" i="5"/>
  <c r="B75" i="5"/>
  <c r="D74" i="5"/>
  <c r="C74" i="5"/>
  <c r="B74" i="5"/>
  <c r="D73" i="5"/>
  <c r="C73" i="5"/>
  <c r="B73" i="5"/>
  <c r="D72" i="5"/>
  <c r="C72" i="5"/>
  <c r="B72" i="5"/>
  <c r="D71" i="5"/>
  <c r="C71" i="5"/>
  <c r="B71" i="5"/>
  <c r="D70" i="5"/>
  <c r="C70" i="5"/>
  <c r="B70" i="5"/>
  <c r="D69" i="5"/>
  <c r="C69" i="5"/>
  <c r="B69" i="5"/>
  <c r="D68" i="5"/>
  <c r="C68" i="5"/>
  <c r="B68" i="5"/>
  <c r="D67" i="5"/>
  <c r="C67" i="5"/>
  <c r="B67" i="5"/>
  <c r="D66" i="5"/>
  <c r="C66" i="5"/>
  <c r="B66" i="5"/>
  <c r="D65" i="5"/>
  <c r="C65" i="5"/>
  <c r="B65" i="5"/>
  <c r="D64" i="5"/>
  <c r="C64" i="5"/>
  <c r="B64" i="5"/>
  <c r="B62" i="5"/>
  <c r="C36" i="5"/>
  <c r="C35" i="5"/>
  <c r="C34" i="5"/>
  <c r="C33" i="5"/>
  <c r="C32" i="5"/>
  <c r="C31" i="5"/>
  <c r="C30" i="5"/>
  <c r="D8" i="5"/>
  <c r="C8" i="5"/>
  <c r="B4" i="5"/>
  <c r="C207" i="2"/>
  <c r="C165" i="2"/>
  <c r="E145" i="2"/>
  <c r="C136" i="2"/>
  <c r="D135" i="2"/>
  <c r="F135" i="2" s="1"/>
  <c r="D134" i="2"/>
  <c r="F134" i="2" s="1"/>
  <c r="C123" i="2"/>
  <c r="D124" i="2" s="1"/>
  <c r="C108" i="2"/>
  <c r="D109" i="2" s="1"/>
  <c r="C94" i="2"/>
  <c r="D95" i="2" s="1"/>
  <c r="C81" i="2"/>
  <c r="D82" i="2" s="1"/>
  <c r="C65" i="2"/>
  <c r="D131" i="2" s="1"/>
  <c r="C49" i="2"/>
  <c r="D50" i="2" s="1"/>
  <c r="D35" i="2"/>
  <c r="C34" i="2"/>
  <c r="D129" i="2" s="1"/>
  <c r="M49" i="7" l="1"/>
  <c r="M35" i="7"/>
  <c r="M14" i="7"/>
  <c r="M42" i="7"/>
  <c r="M28" i="7"/>
  <c r="M21" i="7"/>
  <c r="M7" i="7"/>
  <c r="L51" i="7"/>
  <c r="G56" i="7"/>
  <c r="B6" i="5" s="1"/>
  <c r="B9" i="5"/>
  <c r="B8" i="5"/>
  <c r="F121" i="6"/>
  <c r="E121" i="6"/>
  <c r="E121" i="9"/>
  <c r="F127" i="9"/>
  <c r="E125" i="9"/>
  <c r="E124" i="9"/>
  <c r="F123" i="9"/>
  <c r="E127" i="9"/>
  <c r="F126" i="9"/>
  <c r="E126" i="9"/>
  <c r="F124" i="9"/>
  <c r="E122" i="9"/>
  <c r="F121" i="9"/>
  <c r="F125" i="9"/>
  <c r="E123" i="9"/>
  <c r="F122" i="9"/>
  <c r="F129" i="2"/>
  <c r="E129" i="2"/>
  <c r="F131" i="2"/>
  <c r="E131" i="2"/>
  <c r="E134" i="2"/>
  <c r="D130" i="2"/>
  <c r="E124" i="6"/>
  <c r="E126" i="6"/>
  <c r="M6" i="7"/>
  <c r="D66" i="2"/>
  <c r="F123" i="6"/>
  <c r="D133" i="2"/>
  <c r="E127" i="6"/>
  <c r="D132" i="2"/>
  <c r="E125" i="6"/>
  <c r="E135" i="2"/>
  <c r="H56" i="7" l="1"/>
  <c r="C6" i="5" s="1"/>
  <c r="E128" i="6"/>
  <c r="F128" i="6" s="1"/>
  <c r="E128" i="9"/>
  <c r="F128" i="9" s="1"/>
  <c r="F133" i="2"/>
  <c r="E133" i="2"/>
  <c r="F130" i="2"/>
  <c r="E130" i="2"/>
  <c r="E136" i="2"/>
  <c r="F136" i="2" s="1"/>
  <c r="F132" i="2"/>
  <c r="E132" i="2"/>
</calcChain>
</file>

<file path=xl/sharedStrings.xml><?xml version="1.0" encoding="utf-8"?>
<sst xmlns="http://schemas.openxmlformats.org/spreadsheetml/2006/main" count="1264" uniqueCount="659">
  <si>
    <t>QA SCORING WORKBOOK — QUICK START GUIDE</t>
  </si>
  <si>
    <t>Resolution-focused coaching QA: one form per interaction, evidence-based indicator ratings, weighted 0-5 scoring, journey-level tracking and TEAM scoring for multi-touch cases. Yellow cells are YOUR inputs — everything else calculates or is reference.</t>
  </si>
  <si>
    <t>1 · THE WORKING SHEETS</t>
  </si>
  <si>
    <t>Scoring Form</t>
  </si>
  <si>
    <t>The blank form you fill for EVERY interaction you review. Make a copy of this sheet per review (right-click tab → Move or Copy → Create a copy) so the master stays blank.</t>
  </si>
  <si>
    <t>Scoring Guide</t>
  </si>
  <si>
    <t>Reference: how-to steps, the 0-5 score anchors, what Met/Partial/Missed/N.A. mean, category objectives and watch-fors, and the result bands. Read once before your first review; return whenever unsure.</t>
  </si>
  <si>
    <t>Multi-Touch Guide</t>
  </si>
  <si>
    <t>Rules for cases handled by multiple agents: how to score each touch fairly, who owns handoff failures, plus a full real-case walkthrough (the Stell journey) showing where a support chain broke and recovered.</t>
  </si>
  <si>
    <t>Team Scoring</t>
  </si>
  <si>
    <t>The team layer: the Team Score formula component by component, how to read the gap between execution and outcome, a LIVE category heatmap showing where the team is weak, the 8 team opportunities identified from the Stell journey with owners, and a 6-step recipe to run a team review on your own journeys.</t>
  </si>
  <si>
    <t>Example (Filled)</t>
  </si>
  <si>
    <t>A complete, real worked review — the final touch of the Stell case (Eric Marbella). Shows exactly how detailed your evidence should be, how indicator ratings map to a final score, and how critical failures are written up. Copy its style.</t>
  </si>
  <si>
    <t>Case Tracker</t>
  </si>
  <si>
    <t>The log. One row per reviewed touch (date, agent, 7 scores, auto weighted % and band). Reuse a Case ID across rows for multi-touch journeys. Team Average at row 51; Team/Journey Scores section at row 53.</t>
  </si>
  <si>
    <t>2 · HOW TO SCORE ONE INTERACTION (Scoring Form, ~15 min)</t>
  </si>
  <si>
    <t>Step 1 — Case Information</t>
  </si>
  <si>
    <t>Fill the yellow cells: agent, ticket, dates, product. Dropdowns: Warranty, Channel, Case Type, SLA. Write a 2-3 sentence Case Summary. Multi-touch? Set Touch # and fill 'Inherited context' (what this agent received from prior touches).</t>
  </si>
  <si>
    <t>Step 2 — Rate the indicators</t>
  </si>
  <si>
    <t>Each of the 7 categories lists 5-8 behaviors. Rate each: Met / Partial / Missed / N.A. (dropdown). N.A. = genuinely not applicable (e.g., no escalation involved) — it is excluded from the math, never a shortcut.</t>
  </si>
  <si>
    <t>Step 3 — Capture evidence</t>
  </si>
  <si>
    <t>Next to every rating, write WHY: a quote, timestamp, or note excerpt. 'Customer said X at 28:10' beats 'communication was good'. The Example sheet shows the standard.</t>
  </si>
  <si>
    <t>Step 4 — Set the final score</t>
  </si>
  <si>
    <t>A suggested score appears automatically (Met=5, Partial=2.5, Missed=0, averaged). You may override it — your judgment prevails — but the anchor text that appears beside your score tells you what a 4 vs a 3 means. Apply the rubric's automatic deductions (e.g., missed callback) even if indicators average higher.</t>
  </si>
  <si>
    <t>Step 5 — Outcome &amp; disconnect</t>
  </si>
  <si>
    <t>Classify the Resolution Outcome (dropdown) and the primary positive outcome achieved. If the call disconnected, record the follow-up taken — 'Yes disconnect + no follow-up' auto-flags a missed ownership opportunity in red.</t>
  </si>
  <si>
    <t>Step 6 — Critical failures</t>
  </si>
  <si>
    <t>Answer Yes/No on all 11 conditions. ANY Yes turns the banner red: automatic review, regardless of the score. These include premature RESOLVED closure, PCI/compliance breaches, and unescalated management/legal requests.</t>
  </si>
  <si>
    <t>Step 7 — Coaching sections</t>
  </si>
  <si>
    <t>3 strengths, 3 improvements, a specific coaching recommendation (at least one is mandatory per review), organizational insights, journey notes (multi-touch), and the final assessment.</t>
  </si>
  <si>
    <t>Step 8 — Log it</t>
  </si>
  <si>
    <t>Add one row in the Case Tracker: date, Case ID, agent, touch #, and your 7 final scores. Weighted % and band compute themselves.</t>
  </si>
  <si>
    <t>3 · WHAT YOU TYPE vs WHAT CALCULATES ITSELF</t>
  </si>
  <si>
    <t>You type (yellow cells)</t>
  </si>
  <si>
    <t>Case info · indicator ratings (dropdowns) · evidence text · the 7 final 0-5 scores · outcome dropdowns · critical-failure Yes/No · coaching text · tracker rows · Team Score's Outcome and Continuity (0-5).</t>
  </si>
  <si>
    <t>Calculates automatically</t>
  </si>
  <si>
    <t>Suggested score per category · anchor description beside each score · Score Summary table · Weighted Total = Σ(score÷5 × weight) with weights 30/20/15/15/10/5/5 · result band · disconnect flag · critical-failure banner · tracker Weighted % and band · Team Average · Team Score = 50% avg touches + 30% Outcome/5 + 20% Continuity/5 · the Team Scoring sheet's category heatmap.</t>
  </si>
  <si>
    <t>Color language</t>
  </si>
  <si>
    <t>GREEN = strong (scores 4-5, total ≥85%) · YELLOW = developing (score 3, total 70-84%) · RED = needs focus (scores 0-2, total &lt;70%, any critical failure, missed disconnect follow-up). Indicator cells: Met=green, Partial=yellow, Missed=red. Heatmap: category avg &lt;2.75 red = team coaching theme.</t>
  </si>
  <si>
    <t>4 · MULTI-TOUCH CASES IN SIX LINES (full rules: Multi-Touch Guide + Team Scoring)</t>
  </si>
  <si>
    <t>One form per touch</t>
  </si>
  <si>
    <t>Every agent gets their own form. Read all prior touches first; record what the agent inherited.</t>
  </si>
  <si>
    <t>Score the contribution</t>
  </si>
  <si>
    <t>Did THIS touch move the customer forward, given what it inherited? Agents aren't punished for inherited messes — only for what they pass downstream (thin notes, false RESOLVED, missed callbacks).</t>
  </si>
  <si>
    <t>Handoffs belong to the sender</t>
  </si>
  <si>
    <t>Bad notes that force rework = deduction for the earlier agent. Ignoring good notes and re-asking everything = deduction for the later agent.</t>
  </si>
  <si>
    <t>Log every touch, same Case ID</t>
  </si>
  <si>
    <t>Tracker rows side by side show exactly where the chain broke or recovered.</t>
  </si>
  <si>
    <t>Score the chain</t>
  </si>
  <si>
    <t>Bottom of the Case Tracker: type the Case ID in a Team/Journey row, judge Outcome (0-5) and Continuity (0-5) — the Team Score computes. Drives process fixes and team recognition, never individual discipline.</t>
  </si>
  <si>
    <t>Find the TEAM opportunities</t>
  </si>
  <si>
    <t>Team Scoring sheet: build the category heatmap over the journey's rows, take the bottom two categories as team coaching themes, scan for patterns repeating across 3+ agents, and write the action plan with named owners (section 5 there is the model).</t>
  </si>
  <si>
    <t>5 · GOLDEN RULES</t>
  </si>
  <si>
    <t>• A closed case is NOT automatically a resolved case — and RESOLVED on a known-unresolved issue is a critical failure.</t>
  </si>
  <si>
    <t>• Any critical failure = automatic review, no matter how good the weighted score looks.</t>
  </si>
  <si>
    <t>• Resolution isn't only 'fixed': a proper RMA, a valid escalation, or an accurately explained limitation all count as positive outcomes.</t>
  </si>
  <si>
    <t>• Every review must produce at least one actionable coaching opportunity — and an operational improvement recommendation where applicable.</t>
  </si>
  <si>
    <t>• Evidence over opinion: every rating should be defensible with a quote, timestamp, or note excerpt.</t>
  </si>
  <si>
    <t>• Documentation supports outcomes but never outweighs troubleshooting, communication, or ownership — continuity, not compliance.</t>
  </si>
  <si>
    <t>• Reward judgment: an unresolved case with correct next steps and full ownership can still score well.</t>
  </si>
  <si>
    <t>• Team Scores coach the chain; individual forms coach the agent. Never mix the two purposes.</t>
  </si>
  <si>
    <t>Questions while reviewing? Order of reference: this sheet → Scoring Guide (anchors &amp; criteria) → Multi-Touch Guide (journey rules) → Team Scoring (team layer &amp; heatmap) → Example (Filled) (what good looks like).</t>
  </si>
  <si>
    <t>SUPPORT QUALITY ASSURANCE — SCORING FORM</t>
  </si>
  <si>
    <t>Resolution-Focused Coaching &amp; Performance Framework  |  Rate each behavior: Met / Partial / Missed / N.A. — then assign the 0-5 category score (suggested score is advisory).</t>
  </si>
  <si>
    <t>1 · CASE INFORMATION</t>
  </si>
  <si>
    <t>Agent Name</t>
  </si>
  <si>
    <t>Case / Ticket ID</t>
  </si>
  <si>
    <t>Evaluator (QA)</t>
  </si>
  <si>
    <t>Interaction Date</t>
  </si>
  <si>
    <t>Product</t>
  </si>
  <si>
    <t>Channel</t>
  </si>
  <si>
    <t>Warranty Status</t>
  </si>
  <si>
    <t>Review Date</t>
  </si>
  <si>
    <t>Case Type</t>
  </si>
  <si>
    <t>Interaction Duration</t>
  </si>
  <si>
    <t>Touch # (multi-touch case)</t>
  </si>
  <si>
    <t>Prior touches reviewed?</t>
  </si>
  <si>
    <t>CSAT / Survey result</t>
  </si>
  <si>
    <t>FCR / total contacts</t>
  </si>
  <si>
    <t>Total case time</t>
  </si>
  <si>
    <t>SLA status</t>
  </si>
  <si>
    <t>Case Summary (customer issue &amp; goal)</t>
  </si>
  <si>
    <t>Inherited context (what this agent received from prior touches)</t>
  </si>
  <si>
    <t>CLASSIFICATION &amp; ROOT-CAUSE   (added from the 360 Form model)</t>
  </si>
  <si>
    <t>Audit / Review Type</t>
  </si>
  <si>
    <t>Contact iteration (repeat contact)</t>
  </si>
  <si>
    <t>Resolution status — detailed</t>
  </si>
  <si>
    <t>Primary root-cause domain</t>
  </si>
  <si>
    <t>Process driver (if any)</t>
  </si>
  <si>
    <t>Product driver (if any)</t>
  </si>
  <si>
    <t>System / tooling driver (if any)</t>
  </si>
  <si>
    <t>Root-cause / contact-driver notes   (feeds Team Scoring → Team Opportunities Identified)</t>
  </si>
  <si>
    <t>2 · CATEGORY ASSESSMENTS</t>
  </si>
  <si>
    <t>1. RESOLUTION / PROGRESS TOWARD RESOLUTION</t>
  </si>
  <si>
    <t>Weight: 30%</t>
  </si>
  <si>
    <t>Objective: Determine whether the interaction moved the customer meaningfully closer to resolution.</t>
  </si>
  <si>
    <t>Behavioral Indicator</t>
  </si>
  <si>
    <t>Assessment</t>
  </si>
  <si>
    <t>Evidence / Observation (quote or timestamp where possible)</t>
  </si>
  <si>
    <t>Issue resolved, or the strongest available outcome was achieved (RMA, valid escalation, limitation explained, education)</t>
  </si>
  <si>
    <t>Reasonable troubleshooting was completed before any conclusion was reached</t>
  </si>
  <si>
    <t>Clear, actionable next steps were provided to the customer</t>
  </si>
  <si>
    <t>Resolution path was appropriate for the situation and warranty status</t>
  </si>
  <si>
    <t>Customer was moved meaningfully closer to a solution</t>
  </si>
  <si>
    <t>⚠ Does NOT count: customer simply ends call; generic KB sent without troubleshooting; warranty used as reason to stop helping; escalation as shortcut; unsupported ISP blame; 'monitor &amp; call back' with no plan; ownership transferred without expectations or documentation.</t>
  </si>
  <si>
    <t>Auto score (0–5) from indicator ratings — applies unless overridden</t>
  </si>
  <si>
    <t>FINAL SCORE — leave blank to use the auto score; type 0–5 to override</t>
  </si>
  <si>
    <t>Score reflects the cumulative effect of this touch within the 8-month journey: the Nov 24, 2025 hardware/RMA determination remains undelivered, and the case culminates here in executive-level escalation with no path forward offered.</t>
  </si>
  <si>
    <t>2. TECHNICAL ACCURACY</t>
  </si>
  <si>
    <t>Weight: 20%</t>
  </si>
  <si>
    <t>Objective: Evaluate the quality of troubleshooting and technical guidance.</t>
  </si>
  <si>
    <t>Symptoms were identified correctly</t>
  </si>
  <si>
    <t>Relevant diagnostic questions were asked</t>
  </si>
  <si>
    <t>Logical troubleshooting methodology was followed</t>
  </si>
  <si>
    <t>Available tools were used appropriately</t>
  </si>
  <si>
    <t>Information provided was technically accurate</t>
  </si>
  <si>
    <t>Assumptions were validated; no unsupported conclusions</t>
  </si>
  <si>
    <t>Root cause (or likely cause) was identified when possible</t>
  </si>
  <si>
    <t>⚠ Deduct for: incorrect technical information; skipped critical troubleshooting; misdiagnosis; unnecessary actions recommended; ISP or customer blamed without evidence; repeating basic steps the customer already completed.</t>
  </si>
  <si>
    <t>Individual diagnostic steps (signal/backhaul check, swap-test proposal) were sound, but the unvalidated reversal of a prior CAT-level conclusion undermines technical credibility.</t>
  </si>
  <si>
    <t>3. COMMUNICATION &amp; CALL CONTROL</t>
  </si>
  <si>
    <t>Weight: 15%</t>
  </si>
  <si>
    <t>Objective: Evaluate how effectively the agent managed the interaction.</t>
  </si>
  <si>
    <t>Expectations were set clearly from the start</t>
  </si>
  <si>
    <t>Agent maintained control of the troubleshooting flow</t>
  </si>
  <si>
    <t>Actions were explained in understandable, jargon-free language</t>
  </si>
  <si>
    <t>Questions were purposeful (no repetitive questioning)</t>
  </si>
  <si>
    <t>Customer understanding was confirmed at key points</t>
  </si>
  <si>
    <t>Clear transitions between troubleshooting steps; effective time management</t>
  </si>
  <si>
    <t>Difficult moments were managed professionally</t>
  </si>
  <si>
    <t>Communication adapted to the customer's accessibility needs (hearing, vision, age)</t>
  </si>
  <si>
    <t>⚠ High performance: customer always knows what is happening and the agent drives the call confidently. One instruction at a time for customers who need it.</t>
  </si>
  <si>
    <t>The core communication failure is the unacknowledged expectation gap: the customer's RMA expectation from Nov 24 was never reconciled with the renewed troubleshooting requests.</t>
  </si>
  <si>
    <t>4. CUSTOMER OWNERSHIP</t>
  </si>
  <si>
    <t>Objective: Measure the degree to which the agent accepted responsibility for moving the customer forward.</t>
  </si>
  <si>
    <t>Agent demonstrated accountability for the customer's outcome</t>
  </si>
  <si>
    <t>Unnecessary transfers were avoided</t>
  </si>
  <si>
    <t>Commitments made during the interaction were followed through</t>
  </si>
  <si>
    <t>A clear path forward was created for the customer</t>
  </si>
  <si>
    <t>Next actions were documented</t>
  </si>
  <si>
    <t>Realistic expectations were set</t>
  </si>
  <si>
    <t>Disconnect follow-up completed (callback / email / note) — mark N.A. if no disconnect</t>
  </si>
  <si>
    <t>Callback commitments were met within the agreed window (or proactively renegotiated before it lapsed)</t>
  </si>
  <si>
    <t>⚠ Automatic deductions: no documented follow-up after disconnect; unclear next steps; passing responsibility without context; failure to complete promised actions; missed or late callbacks without proactive renegotiation.</t>
  </si>
  <si>
    <t>The escalation itself was a positive ownership step, but follow-through collapsed: the customer's direct questions and the SLA commitment were both left unmet, requiring PMO intervention.</t>
  </si>
  <si>
    <t>5. ESCALATION JUDGMENT</t>
  </si>
  <si>
    <t>Weight: 10%</t>
  </si>
  <si>
    <t>Objective: Determine whether escalation decisions were appropriate — including UPWARD escalations the customer requested (management, complaint, legal). Mark all N.A. if no escalation was involved and none was warranted.</t>
  </si>
  <si>
    <t>Reasonable troubleshooting was completed before escalating</t>
  </si>
  <si>
    <t>Legitimate escalation criteria were identified (incl. complaint / management / legal-risk triggers)</t>
  </si>
  <si>
    <t>Escalation contained complete, useful details (logs, findings, steps tried)</t>
  </si>
  <si>
    <t>Correct escalation path was chosen</t>
  </si>
  <si>
    <t>Customer expectations about the escalation were set appropriately</t>
  </si>
  <si>
    <t>⚠ Low score: premature, avoidable, poorly documented, used as a substitute for troubleshooting — or a warranted escalation (incl. a customer's management request) that was NOT made.</t>
  </si>
  <si>
    <t>The escalation decision and routing were correct; the SLA management and handoff completeness after escalation were not.</t>
  </si>
  <si>
    <t>6. CUSTOMER EXPERIENCE</t>
  </si>
  <si>
    <t>Weight: 5%</t>
  </si>
  <si>
    <t>Objective: Measure the overall customer experience delivered during the interaction.</t>
  </si>
  <si>
    <t>Empathy was demonstrated (incl. acknowledging cumulative effort and fatigue on repeat contacts)</t>
  </si>
  <si>
    <t>Professionalism was maintained throughout</t>
  </si>
  <si>
    <t>Communication style was adapted to the customer</t>
  </si>
  <si>
    <t>Patience was maintained, even under pressure</t>
  </si>
  <si>
    <t>Customer effort was reduced where possible</t>
  </si>
  <si>
    <t>Customer felt heard, understood next steps, and remained engaged</t>
  </si>
  <si>
    <t>⚠ Negative indicators: dismissive responses; robotic interactions; frustration escalation caused by agent behavior; marathon sessions pushed onto vulnerable customers without offering to pause and resume.</t>
  </si>
  <si>
    <t>Professionalism was maintained, but the customer's confidence and engagement collapsed by the end of this touch.</t>
  </si>
  <si>
    <t>7. DOCUMENTATION &amp; NOTES</t>
  </si>
  <si>
    <t>Objective: Ensure future agents can quickly understand the case. Purpose is continuity, not compliance.</t>
  </si>
  <si>
    <t>Customer issue summary recorded</t>
  </si>
  <si>
    <t>Troubleshooting performed is documented</t>
  </si>
  <si>
    <t>Key findings / discoveries noted</t>
  </si>
  <si>
    <t>Agent reasoning is captured</t>
  </si>
  <si>
    <t>Escalation justification included — mark N.A. if no escalation</t>
  </si>
  <si>
    <t>Next steps and follow-up actions listed (incl. callback records)</t>
  </si>
  <si>
    <t>Ticket status accurately reflects case state (no premature RESOLVED; closure reason documented)</t>
  </si>
  <si>
    <t>⚠ Documentation supports outcomes but should not outweigh troubleshooting quality, communication, or ownership. Notes must carry the FULL history — including pre-ticket contacts — so no agent treats a long-running case as new.</t>
  </si>
  <si>
    <t>Escalation steps are documented, but the case record does not carry the full history forward, and ticket status does not reflect reality.</t>
  </si>
  <si>
    <t>3 · SCORE SUMMARY</t>
  </si>
  <si>
    <t>Category</t>
  </si>
  <si>
    <t>Weight</t>
  </si>
  <si>
    <t>Score (0-5)</t>
  </si>
  <si>
    <t>Weighted</t>
  </si>
  <si>
    <t>Band</t>
  </si>
  <si>
    <t>Resolution / Progress Toward Resolution</t>
  </si>
  <si>
    <t>Technical Accuracy</t>
  </si>
  <si>
    <t>Communication &amp; Call Control</t>
  </si>
  <si>
    <t>Customer Ownership</t>
  </si>
  <si>
    <t>Escalation Judgment</t>
  </si>
  <si>
    <t>Customer Experience</t>
  </si>
  <si>
    <t>Documentation &amp; Notes</t>
  </si>
  <si>
    <t>WEIGHTED TOTAL SCORE</t>
  </si>
  <si>
    <t>4 · RESOLUTION OUTCOME</t>
  </si>
  <si>
    <t>Outcome classification</t>
  </si>
  <si>
    <t>Primary positive outcome achieved</t>
  </si>
  <si>
    <t>Justification</t>
  </si>
  <si>
    <t>5 · DISCONNECTED CALL FOLLOW-UP</t>
  </si>
  <si>
    <t>Did the interaction disconnect before completion?</t>
  </si>
  <si>
    <t>No</t>
  </si>
  <si>
    <t>If Yes, at least one documented follow-up action is required.</t>
  </si>
  <si>
    <t>Follow-up action taken</t>
  </si>
  <si>
    <t>N.A. — no disconnect</t>
  </si>
  <si>
    <t>6 · CRITICAL FAILURE CONDITIONS  (any 'Yes' triggers automatic review / coaching / QA failure regardless of score)</t>
  </si>
  <si>
    <t>Condition</t>
  </si>
  <si>
    <t>Present?</t>
  </si>
  <si>
    <t>Notes / Evidence</t>
  </si>
  <si>
    <t>Harmful or incorrect troubleshooting provided</t>
  </si>
  <si>
    <t>Misrepresented product capabilities</t>
  </si>
  <si>
    <t>Unsupported root-cause claims (e.g., ISP/customer blame w/o evidence)</t>
  </si>
  <si>
    <t>No follow-up after disconnected call</t>
  </si>
  <si>
    <t>Failed to complete a promised action (incl. missed agreed callback window)</t>
  </si>
  <si>
    <t>Abandoned customer without a path forward</t>
  </si>
  <si>
    <t>Escalated without reasonable troubleshooting / to avoid ownership</t>
  </si>
  <si>
    <t>Unprofessional, rude, or dismissive conduct / policy violation</t>
  </si>
  <si>
    <t>Compliance / security violation (e.g., payment card data spoken or stored in plaintext — PCI DSS)</t>
  </si>
  <si>
    <t>Case marked Resolved while issue known to be unresolved (premature closure / no closure reason)</t>
  </si>
  <si>
    <t>Customer complaint, management-contact, or legal-risk request not escalated</t>
  </si>
  <si>
    <t>Line release — agent ended a live, unresolved contact</t>
  </si>
  <si>
    <t>Call / session avoidance or evasion</t>
  </si>
  <si>
    <t>Survey / CSAT manipulation</t>
  </si>
  <si>
    <t>Hard-selling or other sales-related irregularity</t>
  </si>
  <si>
    <t>Unofficial email used, or failed to capture customer email</t>
  </si>
  <si>
    <t>CRITICAL FAILURE FLAGGED?</t>
  </si>
  <si>
    <t>7 · COACHING &amp; FEEDBACK   (every review answers the three QA questions below)</t>
  </si>
  <si>
    <t>Q1 · Did we help the customer as effectively as we reasonably could?</t>
  </si>
  <si>
    <t>Q2 · Did the agent demonstrate strong technical and communication behavior?</t>
  </si>
  <si>
    <t>What went well — behaviors to repeat</t>
  </si>
  <si>
    <t>1.</t>
  </si>
  <si>
    <t>2.</t>
  </si>
  <si>
    <t>3.</t>
  </si>
  <si>
    <t>Improvement opportunities — behaviors to improve</t>
  </si>
  <si>
    <t>Coaching recommendation — specific actions the agent should apply going forward</t>
  </si>
  <si>
    <t>Q3 · What does this interaction tell us about training, process, or knowledge gaps across the team?</t>
  </si>
  <si>
    <t>Organizational insights — training / process / KB / chatbot / tooling / product / contact-driver gaps</t>
  </si>
  <si>
    <t>Multi-touch / journey notes — handoff quality, continuity, where the chain strengthened or broke</t>
  </si>
  <si>
    <t>Final QA assessment — overall customer outcome, support quality, and coaching value</t>
  </si>
  <si>
    <t>8 · AUTO-ZERO   (from the 360 Form — any trigger forces the Quality Score to 0%)</t>
  </si>
  <si>
    <t>A gate marked 'No', any A–K item marked 'Yes', or any §6 critical-failure condition forces the weighted Quality Score (§3) to 0%. Category scores still show for coaching.</t>
  </si>
  <si>
    <t>Compliance gate  (mark Yes if adhered)</t>
  </si>
  <si>
    <t>Adherent?</t>
  </si>
  <si>
    <t>Adherence to Callback Hours</t>
  </si>
  <si>
    <t>Yes</t>
  </si>
  <si>
    <t>Adherence to PCI &amp; Information Security Standards</t>
  </si>
  <si>
    <t>Sales</t>
  </si>
  <si>
    <t>AUTO-ZERO list — A to K  (mark Yes if it occurred)</t>
  </si>
  <si>
    <t>Occurred?</t>
  </si>
  <si>
    <t>A.  Call / Session Abandonment</t>
  </si>
  <si>
    <t>B.  Call / Session Avoidance / Evasion</t>
  </si>
  <si>
    <t>C.  Discourtesy</t>
  </si>
  <si>
    <t>D.  Escalation</t>
  </si>
  <si>
    <t>E.  Failure to ask for the email address</t>
  </si>
  <si>
    <t>F.  Fraud</t>
  </si>
  <si>
    <t>G.  Hard-selling</t>
  </si>
  <si>
    <t>H.  Line Release</t>
  </si>
  <si>
    <t>I.  Non-Adherence to Callback Hours</t>
  </si>
  <si>
    <t>J.  Non-Adherence to PCI and Information Security Standards</t>
  </si>
  <si>
    <t>K.  Non-First Call Resolution</t>
  </si>
  <si>
    <t>AUTO-ZERO TRIGGERED?</t>
  </si>
  <si>
    <t>SCORING GUIDE &amp; CATEGORY CRITERIA</t>
  </si>
  <si>
    <t>How to use this form</t>
  </si>
  <si>
    <t>1. Fill in Case Information, the Case Summary, and (for multi-touch cases) the Inherited Context field.</t>
  </si>
  <si>
    <t>2. For each category, rate every behavioral indicator: Met / Partial / Missed / N.A. (N.A. excludes it from the suggested score).</t>
  </si>
  <si>
    <t>3. Record evidence — quotes, timestamps, or note excerpts — beside each indicator.</t>
  </si>
  <si>
    <t>4. Review the auto-suggested score, then assign the FINAL 0-5 score using evaluator judgment and the anchors below.</t>
  </si>
  <si>
    <t>5. Classify the Resolution Outcome and the primary positive outcome achieved.</t>
  </si>
  <si>
    <t>6. Complete the Disconnect Follow-Up check and the Critical Failure checklist.</t>
  </si>
  <si>
    <t>7. Write coaching feedback: at least one actionable coaching opportunity is required; add an operational improvement recommendation where applicable.</t>
  </si>
  <si>
    <t>8. For multi-touch cases, also read the Multi-Touch Guide sheet and log every touch in the Case Tracker under the same Case ID.</t>
  </si>
  <si>
    <t>Score Anchors (0–5 scale)</t>
  </si>
  <si>
    <t>Score</t>
  </si>
  <si>
    <t>Description</t>
  </si>
  <si>
    <t>5</t>
  </si>
  <si>
    <t>Issue resolved or strongest available outcome achieved</t>
  </si>
  <si>
    <t>4</t>
  </si>
  <si>
    <t>Significant progress made with clear next steps</t>
  </si>
  <si>
    <t>3</t>
  </si>
  <si>
    <t>Partial progress made but opportunities missed</t>
  </si>
  <si>
    <t>2</t>
  </si>
  <si>
    <t>Limited progress despite available troubleshooting paths</t>
  </si>
  <si>
    <t>1</t>
  </si>
  <si>
    <t>Little or no meaningful progress</t>
  </si>
  <si>
    <t>0</t>
  </si>
  <si>
    <t>Agent actions delayed, prevented, or negatively impacted resolution</t>
  </si>
  <si>
    <t>Indicator ratings</t>
  </si>
  <si>
    <t>Met</t>
  </si>
  <si>
    <t>Behavior fully demonstrated (counts as 5 toward the suggested score)</t>
  </si>
  <si>
    <t>Partial</t>
  </si>
  <si>
    <t>Behavior attempted but incomplete or inconsistent (counts as 2.5)</t>
  </si>
  <si>
    <t>Missed</t>
  </si>
  <si>
    <t>Behavior expected but not demonstrated (counts as 0)</t>
  </si>
  <si>
    <t>N.A.</t>
  </si>
  <si>
    <t>Not applicable to this interaction (excluded from the suggested score)</t>
  </si>
  <si>
    <t>Category Objectives &amp; Watch-Fors</t>
  </si>
  <si>
    <t>Resolution / Progress Toward Resolution (30%)</t>
  </si>
  <si>
    <t>Determine whether the interaction moved the customer meaningfully closer to resolution. Does NOT count: customer simply ends call; generic KB sent without troubleshooting; warranty used as reason to stop helping; escalation as shortcut; unsupported ISP blame; 'monitor &amp; call back' with no plan; ownership transferred without expectations or documentation.</t>
  </si>
  <si>
    <t>Technical Accuracy (20%)</t>
  </si>
  <si>
    <t>Evaluate the quality of troubleshooting and technical guidance. Deduct for: incorrect technical information; skipped critical troubleshooting; misdiagnosis; unnecessary actions recommended; ISP or customer blamed without evidence; repeating basic steps the customer already completed.</t>
  </si>
  <si>
    <t>Communication &amp; Call Control (15%)</t>
  </si>
  <si>
    <t>Evaluate how effectively the agent managed the interaction. High performance: customer always knows what is happening and the agent drives the call confidently. One instruction at a time for customers who need it.</t>
  </si>
  <si>
    <t>Customer Ownership (15%)</t>
  </si>
  <si>
    <t>Measure the degree to which the agent accepted responsibility for moving the customer forward. Automatic deductions: no documented follow-up after disconnect; unclear next steps; passing responsibility without context; failure to complete promised actions; missed or late callbacks without proactive renegotiation.</t>
  </si>
  <si>
    <t>Escalation Judgment (10%)</t>
  </si>
  <si>
    <t>Determine whether escalation decisions were appropriate — including UPWARD escalations the customer requested (management, complaint, legal). Mark all N.A. if no escalation was involved and none was warranted. Low score: premature, avoidable, poorly documented, used as a substitute for troubleshooting — or a warranted escalation (incl. a customer's management request) that was NOT made.</t>
  </si>
  <si>
    <t>Customer Experience (5%)</t>
  </si>
  <si>
    <t>Measure the overall customer experience delivered during the interaction. Negative indicators: dismissive responses; robotic interactions; frustration escalation caused by agent behavior; marathon sessions pushed onto vulnerable customers without offering to pause and resume.</t>
  </si>
  <si>
    <t>Documentation &amp; Notes (5%)</t>
  </si>
  <si>
    <t>Ensure future agents can quickly understand the case. Purpose is continuity, not compliance. Documentation supports outcomes but should not outweigh troubleshooting quality, communication, or ownership. Notes must carry the FULL history — including pre-ticket contacts — so no agent treats a long-running case as new.</t>
  </si>
  <si>
    <t>Overall Result Bands</t>
  </si>
  <si>
    <t>≥ 85%</t>
  </si>
  <si>
    <t>Meets / Exceeds — strong support behavior</t>
  </si>
  <si>
    <t>70–84%</t>
  </si>
  <si>
    <t>Developing — coaching opportunities present</t>
  </si>
  <si>
    <t>&lt; 70%</t>
  </si>
  <si>
    <t>Needs improvement — prioritized coaching required</t>
  </si>
  <si>
    <t>A critical failure overrides the band: any flagged condition requires automatic review regardless of the weighted total. Every review must produce at least one actionable coaching opportunity and, where applicable, one operational improvement recommendation.</t>
  </si>
  <si>
    <t>MULTI-TOUCH CASE SCORING — HOW IT WORKS</t>
  </si>
  <si>
    <t>THE MECHANICS</t>
  </si>
  <si>
    <t>1. One scoring form per touch, not per case</t>
  </si>
  <si>
    <t>Each agent who handles the case gets their own complete evaluation (indicators, 0-5 scores, weighted total). Set Touch # on the form and mark 'Prior touches reviewed?' = Yes. The rubric requires assessing the entire customer journey, so read the earlier touches before scoring any of them. Use the 'Inherited context' field to record what the agent received.</t>
  </si>
  <si>
    <t>2. Score each agent on THEIR contribution, in the context they inherited</t>
  </si>
  <si>
    <t>Resolution/Progress measures whether THAT touch moved the customer closer — an agent who inherits a mess and makes real progress can score 4-5 even on an old, ugly case. Agents are NOT penalized for problems they inherited, but they ARE penalized for problems they pass downstream: thin handoff notes, undocumented promises, premature RESOLVED statuses, missed callbacks.</t>
  </si>
  <si>
    <t>3. Handoff quality is scored on the SENDING agent</t>
  </si>
  <si>
    <t>Customer Ownership ('ownership transfer without context' = automatic deduction) and Documentation ('could another agent quickly understand the case?') belong to the agent who wrote the notes. If a later agent re-runs all diagnostics because earlier notes were unusable, that hits the EARLIER touch. But if good notes existed and the later agent ignored them and made the customer repeat everything, that hits the LATER agent's Communication (repetitive questioning) and Customer Experience (increased effort).</t>
  </si>
  <si>
    <t>4. Critical failures attach to a specific touch</t>
  </si>
  <si>
    <t>A premature RESOLVED, a missed callback window, a compliance violation, or an unescalated complaint fails THAT touch's review regardless of how the journey ends — and regardless of that touch's weighted score.</t>
  </si>
  <si>
    <t>5. The journey rolls up in the Case Tracker</t>
  </si>
  <si>
    <t>Log every touch under the same Case ID with an incrementing Touch #. Per-touch weighted scores sit side by side so you can pinpoint exactly where the support chain broke or recovered. The journey's final outcome classification comes from the last touch; journey-level findings (process, KB, tooling, product) go into Organizational Insights — not into any single agent's score.</t>
  </si>
  <si>
    <t>6. Watch for journey-level failure patterns</t>
  </si>
  <si>
    <t>Repeated premature closures, shifting callback promises, each agent re-starting from zero, escalation ping-pong, and unacknowledged cumulative customer effort are SYSTEMIC findings. Score the touch that caused each one, then raise the pattern as an organizational insight with a named process owner.</t>
  </si>
  <si>
    <t>WORKED JOURNEY — TE00124020 / TE00127492 (Richard &amp; Diana Stell, Linksys WHW03 → MX4200, Apr 1 – May 30, 2026)</t>
  </si>
  <si>
    <t>Sources: Call Analysis Report 2026-05-25 (13 recordings) and Concentrix Case Investigation 2026-05-27. An 80-year-old couple in a 7,000 sq ft home; 7-week journey across 2 tickets, 10+ agents, 15+ hours; ended with CSAT 1/5, an SLA breach (&gt;30 days), a legal threat, and the customer scrapping Linksys for Eero. Per-touch scores are in the Case Tracker; the full scored form for the final touch (Eric Marbella, May 18-19) is on the Example (Filled) sheet.</t>
  </si>
  <si>
    <t>WHERE THE CHAIN BROKE</t>
  </si>
  <si>
    <t>Scored against the touch that caused it</t>
  </si>
  <si>
    <t>Pre-ticket history lost (CRITICAL)</t>
  </si>
  <si>
    <t>Recordings 1-6 (April 1-23: WHW03 failure, $30 paid session, L2 escalation, compatibility advice that drove the MX4200 purchase) never made it into ticket TE00127492. Every later agent treated a months-long pattern as a new case. → Documentation failure on the early touches; organizational insight on ticket-linking process.</t>
  </si>
  <si>
    <t>PCI DSS violation (CRITICAL)</t>
  </si>
  <si>
    <t>Recording 3 (Apr 1, paid support): full card number, CVV, and expiry spoken aloud and captured in plaintext transcript; the $30 charge itself never documented in any ticket. → Critical failure on that touch + immediate compliance escalation.</t>
  </si>
  <si>
    <t>Receipt-gate before troubleshooting</t>
  </si>
  <si>
    <t>May 1 (Riojene Ladera): customer with active 5-min drop cycles was refused troubleshooting until a warranty receipt was emailed; note reads 'No trouble shooting made.' → Resolution &amp; Ownership failure: warranty validation must not replace support on an active issue.</t>
  </si>
  <si>
    <t>Premature RESOLVED ×5</t>
  </si>
  <si>
    <t>Ticket marked RESOLVED on Apr 28, May 1, May 4, May 18, May 19 while the streaming-stability complaint was never confirmed fixed. Final closure had no private-note reason. → Documentation/Ownership failures on each closing touch; masks true case age and breaks SLA monitoring.</t>
  </si>
  <si>
    <t>Callback management collapse</t>
  </si>
  <si>
    <t>Apr 1: promised 2-3h L2 callback vs the 24-48h process. May 18: customer waited 3+ hours through 3 L1 calls. May 19: agreed 4-5 PM window missed by 42-66 min, with conflicting explanations in notes ('in a meeting' vs 'engaged with another task'). → Ownership failures on the promising/missing touches; systemic trend finding.</t>
  </si>
  <si>
    <t>Complaint &amp; legal threat not escalated (CRITICAL)</t>
  </si>
  <si>
    <t>May 19, 3:33 PM: customer email requests management contact 'before I talk to a lawyer.' Response (after TC consult) apologized but never escalated to management; no DSAT/management record until PMO intervened May 27. → Escalation Judgment failure on the final touch.</t>
  </si>
  <si>
    <t>Accessibility never adapted</t>
  </si>
  <si>
    <t>Customer stated hearing aids and age on nearly every call; investigation cites the same 'simplify, slow down, one step at a time' opportunity for 4+ different agents. → Communication finding per touch + training-level organizational insight.</t>
  </si>
  <si>
    <t>WHERE THE CHAIN RECOVERED (recognize these touches)</t>
  </si>
  <si>
    <t>Venn-Emir Calvin (Apr 23)</t>
  </si>
  <si>
    <t>Caught the mis-captured email address in under 2 minutes, corrected it, re-sent the guide — clean continuity fix; investigation found no opportunities.</t>
  </si>
  <si>
    <t>Paolo Ebora (May 4)</t>
  </si>
  <si>
    <t>98-minute deep dive: HomeKit isolation, interference analysis, firmware validation, captured sysinfo/network logs via remote access, identified 2 bad-RSSI nodes (-90/-93 dBm), provided L2 hotline. Best diagnostics of the journey.</t>
  </si>
  <si>
    <t>Eric Marbella (May 18, technical leg)</t>
  </si>
  <si>
    <t>3h26m session after the modem swap: correctly isolated the fault away from the ISP to the MX4200 parent node, restored internet, set up 4 child nodes with documented RSSI. The technical work was strong — the ownership collapse came the next day.</t>
  </si>
  <si>
    <t>JOURNEY-LEVEL ORGANIZATIONAL INSIGHTS (do not assign to any single agent's score)</t>
  </si>
  <si>
    <t>• Callback management is systemic, not individual: promised windows shifted repeatedly across L1 and L2; the post-case survey says technicians 'never call back as promised.' Recommend enforced callback calendaring and a contingency script when a window is at risk.</t>
  </si>
  <si>
    <t>• Case Management &amp; Closure Process needs reinforcement (per investigation): RESOLVED requires customer-confirmed resolution or a documented closure reason; CALLBACK/PENDING states must be used while work is open.</t>
  </si>
  <si>
    <t>• Ticket linking: pre-purchase and pre-ticket history must be attached or cross-referenced when a new ticket is opened for the same customer/issue (TE00124020 → TE00127492 gap).</t>
  </si>
  <si>
    <t>• Compliance: PCI-safe payment flow required for paid support (no card data spoken on a recorded line); audit recordings/transcripts retention for Rec 3.</t>
  </si>
  <si>
    <t>• Product/advice loop: the MX4200 mixed-mesh recommendation for a 7,000 sq ft home with legacy WHW03 nodes drove 6 purchases without a coverage/topology consult — feed back to sales-advice scripts and KB.</t>
  </si>
  <si>
    <t>• Vulnerable-customer handling: a standard for elderly / hard-of-hearing customers (pace, one-step instructions, session-length checkpoints, offer to pause and resume) would have changed this journey's trajectory.</t>
  </si>
  <si>
    <t>THE TEAM / JOURNEY SCORE — SCORING THE CHAIN, NOT JUST THE LINKS</t>
  </si>
  <si>
    <t>Per the incentive philosophy (team improvement first, shared accountability), every multi-touch case also receives one Team Score covering all agents who touched it. It lives at the bottom of the Case Tracker. It drives team-level coaching, process fixes, and recognition — it is never used for individual discipline; individual feedback comes only from each agent's own touch form.</t>
  </si>
  <si>
    <t>Formula</t>
  </si>
  <si>
    <t>Team Score = 50% × Average Touch Weighted Score  +  30% × (Journey Outcome ÷ 5)  +  20% × (Continuity &amp; Handoffs ÷ 5). Execution gets half the weight; the other half belongs to what the customer actually experienced — the end result and how well the chain held together. Same result bands as individual scores (≥85% / 70-84% / &lt;70%). Any journey containing a critical failure carries the automatic-review flag regardless of its Team Score.</t>
  </si>
  <si>
    <t>Journey Outcome anchors (0-5)</t>
  </si>
  <si>
    <t>5 = issue resolved AND confirmed with the customer, positive close · 4 = resolved with minor friction · 3 = partial resolution or accepted workaround with a clear path · 2 = unresolved but customer holds a valid, owned next step · 1 = unresolved and the customer disengaged · 0 = customer harmed, churned, or left with legal/compliance exposure.</t>
  </si>
  <si>
    <t>Continuity &amp; Handoffs anchors (0-5)</t>
  </si>
  <si>
    <t>5 = seamless handoffs; no agent restarted from zero; statuses always truthful · 4 = minor gaps, quickly recovered · 3 = some repeated work, but the thread held · 2 = significant rework caused by thin notes or wrong statuses · 1 = chain repeatedly broke (lost history, premature closures, shifting promises) · 0 = continuity collapse itself drove the complaint.</t>
  </si>
  <si>
    <t>Worked example (Stell journey)</t>
  </si>
  <si>
    <t>Average of the 13 touch scores ≈ 57% — individually, most touches were mediocre-to-fair and two were strong. But Outcome = 0 (churned, CSAT 1/5, legal threat) and Continuity = 1 (history lost, 5 premature closures). Team Score = 50%×57% + 30%×0 + 20%×(1/5) ≈ 33% — Needs Improvement. That 24-point gap between average execution and the Team Score IS the finding: no single agent failed badly enough to explain losing the customer; the chain did. The fixes are therefore process-level (callback management, closure discipline, ticket linking), which is exactly what the investigation concluded.</t>
  </si>
  <si>
    <t>Crediting the team</t>
  </si>
  <si>
    <t>Quality is created collectively (L1, escalation teams, trainers, QA, team leads, operations). When a Team Score is strong, recognize the whole chain — including agents whose touch was a 2-minute continuity save (e.g., Venn-Emir's email fix). When it is weak despite strong individual touches, the coaching target is the handoff process and its owners, not the agents.</t>
  </si>
  <si>
    <t>CONTRIBUTION TYPE &amp; HANDOFF QUALITY — PER-TOUCH IMPACT TAGS</t>
  </si>
  <si>
    <t>Two extra columns on the Case Tracker (Contribution Type, Handoff Quality) tag what each touch actually did for the case, separately from its category scores. They make the Team Score's Continuity component an informed judgment instead of a guess, and they stop the first agent on a hard case from being penalised for complexity while the last agent gets all the credit.</t>
  </si>
  <si>
    <t>Contribution Type (per touch)</t>
  </si>
  <si>
    <t>Resolver = delivered the final fix, correct escalation, or proper closure for that thread · Progress Builder = advanced diagnosis or troubleshooting that moved the case forward, even if not fully fixed · Maintainer = kept momentum, clarified, documented, escalated appropriately without new ground gained · Regression Contributor = reset progress, misdiagnosed, premature closure, or otherwise caused regression. Use 'N/A' only when a touch is purely administrative with no case impact.</t>
  </si>
  <si>
    <t>Handoff Quality (0-5, per touch)</t>
  </si>
  <si>
    <t>Rates the OUTGOING handoff this touch left for whoever (or whatever) came next, across four dimensions: context completeness (did notes explain what was done?), continuity preservation (did it avoid forcing a restart?), expectation alignment (was the customer told something accurate about what happens next?), technical clarity (are logs/findings usable by the next agent?). 5 = clean handoff, nothing to redo · 3-4 = usable with minor gaps · 1-2 = next agent effectively restarts or inherits a broken promise · 0 = handoff itself caused the next failure. Leave blank or mark N/A for a case's final touch.</t>
  </si>
  <si>
    <t>Stell journey pattern</t>
  </si>
  <si>
    <t>Of the 13 touches, 4 carry Handoff Quality of 1 (Dorothy's wrong callback window, Joziel's 10-15 min promise, Charmaigne's mis-captured email, Riojene's receipt-gate refusal, Jerald's third shifting promise) and 2 are Regression Contributor-tagged for premature RESOLVED closures (Nathan, and via Riojene's refusal). Only Paolo Real and Venn-Emir produced clean Resolver handoffs (4-5). This is what a Continuity score of 1/5 looks like in practice — see the Team Scoring sheet for the live breakdown.</t>
  </si>
  <si>
    <t>TEAM SCORING — METHODOLOGY &amp; TEAM OPPORTUNITY ANALYSIS</t>
  </si>
  <si>
    <t>Individual forms answer 'how did this agent do?'. Team Scoring answers 'how did the CHAIN perform for the customer?' and 'what should we coach, fix, or build as a TEAM?'. The scorecard below is live from the Case Tracker.</t>
  </si>
  <si>
    <t>TEAM SCORE</t>
  </si>
  <si>
    <t>RESULT BAND</t>
  </si>
  <si>
    <t>CONTAINS CRITICAL FAILURE?</t>
  </si>
  <si>
    <t>See section 6 of each agent's Scoring Form</t>
  </si>
  <si>
    <t>EXECUTION  (50% weight)</t>
  </si>
  <si>
    <t>JOURNEY OUTCOME  (30% weight)</t>
  </si>
  <si>
    <t>CONTINUITY &amp; HANDOFFS  (20% weight)</t>
  </si>
  <si>
    <t>↑ Updates automatically from the Case Tracker (Team/Journey Scores, row 56). Edit Outcome / Continuity there and this scorecard moves with it. For your own journeys, copy this block and point it at the relevant journey row.</t>
  </si>
  <si>
    <t>1 · WHY A TEAM SCORE EXISTS</t>
  </si>
  <si>
    <t>The rubric's incentive philosophy ranks team improvement FIRST, then individual excellence, then shared accountability. Quality is created collectively — L1, escalation teams, trainers, QA, team leads, operations. A multi-touch case is the truest test: the customer experiences ONE journey, not thirteen separate calls. The Team Score makes the chain itself a scored, coachable unit, so process failures stop hiding between individually 'acceptable' touches. Rule: the Team Score drives team coaching, process fixes, and chain-wide recognition. It is NEVER used for individual discipline — individual feedback comes only from each agent's own touch form.</t>
  </si>
  <si>
    <t>2 · THE FORMULA, COMPONENT BY COMPONENT</t>
  </si>
  <si>
    <t>Component</t>
  </si>
  <si>
    <t>What it measures &amp; why this weight</t>
  </si>
  <si>
    <t>Journey numbers — auto-computed once touches are logged</t>
  </si>
  <si>
    <t>EXECUTION — 50%
Average of all touch weighted scores</t>
  </si>
  <si>
    <t>The team's average quality of work, touch by touch. Auto-computed in the tracker (AVERAGE of the Weighted column for the journey's rows). Gets half the weight because good execution is necessary — but deliberately NOT more than half, because a chain of individually fine touches can still lose a customer.</t>
  </si>
  <si>
    <t>JOURNEY OUTCOME — 30%
Evaluator-judged 0-5</t>
  </si>
  <si>
    <t>What the customer actually got at the end of the whole journey. Anchors: 5 = resolved AND confirmed, positive close · 4 = resolved, minor friction · 3 = partial/accepted workaround with clear path · 2 = unresolved but customer holds a valid, owned next step · 1 = unresolved, customer disengaged · 0 = customer harmed, churned, or left with legal/compliance exposure. Judged once per journey, against the FINAL state.</t>
  </si>
  <si>
    <t>CONTINUITY &amp; HANDOFFS — 20%
Evaluator-judged 0-5</t>
  </si>
  <si>
    <t>How well the chain held together BETWEEN touches: did notes carry forward, were statuses truthful, did promises survive handoffs, did anyone restart from zero? Anchors: 5 = seamless · 4 = minor gaps, quickly recovered · 3 = some repeated work, thread held · 2 = significant rework from thin notes/wrong statuses · 1 = chain repeatedly broke · 0 = the continuity collapse itself drove the complaint.</t>
  </si>
  <si>
    <t>TEAM SCORE  =  50% × Execution  +  30% × (Outcome ÷ 5)  +  20% × (Continuity ÷ 5).   Enter the journey's Outcome &amp; Continuity (0-5) in Case Tracker row 56; Execution auto-computes.</t>
  </si>
  <si>
    <t>3 · READING THE RESULT — THE GAP IS THE DIAGNOSIS</t>
  </si>
  <si>
    <t>Team Score ≈ Execution average</t>
  </si>
  <si>
    <t>The chain neither helped nor hurt. Coach individuals on their own findings; no major process action.</t>
  </si>
  <si>
    <t>Team Score WELL ABOVE Execution average</t>
  </si>
  <si>
    <t>Strong outcome/continuity lifted ordinary touches — the process carried the team. Recognize the chain and the process owners; capture what worked as a standard.</t>
  </si>
  <si>
    <t>Team Score WELL BELOW Execution average</t>
  </si>
  <si>
    <t>Individually 'acceptable' agents, collectively a lost customer. The failure lives BETWEEN touches: handoffs, statuses, callbacks, ticket linking. Coaching individuals harder will NOT fix this — the action plan must target process, with named owners and dates.</t>
  </si>
  <si>
    <t>4 · TEAM CATEGORY HEATMAP — WHERE THE TEAM IS WEAK (live formulas over the Case Tracker touch rows)</t>
  </si>
  <si>
    <t>Averaging each category ACROSS all touches turns the individual reviews into one team profile. Compare each to the 0-5 scale; &lt;2.75 is a team coaching theme.</t>
  </si>
  <si>
    <t>Category (weight)</t>
  </si>
  <si>
    <t>Team avg (0-5)</t>
  </si>
  <si>
    <t>What the journey shows</t>
  </si>
  <si>
    <t>Resolution / Progress (30%)</t>
  </si>
  <si>
    <t>Reading: red (&lt;2.75) = team coaching theme · yellow (2.75-3.49) = monitor &amp; spot-coach · green (≥3.5) = team strength to protect.</t>
  </si>
  <si>
    <t>5 · TEAM OPPORTUNITIES IDENTIFIED (the team action plan)</t>
  </si>
  <si>
    <t>Opportunity (category)</t>
  </si>
  <si>
    <t>Evidence across touches (why it's a TEAM issue, not one agent)</t>
  </si>
  <si>
    <t>Team action &amp; suggested owner</t>
  </si>
  <si>
    <t>6 · HOW TO RUN A TEAM REVIEW FOR YOUR OWN JOURNEYS (~30 min once touches are scored)</t>
  </si>
  <si>
    <t>Step 1</t>
  </si>
  <si>
    <t>Score every touch individually first (Scoring Form per agent) and log all rows in the Case Tracker under the same Case ID.</t>
  </si>
  <si>
    <t>Step 2</t>
  </si>
  <si>
    <t>In the Team/Journey Scores section (Case Tracker, row 53+), enter the Case ID — Touches and Avg Touch % auto-fill. Judge Outcome (0-5) and Continuity (0-5) with the anchors in section 2. The Team Score computes; the hero scorecard at the top of this sheet mirrors it.</t>
  </si>
  <si>
    <t>Step 3</t>
  </si>
  <si>
    <t>Compare Team Score vs Execution average (section 3). A big negative gap = process problem; flag it as such in your report.</t>
  </si>
  <si>
    <t>Step 4</t>
  </si>
  <si>
    <t>Build the category heatmap: average each category column across the journey's tracker rows (copy the section-4 formulas, adjusting the row range). Bottom two categories = your team coaching themes.</t>
  </si>
  <si>
    <t>Step 5</t>
  </si>
  <si>
    <t>Scan for recurring patterns: same coaching note on 3+ agents (training gap) · same broken-promise type on 2+ touches (process gap) · any premature closure, lost history, or unescalated complaint (critical — name it).</t>
  </si>
  <si>
    <t>Step 6</t>
  </si>
  <si>
    <t>Write the team action plan: every opportunity gets an action, a NAMED owner, and a date (section 5 is the model). Recognize the chain's best touches explicitly — including small continuity saves. Deliver individual feedback separately from this team review.</t>
  </si>
  <si>
    <t>Recognition rule: when the Team Score is strong, credit the WHOLE chain — including 2-minute continuity saves like Venn-Emir's email fix. When it is weak despite strong individual touches, the coaching target is the handoff process and its owners, never a hunt for one culprit.</t>
  </si>
  <si>
    <t>7 · CONTRIBUTION TYPE &amp; HANDOFF QUALITY — LIVE PER-TOUCH BREAKDOWN</t>
  </si>
  <si>
    <t>Pulled live from the Case Tracker (columns O &amp; P). Use this to judge the Continuity &amp; Handoffs component above — it shows WHERE the chain held and WHERE it broke, touch by touch, instead of one averaged number.</t>
  </si>
  <si>
    <t>Touch (Agent)</t>
  </si>
  <si>
    <t>Contribution Type</t>
  </si>
  <si>
    <t>Handoff Quality (0-5)</t>
  </si>
  <si>
    <t>Reading this table: a long run of Regression Contributor / low Handoff Quality rows is a process problem (closure discipline, callback management), not an individual one — see Team Opportunities above. A single Regression Contributor surrounded by Resolvers/Progress Builders points at one agent or one moment, and belongs in that agent's individual coaching instead.</t>
  </si>
  <si>
    <t>SUPPORT QA — SCORING FORM  (WORKED EXAMPLE — FINAL TOUCH OF A MULTI-TOUCH CASE)</t>
  </si>
  <si>
    <t>QA Specialist</t>
  </si>
  <si>
    <t>Phone</t>
  </si>
  <si>
    <t>Connectivity</t>
  </si>
  <si>
    <t>1 / 5 — Resolution Rate: No</t>
  </si>
  <si>
    <t>Breached</t>
  </si>
  <si>
    <t>Suggested score (auto from indicators — advisory only; evaluator judgment prevails)</t>
  </si>
  <si>
    <t>FINAL CATEGORY SCORE (0–5)</t>
  </si>
  <si>
    <t>Category comments / coaching notes</t>
  </si>
  <si>
    <t>Real technical progress (internet restored) — judged in inherited context, a genuine recovery. Capped by unconfirmed primary complaint and premature closure.</t>
  </si>
  <si>
    <t>Strongest technical touch of the journey alongside Paolo Ebora's May 4 session. Close the loop on inherited open steps (AT&amp;T SSID) next time.</t>
  </si>
  <si>
    <t>Focused and professional; needs accessibility adaptation and a stronger recap/next-step close (per investigation findings).</t>
  </si>
  <si>
    <t>No disconnect on this touch</t>
  </si>
  <si>
    <t>Automatic deductions applied: missed agreed callback window without proactive renegotiation + premature RESOLVED. The calendar conflict was visible in advance.</t>
  </si>
  <si>
    <t>No technical escalation needed — agent is the L2 endpoint</t>
  </si>
  <si>
    <t>No management/DSAT escalation record until PMO intervened May 27</t>
  </si>
  <si>
    <t>The escalation that mattered was upward: an explicit management request with a legal threat from a vulnerable customer. It was not made. Scored 1 (TC consult occurred) rather than 0.</t>
  </si>
  <si>
    <t>Patience and courtesy present; effort-reduction and fatigue acknowledgment absent. The outcome data (CSAT 1, churn) reflects the journey, but this touch's choices contributed directly.</t>
  </si>
  <si>
    <t>Technical notes excellent; closure documentation failed — no reason for RESOLVED, conflicting missed-callback explanations across notes.</t>
  </si>
  <si>
    <t>Ownership Gap</t>
  </si>
  <si>
    <t>None achieved</t>
  </si>
  <si>
    <t>7 · COACHING &amp; FEEDBACK  (every review must produce at least one actionable coaching opportunity)</t>
  </si>
  <si>
    <t>WHAT WENT WELL — behaviors to repeat</t>
  </si>
  <si>
    <t>IMPROVEMENT OPPORTUNITIES — behaviors to improve</t>
  </si>
  <si>
    <t>COACHING RECOMMENDATION — specific actions the agent should apply going forward</t>
  </si>
  <si>
    <t>ORGANIZATIONAL INSIGHTS — training / process / KB / chatbot / tooling / product gaps discovered</t>
  </si>
  <si>
    <t>MULTI-TOUCH / JOURNEY NOTES — handoff quality received &amp; passed, continuity, where the chain stands</t>
  </si>
  <si>
    <t>FINAL QA ASSESSMENT — customer outcome, support quality, and coaching value</t>
  </si>
  <si>
    <t>CASE TRACKER — Multi-Case &amp; Multi-Touch Log</t>
  </si>
  <si>
    <t>One row per touch. Reuse a Case ID across rows to track a multi-touch journey. Scores 0-5; Weighted % and Result calculate automatically. Pre-loaded: the TE00124020 / TE00127492 journey (see Multi-Touch Guide).</t>
  </si>
  <si>
    <t>Date</t>
  </si>
  <si>
    <t>Case ID</t>
  </si>
  <si>
    <t>Agent</t>
  </si>
  <si>
    <t>Touch #</t>
  </si>
  <si>
    <t>Res 30%</t>
  </si>
  <si>
    <t>Tech 20%</t>
  </si>
  <si>
    <t>Comm 15%</t>
  </si>
  <si>
    <t>Own 15%</t>
  </si>
  <si>
    <t>Esc 10%</t>
  </si>
  <si>
    <t>CX 5%</t>
  </si>
  <si>
    <t>Doc 5%</t>
  </si>
  <si>
    <t>Result</t>
  </si>
  <si>
    <t>Outcome / Notes</t>
  </si>
  <si>
    <t>TEAM AVERAGE</t>
  </si>
  <si>
    <t>Average of logged touches</t>
  </si>
  <si>
    <t>TEAM / JOURNEY SCORES — MULTI-TOUCH CASES</t>
  </si>
  <si>
    <t>Team Score = 50% × average touch weighted score  +  30% × (Journey Outcome ÷ 5)  +  20% × (Continuity &amp; Handoffs ÷ 5).  Outcome and Continuity are evaluator-judged 0-5 — anchors on the Multi-Touch Guide sheet. The Team Score rates the CHAIN; it feeds team coaching and recognition, never individual discipline.</t>
  </si>
  <si>
    <t>Journey / Case ID(s)</t>
  </si>
  <si>
    <t>Touches</t>
  </si>
  <si>
    <t>Avg Touch %</t>
  </si>
  <si>
    <t>Outcome (0-5)</t>
  </si>
  <si>
    <t>Continuity (0-5)</t>
  </si>
  <si>
    <t>Journey notes (where the chain broke / recovered)</t>
  </si>
  <si>
    <t>Template rows: type a Case ID in the first column — Touches and Avg Touch % auto-fill from the log above, then judge Outcome and Continuity (0-5). For journeys spanning multiple Case IDs (like the pre-loaded one), enter the Avg Touch % formula over the journey's row range manually.</t>
  </si>
  <si>
    <t>Contact iteration</t>
  </si>
  <si>
    <t>Resolution status (detailed)</t>
  </si>
  <si>
    <t>Root-cause domain</t>
  </si>
  <si>
    <t>Process driver</t>
  </si>
  <si>
    <t>Product driver</t>
  </si>
  <si>
    <t>System / tooling driver</t>
  </si>
  <si>
    <t>Dropdown option source for the Scoring Form (Section 8 + Outcome). Unhide to edit options.</t>
  </si>
  <si>
    <t>Random Call</t>
  </si>
  <si>
    <t>1st about the concern</t>
  </si>
  <si>
    <t>Resolved</t>
  </si>
  <si>
    <t>None</t>
  </si>
  <si>
    <t>Scheduled / Side-by-side</t>
  </si>
  <si>
    <t>2nd about the concern</t>
  </si>
  <si>
    <t>Unresolved (properly isolated)</t>
  </si>
  <si>
    <t>People</t>
  </si>
  <si>
    <t>Troubleshooting – Instructions</t>
  </si>
  <si>
    <t>Performance – Specific IRC</t>
  </si>
  <si>
    <t>Public – Website</t>
  </si>
  <si>
    <t>Calibration</t>
  </si>
  <si>
    <t>3rd about the concern</t>
  </si>
  <si>
    <t>Unresolved (with missing steps)</t>
  </si>
  <si>
    <t>Process</t>
  </si>
  <si>
    <t>Troubleshooting – Timeline</t>
  </si>
  <si>
    <t>Performance – Difficult to Install</t>
  </si>
  <si>
    <t>Public – App/Cloud</t>
  </si>
  <si>
    <t>Complaint</t>
  </si>
  <si>
    <t>More than 3x about the concern</t>
  </si>
  <si>
    <t>Unresolved (wrong troubleshooting path)</t>
  </si>
  <si>
    <t>RMA – Logistics</t>
  </si>
  <si>
    <t>Performance – Defective Device</t>
  </si>
  <si>
    <t>Public – IVR</t>
  </si>
  <si>
    <t>Investigation</t>
  </si>
  <si>
    <t>Unresolved (declined sales pitch — valid)</t>
  </si>
  <si>
    <t>System</t>
  </si>
  <si>
    <t>RMA – Timeline</t>
  </si>
  <si>
    <t>Performance – Poor Performance</t>
  </si>
  <si>
    <t>Internal – Salesforce/CRM</t>
  </si>
  <si>
    <t>CSAT</t>
  </si>
  <si>
    <t>Unresolved (declined sales pitch — invalid)</t>
  </si>
  <si>
    <t>RMA – Terms &amp; Conditions</t>
  </si>
  <si>
    <t>Design – Aesthetics</t>
  </si>
  <si>
    <t>Internal – CSC</t>
  </si>
  <si>
    <t>DSAT</t>
  </si>
  <si>
    <t>Unresolved (disconnected / line release)</t>
  </si>
  <si>
    <t>Refund – Logistics</t>
  </si>
  <si>
    <t>Design – Compatibility</t>
  </si>
  <si>
    <t>Internal – Oracle</t>
  </si>
  <si>
    <t>FCR</t>
  </si>
  <si>
    <t>Refund – Timeline</t>
  </si>
  <si>
    <t>Beyond Product Support Scope</t>
  </si>
  <si>
    <t>Internal – Agent Portal</t>
  </si>
  <si>
    <t>Spot Check</t>
  </si>
  <si>
    <t>Refund – Terms &amp; Conditions</t>
  </si>
  <si>
    <t>Internal – SN Look-up</t>
  </si>
  <si>
    <t>ARR</t>
  </si>
  <si>
    <t>Follow-through – Callback</t>
  </si>
  <si>
    <t>Bounceback Spot Check</t>
  </si>
  <si>
    <t>Follow-through – Timeline</t>
  </si>
  <si>
    <t>Ghost / Disconnected Contact</t>
  </si>
  <si>
    <t>Sales – Limited Warranty</t>
  </si>
  <si>
    <t>Misdirected Contact</t>
  </si>
  <si>
    <t>Sales – Charging Process</t>
  </si>
  <si>
    <t>Service Offering Spot Check</t>
  </si>
  <si>
    <t>Beyond Support Scope</t>
  </si>
  <si>
    <t>Refunds Spot Check</t>
  </si>
  <si>
    <t>Newbie Spot Check</t>
  </si>
  <si>
    <t>Linksys LN3121</t>
  </si>
  <si>
    <t>OUT OF WARRANTY</t>
  </si>
  <si>
    <t xml:space="preserve">7 minutes 52 seconds (session) </t>
  </si>
  <si>
    <t>Edgar Ian Mark Catulong (L2 / CAT)</t>
  </si>
  <si>
    <t>TE00117249</t>
  </si>
  <si>
    <t>2026-06-12 to 2026-06-15</t>
  </si>
  <si>
    <t>3 hr 52 min (ticket)</t>
  </si>
  <si>
    <t>The customer, Dan Boadwine, faced significant challenges in setting up his new Linksys router LN3121 despite having experience with the brand. The support team from both Level 1 attempted to assist through various troubleshooting steps and follow-up calls but encountered ongoing issues that led the customer to suspect a potential defect in the new router. The issue was not resolved during this interaction. The caller had to leave and scheduled a follow-up for the following Tuesday to continue troubleshooting the router.</t>
  </si>
  <si>
    <t>CAT Edgar Mark Catulong took over this endorsed ticket from CAT Paolo Real, who had made a callback attempt but was directed to voicemail. The preferred callback time was noted as Monday between 9:15 AM and 10:00 AM EST.</t>
  </si>
  <si>
    <t>4 contacts (survey); 4 recorded touches</t>
  </si>
  <si>
    <t>The issue was not resolved during this last interaction. The customer had to leave and scheduled a follow-up for the following week Tuesday, 10:00 EST to continue troubleshooting the router.</t>
  </si>
  <si>
    <t>Reasonable troubleshooting was attempted before concluding that the issue couldn't be resolved at that time. The customer had previously worked with a technician, but they still faced connectivity problems with the new router. The current agent confirmed that the existing setup with the old router was functioning correctly, indicating that the new router might be the problem.</t>
  </si>
  <si>
    <t>The customer agreed to a follow-up call on the following Tuesday at around 10 o'clock Eastern Time to continue troubleshooting. Additionally, the CAT agent suggested sending a Level 2 hotline number via email for the caller's reference.</t>
  </si>
  <si>
    <t>Lack of ownership: The callback agreement was for the agent to call the customer again the following Tuesday at around 10 o'clock Eastern Time to continue troubleshooting the new router. Yet, the CAT agent set the ticket to "Resolved."</t>
  </si>
  <si>
    <t>Given that the issue with the new router was not resolved during the call and the case was closed, it may not fully align with the process that states a case should remain open until the issue is resolved. While the customer did receive a follow-up call scheduled for troubleshooting, the closure of the case could imply that no further action is pending, which might not accurately reflect the ongoing support needed. Therefore, the customer was not moved meaningfully closer to a solution if the case was closed without resolution. Keeping the case open would have been more appropriate until the follow-up took place.</t>
  </si>
  <si>
    <t xml:space="preserve">The customer articulated that they were unable to set up the new router, despite having successfully used their old router, which indicated a potential issue with the new device. The CAT agent acknowledged that the router was not detecting the Internet from the customer's service provider, and they discussed the troubleshooting steps that had already been taken. This understanding aligns with the customer's experience and concerns about possibly receiving a defective router. </t>
  </si>
  <si>
    <t xml:space="preserve">Relevant diagnostic questions were asked during the call. The CAT agent inquired about the model of the modem and whether both Ethernet ports were being used, which are important factors in troubleshooting connectivity issues. Additionally, the agent confirmed the status of the new router and its connection to the modem. These questions were pertinent to understanding the customer's setup and identifying the root cause of the issue with the new router. </t>
  </si>
  <si>
    <t xml:space="preserve">A logical troubleshooting methodology was followed during the call. The agent: 
1. The agent asked for details about the modem and router, ensuring they had the correct information about the customer's setup. 
2. The agent checked whether the new router was connected to the modem and assessed how the customer was currently getting Internet access. 
3. The discussion included a recap of the previous troubleshooting efforts, acknowledging the time spent and the steps taken with the first technician. 
4. The agent considered the possibility of a defective router based on the customer's experience and the inability to connect to the Internet. </t>
  </si>
  <si>
    <t>No troubleshooting steps were executed during the call due to the customer's decision for another callback.</t>
  </si>
  <si>
    <t>The issue requires further diagnosis.</t>
  </si>
  <si>
    <t xml:space="preserve">Assumptions were validated, and no unsupported conclusions were drawn during the call. The agent did not prematurely conclude why the new router was not functioning; instead, he focused on gathering information and clarifying the customer's setup and experiences. He asked specific questions about the modem and the connection status of the new router, which helped to validate any assumptions about potential issues. The agent also acknowledged the customer's concerns about the possibility of receiving a defective product without jumping to conclusions. </t>
  </si>
  <si>
    <t>The agent recognized that the new router was not detecting the Internet from the service provider, which indicated a potential issue with the router itself, especially since the customer was able to achieve good speeds using their old router. The customer also expressed concern that the new router might be defective, which the agent acknowledged as a possibility. This recognition of the new router's failure to connect, combined with the customer's positive experience with the old equipment, pointed to the likelihood that the new router was the source of the problem. Thus, while a definitive root cause was not established, the discussion effectively highlighted the new router as the likely cause of the connectivity issues.</t>
  </si>
  <si>
    <t>Expectations were not set clearly from the start. The call began with the agent providing general technical support, but it quickly became apparent that the customer was pressed for time and had limited availability for troubleshooting. While the agent did confirm a follow-up call would take place, the customer did not fully understand the timeline for resolving the issue or what steps would be taken in the interim. It was only towards the end of the conversation that the customer specified their availability for a follow-up, suggesting that clear expectations regarding timing and next steps could have been better established earlier in the call.</t>
  </si>
  <si>
    <t>The agent maintained control of the troubleshooting flow throughout the conversation. He guided the discussion by asking relevant questions, prompting the customer for specific information about their equipment and previous troubleshooting attempts. The agent also ensured that the conversation stayed focused on the issue at hand, rather than allowing it to veer off into unrelated topics.</t>
  </si>
  <si>
    <t>The agent explained actions in understandable, jargon-free language. He communicated clearly and avoided technical jargon that might confuse the customer. For example, when discussing the router and modem, the agent used simple terms and directly asked about the customer's setup without assuming technical knowledge. The dialogue focused on straightforward explanations, such as confirming connections and discussing speeds, which made it easy for the customer to follow along.</t>
  </si>
  <si>
    <t>The questions asked by the agent were purposeful and not repetitive. Each question was designed to gather specific information relevant to diagnosing the issue with the new router. For instance, the agent inquired about the model of the modem and whether both Ethernet ports were being used, which were critical to understanding the customer's setup. They also confirmed the status of the old router to compare its performance against the new one. The agent’s questions helped to clarify the situation and guided the troubleshooting process effectively, without any unnecessary repetition.</t>
  </si>
  <si>
    <t xml:space="preserve">The customer understanding was confirmed at key points during the conversation. The agent checked in with the customer to ensure clarity on specific details, such as confirming the model number of the modem and discussing the status of the old router. Additionally, the agent asked if the customer had time to further troubleshoot, giving the customer an opportunity to express his availability and understanding of the situation. </t>
  </si>
  <si>
    <t>The conversation included clear transitions between troubleshooting steps, though there were some opportunities for improvement in time management. The agent effectively moved from one topic to another, guiding the customer through specific inquiries about their setup and past troubleshooting efforts. However, the overall time management could have been enhanced. The customer mentioned being pressed for time due to other commitments, yet the conversation lingered on certain points, such as discussing the speeds achieved with the old router.</t>
  </si>
  <si>
    <t>Difficult moments in the conversation were managed professionally. The agent demonstrated patience and understanding when the customer expressed frustration about the unresolved router issue. Instead of becoming defensive or dismissive, the agent acknowledged the customer's concerns and engaged in constructive dialogue. When the customer raised the possibility of the new router being defective, the agent responded without making assumptions, maintaining a calm demeanor.</t>
  </si>
  <si>
    <t>The communication during the call did not specifically address or adapt to any particular accessibility needs such as hearing, vision, or age-related concerns. While the agent maintained a clear and professional tone, there were no explicit accommodations made for the customer's potential hearing difficulties or other needs. For example, the agent could have used simpler language or confirmed understanding more frequently to ensure the customer was following along, especially given the technical nature of the conversation.</t>
  </si>
  <si>
    <t>Unnecessary transfers were avoided during the call. The conversation was handled directly by the Level 2 tech support agent, who was already equipped to address the customer's issues. The agent engaged with the customer to troubleshoot the problem rather than transferring them to another representative, which could have resulted in further delays and frustration.</t>
  </si>
  <si>
    <t>The commitments made during the interaction were followed through appropriately. The agent scheduled a follow-up call for the next Tuesday at 10 o'clock, ensuring that both parties were clear on the timeline for continued troubleshooting.</t>
  </si>
  <si>
    <t>A clear path forward was created for the customer during the call. The agent effectively outlined the next steps by scheduling a follow-up call for the following Tuesday at 10 o'clock, providing a specific time for further troubleshooting.</t>
  </si>
  <si>
    <t>Next actions were not documented. Reason for closing the ticket was not indicated on the agent's notes.</t>
  </si>
  <si>
    <t>Ticket lost the tracking due to closure.</t>
  </si>
  <si>
    <t>Agreed callback date and time was not yet due.</t>
  </si>
  <si>
    <t>Possible customer complaint due to case closure lossing track to meet the promised callback.</t>
  </si>
  <si>
    <t>Case not due for Upper management consultation.</t>
  </si>
  <si>
    <t>Empathy was demonstrated throughout the conversation. The agent acknowledged the customer's frustration and fatigue from the cumulative effort of trying to set up the router, especially since this was not their first experience with Linksys products.</t>
  </si>
  <si>
    <t>Professionalism was maintained throughout the call. The agent communicated clearly and respectfully, addressing the customer's concerns without using technical jargon that might confuse them.</t>
  </si>
  <si>
    <t>The communication style was effectively adapted to the customer. The agent used clear and straightforward language, avoiding technical jargon that could confuse the customer. They actively listened to the customer's concerns and responded in a way that acknowledged the customer's frustration, which helped to build rapport.</t>
  </si>
  <si>
    <t>Patience was maintained throughout the call, even under pressure. The agent demonstrated patience by allowing the customer to express their frustrations and concerns without interrupting. He listened carefully to the customer's lengthy explanation about the previous troubleshooting efforts and the issues experienced with the new router. Even when the customer conveyed their doubts about the new router, the agent remained calm and continued to guide the conversation methodically.</t>
  </si>
  <si>
    <t>The customer effort was reduced where possible during the call. The agent acknowledged the customer's previous troubleshooting attempts and the time spent with a prior technician, which showed an understanding of the customer's frustration and fatigue.</t>
  </si>
  <si>
    <t xml:space="preserve"> The customer felt heard throughout the conversation, as the agent actively listened to their concerns and acknowledged their frustrations. The agent's validation of the customer's experience with the previous troubleshooting efforts contributed to this feeling of being understood.</t>
  </si>
  <si>
    <t>Vital information discussed during the call were recorded.</t>
  </si>
  <si>
    <t xml:space="preserve">The key findings from the call align well with the case notes provided. </t>
  </si>
  <si>
    <t>No private note indicating the reason for closing the unresolved case'</t>
  </si>
  <si>
    <t>not due for upper management escalation.</t>
  </si>
  <si>
    <t>Callback agreement noted including the preferred callback date and time.</t>
  </si>
  <si>
    <t>RESOLVED set June 15 right after the interaction despite agreement for callback the folliwing week, Tuesday.</t>
  </si>
  <si>
    <t>Closing the ticket despite an unresolved issue entails lack of accountability.</t>
  </si>
  <si>
    <t>The agent's action to close the case can be considered unjustifiable based on several factors: 
1. The core issue of the customer's inability to set up the new router remained unresolved at the end of the call. Closing the case without addressing the problem contradicts the fundamental goal of customer support, which is to provide resolution. 
2. Our process requires that cases remain open until the issue is fully resolved, the agent's action to close the case would violate this protocol. Adhering to established processes is crucial for maintaining consistency and accountability in customer support.</t>
  </si>
  <si>
    <t>RESOLVED set June 15 right after the call; no private note with closure reason.</t>
  </si>
  <si>
    <t>Girly Joy Pocot (L1)</t>
  </si>
  <si>
    <t xml:space="preserve">8 minutes 30 seconds(session) </t>
  </si>
  <si>
    <t>1 of 4</t>
  </si>
  <si>
    <t>1 recorded touch</t>
  </si>
  <si>
    <t>This is the customer's initial contact for his issue with a new Linksys Micro Router Pro 6. The issue was not fully resolved during the call. While the agent provided guidance on how to access the setup page and confirmed that Dan could maintain his existing network name and password, Dan decided to postpone the setup until the next day. The agent agreed to email him the setup instructions, which will help him when he attempts the installation again.</t>
  </si>
  <si>
    <t>The issue was not resolved, but the strongest available outcome was achieved by providing Dan with the necessary guidance and agreeing to send him the setup instructions via email. This allows him to attempt the setup again at a later time, which is a constructive step forward despite the immediate issue remaining unresolved.</t>
  </si>
  <si>
    <t>Reasonable troubleshooting was completed before any conclusion was reached. The agent guided Dan through the initial steps of accessing the setup page and confirmed that he could retain his existing network name and password. Although the setup could not be completed during the call, the agent provided options and instructions for Dan to try again later, ensuring that appropriate troubleshooting measures were taken.</t>
  </si>
  <si>
    <t xml:space="preserve"> Clear, actionable next steps were provided to Dan. The agent instructed him to check for the setup instructions that would be sent via email and to attempt the setup again the following day. Additionally, the agent explained how to access the setup page through the app, which Dan could follow when he was ready to proceed with the installation.</t>
  </si>
  <si>
    <t xml:space="preserve">The resolution path was appropriate for the situation and warranty status. Since Dan was dealing with a new router that needed registration for warranty validation, the agent emphasized the importance of registering the product and provided instructions for the setup process. The offer to send setup instructions via email was a suitable approach, given that Dan was unable to complete the installation during the call. </t>
  </si>
  <si>
    <t>The customer was moved meaningfully closer to a solution. While the immediate installation issue was not resolved during the call, the agent provided Dan with actionable steps to take, including sending setup instructions via email and guiding him on how to access the setup page. This support equips Dan with the information he needs to attempt the installation again, thereby advancing him toward a successful resolution.</t>
  </si>
  <si>
    <t xml:space="preserve">The symptoms were identified correctly during the call. Dan explained that he was unable to complete the router installation because the app was getting stuck in a loop while checking the router settings, which led to a "no Internet connection" message. The agent acknowledged this issue and confirmed that they would attempt a different setup method, indicating an understanding of Dan's situation. </t>
  </si>
  <si>
    <t>Relevant diagnostic questions were asked, including inquiries about the router's serial number, ISP, customer details, purchase date, and setup experience, which helped tailor the support provided.</t>
  </si>
  <si>
    <t>A logical troubleshooting methodology was followed, as the agent first gathered essential information, identified the specific issue with the app, and then proposed a different setup method while offering to send detailed instructions for Dan to try later.</t>
  </si>
  <si>
    <t>Available tools were used appropriately, as the agent utilized the Linksys app for setup guidance, offered to send email instructions for troubleshooting, and referenced the web interface as an alternative method to help Dan resolve the installation issue.</t>
  </si>
  <si>
    <t>Assumptions were validated, and no unsupported conclusions were made. The agent confirmed details with Dan, such as the router model, ISP, and his preference to retain the existing network settings, ensuring that all guidance was based on accurate information and Dan's specific situation.</t>
  </si>
  <si>
    <t>The likely cause of the issue was identified, as the agent recognized that Dan was experiencing difficulties with the app for setup, which prevented him from accessing the router's setup page. The agent then suggested alternative methods and troubleshooting steps to address this specific problem.</t>
  </si>
  <si>
    <t>Expectations were set clearly from the start. The agent explained the need for product registration to validate warranty and outlined the process for assistance. Additionally, the agent provided a clear plan to send setup instructions and encouraged Dan to call back for further help, ensuring he understood the next steps.</t>
  </si>
  <si>
    <t>The agent maintained control of the troubleshooting flow effectively. They guided Dan through the necessary questions to gather information about the router and the installation issue, proposed alternative setup methods, and kept the conversation focused on resolving the problem while ensuring Dan felt supported throughout the process.</t>
  </si>
  <si>
    <t xml:space="preserve"> The agent explained actions in understandable, jargon-free language. They provided clear instructions on how to access the setup page and emphasized the need to register the product without using technical jargon that could confuse Dan. The conversation remained accessible and straightforward, making it easier for him to follow along.</t>
  </si>
  <si>
    <t>The questions asked by the agent were purposeful and not repetitive. Each question aimed to gather specific information needed for troubleshooting, such as the router model, Dan's internet service provider, and his preferences regarding network settings. This approach helped keep the conversation focused and efficient.</t>
  </si>
  <si>
    <t>The customer understanding was confirmed at key points during the conversation. The agent checked for Dan's comprehension by summarizing information, such as asking if he was ready for the serial number and confirming his email address. Additionally, the agent clarified the steps for setup and assured Dan that he could keep his existing network name and password, reinforcing understanding throughout the call.</t>
  </si>
  <si>
    <t>There were clear transitions between troubleshooting steps, and the agent managed time effectively. The agent smoothly moved from gathering information to suggesting alternative setup methods when the app didn't work, and they provided a clear plan for the next steps, including sending setup instructions via email. This structure helped maintain focus and ensured that the conversation progressed efficiently without unnecessary delays.</t>
  </si>
  <si>
    <t>Difficult moments were managed professionally during the call. When Dan encountered frustration with the installation process and the app's performance, the agent remained patient, acknowledged his concerns, and offered clear alternatives. They provided helpful guidance without adding to Dan's frustration, ensuring the conversation stayed constructive and focused on finding a solution.</t>
  </si>
  <si>
    <t>While the call does not explicitly show any specific accessibility needs related to hearing, vision, or age, the agent's communication style was clear and straightforward. The agent used simple language and confirmed understanding at various points, which can be beneficial for customers of different ages or those who may struggle with technical jargon. There is no direct evidence in the call that suggests specific adaptations were made for any accessibility needs.</t>
  </si>
  <si>
    <t xml:space="preserve"> The agent demonstrated accountability for the customer's outcome by taking responsibility for guiding Dan through the troubleshooting process. They offered to send setup instructions via email to ensure Dan could successfully install the router and assured him that he could call back for further assistance if needed. This proactive approach shows the agent's commitment to helping Dan resolve his issue effectively.</t>
  </si>
  <si>
    <t>The agent handled the troubleshooting process directly and provided guidance without transferring Dan to another department. She addressed the concerns and offered to follow up with instructions, which kept the conversation focused and efficient, ensuring that Dan received the support he needed without additional delays.</t>
  </si>
  <si>
    <t>The agent committed to sending Dan setup instructions via email, which indicates a follow-through on their promise to assist him further. The record shows rthat the agent did send the email instructions as promised.</t>
  </si>
  <si>
    <t>The agent provided Dan with specific instructions on what to do next, including the need to register his new router and the option to retry the installation the following day. They also offered to send detailed setup instructions via email, ensuring Dan had the resources necessary to complete the installation. This structured approach helped Dan understand the next steps, making it easier for him to move forward with the process.</t>
  </si>
  <si>
    <t>The agent documented all the information transpired on the call.</t>
  </si>
  <si>
    <t>Realistic expectations were set during the conversation. The agent acknowledged the issues Dan was facing with the router setup and provided a practical solution by suggesting he try the installation again after receiving the emailed instructions. They also confirmed that Dan could call back for further assistance if he encountered any problems. This approach helped Dan understand that while the situation was challenging, there was a clear path to resolution, and he wouldn't be left without support.</t>
  </si>
  <si>
    <t>No callback commitment was made.</t>
  </si>
  <si>
    <t xml:space="preserve">No technical escalation needed </t>
  </si>
  <si>
    <t>Empathy was demonstrated during the call. The agent acknowledged Dan's frustration with the installation process, recognizing that he was replacing an existing router and had put effort into the setup. By offering to send instructions and suggesting he try again when he was fresh, the agent showed understanding of Dan's fatigue and the cumulative effort involved in troubleshooting the issue. This empathetic approach helped create a supportive interaction, making Dan feel heard and valued.</t>
  </si>
  <si>
    <t>Professionalism was maintained throughout the conversation. The agent greeted Dan warmly, clearly explained the process, and listened attentively to Dan's concerns. They provided relevant information and guidance in a calm and respectful manner, ensuring that Dan felt supported. The agent also confirmed key details like Dan's serial number and email address accurately, which reflects attention to detail. Overall, the agent's demeanor and communication style demonstrated a high level of professionalism throughout the interaction.</t>
  </si>
  <si>
    <t>The communication style was adapted to the customer. The agent listened carefully to Dan's concerns and frustrations about the router installation and responded with clear, straightforward instructions. They avoided technical jargon and focused on what Dan needed to do next, acknowledging his preference to maintain his existing network settings. Additionally, the agent offered to email instructions, which suited Dan's request for assistance without overwhelming him in the moment. This adaptability helped ensure that the conversation was effective and tailored to Dan's needs.</t>
  </si>
  <si>
    <t>Partial Resolution</t>
  </si>
  <si>
    <t>Customer educated with actionable next steps</t>
  </si>
  <si>
    <t>The agent provided clear guidance on registering the router and informed Dan about the importance of having the receipt for warranty purposes. They also explained how to access the setup via the web interface and assured Dan that he could keep his existing network name and password. By agreeing to send email instructions for the setup, the agent ensured Dan had a concrete plan to follow when he attempted the installation again. This clear communication empowered Dan with the knowledge he needed to proceed effectively.</t>
  </si>
  <si>
    <t>All necessary info were recorded</t>
  </si>
  <si>
    <t>No further action from the L1 agent.</t>
  </si>
  <si>
    <t>Progress Builder</t>
  </si>
  <si>
    <t>The overall outcome of the call was positive for the customer, Dan. He received the assistance he needed regarding the installation of his new Linksys Micro Router Pro 6. The agent addressed Dan's frustrations, provided clear guidance on the setup process, and confirmed that he could retain his existing network name and password. By agreeing to send detailed setup instructions via email, the agent equipped Dan with actionable next steps to try again later. Dan felt supported and informed, leading to a satisfactory resolution of his immediate concerns and a clear plan for moving forward.</t>
  </si>
  <si>
    <t>The incident highlights an opportunity for improvement in the support process. Ensuring that cases remain open until resolution is reached would enhance accountability, improve customer experience, and prevent confusion during follow-ups.</t>
  </si>
  <si>
    <t>Regression Contributor</t>
  </si>
  <si>
    <t>2 of 2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</si>
</sst>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7" x14ac:knownFonts="1">
    <font>
      <sz val="11"/>
      <color theme="1"/>
      <name val="Calibri"/>
      <family val="2"/>
      <scheme val="minor"/>
    </font>
    <font>
      <b/>
      <sz val="16"/>
      <color rgb="FFFFFFFF"/>
      <name val="Calibri"/>
      <family val="2"/>
    </font>
    <font>
      <i/>
      <sz val="10"/>
      <color rgb="FFFFFFFF"/>
      <name val="Calibri"/>
      <family val="2"/>
    </font>
    <font>
      <b/>
      <sz val="11"/>
      <color rgb="FFFFFFFF"/>
      <name val="Calibri"/>
      <family val="2"/>
    </font>
    <font>
      <b/>
      <sz val="11"/>
      <color rgb="FF1F3864"/>
      <name val="Calibri"/>
      <family val="2"/>
    </font>
    <font>
      <sz val="11"/>
      <color rgb="FF000000"/>
      <name val="Calibri"/>
      <family val="2"/>
    </font>
    <font>
      <i/>
      <sz val="11"/>
      <color rgb="FF1F3864"/>
      <name val="Calibri"/>
      <family val="2"/>
    </font>
    <font>
      <b/>
      <sz val="11"/>
      <color rgb="FF000000"/>
      <name val="Calibri"/>
      <family val="2"/>
    </font>
    <font>
      <i/>
      <sz val="9"/>
      <color rgb="FF595959"/>
      <name val="Calibri"/>
      <family val="2"/>
    </font>
    <font>
      <b/>
      <sz val="12"/>
      <color rgb="FF000000"/>
      <name val="Calibri"/>
      <family val="2"/>
    </font>
    <font>
      <i/>
      <sz val="11"/>
      <color rgb="FF595959"/>
      <name val="Calibri"/>
      <family val="2"/>
    </font>
    <font>
      <b/>
      <sz val="13"/>
      <color rgb="FFFFFFFF"/>
      <name val="Calibri"/>
      <family val="2"/>
    </font>
    <font>
      <b/>
      <sz val="11"/>
      <color rgb="FF006100"/>
      <name val="Calibri"/>
      <family val="2"/>
    </font>
    <font>
      <sz val="11"/>
      <color rgb="FF006100"/>
      <name val="Calibri"/>
      <family val="2"/>
    </font>
    <font>
      <b/>
      <sz val="11"/>
      <color rgb="FF9C6500"/>
      <name val="Calibri"/>
      <family val="2"/>
    </font>
    <font>
      <sz val="11"/>
      <color rgb="FF9C6500"/>
      <name val="Calibri"/>
      <family val="2"/>
    </font>
    <font>
      <b/>
      <sz val="11"/>
      <color rgb="FF9C0006"/>
      <name val="Calibri"/>
      <family val="2"/>
    </font>
    <font>
      <sz val="11"/>
      <color rgb="FF9C0006"/>
      <name val="Calibri"/>
      <family val="2"/>
    </font>
    <font>
      <b/>
      <sz val="12"/>
      <color rgb="FFFFFFFF"/>
      <name val="Calibri"/>
      <family val="2"/>
    </font>
    <font>
      <i/>
      <sz val="11"/>
      <color rgb="FFFFFFFF"/>
      <name val="Calibri"/>
      <family val="2"/>
    </font>
    <font>
      <b/>
      <sz val="11"/>
      <color rgb="FF595959"/>
      <name val="Calibri"/>
      <family val="2"/>
    </font>
    <font>
      <b/>
      <sz val="48"/>
      <color rgb="FF9C0006"/>
      <name val="Calibri"/>
      <family val="2"/>
    </font>
    <font>
      <b/>
      <sz val="22"/>
      <color rgb="FF9C0006"/>
      <name val="Calibri"/>
      <family val="2"/>
    </font>
    <font>
      <b/>
      <sz val="16"/>
      <color rgb="FF9C0006"/>
      <name val="Calibri"/>
      <family val="2"/>
    </font>
    <font>
      <b/>
      <sz val="10"/>
      <color rgb="FFFFFFFF"/>
      <name val="Calibri"/>
      <family val="2"/>
    </font>
    <font>
      <b/>
      <sz val="13"/>
      <color rgb="FF1F3864"/>
      <name val="Calibri"/>
      <family val="2"/>
    </font>
    <font>
      <i/>
      <sz val="11"/>
      <color rgb="FF1F3864"/>
      <name val="Calibri"/>
      <family val="2"/>
    </font>
  </fonts>
  <fills count="13">
    <fill>
      <patternFill patternType="none"/>
    </fill>
    <fill>
      <patternFill patternType="gray125"/>
    </fill>
    <fill>
      <patternFill patternType="solid">
        <fgColor rgb="FF1F3864"/>
      </patternFill>
    </fill>
    <fill>
      <patternFill patternType="solid">
        <fgColor rgb="FF2E5496"/>
      </patternFill>
    </fill>
    <fill>
      <patternFill patternType="solid">
        <fgColor rgb="FFD9E1F2"/>
      </patternFill>
    </fill>
    <fill>
      <patternFill patternType="solid">
        <fgColor rgb="FFFFF2CC"/>
      </patternFill>
    </fill>
    <fill>
      <patternFill patternType="solid">
        <fgColor rgb="FFEAF0FB"/>
      </patternFill>
    </fill>
    <fill>
      <patternFill patternType="solid">
        <fgColor rgb="FFFFFFFF"/>
      </patternFill>
    </fill>
    <fill>
      <patternFill patternType="solid">
        <fgColor rgb="FFF2F2F2"/>
      </patternFill>
    </fill>
    <fill>
      <patternFill patternType="solid">
        <fgColor rgb="FFC00000"/>
      </patternFill>
    </fill>
    <fill>
      <patternFill patternType="solid">
        <fgColor rgb="FFC6EFCE"/>
      </patternFill>
    </fill>
    <fill>
      <patternFill patternType="solid">
        <fgColor rgb="FFFFEB9C"/>
      </patternFill>
    </fill>
    <fill>
      <patternFill patternType="solid">
        <fgColor rgb="FFFFC7CE"/>
      </patternFill>
    </fill>
  </fills>
  <borders count="11">
    <border>
      <left/>
      <right/>
      <top/>
      <bottom/>
      <diagonal/>
    </border>
    <border>
      <left style="medium">
        <color rgb="FF808080"/>
      </left>
      <right style="medium">
        <color rgb="FF808080"/>
      </right>
      <top style="medium">
        <color rgb="FF808080"/>
      </top>
      <bottom style="medium">
        <color rgb="FF808080"/>
      </bottom>
      <diagonal/>
    </border>
    <border>
      <left style="thin">
        <color rgb="FFBFBFBF"/>
      </left>
      <right style="thin">
        <color rgb="FFBFBFBF"/>
      </right>
      <top style="thin">
        <color rgb="FFBFBFBF"/>
      </top>
      <bottom style="thin">
        <color rgb="FFBFBFBF"/>
      </bottom>
      <diagonal/>
    </border>
    <border>
      <left/>
      <right/>
      <top style="medium">
        <color rgb="FF808080"/>
      </top>
      <bottom style="medium">
        <color rgb="FF808080"/>
      </bottom>
      <diagonal/>
    </border>
    <border>
      <left/>
      <right style="medium">
        <color rgb="FF808080"/>
      </right>
      <top style="medium">
        <color rgb="FF808080"/>
      </top>
      <bottom style="medium">
        <color rgb="FF808080"/>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ck">
        <color rgb="FF1F3864"/>
      </left>
      <right style="thick">
        <color rgb="FF1F3864"/>
      </right>
      <top style="thick">
        <color rgb="FF1F3864"/>
      </top>
      <bottom style="thick">
        <color rgb="FF1F3864"/>
      </bottom>
      <diagonal/>
    </border>
    <border>
      <left/>
      <right/>
      <top style="thick">
        <color rgb="FF1F3864"/>
      </top>
      <bottom style="thick">
        <color rgb="FF1F3864"/>
      </bottom>
      <diagonal/>
    </border>
    <border>
      <left/>
      <right style="thick">
        <color rgb="FF1F3864"/>
      </right>
      <top style="thick">
        <color rgb="FF1F3864"/>
      </top>
      <bottom style="thick">
        <color rgb="FF1F3864"/>
      </bottom>
      <diagonal/>
    </border>
    <border>
      <left style="thin">
        <color rgb="FFBFBFBF"/>
      </left>
      <right/>
      <top style="thin">
        <color rgb="FFBFBFBF"/>
      </top>
      <bottom style="thin">
        <color rgb="FFBFBFBF"/>
      </bottom>
      <diagonal/>
    </border>
  </borders>
  <cellStyleXfs count="1">
    <xf numFmtId="0" fontId="0" fillId="0" borderId="0"/>
  </cellStyleXfs>
  <cellXfs count="126">
    <xf numFmtId="0" fontId="0" fillId="0" borderId="0" xfId="0"/>
    <xf numFmtId="0" fontId="3" fillId="3" borderId="1" xfId="0" applyFont="1" applyFill="1" applyBorder="1" applyAlignment="1">
      <alignment horizontal="left" vertical="center"/>
    </xf>
    <xf numFmtId="0" fontId="4" fillId="4" borderId="2" xfId="0" applyFont="1" applyFill="1" applyBorder="1" applyAlignment="1">
      <alignment horizontal="left" vertical="center"/>
    </xf>
    <xf numFmtId="0" fontId="5" fillId="5" borderId="2" xfId="0" applyFont="1" applyFill="1" applyBorder="1" applyAlignment="1">
      <alignment horizontal="left" vertical="center"/>
    </xf>
    <xf numFmtId="0" fontId="4" fillId="4" borderId="2" xfId="0" applyFont="1" applyFill="1" applyBorder="1" applyAlignment="1">
      <alignment horizontal="left" vertical="center" wrapText="1"/>
    </xf>
    <xf numFmtId="0" fontId="3" fillId="2" borderId="1" xfId="0" applyFont="1" applyFill="1" applyBorder="1" applyAlignment="1">
      <alignment horizontal="left" vertical="center"/>
    </xf>
    <xf numFmtId="0" fontId="3" fillId="3" borderId="1" xfId="0" applyFont="1" applyFill="1" applyBorder="1" applyAlignment="1">
      <alignment horizontal="right" vertical="center"/>
    </xf>
    <xf numFmtId="0" fontId="4" fillId="4" borderId="2" xfId="0" applyFont="1" applyFill="1" applyBorder="1" applyAlignment="1">
      <alignment horizontal="center" vertical="center"/>
    </xf>
    <xf numFmtId="0" fontId="5" fillId="7" borderId="2" xfId="0" applyFont="1" applyFill="1" applyBorder="1" applyAlignment="1">
      <alignment horizontal="left" vertical="center" wrapText="1"/>
    </xf>
    <xf numFmtId="0" fontId="7" fillId="5" borderId="2" xfId="0" applyFont="1" applyFill="1" applyBorder="1" applyAlignment="1">
      <alignment horizontal="center" vertical="center"/>
    </xf>
    <xf numFmtId="0" fontId="5" fillId="8" borderId="2" xfId="0" applyFont="1" applyFill="1" applyBorder="1" applyAlignment="1">
      <alignment horizontal="left" vertical="center" wrapText="1"/>
    </xf>
    <xf numFmtId="0" fontId="8" fillId="6" borderId="2" xfId="0" applyFont="1" applyFill="1" applyBorder="1" applyAlignment="1">
      <alignment horizontal="right" vertical="center" wrapText="1"/>
    </xf>
    <xf numFmtId="164" fontId="6" fillId="6" borderId="2" xfId="0" applyNumberFormat="1" applyFont="1" applyFill="1" applyBorder="1" applyAlignment="1">
      <alignment horizontal="center" vertical="center"/>
    </xf>
    <xf numFmtId="0" fontId="4" fillId="4" borderId="2" xfId="0" applyFont="1" applyFill="1" applyBorder="1" applyAlignment="1">
      <alignment horizontal="right" vertical="center"/>
    </xf>
    <xf numFmtId="0" fontId="9" fillId="5" borderId="2" xfId="0" applyFont="1" applyFill="1" applyBorder="1" applyAlignment="1">
      <alignment horizontal="center" vertical="center"/>
    </xf>
    <xf numFmtId="0" fontId="3" fillId="3" borderId="1" xfId="0" applyFont="1" applyFill="1" applyBorder="1" applyAlignment="1">
      <alignment horizontal="center" vertical="center"/>
    </xf>
    <xf numFmtId="0" fontId="5" fillId="7" borderId="2" xfId="0" applyFont="1" applyFill="1" applyBorder="1" applyAlignment="1">
      <alignment horizontal="left" vertical="center"/>
    </xf>
    <xf numFmtId="9" fontId="4" fillId="7" borderId="2" xfId="0" applyNumberFormat="1" applyFont="1" applyFill="1" applyBorder="1" applyAlignment="1">
      <alignment horizontal="center" vertical="center"/>
    </xf>
    <xf numFmtId="0" fontId="7" fillId="7" borderId="2" xfId="0" applyFont="1" applyFill="1" applyBorder="1" applyAlignment="1">
      <alignment horizontal="center" vertical="center"/>
    </xf>
    <xf numFmtId="165" fontId="5" fillId="7" borderId="2" xfId="0" applyNumberFormat="1" applyFont="1" applyFill="1" applyBorder="1" applyAlignment="1">
      <alignment horizontal="center" vertical="center"/>
    </xf>
    <xf numFmtId="0" fontId="5" fillId="7" borderId="2" xfId="0" applyFont="1" applyFill="1" applyBorder="1" applyAlignment="1">
      <alignment horizontal="center" vertical="center"/>
    </xf>
    <xf numFmtId="0" fontId="5" fillId="8" borderId="2" xfId="0" applyFont="1" applyFill="1" applyBorder="1" applyAlignment="1">
      <alignment horizontal="left" vertical="center"/>
    </xf>
    <xf numFmtId="9" fontId="4" fillId="8" borderId="2" xfId="0" applyNumberFormat="1" applyFont="1" applyFill="1" applyBorder="1" applyAlignment="1">
      <alignment horizontal="center" vertical="center"/>
    </xf>
    <xf numFmtId="0" fontId="7" fillId="8" borderId="2" xfId="0" applyFont="1" applyFill="1" applyBorder="1" applyAlignment="1">
      <alignment horizontal="center" vertical="center"/>
    </xf>
    <xf numFmtId="165" fontId="5" fillId="8" borderId="2" xfId="0" applyNumberFormat="1" applyFont="1" applyFill="1" applyBorder="1" applyAlignment="1">
      <alignment horizontal="center" vertical="center"/>
    </xf>
    <xf numFmtId="0" fontId="5" fillId="8" borderId="2" xfId="0" applyFont="1" applyFill="1" applyBorder="1" applyAlignment="1">
      <alignment horizontal="center" vertical="center"/>
    </xf>
    <xf numFmtId="9" fontId="3" fillId="2" borderId="1" xfId="0" applyNumberFormat="1" applyFont="1" applyFill="1" applyBorder="1" applyAlignment="1">
      <alignment horizontal="center" vertical="center"/>
    </xf>
    <xf numFmtId="0" fontId="0" fillId="2" borderId="1" xfId="0" applyFill="1" applyBorder="1"/>
    <xf numFmtId="165" fontId="11" fillId="2"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0" fontId="3" fillId="9" borderId="1" xfId="0" applyFont="1" applyFill="1" applyBorder="1" applyAlignment="1">
      <alignment horizontal="left" vertical="center"/>
    </xf>
    <xf numFmtId="0" fontId="4" fillId="7" borderId="2" xfId="0" applyFont="1" applyFill="1" applyBorder="1" applyAlignment="1">
      <alignment horizontal="center" vertical="center"/>
    </xf>
    <xf numFmtId="0" fontId="4" fillId="8" borderId="2" xfId="0" applyFont="1" applyFill="1" applyBorder="1" applyAlignment="1">
      <alignment horizontal="center" vertical="center"/>
    </xf>
    <xf numFmtId="0" fontId="4" fillId="7" borderId="2" xfId="0" applyFont="1" applyFill="1" applyBorder="1" applyAlignment="1">
      <alignment horizontal="left" vertical="center" wrapText="1"/>
    </xf>
    <xf numFmtId="0" fontId="4" fillId="6" borderId="2" xfId="0" applyFont="1" applyFill="1" applyBorder="1" applyAlignment="1">
      <alignment horizontal="left" vertical="center" wrapText="1"/>
    </xf>
    <xf numFmtId="0" fontId="5" fillId="6" borderId="2" xfId="0" applyFont="1" applyFill="1" applyBorder="1" applyAlignment="1">
      <alignment horizontal="left" vertical="center" wrapText="1"/>
    </xf>
    <xf numFmtId="0" fontId="12" fillId="10" borderId="2" xfId="0" applyFont="1" applyFill="1" applyBorder="1" applyAlignment="1">
      <alignment horizontal="center" vertical="center"/>
    </xf>
    <xf numFmtId="0" fontId="14" fillId="11" borderId="2" xfId="0" applyFont="1" applyFill="1" applyBorder="1" applyAlignment="1">
      <alignment horizontal="center" vertical="center"/>
    </xf>
    <xf numFmtId="0" fontId="16" fillId="12" borderId="2" xfId="0" applyFont="1" applyFill="1" applyBorder="1" applyAlignment="1">
      <alignment horizontal="center" vertical="center"/>
    </xf>
    <xf numFmtId="0" fontId="16" fillId="7" borderId="2" xfId="0" applyFont="1" applyFill="1" applyBorder="1" applyAlignment="1">
      <alignment horizontal="left" vertical="center" wrapText="1"/>
    </xf>
    <xf numFmtId="0" fontId="16" fillId="8" borderId="2" xfId="0" applyFont="1" applyFill="1" applyBorder="1" applyAlignment="1">
      <alignment horizontal="left" vertical="center" wrapText="1"/>
    </xf>
    <xf numFmtId="0" fontId="12" fillId="7" borderId="2" xfId="0" applyFont="1" applyFill="1" applyBorder="1" applyAlignment="1">
      <alignment horizontal="left" vertical="center" wrapText="1"/>
    </xf>
    <xf numFmtId="0" fontId="12" fillId="6" borderId="2"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5" fillId="5" borderId="2" xfId="0" applyFont="1" applyFill="1" applyBorder="1" applyAlignment="1">
      <alignment horizontal="center" vertical="center"/>
    </xf>
    <xf numFmtId="165" fontId="7" fillId="7" borderId="2" xfId="0" applyNumberFormat="1" applyFont="1" applyFill="1" applyBorder="1" applyAlignment="1">
      <alignment horizontal="center" vertical="center"/>
    </xf>
    <xf numFmtId="165" fontId="7" fillId="8" borderId="2" xfId="0" applyNumberFormat="1" applyFont="1" applyFill="1" applyBorder="1" applyAlignment="1">
      <alignment horizontal="center" vertical="center"/>
    </xf>
    <xf numFmtId="164" fontId="3" fillId="2" borderId="1" xfId="0" applyNumberFormat="1" applyFont="1" applyFill="1" applyBorder="1" applyAlignment="1">
      <alignment horizontal="center" vertical="center"/>
    </xf>
    <xf numFmtId="165" fontId="18" fillId="2" borderId="1" xfId="0" applyNumberFormat="1" applyFont="1" applyFill="1" applyBorder="1" applyAlignment="1">
      <alignment horizontal="center" vertical="center"/>
    </xf>
    <xf numFmtId="0" fontId="19" fillId="2" borderId="1" xfId="0" applyFont="1" applyFill="1" applyBorder="1" applyAlignment="1">
      <alignment horizontal="left" vertical="center"/>
    </xf>
    <xf numFmtId="0" fontId="4" fillId="6" borderId="2" xfId="0" applyFont="1" applyFill="1" applyBorder="1" applyAlignment="1">
      <alignment horizontal="left" vertical="center"/>
    </xf>
    <xf numFmtId="165" fontId="9" fillId="8" borderId="2" xfId="0" applyNumberFormat="1" applyFont="1" applyFill="1" applyBorder="1" applyAlignment="1">
      <alignment horizontal="center" vertical="center"/>
    </xf>
    <xf numFmtId="165" fontId="9" fillId="7" borderId="2" xfId="0" applyNumberFormat="1" applyFont="1" applyFill="1" applyBorder="1" applyAlignment="1">
      <alignment horizontal="center" vertical="center"/>
    </xf>
    <xf numFmtId="0" fontId="4" fillId="7" borderId="2" xfId="0" applyFont="1" applyFill="1" applyBorder="1" applyAlignment="1">
      <alignment horizontal="left" vertical="top" wrapText="1"/>
    </xf>
    <xf numFmtId="0" fontId="5" fillId="7" borderId="2" xfId="0" applyFont="1" applyFill="1" applyBorder="1" applyAlignment="1">
      <alignment horizontal="left" vertical="top" wrapText="1"/>
    </xf>
    <xf numFmtId="0" fontId="4" fillId="8" borderId="2" xfId="0" applyFont="1" applyFill="1" applyBorder="1" applyAlignment="1">
      <alignment horizontal="left" vertical="top" wrapText="1"/>
    </xf>
    <xf numFmtId="0" fontId="5" fillId="8" borderId="2" xfId="0" applyFont="1" applyFill="1" applyBorder="1" applyAlignment="1">
      <alignment horizontal="left" vertical="top" wrapText="1"/>
    </xf>
    <xf numFmtId="0" fontId="4" fillId="7" borderId="2" xfId="0" applyFont="1" applyFill="1" applyBorder="1" applyAlignment="1">
      <alignment horizontal="left" vertical="top"/>
    </xf>
    <xf numFmtId="0" fontId="4" fillId="8" borderId="2" xfId="0" applyFont="1" applyFill="1" applyBorder="1" applyAlignment="1">
      <alignment horizontal="left" vertical="top"/>
    </xf>
    <xf numFmtId="0" fontId="20" fillId="7" borderId="7" xfId="0" applyFont="1" applyFill="1" applyBorder="1" applyAlignment="1">
      <alignment horizontal="center" vertical="top"/>
    </xf>
    <xf numFmtId="9" fontId="21" fillId="7" borderId="7" xfId="0" applyNumberFormat="1" applyFont="1" applyFill="1" applyBorder="1" applyAlignment="1">
      <alignment horizontal="center" vertical="center"/>
    </xf>
    <xf numFmtId="0" fontId="22" fillId="7" borderId="7" xfId="0" applyFont="1" applyFill="1" applyBorder="1" applyAlignment="1">
      <alignment horizontal="center" vertical="center"/>
    </xf>
    <xf numFmtId="0" fontId="23" fillId="7" borderId="7" xfId="0" applyFont="1" applyFill="1" applyBorder="1" applyAlignment="1">
      <alignment horizontal="center" vertical="center" wrapText="1"/>
    </xf>
    <xf numFmtId="0" fontId="24" fillId="3" borderId="7" xfId="0" applyFont="1" applyFill="1" applyBorder="1" applyAlignment="1">
      <alignment horizontal="center" vertical="center" wrapText="1"/>
    </xf>
    <xf numFmtId="0" fontId="25" fillId="6" borderId="7" xfId="0" applyFont="1" applyFill="1" applyBorder="1" applyAlignment="1">
      <alignment horizontal="center" vertical="center" wrapText="1"/>
    </xf>
    <xf numFmtId="0" fontId="25" fillId="6" borderId="7" xfId="0" applyFont="1" applyFill="1" applyBorder="1" applyAlignment="1">
      <alignment horizontal="center" vertical="center"/>
    </xf>
    <xf numFmtId="2" fontId="9" fillId="7" borderId="2" xfId="0" applyNumberFormat="1" applyFont="1" applyFill="1" applyBorder="1" applyAlignment="1">
      <alignment horizontal="center" vertical="center"/>
    </xf>
    <xf numFmtId="2" fontId="9" fillId="8" borderId="2" xfId="0" applyNumberFormat="1" applyFont="1" applyFill="1" applyBorder="1" applyAlignment="1">
      <alignment horizontal="center" vertical="center"/>
    </xf>
    <xf numFmtId="0" fontId="3" fillId="3" borderId="2" xfId="0" applyFont="1" applyFill="1" applyBorder="1" applyAlignment="1">
      <alignment horizontal="left" vertical="center" wrapText="1"/>
    </xf>
    <xf numFmtId="0" fontId="3" fillId="3" borderId="2" xfId="0" applyFont="1" applyFill="1" applyBorder="1" applyAlignment="1">
      <alignment horizontal="center" vertical="center" wrapText="1"/>
    </xf>
    <xf numFmtId="14" fontId="5" fillId="5" borderId="2" xfId="0" applyNumberFormat="1" applyFont="1" applyFill="1" applyBorder="1" applyAlignment="1">
      <alignment horizontal="center" vertical="center"/>
    </xf>
    <xf numFmtId="0" fontId="8" fillId="7" borderId="2" xfId="0" applyFont="1" applyFill="1" applyBorder="1" applyAlignment="1">
      <alignment horizontal="left" vertical="center" wrapText="1"/>
    </xf>
    <xf numFmtId="0" fontId="0" fillId="0" borderId="5" xfId="0" applyBorder="1"/>
    <xf numFmtId="0" fontId="0" fillId="0" borderId="6" xfId="0" applyBorder="1"/>
    <xf numFmtId="0" fontId="18" fillId="9" borderId="1" xfId="0" applyFont="1" applyFill="1" applyBorder="1" applyAlignment="1">
      <alignment horizontal="center" vertical="center"/>
    </xf>
    <xf numFmtId="0" fontId="0" fillId="0" borderId="3" xfId="0" applyBorder="1"/>
    <xf numFmtId="0" fontId="0" fillId="0" borderId="4" xfId="0" applyBorder="1"/>
    <xf numFmtId="0" fontId="3" fillId="2" borderId="1" xfId="0" applyFont="1" applyFill="1" applyBorder="1" applyAlignment="1">
      <alignment horizontal="left" vertical="center"/>
    </xf>
    <xf numFmtId="0" fontId="5" fillId="5" borderId="2" xfId="0" applyFont="1" applyFill="1" applyBorder="1" applyAlignment="1">
      <alignment horizontal="left" vertical="center" wrapText="1"/>
    </xf>
    <xf numFmtId="0" fontId="5" fillId="5" borderId="2" xfId="0" applyFont="1" applyFill="1" applyBorder="1" applyAlignment="1">
      <alignment horizontal="left" vertical="center"/>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1" fillId="2" borderId="1" xfId="0" applyFont="1" applyFill="1" applyBorder="1" applyAlignment="1">
      <alignment horizontal="center" vertical="center"/>
    </xf>
    <xf numFmtId="0" fontId="4" fillId="8" borderId="2" xfId="0" applyFont="1" applyFill="1" applyBorder="1" applyAlignment="1">
      <alignment horizontal="left" vertical="center" wrapText="1"/>
    </xf>
    <xf numFmtId="0" fontId="6" fillId="6" borderId="1" xfId="0" applyFont="1" applyFill="1" applyBorder="1" applyAlignment="1">
      <alignment horizontal="left" vertical="center" wrapText="1"/>
    </xf>
    <xf numFmtId="0" fontId="11" fillId="2" borderId="1" xfId="0" applyFont="1" applyFill="1" applyBorder="1" applyAlignment="1">
      <alignment horizontal="center" vertical="center"/>
    </xf>
    <xf numFmtId="0" fontId="5" fillId="8" borderId="2" xfId="0" applyFont="1" applyFill="1" applyBorder="1" applyAlignment="1">
      <alignment horizontal="left" vertical="center" wrapText="1"/>
    </xf>
    <xf numFmtId="0" fontId="2" fillId="3" borderId="1" xfId="0" applyFont="1" applyFill="1" applyBorder="1" applyAlignment="1">
      <alignment horizontal="left" vertical="center"/>
    </xf>
    <xf numFmtId="0" fontId="1" fillId="2" borderId="1" xfId="0" applyFont="1" applyFill="1" applyBorder="1" applyAlignment="1">
      <alignment horizontal="center" vertical="top"/>
    </xf>
    <xf numFmtId="0" fontId="3" fillId="9" borderId="1" xfId="0" applyFont="1" applyFill="1" applyBorder="1" applyAlignment="1">
      <alignment horizontal="left" vertical="top"/>
    </xf>
    <xf numFmtId="0" fontId="3" fillId="3" borderId="1" xfId="0" applyFont="1" applyFill="1" applyBorder="1" applyAlignment="1">
      <alignment horizontal="left" vertical="top"/>
    </xf>
    <xf numFmtId="0" fontId="5" fillId="8" borderId="2" xfId="0" applyFont="1" applyFill="1" applyBorder="1" applyAlignment="1">
      <alignment horizontal="left" vertical="top" wrapText="1"/>
    </xf>
    <xf numFmtId="0" fontId="5" fillId="7" borderId="2" xfId="0" applyFont="1" applyFill="1" applyBorder="1" applyAlignment="1">
      <alignment horizontal="left" vertical="top" wrapText="1"/>
    </xf>
    <xf numFmtId="0" fontId="2" fillId="2" borderId="1" xfId="0" applyFont="1" applyFill="1" applyBorder="1" applyAlignment="1">
      <alignment horizontal="center" vertical="top" wrapText="1"/>
    </xf>
    <xf numFmtId="0" fontId="6" fillId="6" borderId="1" xfId="0" applyFont="1" applyFill="1" applyBorder="1" applyAlignment="1">
      <alignment horizontal="left" vertical="top" wrapText="1"/>
    </xf>
    <xf numFmtId="0" fontId="5" fillId="7" borderId="2" xfId="0" applyFont="1" applyFill="1" applyBorder="1" applyAlignment="1">
      <alignment horizontal="left" vertical="center" wrapText="1"/>
    </xf>
    <xf numFmtId="0" fontId="0" fillId="6" borderId="2" xfId="0" applyFill="1" applyBorder="1"/>
    <xf numFmtId="0" fontId="6" fillId="6" borderId="2" xfId="0" applyFont="1" applyFill="1" applyBorder="1" applyAlignment="1">
      <alignment horizontal="left" vertical="center" wrapText="1"/>
    </xf>
    <xf numFmtId="0" fontId="4" fillId="4" borderId="2" xfId="0" applyFont="1" applyFill="1" applyBorder="1" applyAlignment="1">
      <alignment horizontal="left" vertical="center"/>
    </xf>
    <xf numFmtId="0" fontId="4" fillId="4" borderId="2" xfId="0" applyFont="1" applyFill="1" applyBorder="1" applyAlignment="1">
      <alignment horizontal="left" vertical="center" wrapText="1"/>
    </xf>
    <xf numFmtId="0" fontId="3" fillId="3" borderId="1" xfId="0" applyFont="1" applyFill="1" applyBorder="1" applyAlignment="1">
      <alignment horizontal="left" vertical="center" wrapText="1"/>
    </xf>
    <xf numFmtId="0" fontId="10" fillId="6" borderId="2" xfId="0" applyFont="1" applyFill="1" applyBorder="1" applyAlignment="1">
      <alignment horizontal="left" vertical="center" wrapText="1"/>
    </xf>
    <xf numFmtId="0" fontId="3" fillId="9" borderId="1" xfId="0" applyFont="1" applyFill="1" applyBorder="1" applyAlignment="1">
      <alignment horizontal="left" vertical="center"/>
    </xf>
    <xf numFmtId="0" fontId="7" fillId="8" borderId="1" xfId="0" applyFont="1" applyFill="1" applyBorder="1" applyAlignment="1">
      <alignment horizontal="left" vertical="center"/>
    </xf>
    <xf numFmtId="0" fontId="7" fillId="5" borderId="2" xfId="0" applyFont="1" applyFill="1" applyBorder="1" applyAlignment="1">
      <alignment horizontal="left" vertical="center"/>
    </xf>
    <xf numFmtId="0" fontId="2" fillId="2" borderId="1" xfId="0" applyFont="1" applyFill="1" applyBorder="1" applyAlignment="1">
      <alignment horizontal="center" vertical="center"/>
    </xf>
    <xf numFmtId="0" fontId="7" fillId="8" borderId="2" xfId="0" applyFont="1" applyFill="1" applyBorder="1" applyAlignment="1">
      <alignment horizontal="left" vertical="center" wrapText="1"/>
    </xf>
    <xf numFmtId="0" fontId="5" fillId="6" borderId="2" xfId="0" applyFont="1" applyFill="1" applyBorder="1" applyAlignment="1">
      <alignment horizontal="left" vertical="center" wrapText="1"/>
    </xf>
    <xf numFmtId="0" fontId="13" fillId="10" borderId="2" xfId="0" applyFont="1" applyFill="1" applyBorder="1" applyAlignment="1">
      <alignment horizontal="left" vertical="center" wrapText="1"/>
    </xf>
    <xf numFmtId="0" fontId="6" fillId="8" borderId="1" xfId="0" applyFont="1" applyFill="1" applyBorder="1" applyAlignment="1">
      <alignment horizontal="left" vertical="center" wrapText="1"/>
    </xf>
    <xf numFmtId="0" fontId="17" fillId="12" borderId="2" xfId="0" applyFont="1" applyFill="1" applyBorder="1" applyAlignment="1">
      <alignment horizontal="left" vertical="center" wrapText="1"/>
    </xf>
    <xf numFmtId="0" fontId="15" fillId="11" borderId="2" xfId="0" applyFont="1" applyFill="1" applyBorder="1" applyAlignment="1">
      <alignment horizontal="left" vertical="center" wrapText="1"/>
    </xf>
    <xf numFmtId="0" fontId="6" fillId="8" borderId="2" xfId="0" applyFont="1" applyFill="1" applyBorder="1" applyAlignment="1">
      <alignment horizontal="left" vertical="center" wrapText="1"/>
    </xf>
    <xf numFmtId="0" fontId="4" fillId="6" borderId="1" xfId="0" applyFont="1" applyFill="1" applyBorder="1" applyAlignment="1">
      <alignment horizontal="left" vertical="center" wrapText="1"/>
    </xf>
    <xf numFmtId="0" fontId="26" fillId="7" borderId="7" xfId="0" applyFont="1" applyFill="1" applyBorder="1" applyAlignment="1">
      <alignment horizontal="center" vertical="center" wrapText="1"/>
    </xf>
    <xf numFmtId="0" fontId="0" fillId="0" borderId="8" xfId="0" applyBorder="1"/>
    <xf numFmtId="0" fontId="0" fillId="0" borderId="9" xfId="0" applyBorder="1"/>
    <xf numFmtId="0" fontId="8" fillId="8" borderId="2" xfId="0" applyFont="1" applyFill="1" applyBorder="1" applyAlignment="1">
      <alignment horizontal="center" vertical="center" wrapText="1"/>
    </xf>
    <xf numFmtId="0" fontId="6" fillId="6" borderId="2" xfId="0" applyFont="1" applyFill="1" applyBorder="1" applyAlignment="1">
      <alignment horizontal="left" vertical="top" wrapText="1"/>
    </xf>
    <xf numFmtId="0" fontId="2" fillId="2" borderId="1" xfId="0" applyFont="1" applyFill="1" applyBorder="1" applyAlignment="1">
      <alignment horizontal="center" vertical="center" wrapText="1"/>
    </xf>
    <xf numFmtId="0" fontId="18" fillId="2" borderId="7" xfId="0" applyFont="1" applyFill="1" applyBorder="1" applyAlignment="1">
      <alignment horizontal="center" vertical="center"/>
    </xf>
    <xf numFmtId="0" fontId="16" fillId="12" borderId="1" xfId="0" applyFont="1" applyFill="1" applyBorder="1" applyAlignment="1">
      <alignment horizontal="left" vertical="center" wrapText="1"/>
    </xf>
    <xf numFmtId="14" fontId="5" fillId="5" borderId="2" xfId="0" applyNumberFormat="1" applyFont="1" applyFill="1" applyBorder="1" applyAlignment="1">
      <alignment horizontal="left" vertical="center"/>
    </xf>
    <xf numFmtId="0" fontId="5" fillId="7" borderId="10" xfId="0" applyFont="1" applyFill="1" applyBorder="1" applyAlignment="1">
      <alignment horizontal="left" vertical="center" wrapText="1"/>
    </xf>
    <xf numFmtId="0" fontId="5" fillId="7" borderId="5" xfId="0" applyFont="1" applyFill="1" applyBorder="1" applyAlignment="1">
      <alignment horizontal="left" vertical="center" wrapText="1"/>
    </xf>
    <xf numFmtId="0" fontId="5" fillId="7" borderId="6" xfId="0" applyFont="1" applyFill="1" applyBorder="1" applyAlignment="1">
      <alignment horizontal="left" vertical="center" wrapText="1"/>
    </xf>
  </cellXfs>
  <cellStyles count="1">
    <cellStyle name="Normal" xfId="0" builtinId="0"/>
  </cellStyles>
  <dxfs count="197">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9C0006"/>
      </font>
      <fill>
        <patternFill patternType="solid">
          <fgColor rgb="FFFFC7CE"/>
        </patternFill>
      </fill>
    </dxf>
    <dxf>
      <font>
        <b/>
        <color rgb="FF1F3864"/>
      </font>
      <fill>
        <patternFill patternType="solid">
          <fgColor rgb="FFD9E1F2"/>
        </patternFill>
      </fill>
    </dxf>
    <dxf>
      <font>
        <b/>
        <color rgb="FF006100"/>
      </font>
      <fill>
        <patternFill patternType="solid">
          <fgColor rgb="FFC6EFCE"/>
        </patternFill>
      </fill>
    </dxf>
    <dxf>
      <font>
        <b/>
        <color rgb="FF006100"/>
      </font>
      <fill>
        <patternFill patternType="solid">
          <fgColor rgb="FFC6EFCE"/>
        </patternFill>
      </fill>
    </dxf>
    <dxf>
      <font>
        <color rgb="FF9C0006"/>
      </font>
      <fill>
        <patternFill patternType="solid">
          <fgColor rgb="FFFFC7CE"/>
        </patternFill>
      </fill>
    </dxf>
    <dxf>
      <font>
        <color rgb="FF9C6500"/>
      </font>
      <fill>
        <patternFill patternType="solid">
          <fgColor rgb="FFFFEB9C"/>
        </patternFill>
      </fill>
    </dxf>
    <dxf>
      <font>
        <color rgb="FF006100"/>
      </font>
      <fill>
        <patternFill patternType="solid">
          <fgColor rgb="FFC6EF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color rgb="FF9C0006"/>
      </font>
      <fill>
        <patternFill patternType="solid">
          <fgColor rgb="FFFFC7CE"/>
        </patternFill>
      </fill>
    </dxf>
    <dxf>
      <font>
        <color rgb="FF9C6500"/>
      </font>
      <fill>
        <patternFill patternType="solid">
          <fgColor rgb="FFFFEB9C"/>
        </patternFill>
      </fill>
    </dxf>
    <dxf>
      <font>
        <color rgb="FF006100"/>
      </font>
      <fill>
        <patternFill patternType="solid">
          <fgColor rgb="FFC6EF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sz val="12"/>
        <color rgb="FFFFFFFF"/>
      </font>
      <fill>
        <patternFill patternType="solid">
          <fgColor rgb="FFC00000"/>
        </patternFill>
      </fill>
    </dxf>
    <dxf>
      <font>
        <b/>
        <sz val="12"/>
        <color rgb="FFFFFFFF"/>
      </font>
      <fill>
        <patternFill patternType="solid">
          <fgColor rgb="FFB7950B"/>
        </patternFill>
      </fill>
    </dxf>
    <dxf>
      <font>
        <b/>
        <sz val="12"/>
        <color rgb="FFFFFFFF"/>
      </font>
      <fill>
        <patternFill patternType="solid">
          <fgColor rgb="FF2E7D32"/>
        </patternFill>
      </fill>
    </dxf>
    <dxf>
      <font>
        <b/>
        <sz val="12"/>
        <color rgb="FFFFFFFF"/>
      </font>
      <fill>
        <patternFill patternType="solid">
          <fgColor rgb="FF006100"/>
        </patternFill>
      </fill>
    </dxf>
    <dxf>
      <font>
        <color rgb="FF9C6500"/>
      </font>
      <fill>
        <patternFill patternType="solid">
          <fgColor rgb="FFFFEB9C"/>
        </patternFill>
      </fill>
    </dxf>
    <dxf>
      <font>
        <color rgb="FF9C0006"/>
      </font>
      <fill>
        <patternFill patternType="solid">
          <fgColor rgb="FFFFC7CE"/>
        </patternFill>
      </fill>
    </dxf>
    <dxf>
      <font>
        <color rgb="FF006100"/>
      </font>
      <fill>
        <patternFill patternType="solid">
          <fgColor rgb="FFC6EFCE"/>
        </patternFill>
      </fill>
    </dxf>
    <dxf>
      <font>
        <b/>
        <color rgb="FF006100"/>
      </font>
      <fill>
        <patternFill patternType="solid">
          <fgColor rgb="FFC6EFCE"/>
        </patternFill>
      </fill>
    </dxf>
    <dxf>
      <font>
        <b/>
        <color rgb="FF9C0006"/>
      </font>
      <fill>
        <patternFill patternType="solid">
          <fgColor rgb="FFFFC7CE"/>
        </patternFill>
      </fill>
    </dxf>
    <dxf>
      <font>
        <b/>
        <sz val="13"/>
        <color rgb="FF9C0006"/>
      </font>
      <fill>
        <patternFill patternType="solid">
          <fgColor rgb="FFFFC7CE"/>
        </patternFill>
      </fill>
    </dxf>
    <dxf>
      <font>
        <b/>
        <sz val="13"/>
        <color rgb="FF9C6500"/>
      </font>
      <fill>
        <patternFill patternType="solid">
          <fgColor rgb="FFFFEB9C"/>
        </patternFill>
      </fill>
    </dxf>
    <dxf>
      <font>
        <b/>
        <sz val="13"/>
        <color rgb="FF006100"/>
      </font>
      <fill>
        <patternFill patternType="solid">
          <fgColor rgb="FFC6EFCE"/>
        </patternFill>
      </fill>
    </dxf>
    <dxf>
      <font>
        <b/>
        <color rgb="FF9C0006"/>
      </font>
      <fill>
        <patternFill patternType="solid">
          <fgColor rgb="FFFFC7CE"/>
        </patternFill>
      </fill>
    </dxf>
    <dxf>
      <font>
        <b/>
        <color rgb="FF006100"/>
      </font>
      <fill>
        <patternFill patternType="solid">
          <fgColor rgb="FFC6EFCE"/>
        </patternFill>
      </fill>
    </dxf>
    <dxf>
      <font>
        <b/>
        <color rgb="FF9C0006"/>
      </font>
      <fill>
        <patternFill patternType="solid">
          <fgColor rgb="FFFFC7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color rgb="FF9C6500"/>
      </font>
      <fill>
        <patternFill patternType="solid">
          <fgColor rgb="FFFFEB9C"/>
        </patternFill>
      </fill>
    </dxf>
    <dxf>
      <font>
        <color rgb="FF9C0006"/>
      </font>
      <fill>
        <patternFill patternType="solid">
          <fgColor rgb="FFFFC7CE"/>
        </patternFill>
      </fill>
    </dxf>
    <dxf>
      <font>
        <color rgb="FF006100"/>
      </font>
      <fill>
        <patternFill patternType="solid">
          <fgColor rgb="FFC6EFCE"/>
        </patternFill>
      </fill>
    </dxf>
    <dxf>
      <font>
        <b/>
        <color rgb="FF006100"/>
      </font>
      <fill>
        <patternFill patternType="solid">
          <fgColor rgb="FFC6EFCE"/>
        </patternFill>
      </fill>
    </dxf>
    <dxf>
      <font>
        <b/>
        <color rgb="FF9C0006"/>
      </font>
      <fill>
        <patternFill patternType="solid">
          <fgColor rgb="FFFFC7CE"/>
        </patternFill>
      </fill>
    </dxf>
    <dxf>
      <font>
        <b/>
        <sz val="13"/>
        <color rgb="FF9C0006"/>
      </font>
      <fill>
        <patternFill patternType="solid">
          <fgColor rgb="FFFFC7CE"/>
        </patternFill>
      </fill>
    </dxf>
    <dxf>
      <font>
        <b/>
        <sz val="13"/>
        <color rgb="FF9C6500"/>
      </font>
      <fill>
        <patternFill patternType="solid">
          <fgColor rgb="FFFFEB9C"/>
        </patternFill>
      </fill>
    </dxf>
    <dxf>
      <font>
        <b/>
        <sz val="13"/>
        <color rgb="FF006100"/>
      </font>
      <fill>
        <patternFill patternType="solid">
          <fgColor rgb="FFC6EFCE"/>
        </patternFill>
      </fill>
    </dxf>
    <dxf>
      <font>
        <b/>
        <color rgb="FF9C0006"/>
      </font>
      <fill>
        <patternFill patternType="solid">
          <fgColor rgb="FFFFC7CE"/>
        </patternFill>
      </fill>
    </dxf>
    <dxf>
      <font>
        <b/>
        <color rgb="FF006100"/>
      </font>
      <fill>
        <patternFill patternType="solid">
          <fgColor rgb="FFC6EFCE"/>
        </patternFill>
      </fill>
    </dxf>
    <dxf>
      <font>
        <b/>
        <color rgb="FF9C0006"/>
      </font>
      <fill>
        <patternFill patternType="solid">
          <fgColor rgb="FFFFC7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9C0006"/>
      </font>
      <fill>
        <patternFill patternType="solid">
          <fgColor rgb="FFFFC7CE"/>
        </patternFill>
      </fill>
    </dxf>
    <dxf>
      <font>
        <b/>
        <color rgb="FF1F3864"/>
      </font>
      <fill>
        <patternFill patternType="solid">
          <fgColor rgb="FFD9E1F2"/>
        </patternFill>
      </fill>
    </dxf>
    <dxf>
      <font>
        <b/>
        <color rgb="FF006100"/>
      </font>
      <fill>
        <patternFill patternType="solid">
          <fgColor rgb="FFC6EFCE"/>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sz val="22"/>
        <color rgb="FF006100"/>
      </font>
      <fill>
        <patternFill patternType="solid">
          <fgColor rgb="FFC6EFCE"/>
        </patternFill>
      </fill>
    </dxf>
    <dxf>
      <font>
        <b/>
        <sz val="48"/>
        <color rgb="FF9C0006"/>
      </font>
      <fill>
        <patternFill patternType="solid">
          <fgColor rgb="FFFFC7CE"/>
        </patternFill>
      </fill>
    </dxf>
    <dxf>
      <font>
        <b/>
        <sz val="48"/>
        <color rgb="FF9C6500"/>
      </font>
      <fill>
        <patternFill patternType="solid">
          <fgColor rgb="FFFFEB9C"/>
        </patternFill>
      </fill>
    </dxf>
    <dxf>
      <font>
        <b/>
        <sz val="48"/>
        <color rgb="FF006100"/>
      </font>
      <fill>
        <patternFill patternType="solid">
          <fgColor rgb="FFC6EFCE"/>
        </patternFill>
      </fill>
    </dxf>
    <dxf>
      <font>
        <b/>
        <sz val="48"/>
        <color rgb="FF006100"/>
      </font>
      <fill>
        <patternFill patternType="solid">
          <fgColor rgb="FFC6EFCE"/>
        </patternFill>
      </fill>
    </dxf>
    <dxf>
      <font>
        <color rgb="FF9C6500"/>
      </font>
      <fill>
        <patternFill patternType="solid">
          <fgColor rgb="FFFFEB9C"/>
        </patternFill>
      </fill>
    </dxf>
    <dxf>
      <font>
        <color rgb="FF9C0006"/>
      </font>
      <fill>
        <patternFill patternType="solid">
          <fgColor rgb="FFFFC7CE"/>
        </patternFill>
      </fill>
    </dxf>
    <dxf>
      <font>
        <color rgb="FF006100"/>
      </font>
      <fill>
        <patternFill patternType="solid">
          <fgColor rgb="FFC6EFCE"/>
        </patternFill>
      </fill>
    </dxf>
    <dxf>
      <font>
        <b/>
        <color rgb="FF006100"/>
      </font>
      <fill>
        <patternFill patternType="solid">
          <fgColor rgb="FFC6EFCE"/>
        </patternFill>
      </fill>
    </dxf>
    <dxf>
      <font>
        <b/>
        <color rgb="FF9C0006"/>
      </font>
      <fill>
        <patternFill patternType="solid">
          <fgColor rgb="FFFFC7CE"/>
        </patternFill>
      </fill>
    </dxf>
    <dxf>
      <font>
        <b/>
        <sz val="13"/>
        <color rgb="FF9C0006"/>
      </font>
      <fill>
        <patternFill patternType="solid">
          <fgColor rgb="FFFFC7CE"/>
        </patternFill>
      </fill>
    </dxf>
    <dxf>
      <font>
        <b/>
        <sz val="13"/>
        <color rgb="FF9C6500"/>
      </font>
      <fill>
        <patternFill patternType="solid">
          <fgColor rgb="FFFFEB9C"/>
        </patternFill>
      </fill>
    </dxf>
    <dxf>
      <font>
        <b/>
        <sz val="13"/>
        <color rgb="FF006100"/>
      </font>
      <fill>
        <patternFill patternType="solid">
          <fgColor rgb="FFC6EFCE"/>
        </patternFill>
      </fill>
    </dxf>
    <dxf>
      <font>
        <b/>
        <color rgb="FF9C0006"/>
      </font>
      <fill>
        <patternFill patternType="solid">
          <fgColor rgb="FFFFC7CE"/>
        </patternFill>
      </fill>
    </dxf>
    <dxf>
      <font>
        <b/>
        <color rgb="FF006100"/>
      </font>
      <fill>
        <patternFill patternType="solid">
          <fgColor rgb="FFC6EFCE"/>
        </patternFill>
      </fill>
    </dxf>
    <dxf>
      <font>
        <b/>
        <color rgb="FF9C0006"/>
      </font>
      <fill>
        <patternFill patternType="solid">
          <fgColor rgb="FFFFC7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45"/>
  <sheetViews>
    <sheetView showGridLines="0" workbookViewId="0">
      <pane ySplit="2" topLeftCell="A3" activePane="bottomLeft" state="frozen"/>
      <selection pane="bottomLeft" activeCell="C7" sqref="C7"/>
    </sheetView>
  </sheetViews>
  <sheetFormatPr defaultRowHeight="15" x14ac:dyDescent="0.25"/>
  <cols>
    <col min="1" max="1" width="3" customWidth="1"/>
    <col min="2" max="2" width="30" customWidth="1"/>
    <col min="3" max="3" width="105" customWidth="1"/>
  </cols>
  <sheetData>
    <row r="1" spans="2:3" ht="27.95" customHeight="1" x14ac:dyDescent="0.25">
      <c r="B1" s="88" t="s">
        <v>0</v>
      </c>
      <c r="C1" s="76"/>
    </row>
    <row r="2" spans="2:3" ht="30" customHeight="1" x14ac:dyDescent="0.25">
      <c r="B2" s="93" t="s">
        <v>1</v>
      </c>
      <c r="C2" s="76"/>
    </row>
    <row r="4" spans="2:3" x14ac:dyDescent="0.25">
      <c r="B4" s="90" t="s">
        <v>2</v>
      </c>
      <c r="C4" s="76"/>
    </row>
    <row r="5" spans="2:3" ht="44.1" customHeight="1" x14ac:dyDescent="0.25">
      <c r="B5" s="53" t="s">
        <v>3</v>
      </c>
      <c r="C5" s="54" t="s">
        <v>4</v>
      </c>
    </row>
    <row r="6" spans="2:3" ht="44.1" customHeight="1" x14ac:dyDescent="0.25">
      <c r="B6" s="55" t="s">
        <v>5</v>
      </c>
      <c r="C6" s="56" t="s">
        <v>6</v>
      </c>
    </row>
    <row r="7" spans="2:3" ht="44.1" customHeight="1" x14ac:dyDescent="0.25">
      <c r="B7" s="53" t="s">
        <v>7</v>
      </c>
      <c r="C7" s="54" t="s">
        <v>8</v>
      </c>
    </row>
    <row r="8" spans="2:3" ht="44.1" customHeight="1" x14ac:dyDescent="0.25">
      <c r="B8" s="55" t="s">
        <v>9</v>
      </c>
      <c r="C8" s="56" t="s">
        <v>10</v>
      </c>
    </row>
    <row r="9" spans="2:3" ht="44.1" customHeight="1" x14ac:dyDescent="0.25">
      <c r="B9" s="53" t="s">
        <v>11</v>
      </c>
      <c r="C9" s="54" t="s">
        <v>12</v>
      </c>
    </row>
    <row r="10" spans="2:3" ht="44.1" customHeight="1" x14ac:dyDescent="0.25">
      <c r="B10" s="55" t="s">
        <v>13</v>
      </c>
      <c r="C10" s="56" t="s">
        <v>14</v>
      </c>
    </row>
    <row r="12" spans="2:3" x14ac:dyDescent="0.25">
      <c r="B12" s="90" t="s">
        <v>15</v>
      </c>
      <c r="C12" s="76"/>
    </row>
    <row r="13" spans="2:3" ht="45.95" customHeight="1" x14ac:dyDescent="0.25">
      <c r="B13" s="53" t="s">
        <v>16</v>
      </c>
      <c r="C13" s="54" t="s">
        <v>17</v>
      </c>
    </row>
    <row r="14" spans="2:3" ht="45.95" customHeight="1" x14ac:dyDescent="0.25">
      <c r="B14" s="55" t="s">
        <v>18</v>
      </c>
      <c r="C14" s="56" t="s">
        <v>19</v>
      </c>
    </row>
    <row r="15" spans="2:3" ht="45.95" customHeight="1" x14ac:dyDescent="0.25">
      <c r="B15" s="53" t="s">
        <v>20</v>
      </c>
      <c r="C15" s="54" t="s">
        <v>21</v>
      </c>
    </row>
    <row r="16" spans="2:3" ht="45.95" customHeight="1" x14ac:dyDescent="0.25">
      <c r="B16" s="55" t="s">
        <v>22</v>
      </c>
      <c r="C16" s="56" t="s">
        <v>23</v>
      </c>
    </row>
    <row r="17" spans="2:3" ht="45.95" customHeight="1" x14ac:dyDescent="0.25">
      <c r="B17" s="53" t="s">
        <v>24</v>
      </c>
      <c r="C17" s="54" t="s">
        <v>25</v>
      </c>
    </row>
    <row r="18" spans="2:3" ht="45.95" customHeight="1" x14ac:dyDescent="0.25">
      <c r="B18" s="55" t="s">
        <v>26</v>
      </c>
      <c r="C18" s="56" t="s">
        <v>27</v>
      </c>
    </row>
    <row r="19" spans="2:3" ht="45.95" customHeight="1" x14ac:dyDescent="0.25">
      <c r="B19" s="53" t="s">
        <v>28</v>
      </c>
      <c r="C19" s="54" t="s">
        <v>29</v>
      </c>
    </row>
    <row r="20" spans="2:3" ht="45.95" customHeight="1" x14ac:dyDescent="0.25">
      <c r="B20" s="55" t="s">
        <v>30</v>
      </c>
      <c r="C20" s="56" t="s">
        <v>31</v>
      </c>
    </row>
    <row r="22" spans="2:3" x14ac:dyDescent="0.25">
      <c r="B22" s="90" t="s">
        <v>32</v>
      </c>
      <c r="C22" s="76"/>
    </row>
    <row r="23" spans="2:3" ht="54" customHeight="1" x14ac:dyDescent="0.25">
      <c r="B23" s="53" t="s">
        <v>33</v>
      </c>
      <c r="C23" s="54" t="s">
        <v>34</v>
      </c>
    </row>
    <row r="24" spans="2:3" ht="54" customHeight="1" x14ac:dyDescent="0.25">
      <c r="B24" s="55" t="s">
        <v>35</v>
      </c>
      <c r="C24" s="56" t="s">
        <v>36</v>
      </c>
    </row>
    <row r="25" spans="2:3" ht="54" customHeight="1" x14ac:dyDescent="0.25">
      <c r="B25" s="53" t="s">
        <v>37</v>
      </c>
      <c r="C25" s="54" t="s">
        <v>38</v>
      </c>
    </row>
    <row r="27" spans="2:3" x14ac:dyDescent="0.25">
      <c r="B27" s="90" t="s">
        <v>39</v>
      </c>
      <c r="C27" s="76"/>
    </row>
    <row r="28" spans="2:3" ht="39.950000000000003" customHeight="1" x14ac:dyDescent="0.25">
      <c r="B28" s="53" t="s">
        <v>40</v>
      </c>
      <c r="C28" s="54" t="s">
        <v>41</v>
      </c>
    </row>
    <row r="29" spans="2:3" ht="39.950000000000003" customHeight="1" x14ac:dyDescent="0.25">
      <c r="B29" s="55" t="s">
        <v>42</v>
      </c>
      <c r="C29" s="56" t="s">
        <v>43</v>
      </c>
    </row>
    <row r="30" spans="2:3" ht="39.950000000000003" customHeight="1" x14ac:dyDescent="0.25">
      <c r="B30" s="53" t="s">
        <v>44</v>
      </c>
      <c r="C30" s="54" t="s">
        <v>45</v>
      </c>
    </row>
    <row r="31" spans="2:3" ht="39.950000000000003" customHeight="1" x14ac:dyDescent="0.25">
      <c r="B31" s="55" t="s">
        <v>46</v>
      </c>
      <c r="C31" s="56" t="s">
        <v>47</v>
      </c>
    </row>
    <row r="32" spans="2:3" ht="39.950000000000003" customHeight="1" x14ac:dyDescent="0.25">
      <c r="B32" s="53" t="s">
        <v>48</v>
      </c>
      <c r="C32" s="54" t="s">
        <v>49</v>
      </c>
    </row>
    <row r="33" spans="2:3" ht="39.950000000000003" customHeight="1" x14ac:dyDescent="0.25">
      <c r="B33" s="55" t="s">
        <v>50</v>
      </c>
      <c r="C33" s="56" t="s">
        <v>51</v>
      </c>
    </row>
    <row r="35" spans="2:3" x14ac:dyDescent="0.25">
      <c r="B35" s="89" t="s">
        <v>52</v>
      </c>
      <c r="C35" s="76"/>
    </row>
    <row r="36" spans="2:3" ht="26.1" customHeight="1" x14ac:dyDescent="0.25">
      <c r="B36" s="92" t="s">
        <v>53</v>
      </c>
      <c r="C36" s="73"/>
    </row>
    <row r="37" spans="2:3" ht="26.1" customHeight="1" x14ac:dyDescent="0.25">
      <c r="B37" s="91" t="s">
        <v>54</v>
      </c>
      <c r="C37" s="73"/>
    </row>
    <row r="38" spans="2:3" ht="26.1" customHeight="1" x14ac:dyDescent="0.25">
      <c r="B38" s="92" t="s">
        <v>55</v>
      </c>
      <c r="C38" s="73"/>
    </row>
    <row r="39" spans="2:3" ht="26.1" customHeight="1" x14ac:dyDescent="0.25">
      <c r="B39" s="91" t="s">
        <v>56</v>
      </c>
      <c r="C39" s="73"/>
    </row>
    <row r="40" spans="2:3" ht="26.1" customHeight="1" x14ac:dyDescent="0.25">
      <c r="B40" s="92" t="s">
        <v>57</v>
      </c>
      <c r="C40" s="73"/>
    </row>
    <row r="41" spans="2:3" ht="26.1" customHeight="1" x14ac:dyDescent="0.25">
      <c r="B41" s="91" t="s">
        <v>58</v>
      </c>
      <c r="C41" s="73"/>
    </row>
    <row r="42" spans="2:3" ht="26.1" customHeight="1" x14ac:dyDescent="0.25">
      <c r="B42" s="92" t="s">
        <v>59</v>
      </c>
      <c r="C42" s="73"/>
    </row>
    <row r="43" spans="2:3" ht="26.1" customHeight="1" x14ac:dyDescent="0.25">
      <c r="B43" s="91" t="s">
        <v>60</v>
      </c>
      <c r="C43" s="73"/>
    </row>
    <row r="45" spans="2:3" ht="30" customHeight="1" x14ac:dyDescent="0.25">
      <c r="B45" s="94" t="s">
        <v>61</v>
      </c>
      <c r="C45" s="76"/>
    </row>
  </sheetData>
  <mergeCells count="16">
    <mergeCell ref="B45:C45"/>
    <mergeCell ref="B22:C22"/>
    <mergeCell ref="B36:C36"/>
    <mergeCell ref="B40:C40"/>
    <mergeCell ref="B27:C27"/>
    <mergeCell ref="B39:C39"/>
    <mergeCell ref="B38:C38"/>
    <mergeCell ref="B37:C37"/>
    <mergeCell ref="B41:C41"/>
    <mergeCell ref="B1:C1"/>
    <mergeCell ref="B35:C35"/>
    <mergeCell ref="B4:C4"/>
    <mergeCell ref="B43:C43"/>
    <mergeCell ref="B12:C12"/>
    <mergeCell ref="B42:C42"/>
    <mergeCell ref="B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207"/>
  <sheetViews>
    <sheetView showGridLines="0" workbookViewId="0">
      <pane ySplit="2" topLeftCell="A46" activePane="bottomLeft" state="frozen"/>
      <selection pane="bottomLeft" activeCell="C211" sqref="C211"/>
    </sheetView>
  </sheetViews>
  <sheetFormatPr defaultRowHeight="15" x14ac:dyDescent="0.25"/>
  <cols>
    <col min="1" max="1" width="4" customWidth="1"/>
    <col min="2" max="2" width="58" customWidth="1"/>
    <col min="3" max="3" width="14" customWidth="1"/>
    <col min="4" max="4" width="13" customWidth="1"/>
    <col min="5" max="5" width="15" customWidth="1"/>
    <col min="6" max="6" width="46" customWidth="1"/>
    <col min="7" max="7" width="3" customWidth="1"/>
  </cols>
  <sheetData>
    <row r="1" spans="2:6" ht="27.95" customHeight="1" x14ac:dyDescent="0.25">
      <c r="B1" s="82" t="s">
        <v>62</v>
      </c>
      <c r="C1" s="75"/>
      <c r="D1" s="75"/>
      <c r="E1" s="75"/>
      <c r="F1" s="76"/>
    </row>
    <row r="2" spans="2:6" ht="18" customHeight="1" x14ac:dyDescent="0.25">
      <c r="B2" s="105" t="s">
        <v>63</v>
      </c>
      <c r="C2" s="75"/>
      <c r="D2" s="75"/>
      <c r="E2" s="75"/>
      <c r="F2" s="76"/>
    </row>
    <row r="4" spans="2:6" x14ac:dyDescent="0.25">
      <c r="B4" s="81" t="s">
        <v>64</v>
      </c>
      <c r="C4" s="75"/>
      <c r="D4" s="75"/>
      <c r="E4" s="75"/>
      <c r="F4" s="76"/>
    </row>
    <row r="5" spans="2:6" ht="30" x14ac:dyDescent="0.25">
      <c r="B5" s="2" t="s">
        <v>65</v>
      </c>
      <c r="C5" s="3"/>
      <c r="D5" s="4" t="s">
        <v>66</v>
      </c>
      <c r="E5" s="79"/>
      <c r="F5" s="73"/>
    </row>
    <row r="6" spans="2:6" ht="30" x14ac:dyDescent="0.25">
      <c r="B6" s="2" t="s">
        <v>67</v>
      </c>
      <c r="C6" s="3"/>
      <c r="D6" s="4" t="s">
        <v>68</v>
      </c>
      <c r="E6" s="79"/>
      <c r="F6" s="73"/>
    </row>
    <row r="7" spans="2:6" x14ac:dyDescent="0.25">
      <c r="B7" s="2" t="s">
        <v>69</v>
      </c>
      <c r="C7" s="3"/>
      <c r="D7" s="4" t="s">
        <v>70</v>
      </c>
      <c r="E7" s="79"/>
      <c r="F7" s="73"/>
    </row>
    <row r="8" spans="2:6" x14ac:dyDescent="0.25">
      <c r="B8" s="2" t="s">
        <v>71</v>
      </c>
      <c r="C8" s="3"/>
      <c r="D8" s="4" t="s">
        <v>72</v>
      </c>
      <c r="E8" s="79"/>
      <c r="F8" s="73"/>
    </row>
    <row r="9" spans="2:6" ht="30" x14ac:dyDescent="0.25">
      <c r="B9" s="2" t="s">
        <v>73</v>
      </c>
      <c r="C9" s="3"/>
      <c r="D9" s="4" t="s">
        <v>74</v>
      </c>
      <c r="E9" s="79"/>
      <c r="F9" s="73"/>
    </row>
    <row r="10" spans="2:6" ht="30" x14ac:dyDescent="0.25">
      <c r="B10" s="2" t="s">
        <v>75</v>
      </c>
      <c r="C10" s="3"/>
      <c r="D10" s="4" t="s">
        <v>76</v>
      </c>
      <c r="E10" s="79"/>
      <c r="F10" s="73"/>
    </row>
    <row r="11" spans="2:6" ht="30" x14ac:dyDescent="0.25">
      <c r="B11" s="2" t="s">
        <v>77</v>
      </c>
      <c r="C11" s="3"/>
      <c r="D11" s="4" t="s">
        <v>78</v>
      </c>
      <c r="E11" s="79"/>
      <c r="F11" s="73"/>
    </row>
    <row r="12" spans="2:6" x14ac:dyDescent="0.25">
      <c r="B12" s="2" t="s">
        <v>79</v>
      </c>
      <c r="C12" s="3"/>
      <c r="D12" s="4" t="s">
        <v>80</v>
      </c>
      <c r="E12" s="79"/>
      <c r="F12" s="73"/>
    </row>
    <row r="13" spans="2:6" ht="57.95" customHeight="1" x14ac:dyDescent="0.25">
      <c r="B13" s="4" t="s">
        <v>81</v>
      </c>
      <c r="C13" s="78"/>
      <c r="D13" s="72"/>
      <c r="E13" s="72"/>
      <c r="F13" s="73"/>
    </row>
    <row r="14" spans="2:6" ht="45.95" customHeight="1" x14ac:dyDescent="0.25">
      <c r="B14" s="4" t="s">
        <v>82</v>
      </c>
      <c r="C14" s="78"/>
      <c r="D14" s="72"/>
      <c r="E14" s="72"/>
      <c r="F14" s="73"/>
    </row>
    <row r="15" spans="2:6" x14ac:dyDescent="0.25">
      <c r="B15" s="81" t="s">
        <v>83</v>
      </c>
      <c r="C15" s="75"/>
      <c r="D15" s="75"/>
      <c r="E15" s="75"/>
      <c r="F15" s="76"/>
    </row>
    <row r="16" spans="2:6" ht="60" x14ac:dyDescent="0.25">
      <c r="B16" s="2" t="s">
        <v>84</v>
      </c>
      <c r="C16" s="3"/>
      <c r="D16" s="4" t="s">
        <v>85</v>
      </c>
      <c r="E16" s="79"/>
      <c r="F16" s="73"/>
    </row>
    <row r="17" spans="2:6" ht="45" x14ac:dyDescent="0.25">
      <c r="B17" s="2" t="s">
        <v>86</v>
      </c>
      <c r="C17" s="3"/>
      <c r="D17" s="4" t="s">
        <v>87</v>
      </c>
      <c r="E17" s="79"/>
      <c r="F17" s="73"/>
    </row>
    <row r="18" spans="2:6" x14ac:dyDescent="0.25">
      <c r="B18" s="2" t="s">
        <v>88</v>
      </c>
      <c r="C18" s="79"/>
      <c r="D18" s="72"/>
      <c r="E18" s="72"/>
      <c r="F18" s="73"/>
    </row>
    <row r="19" spans="2:6" x14ac:dyDescent="0.25">
      <c r="B19" s="2" t="s">
        <v>89</v>
      </c>
      <c r="C19" s="79"/>
      <c r="D19" s="72"/>
      <c r="E19" s="72"/>
      <c r="F19" s="73"/>
    </row>
    <row r="20" spans="2:6" x14ac:dyDescent="0.25">
      <c r="B20" s="2" t="s">
        <v>90</v>
      </c>
      <c r="C20" s="79"/>
      <c r="D20" s="72"/>
      <c r="E20" s="72"/>
      <c r="F20" s="73"/>
    </row>
    <row r="21" spans="2:6" x14ac:dyDescent="0.25">
      <c r="B21" s="98" t="s">
        <v>91</v>
      </c>
      <c r="C21" s="72"/>
      <c r="D21" s="72"/>
      <c r="E21" s="72"/>
      <c r="F21" s="73"/>
    </row>
    <row r="22" spans="2:6" ht="57.95" customHeight="1" x14ac:dyDescent="0.25">
      <c r="B22" s="79"/>
      <c r="C22" s="72"/>
      <c r="D22" s="72"/>
      <c r="E22" s="72"/>
      <c r="F22" s="73"/>
    </row>
    <row r="24" spans="2:6" x14ac:dyDescent="0.25">
      <c r="B24" s="77" t="s">
        <v>92</v>
      </c>
      <c r="C24" s="75"/>
      <c r="D24" s="75"/>
      <c r="E24" s="75"/>
      <c r="F24" s="76"/>
    </row>
    <row r="25" spans="2:6" ht="18" customHeight="1" x14ac:dyDescent="0.25">
      <c r="B25" s="81" t="s">
        <v>93</v>
      </c>
      <c r="C25" s="75"/>
      <c r="D25" s="75"/>
      <c r="E25" s="76"/>
      <c r="F25" s="6" t="s">
        <v>94</v>
      </c>
    </row>
    <row r="26" spans="2:6" ht="27.95" customHeight="1" x14ac:dyDescent="0.25">
      <c r="B26" s="97" t="s">
        <v>95</v>
      </c>
      <c r="C26" s="72"/>
      <c r="D26" s="72"/>
      <c r="E26" s="72"/>
      <c r="F26" s="73"/>
    </row>
    <row r="27" spans="2:6" x14ac:dyDescent="0.25">
      <c r="B27" s="2" t="s">
        <v>96</v>
      </c>
      <c r="C27" s="7" t="s">
        <v>97</v>
      </c>
      <c r="D27" s="98" t="s">
        <v>98</v>
      </c>
      <c r="E27" s="72"/>
      <c r="F27" s="73"/>
    </row>
    <row r="28" spans="2:6" ht="27.95" customHeight="1" x14ac:dyDescent="0.25">
      <c r="B28" s="8" t="s">
        <v>99</v>
      </c>
      <c r="C28" s="9"/>
      <c r="D28" s="95"/>
      <c r="E28" s="72"/>
      <c r="F28" s="73"/>
    </row>
    <row r="29" spans="2:6" ht="27.95" customHeight="1" x14ac:dyDescent="0.25">
      <c r="B29" s="10" t="s">
        <v>100</v>
      </c>
      <c r="C29" s="9"/>
      <c r="D29" s="86"/>
      <c r="E29" s="72"/>
      <c r="F29" s="73"/>
    </row>
    <row r="30" spans="2:6" ht="27.95" customHeight="1" x14ac:dyDescent="0.25">
      <c r="B30" s="8" t="s">
        <v>101</v>
      </c>
      <c r="C30" s="9"/>
      <c r="D30" s="95"/>
      <c r="E30" s="72"/>
      <c r="F30" s="73"/>
    </row>
    <row r="31" spans="2:6" ht="27.95" customHeight="1" x14ac:dyDescent="0.25">
      <c r="B31" s="10" t="s">
        <v>102</v>
      </c>
      <c r="C31" s="9"/>
      <c r="D31" s="86"/>
      <c r="E31" s="72"/>
      <c r="F31" s="73"/>
    </row>
    <row r="32" spans="2:6" ht="27.95" customHeight="1" x14ac:dyDescent="0.25">
      <c r="B32" s="8" t="s">
        <v>103</v>
      </c>
      <c r="C32" s="9"/>
      <c r="D32" s="95"/>
      <c r="E32" s="72"/>
      <c r="F32" s="73"/>
    </row>
    <row r="33" spans="2:6" ht="27.95" customHeight="1" x14ac:dyDescent="0.25">
      <c r="B33" s="71" t="s">
        <v>104</v>
      </c>
      <c r="C33" s="72"/>
      <c r="D33" s="72"/>
      <c r="E33" s="72"/>
      <c r="F33" s="73"/>
    </row>
    <row r="34" spans="2:6" x14ac:dyDescent="0.25">
      <c r="B34" s="11" t="s">
        <v>105</v>
      </c>
      <c r="C34" s="12" t="str">
        <f>IF((COUNTIF(C28:C32,"Met")+COUNTIF(C28:C32,"Partial")+COUNTIF(C28:C32,"Missed"))=0,"",ROUND((COUNTIF(C28:C32,"Met")*5+COUNTIF(C28:C32,"Partial")*2.5)/(COUNTIF(C28:C32,"Met")+COUNTIF(C28:C32,"Partial")+COUNTIF(C28:C32,"Missed")),0))</f>
        <v/>
      </c>
      <c r="D34" s="96"/>
      <c r="E34" s="72"/>
      <c r="F34" s="73"/>
    </row>
    <row r="35" spans="2:6" ht="24" customHeight="1" x14ac:dyDescent="0.25">
      <c r="B35" s="13" t="s">
        <v>106</v>
      </c>
      <c r="C35" s="14"/>
      <c r="D35" s="101" t="str">
        <f>IF(IF(C35="",C34,C35)="","← rate the indicators above (auto-scores), or type an override",CHOOSE(IF(C35="",C34,C35)+1,"Agent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rate the indicators above (auto-scores), or type an override</v>
      </c>
      <c r="E35" s="72"/>
      <c r="F35" s="73"/>
    </row>
    <row r="36" spans="2:6" ht="36" customHeight="1" x14ac:dyDescent="0.25">
      <c r="B36" s="13" t="s">
        <v>107</v>
      </c>
      <c r="C36" s="78"/>
      <c r="D36" s="72"/>
      <c r="E36" s="72"/>
      <c r="F36" s="73"/>
    </row>
    <row r="38" spans="2:6" ht="18" customHeight="1" x14ac:dyDescent="0.25">
      <c r="B38" s="81" t="s">
        <v>108</v>
      </c>
      <c r="C38" s="75"/>
      <c r="D38" s="75"/>
      <c r="E38" s="76"/>
      <c r="F38" s="6" t="s">
        <v>109</v>
      </c>
    </row>
    <row r="39" spans="2:6" ht="27.95" customHeight="1" x14ac:dyDescent="0.25">
      <c r="B39" s="97" t="s">
        <v>110</v>
      </c>
      <c r="C39" s="72"/>
      <c r="D39" s="72"/>
      <c r="E39" s="72"/>
      <c r="F39" s="73"/>
    </row>
    <row r="40" spans="2:6" x14ac:dyDescent="0.25">
      <c r="B40" s="2" t="s">
        <v>96</v>
      </c>
      <c r="C40" s="7" t="s">
        <v>97</v>
      </c>
      <c r="D40" s="98" t="s">
        <v>98</v>
      </c>
      <c r="E40" s="72"/>
      <c r="F40" s="73"/>
    </row>
    <row r="41" spans="2:6" ht="27.95" customHeight="1" x14ac:dyDescent="0.25">
      <c r="B41" s="8" t="s">
        <v>111</v>
      </c>
      <c r="C41" s="9"/>
      <c r="D41" s="95"/>
      <c r="E41" s="72"/>
      <c r="F41" s="73"/>
    </row>
    <row r="42" spans="2:6" ht="27.95" customHeight="1" x14ac:dyDescent="0.25">
      <c r="B42" s="10" t="s">
        <v>112</v>
      </c>
      <c r="C42" s="9"/>
      <c r="D42" s="86"/>
      <c r="E42" s="72"/>
      <c r="F42" s="73"/>
    </row>
    <row r="43" spans="2:6" ht="27.95" customHeight="1" x14ac:dyDescent="0.25">
      <c r="B43" s="8" t="s">
        <v>113</v>
      </c>
      <c r="C43" s="9"/>
      <c r="D43" s="95"/>
      <c r="E43" s="72"/>
      <c r="F43" s="73"/>
    </row>
    <row r="44" spans="2:6" ht="27.95" customHeight="1" x14ac:dyDescent="0.25">
      <c r="B44" s="10" t="s">
        <v>114</v>
      </c>
      <c r="C44" s="9"/>
      <c r="D44" s="86"/>
      <c r="E44" s="72"/>
      <c r="F44" s="73"/>
    </row>
    <row r="45" spans="2:6" ht="27.95" customHeight="1" x14ac:dyDescent="0.25">
      <c r="B45" s="8" t="s">
        <v>115</v>
      </c>
      <c r="C45" s="9"/>
      <c r="D45" s="95"/>
      <c r="E45" s="72"/>
      <c r="F45" s="73"/>
    </row>
    <row r="46" spans="2:6" ht="27.95" customHeight="1" x14ac:dyDescent="0.25">
      <c r="B46" s="10" t="s">
        <v>116</v>
      </c>
      <c r="C46" s="9"/>
      <c r="D46" s="86"/>
      <c r="E46" s="72"/>
      <c r="F46" s="73"/>
    </row>
    <row r="47" spans="2:6" ht="27.95" customHeight="1" x14ac:dyDescent="0.25">
      <c r="B47" s="8" t="s">
        <v>117</v>
      </c>
      <c r="C47" s="9"/>
      <c r="D47" s="95"/>
      <c r="E47" s="72"/>
      <c r="F47" s="73"/>
    </row>
    <row r="48" spans="2:6" ht="27.95" customHeight="1" x14ac:dyDescent="0.25">
      <c r="B48" s="71" t="s">
        <v>118</v>
      </c>
      <c r="C48" s="72"/>
      <c r="D48" s="72"/>
      <c r="E48" s="72"/>
      <c r="F48" s="73"/>
    </row>
    <row r="49" spans="2:6" x14ac:dyDescent="0.25">
      <c r="B49" s="11" t="s">
        <v>105</v>
      </c>
      <c r="C49" s="12" t="str">
        <f>IF((COUNTIF(C41:C47,"Met")+COUNTIF(C41:C47,"Partial")+COUNTIF(C41:C47,"Missed"))=0,"",ROUND((COUNTIF(C41:C47,"Met")*5+COUNTIF(C41:C47,"Partial")*2.5)/(COUNTIF(C41:C47,"Met")+COUNTIF(C41:C47,"Partial")+COUNTIF(C41:C47,"Missed")),0))</f>
        <v/>
      </c>
      <c r="D49" s="96"/>
      <c r="E49" s="72"/>
      <c r="F49" s="73"/>
    </row>
    <row r="50" spans="2:6" ht="24" customHeight="1" x14ac:dyDescent="0.25">
      <c r="B50" s="13" t="s">
        <v>106</v>
      </c>
      <c r="C50" s="14"/>
      <c r="D50" s="101" t="str">
        <f>IF(IF(C50="",C49,C50)="","← rate the indicators above (auto-scores), or type an override",CHOOSE(IF(C50="",C49,C50)+1,"Agent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rate the indicators above (auto-scores), or type an override</v>
      </c>
      <c r="E50" s="72"/>
      <c r="F50" s="73"/>
    </row>
    <row r="51" spans="2:6" ht="36" customHeight="1" x14ac:dyDescent="0.25">
      <c r="B51" s="13" t="s">
        <v>119</v>
      </c>
      <c r="C51" s="78"/>
      <c r="D51" s="72"/>
      <c r="E51" s="72"/>
      <c r="F51" s="73"/>
    </row>
    <row r="53" spans="2:6" ht="18" customHeight="1" x14ac:dyDescent="0.25">
      <c r="B53" s="81" t="s">
        <v>120</v>
      </c>
      <c r="C53" s="75"/>
      <c r="D53" s="75"/>
      <c r="E53" s="76"/>
      <c r="F53" s="6" t="s">
        <v>121</v>
      </c>
    </row>
    <row r="54" spans="2:6" ht="27.95" customHeight="1" x14ac:dyDescent="0.25">
      <c r="B54" s="97" t="s">
        <v>122</v>
      </c>
      <c r="C54" s="72"/>
      <c r="D54" s="72"/>
      <c r="E54" s="72"/>
      <c r="F54" s="73"/>
    </row>
    <row r="55" spans="2:6" x14ac:dyDescent="0.25">
      <c r="B55" s="2" t="s">
        <v>96</v>
      </c>
      <c r="C55" s="7" t="s">
        <v>97</v>
      </c>
      <c r="D55" s="98" t="s">
        <v>98</v>
      </c>
      <c r="E55" s="72"/>
      <c r="F55" s="73"/>
    </row>
    <row r="56" spans="2:6" ht="27.95" customHeight="1" x14ac:dyDescent="0.25">
      <c r="B56" s="8" t="s">
        <v>123</v>
      </c>
      <c r="C56" s="9"/>
      <c r="D56" s="95"/>
      <c r="E56" s="72"/>
      <c r="F56" s="73"/>
    </row>
    <row r="57" spans="2:6" ht="27.95" customHeight="1" x14ac:dyDescent="0.25">
      <c r="B57" s="10" t="s">
        <v>124</v>
      </c>
      <c r="C57" s="9"/>
      <c r="D57" s="86"/>
      <c r="E57" s="72"/>
      <c r="F57" s="73"/>
    </row>
    <row r="58" spans="2:6" ht="27.95" customHeight="1" x14ac:dyDescent="0.25">
      <c r="B58" s="8" t="s">
        <v>125</v>
      </c>
      <c r="C58" s="9"/>
      <c r="D58" s="95"/>
      <c r="E58" s="72"/>
      <c r="F58" s="73"/>
    </row>
    <row r="59" spans="2:6" ht="27.95" customHeight="1" x14ac:dyDescent="0.25">
      <c r="B59" s="10" t="s">
        <v>126</v>
      </c>
      <c r="C59" s="9"/>
      <c r="D59" s="86"/>
      <c r="E59" s="72"/>
      <c r="F59" s="73"/>
    </row>
    <row r="60" spans="2:6" ht="27.95" customHeight="1" x14ac:dyDescent="0.25">
      <c r="B60" s="8" t="s">
        <v>127</v>
      </c>
      <c r="C60" s="9"/>
      <c r="D60" s="95"/>
      <c r="E60" s="72"/>
      <c r="F60" s="73"/>
    </row>
    <row r="61" spans="2:6" ht="27.95" customHeight="1" x14ac:dyDescent="0.25">
      <c r="B61" s="10" t="s">
        <v>128</v>
      </c>
      <c r="C61" s="9"/>
      <c r="D61" s="86"/>
      <c r="E61" s="72"/>
      <c r="F61" s="73"/>
    </row>
    <row r="62" spans="2:6" ht="27.95" customHeight="1" x14ac:dyDescent="0.25">
      <c r="B62" s="8" t="s">
        <v>129</v>
      </c>
      <c r="C62" s="9"/>
      <c r="D62" s="95"/>
      <c r="E62" s="72"/>
      <c r="F62" s="73"/>
    </row>
    <row r="63" spans="2:6" ht="27.95" customHeight="1" x14ac:dyDescent="0.25">
      <c r="B63" s="10" t="s">
        <v>130</v>
      </c>
      <c r="C63" s="9"/>
      <c r="D63" s="86"/>
      <c r="E63" s="72"/>
      <c r="F63" s="73"/>
    </row>
    <row r="64" spans="2:6" ht="27.95" customHeight="1" x14ac:dyDescent="0.25">
      <c r="B64" s="71" t="s">
        <v>131</v>
      </c>
      <c r="C64" s="72"/>
      <c r="D64" s="72"/>
      <c r="E64" s="72"/>
      <c r="F64" s="73"/>
    </row>
    <row r="65" spans="2:6" x14ac:dyDescent="0.25">
      <c r="B65" s="11" t="s">
        <v>105</v>
      </c>
      <c r="C65" s="12" t="str">
        <f>IF((COUNTIF(C56:C63,"Met")+COUNTIF(C56:C63,"Partial")+COUNTIF(C56:C63,"Missed"))=0,"",ROUND((COUNTIF(C56:C63,"Met")*5+COUNTIF(C56:C63,"Partial")*2.5)/(COUNTIF(C56:C63,"Met")+COUNTIF(C56:C63,"Partial")+COUNTIF(C56:C63,"Missed")),0))</f>
        <v/>
      </c>
      <c r="D65" s="96"/>
      <c r="E65" s="72"/>
      <c r="F65" s="73"/>
    </row>
    <row r="66" spans="2:6" ht="24" customHeight="1" x14ac:dyDescent="0.25">
      <c r="B66" s="13" t="s">
        <v>106</v>
      </c>
      <c r="C66" s="14"/>
      <c r="D66" s="101" t="str">
        <f>IF(IF(C66="",C65,C66)="","← rate the indicators above (auto-scores), or type an override",CHOOSE(IF(C66="",C65,C66)+1,"Agent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rate the indicators above (auto-scores), or type an override</v>
      </c>
      <c r="E66" s="72"/>
      <c r="F66" s="73"/>
    </row>
    <row r="67" spans="2:6" ht="36" customHeight="1" x14ac:dyDescent="0.25">
      <c r="B67" s="13" t="s">
        <v>132</v>
      </c>
      <c r="C67" s="78"/>
      <c r="D67" s="72"/>
      <c r="E67" s="72"/>
      <c r="F67" s="73"/>
    </row>
    <row r="69" spans="2:6" ht="18" customHeight="1" x14ac:dyDescent="0.25">
      <c r="B69" s="81" t="s">
        <v>133</v>
      </c>
      <c r="C69" s="75"/>
      <c r="D69" s="75"/>
      <c r="E69" s="76"/>
      <c r="F69" s="6" t="s">
        <v>121</v>
      </c>
    </row>
    <row r="70" spans="2:6" ht="27.95" customHeight="1" x14ac:dyDescent="0.25">
      <c r="B70" s="97" t="s">
        <v>134</v>
      </c>
      <c r="C70" s="72"/>
      <c r="D70" s="72"/>
      <c r="E70" s="72"/>
      <c r="F70" s="73"/>
    </row>
    <row r="71" spans="2:6" x14ac:dyDescent="0.25">
      <c r="B71" s="2" t="s">
        <v>96</v>
      </c>
      <c r="C71" s="7" t="s">
        <v>97</v>
      </c>
      <c r="D71" s="98" t="s">
        <v>98</v>
      </c>
      <c r="E71" s="72"/>
      <c r="F71" s="73"/>
    </row>
    <row r="72" spans="2:6" ht="27.95" customHeight="1" x14ac:dyDescent="0.25">
      <c r="B72" s="8" t="s">
        <v>135</v>
      </c>
      <c r="C72" s="9"/>
      <c r="D72" s="95"/>
      <c r="E72" s="72"/>
      <c r="F72" s="73"/>
    </row>
    <row r="73" spans="2:6" ht="27.95" customHeight="1" x14ac:dyDescent="0.25">
      <c r="B73" s="10" t="s">
        <v>136</v>
      </c>
      <c r="C73" s="9"/>
      <c r="D73" s="86"/>
      <c r="E73" s="72"/>
      <c r="F73" s="73"/>
    </row>
    <row r="74" spans="2:6" ht="27.95" customHeight="1" x14ac:dyDescent="0.25">
      <c r="B74" s="8" t="s">
        <v>137</v>
      </c>
      <c r="C74" s="9"/>
      <c r="D74" s="95"/>
      <c r="E74" s="72"/>
      <c r="F74" s="73"/>
    </row>
    <row r="75" spans="2:6" ht="27.95" customHeight="1" x14ac:dyDescent="0.25">
      <c r="B75" s="10" t="s">
        <v>138</v>
      </c>
      <c r="C75" s="9"/>
      <c r="D75" s="86"/>
      <c r="E75" s="72"/>
      <c r="F75" s="73"/>
    </row>
    <row r="76" spans="2:6" ht="27.95" customHeight="1" x14ac:dyDescent="0.25">
      <c r="B76" s="8" t="s">
        <v>139</v>
      </c>
      <c r="C76" s="9"/>
      <c r="D76" s="95"/>
      <c r="E76" s="72"/>
      <c r="F76" s="73"/>
    </row>
    <row r="77" spans="2:6" ht="27.95" customHeight="1" x14ac:dyDescent="0.25">
      <c r="B77" s="10" t="s">
        <v>140</v>
      </c>
      <c r="C77" s="9"/>
      <c r="D77" s="86"/>
      <c r="E77" s="72"/>
      <c r="F77" s="73"/>
    </row>
    <row r="78" spans="2:6" ht="27.95" customHeight="1" x14ac:dyDescent="0.25">
      <c r="B78" s="8" t="s">
        <v>141</v>
      </c>
      <c r="C78" s="9"/>
      <c r="D78" s="95"/>
      <c r="E78" s="72"/>
      <c r="F78" s="73"/>
    </row>
    <row r="79" spans="2:6" ht="27.95" customHeight="1" x14ac:dyDescent="0.25">
      <c r="B79" s="10" t="s">
        <v>142</v>
      </c>
      <c r="C79" s="9"/>
      <c r="D79" s="86"/>
      <c r="E79" s="72"/>
      <c r="F79" s="73"/>
    </row>
    <row r="80" spans="2:6" ht="27.95" customHeight="1" x14ac:dyDescent="0.25">
      <c r="B80" s="71" t="s">
        <v>143</v>
      </c>
      <c r="C80" s="72"/>
      <c r="D80" s="72"/>
      <c r="E80" s="72"/>
      <c r="F80" s="73"/>
    </row>
    <row r="81" spans="2:6" x14ac:dyDescent="0.25">
      <c r="B81" s="11" t="s">
        <v>105</v>
      </c>
      <c r="C81" s="12" t="str">
        <f>IF((COUNTIF(C72:C79,"Met")+COUNTIF(C72:C79,"Partial")+COUNTIF(C72:C79,"Missed"))=0,"",ROUND((COUNTIF(C72:C79,"Met")*5+COUNTIF(C72:C79,"Partial")*2.5)/(COUNTIF(C72:C79,"Met")+COUNTIF(C72:C79,"Partial")+COUNTIF(C72:C79,"Missed")),0))</f>
        <v/>
      </c>
      <c r="D81" s="96"/>
      <c r="E81" s="72"/>
      <c r="F81" s="73"/>
    </row>
    <row r="82" spans="2:6" ht="24" customHeight="1" x14ac:dyDescent="0.25">
      <c r="B82" s="13" t="s">
        <v>106</v>
      </c>
      <c r="C82" s="14"/>
      <c r="D82" s="101" t="str">
        <f>IF(IF(C82="",C81,C82)="","← rate the indicators above (auto-scores), or type an override",CHOOSE(IF(C82="",C81,C82)+1,"Agent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rate the indicators above (auto-scores), or type an override</v>
      </c>
      <c r="E82" s="72"/>
      <c r="F82" s="73"/>
    </row>
    <row r="83" spans="2:6" ht="36" customHeight="1" x14ac:dyDescent="0.25">
      <c r="B83" s="13" t="s">
        <v>144</v>
      </c>
      <c r="C83" s="78"/>
      <c r="D83" s="72"/>
      <c r="E83" s="72"/>
      <c r="F83" s="73"/>
    </row>
    <row r="85" spans="2:6" ht="18" customHeight="1" x14ac:dyDescent="0.25">
      <c r="B85" s="81" t="s">
        <v>145</v>
      </c>
      <c r="C85" s="75"/>
      <c r="D85" s="75"/>
      <c r="E85" s="76"/>
      <c r="F85" s="6" t="s">
        <v>146</v>
      </c>
    </row>
    <row r="86" spans="2:6" ht="27.95" customHeight="1" x14ac:dyDescent="0.25">
      <c r="B86" s="97" t="s">
        <v>147</v>
      </c>
      <c r="C86" s="72"/>
      <c r="D86" s="72"/>
      <c r="E86" s="72"/>
      <c r="F86" s="73"/>
    </row>
    <row r="87" spans="2:6" x14ac:dyDescent="0.25">
      <c r="B87" s="2" t="s">
        <v>96</v>
      </c>
      <c r="C87" s="7" t="s">
        <v>97</v>
      </c>
      <c r="D87" s="98" t="s">
        <v>98</v>
      </c>
      <c r="E87" s="72"/>
      <c r="F87" s="73"/>
    </row>
    <row r="88" spans="2:6" ht="27.95" customHeight="1" x14ac:dyDescent="0.25">
      <c r="B88" s="8" t="s">
        <v>148</v>
      </c>
      <c r="C88" s="9"/>
      <c r="D88" s="95"/>
      <c r="E88" s="72"/>
      <c r="F88" s="73"/>
    </row>
    <row r="89" spans="2:6" ht="27.95" customHeight="1" x14ac:dyDescent="0.25">
      <c r="B89" s="10" t="s">
        <v>149</v>
      </c>
      <c r="C89" s="9"/>
      <c r="D89" s="86"/>
      <c r="E89" s="72"/>
      <c r="F89" s="73"/>
    </row>
    <row r="90" spans="2:6" ht="27.95" customHeight="1" x14ac:dyDescent="0.25">
      <c r="B90" s="8" t="s">
        <v>150</v>
      </c>
      <c r="C90" s="9"/>
      <c r="D90" s="95"/>
      <c r="E90" s="72"/>
      <c r="F90" s="73"/>
    </row>
    <row r="91" spans="2:6" ht="27.95" customHeight="1" x14ac:dyDescent="0.25">
      <c r="B91" s="10" t="s">
        <v>151</v>
      </c>
      <c r="C91" s="9"/>
      <c r="D91" s="86"/>
      <c r="E91" s="72"/>
      <c r="F91" s="73"/>
    </row>
    <row r="92" spans="2:6" ht="27.95" customHeight="1" x14ac:dyDescent="0.25">
      <c r="B92" s="8" t="s">
        <v>152</v>
      </c>
      <c r="C92" s="9"/>
      <c r="D92" s="95"/>
      <c r="E92" s="72"/>
      <c r="F92" s="73"/>
    </row>
    <row r="93" spans="2:6" ht="27.95" customHeight="1" x14ac:dyDescent="0.25">
      <c r="B93" s="71" t="s">
        <v>153</v>
      </c>
      <c r="C93" s="72"/>
      <c r="D93" s="72"/>
      <c r="E93" s="72"/>
      <c r="F93" s="73"/>
    </row>
    <row r="94" spans="2:6" x14ac:dyDescent="0.25">
      <c r="B94" s="11" t="s">
        <v>105</v>
      </c>
      <c r="C94" s="12" t="str">
        <f>IF((COUNTIF(C88:C92,"Met")+COUNTIF(C88:C92,"Partial")+COUNTIF(C88:C92,"Missed"))=0,"",ROUND((COUNTIF(C88:C92,"Met")*5+COUNTIF(C88:C92,"Partial")*2.5)/(COUNTIF(C88:C92,"Met")+COUNTIF(C88:C92,"Partial")+COUNTIF(C88:C92,"Missed")),0))</f>
        <v/>
      </c>
      <c r="D94" s="96"/>
      <c r="E94" s="72"/>
      <c r="F94" s="73"/>
    </row>
    <row r="95" spans="2:6" ht="24" customHeight="1" x14ac:dyDescent="0.25">
      <c r="B95" s="13" t="s">
        <v>106</v>
      </c>
      <c r="C95" s="14"/>
      <c r="D95" s="101" t="str">
        <f>IF(IF(C95="",C94,C95)="","← rate the indicators above (auto-scores), or type an override",CHOOSE(IF(C95="",C94,C95)+1,"Agent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rate the indicators above (auto-scores), or type an override</v>
      </c>
      <c r="E95" s="72"/>
      <c r="F95" s="73"/>
    </row>
    <row r="96" spans="2:6" ht="36" customHeight="1" x14ac:dyDescent="0.25">
      <c r="B96" s="13" t="s">
        <v>154</v>
      </c>
      <c r="C96" s="78"/>
      <c r="D96" s="72"/>
      <c r="E96" s="72"/>
      <c r="F96" s="73"/>
    </row>
    <row r="98" spans="2:6" ht="18" customHeight="1" x14ac:dyDescent="0.25">
      <c r="B98" s="81" t="s">
        <v>155</v>
      </c>
      <c r="C98" s="75"/>
      <c r="D98" s="75"/>
      <c r="E98" s="76"/>
      <c r="F98" s="6" t="s">
        <v>156</v>
      </c>
    </row>
    <row r="99" spans="2:6" ht="27.95" customHeight="1" x14ac:dyDescent="0.25">
      <c r="B99" s="97" t="s">
        <v>157</v>
      </c>
      <c r="C99" s="72"/>
      <c r="D99" s="72"/>
      <c r="E99" s="72"/>
      <c r="F99" s="73"/>
    </row>
    <row r="100" spans="2:6" x14ac:dyDescent="0.25">
      <c r="B100" s="2" t="s">
        <v>96</v>
      </c>
      <c r="C100" s="7" t="s">
        <v>97</v>
      </c>
      <c r="D100" s="98" t="s">
        <v>98</v>
      </c>
      <c r="E100" s="72"/>
      <c r="F100" s="73"/>
    </row>
    <row r="101" spans="2:6" ht="27.95" customHeight="1" x14ac:dyDescent="0.25">
      <c r="B101" s="8" t="s">
        <v>158</v>
      </c>
      <c r="C101" s="9"/>
      <c r="D101" s="95"/>
      <c r="E101" s="72"/>
      <c r="F101" s="73"/>
    </row>
    <row r="102" spans="2:6" ht="27.95" customHeight="1" x14ac:dyDescent="0.25">
      <c r="B102" s="10" t="s">
        <v>159</v>
      </c>
      <c r="C102" s="9"/>
      <c r="D102" s="86"/>
      <c r="E102" s="72"/>
      <c r="F102" s="73"/>
    </row>
    <row r="103" spans="2:6" ht="27.95" customHeight="1" x14ac:dyDescent="0.25">
      <c r="B103" s="8" t="s">
        <v>160</v>
      </c>
      <c r="C103" s="9"/>
      <c r="D103" s="95"/>
      <c r="E103" s="72"/>
      <c r="F103" s="73"/>
    </row>
    <row r="104" spans="2:6" ht="27.95" customHeight="1" x14ac:dyDescent="0.25">
      <c r="B104" s="10" t="s">
        <v>161</v>
      </c>
      <c r="C104" s="9"/>
      <c r="D104" s="86"/>
      <c r="E104" s="72"/>
      <c r="F104" s="73"/>
    </row>
    <row r="105" spans="2:6" ht="27.95" customHeight="1" x14ac:dyDescent="0.25">
      <c r="B105" s="8" t="s">
        <v>162</v>
      </c>
      <c r="C105" s="9"/>
      <c r="D105" s="95"/>
      <c r="E105" s="72"/>
      <c r="F105" s="73"/>
    </row>
    <row r="106" spans="2:6" ht="27.95" customHeight="1" x14ac:dyDescent="0.25">
      <c r="B106" s="10" t="s">
        <v>163</v>
      </c>
      <c r="C106" s="9"/>
      <c r="D106" s="86"/>
      <c r="E106" s="72"/>
      <c r="F106" s="73"/>
    </row>
    <row r="107" spans="2:6" ht="27.95" customHeight="1" x14ac:dyDescent="0.25">
      <c r="B107" s="71" t="s">
        <v>164</v>
      </c>
      <c r="C107" s="72"/>
      <c r="D107" s="72"/>
      <c r="E107" s="72"/>
      <c r="F107" s="73"/>
    </row>
    <row r="108" spans="2:6" x14ac:dyDescent="0.25">
      <c r="B108" s="11" t="s">
        <v>105</v>
      </c>
      <c r="C108" s="12" t="str">
        <f>IF((COUNTIF(C101:C106,"Met")+COUNTIF(C101:C106,"Partial")+COUNTIF(C101:C106,"Missed"))=0,"",ROUND((COUNTIF(C101:C106,"Met")*5+COUNTIF(C101:C106,"Partial")*2.5)/(COUNTIF(C101:C106,"Met")+COUNTIF(C101:C106,"Partial")+COUNTIF(C101:C106,"Missed")),0))</f>
        <v/>
      </c>
      <c r="D108" s="96"/>
      <c r="E108" s="72"/>
      <c r="F108" s="73"/>
    </row>
    <row r="109" spans="2:6" ht="24" customHeight="1" x14ac:dyDescent="0.25">
      <c r="B109" s="13" t="s">
        <v>106</v>
      </c>
      <c r="C109" s="14"/>
      <c r="D109" s="101" t="str">
        <f>IF(IF(C109="",C108,C109)="","← rate the indicators above (auto-scores), or type an override",CHOOSE(IF(C109="",C108,C109)+1,"Agent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rate the indicators above (auto-scores), or type an override</v>
      </c>
      <c r="E109" s="72"/>
      <c r="F109" s="73"/>
    </row>
    <row r="110" spans="2:6" ht="36" customHeight="1" x14ac:dyDescent="0.25">
      <c r="B110" s="13" t="s">
        <v>165</v>
      </c>
      <c r="C110" s="78"/>
      <c r="D110" s="72"/>
      <c r="E110" s="72"/>
      <c r="F110" s="73"/>
    </row>
    <row r="112" spans="2:6" ht="18" customHeight="1" x14ac:dyDescent="0.25">
      <c r="B112" s="81" t="s">
        <v>166</v>
      </c>
      <c r="C112" s="75"/>
      <c r="D112" s="75"/>
      <c r="E112" s="76"/>
      <c r="F112" s="6" t="s">
        <v>156</v>
      </c>
    </row>
    <row r="113" spans="2:6" ht="27.95" customHeight="1" x14ac:dyDescent="0.25">
      <c r="B113" s="97" t="s">
        <v>167</v>
      </c>
      <c r="C113" s="72"/>
      <c r="D113" s="72"/>
      <c r="E113" s="72"/>
      <c r="F113" s="73"/>
    </row>
    <row r="114" spans="2:6" x14ac:dyDescent="0.25">
      <c r="B114" s="2" t="s">
        <v>96</v>
      </c>
      <c r="C114" s="7" t="s">
        <v>97</v>
      </c>
      <c r="D114" s="98" t="s">
        <v>98</v>
      </c>
      <c r="E114" s="72"/>
      <c r="F114" s="73"/>
    </row>
    <row r="115" spans="2:6" ht="27.95" customHeight="1" x14ac:dyDescent="0.25">
      <c r="B115" s="8" t="s">
        <v>168</v>
      </c>
      <c r="C115" s="9"/>
      <c r="D115" s="95"/>
      <c r="E115" s="72"/>
      <c r="F115" s="73"/>
    </row>
    <row r="116" spans="2:6" ht="27.95" customHeight="1" x14ac:dyDescent="0.25">
      <c r="B116" s="10" t="s">
        <v>169</v>
      </c>
      <c r="C116" s="9"/>
      <c r="D116" s="86"/>
      <c r="E116" s="72"/>
      <c r="F116" s="73"/>
    </row>
    <row r="117" spans="2:6" ht="27.95" customHeight="1" x14ac:dyDescent="0.25">
      <c r="B117" s="8" t="s">
        <v>170</v>
      </c>
      <c r="C117" s="9"/>
      <c r="D117" s="95"/>
      <c r="E117" s="72"/>
      <c r="F117" s="73"/>
    </row>
    <row r="118" spans="2:6" ht="27.95" customHeight="1" x14ac:dyDescent="0.25">
      <c r="B118" s="10" t="s">
        <v>171</v>
      </c>
      <c r="C118" s="9"/>
      <c r="D118" s="86"/>
      <c r="E118" s="72"/>
      <c r="F118" s="73"/>
    </row>
    <row r="119" spans="2:6" ht="27.95" customHeight="1" x14ac:dyDescent="0.25">
      <c r="B119" s="8" t="s">
        <v>172</v>
      </c>
      <c r="C119" s="9"/>
      <c r="D119" s="95"/>
      <c r="E119" s="72"/>
      <c r="F119" s="73"/>
    </row>
    <row r="120" spans="2:6" ht="27.95" customHeight="1" x14ac:dyDescent="0.25">
      <c r="B120" s="10" t="s">
        <v>173</v>
      </c>
      <c r="C120" s="9"/>
      <c r="D120" s="86"/>
      <c r="E120" s="72"/>
      <c r="F120" s="73"/>
    </row>
    <row r="121" spans="2:6" ht="27.95" customHeight="1" x14ac:dyDescent="0.25">
      <c r="B121" s="8" t="s">
        <v>174</v>
      </c>
      <c r="C121" s="9"/>
      <c r="D121" s="95"/>
      <c r="E121" s="72"/>
      <c r="F121" s="73"/>
    </row>
    <row r="122" spans="2:6" ht="27.95" customHeight="1" x14ac:dyDescent="0.25">
      <c r="B122" s="71" t="s">
        <v>175</v>
      </c>
      <c r="C122" s="72"/>
      <c r="D122" s="72"/>
      <c r="E122" s="72"/>
      <c r="F122" s="73"/>
    </row>
    <row r="123" spans="2:6" x14ac:dyDescent="0.25">
      <c r="B123" s="11" t="s">
        <v>105</v>
      </c>
      <c r="C123" s="12" t="str">
        <f>IF((COUNTIF(C115:C121,"Met")+COUNTIF(C115:C121,"Partial")+COUNTIF(C115:C121,"Missed"))=0,"",ROUND((COUNTIF(C115:C121,"Met")*5+COUNTIF(C115:C121,"Partial")*2.5)/(COUNTIF(C115:C121,"Met")+COUNTIF(C115:C121,"Partial")+COUNTIF(C115:C121,"Missed")),0))</f>
        <v/>
      </c>
      <c r="D123" s="96"/>
      <c r="E123" s="72"/>
      <c r="F123" s="73"/>
    </row>
    <row r="124" spans="2:6" ht="24" customHeight="1" x14ac:dyDescent="0.25">
      <c r="B124" s="13" t="s">
        <v>106</v>
      </c>
      <c r="C124" s="14"/>
      <c r="D124" s="101" t="str">
        <f>IF(IF(C124="",C123,C124)="","← rate the indicators above (auto-scores), or type an override",CHOOSE(IF(C124="",C123,C124)+1,"Agent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rate the indicators above (auto-scores), or type an override</v>
      </c>
      <c r="E124" s="72"/>
      <c r="F124" s="73"/>
    </row>
    <row r="125" spans="2:6" ht="36" customHeight="1" x14ac:dyDescent="0.25">
      <c r="B125" s="13" t="s">
        <v>176</v>
      </c>
      <c r="C125" s="78"/>
      <c r="D125" s="72"/>
      <c r="E125" s="72"/>
      <c r="F125" s="73"/>
    </row>
    <row r="127" spans="2:6" x14ac:dyDescent="0.25">
      <c r="B127" s="77" t="s">
        <v>177</v>
      </c>
      <c r="C127" s="75"/>
      <c r="D127" s="75"/>
      <c r="E127" s="75"/>
      <c r="F127" s="76"/>
    </row>
    <row r="128" spans="2:6" x14ac:dyDescent="0.25">
      <c r="B128" s="15" t="s">
        <v>178</v>
      </c>
      <c r="C128" s="15" t="s">
        <v>179</v>
      </c>
      <c r="D128" s="15" t="s">
        <v>180</v>
      </c>
      <c r="E128" s="15" t="s">
        <v>181</v>
      </c>
      <c r="F128" s="15" t="s">
        <v>182</v>
      </c>
    </row>
    <row r="129" spans="2:6" x14ac:dyDescent="0.25">
      <c r="B129" s="16" t="s">
        <v>183</v>
      </c>
      <c r="C129" s="17">
        <v>0.3</v>
      </c>
      <c r="D129" s="18" t="str">
        <f>IF(C35="",C34,C35)</f>
        <v/>
      </c>
      <c r="E129" s="19" t="str">
        <f t="shared" ref="E129:E135" si="0">IF(D129="","",(D129/5)*C129)</f>
        <v/>
      </c>
      <c r="F129" s="20" t="str">
        <f t="shared" ref="F129:F135" si="1">IF(D129="","",IF(D129&gt;=4,"Strong",IF(D129=3,"Developing","Needs Focus")))</f>
        <v/>
      </c>
    </row>
    <row r="130" spans="2:6" x14ac:dyDescent="0.25">
      <c r="B130" s="21" t="s">
        <v>184</v>
      </c>
      <c r="C130" s="22">
        <v>0.2</v>
      </c>
      <c r="D130" s="23" t="str">
        <f>IF(C50="",C49,C50)</f>
        <v/>
      </c>
      <c r="E130" s="24" t="str">
        <f t="shared" si="0"/>
        <v/>
      </c>
      <c r="F130" s="25" t="str">
        <f t="shared" si="1"/>
        <v/>
      </c>
    </row>
    <row r="131" spans="2:6" x14ac:dyDescent="0.25">
      <c r="B131" s="16" t="s">
        <v>185</v>
      </c>
      <c r="C131" s="17">
        <v>0.15</v>
      </c>
      <c r="D131" s="18" t="str">
        <f>IF(C66="",C65,C66)</f>
        <v/>
      </c>
      <c r="E131" s="19" t="str">
        <f t="shared" si="0"/>
        <v/>
      </c>
      <c r="F131" s="20" t="str">
        <f t="shared" si="1"/>
        <v/>
      </c>
    </row>
    <row r="132" spans="2:6" x14ac:dyDescent="0.25">
      <c r="B132" s="21" t="s">
        <v>186</v>
      </c>
      <c r="C132" s="22">
        <v>0.15</v>
      </c>
      <c r="D132" s="23" t="str">
        <f>IF(C82="",C81,C82)</f>
        <v/>
      </c>
      <c r="E132" s="24" t="str">
        <f t="shared" si="0"/>
        <v/>
      </c>
      <c r="F132" s="25" t="str">
        <f t="shared" si="1"/>
        <v/>
      </c>
    </row>
    <row r="133" spans="2:6" x14ac:dyDescent="0.25">
      <c r="B133" s="16" t="s">
        <v>187</v>
      </c>
      <c r="C133" s="17">
        <v>0.1</v>
      </c>
      <c r="D133" s="18" t="str">
        <f>IF(C95="",C94,C95)</f>
        <v/>
      </c>
      <c r="E133" s="19" t="str">
        <f t="shared" si="0"/>
        <v/>
      </c>
      <c r="F133" s="20" t="str">
        <f t="shared" si="1"/>
        <v/>
      </c>
    </row>
    <row r="134" spans="2:6" x14ac:dyDescent="0.25">
      <c r="B134" s="21" t="s">
        <v>188</v>
      </c>
      <c r="C134" s="22">
        <v>0.05</v>
      </c>
      <c r="D134" s="23" t="str">
        <f>IF(C109="",C108,C109)</f>
        <v/>
      </c>
      <c r="E134" s="24" t="str">
        <f t="shared" si="0"/>
        <v/>
      </c>
      <c r="F134" s="25" t="str">
        <f t="shared" si="1"/>
        <v/>
      </c>
    </row>
    <row r="135" spans="2:6" x14ac:dyDescent="0.25">
      <c r="B135" s="16" t="s">
        <v>189</v>
      </c>
      <c r="C135" s="17">
        <v>0.05</v>
      </c>
      <c r="D135" s="18" t="str">
        <f>IF(C124="",C123,C124)</f>
        <v/>
      </c>
      <c r="E135" s="19" t="str">
        <f t="shared" si="0"/>
        <v/>
      </c>
      <c r="F135" s="20" t="str">
        <f t="shared" si="1"/>
        <v/>
      </c>
    </row>
    <row r="136" spans="2:6" ht="24" customHeight="1" x14ac:dyDescent="0.25">
      <c r="B136" s="5" t="s">
        <v>190</v>
      </c>
      <c r="C136" s="26">
        <f>SUM(C129:C135)</f>
        <v>1</v>
      </c>
      <c r="D136" s="27"/>
      <c r="E136" s="28">
        <f>IF(OR(C192="No",C193="No",C194="No",COUNTIF(C196:C206,"Yes")&gt;0,COUNTIF(C149:C164,"Yes")&gt;0),0,SUM(E129:E135))</f>
        <v>0</v>
      </c>
      <c r="F136" s="29" t="str">
        <f>IF(E136="","",IF(OR(C192="No",C193="No",C194="No",COUNTIF(C196:C206,"Yes")&gt;0,COUNTIF(C149:C164,"Yes")&gt;0),"AUTO-ZERO (0%)",IF(E136&gt;=0.85,"MEETS / EXCEEDS",IF(E136&gt;=0.7,"DEVELOPING","NEEDS IMPROVEMENT"))))</f>
        <v>NEEDS IMPROVEMENT</v>
      </c>
    </row>
    <row r="138" spans="2:6" x14ac:dyDescent="0.25">
      <c r="B138" s="81" t="s">
        <v>191</v>
      </c>
      <c r="C138" s="75"/>
      <c r="D138" s="75"/>
      <c r="E138" s="75"/>
      <c r="F138" s="76"/>
    </row>
    <row r="139" spans="2:6" x14ac:dyDescent="0.25">
      <c r="B139" s="2" t="s">
        <v>192</v>
      </c>
      <c r="C139" s="104"/>
      <c r="D139" s="72"/>
      <c r="E139" s="72"/>
      <c r="F139" s="73"/>
    </row>
    <row r="140" spans="2:6" x14ac:dyDescent="0.25">
      <c r="B140" s="4" t="s">
        <v>193</v>
      </c>
      <c r="C140" s="79"/>
      <c r="D140" s="72"/>
      <c r="E140" s="72"/>
      <c r="F140" s="73"/>
    </row>
    <row r="141" spans="2:6" ht="51.95" customHeight="1" x14ac:dyDescent="0.25">
      <c r="B141" s="2" t="s">
        <v>194</v>
      </c>
      <c r="C141" s="78"/>
      <c r="D141" s="72"/>
      <c r="E141" s="72"/>
      <c r="F141" s="73"/>
    </row>
    <row r="143" spans="2:6" x14ac:dyDescent="0.25">
      <c r="B143" s="81" t="s">
        <v>195</v>
      </c>
      <c r="C143" s="75"/>
      <c r="D143" s="75"/>
      <c r="E143" s="75"/>
      <c r="F143" s="76"/>
    </row>
    <row r="144" spans="2:6" x14ac:dyDescent="0.25">
      <c r="B144" s="4" t="s">
        <v>196</v>
      </c>
      <c r="C144" s="9" t="s">
        <v>197</v>
      </c>
      <c r="D144" s="71" t="s">
        <v>198</v>
      </c>
      <c r="E144" s="72"/>
      <c r="F144" s="73"/>
    </row>
    <row r="145" spans="2:6" ht="30" customHeight="1" x14ac:dyDescent="0.25">
      <c r="B145" s="2" t="s">
        <v>199</v>
      </c>
      <c r="C145" s="79" t="s">
        <v>200</v>
      </c>
      <c r="D145" s="73"/>
      <c r="E145" s="106" t="str">
        <f>IF(AND(C144="Yes",OR(C145="None",C145="N.A. — no disconnect")),"⚠ MISSED OWNERSHIP OPPORTUNITY — flag in Customer Ownership and Critical Failures","OK")</f>
        <v>OK</v>
      </c>
      <c r="F145" s="73"/>
    </row>
    <row r="147" spans="2:6" x14ac:dyDescent="0.25">
      <c r="B147" s="102" t="s">
        <v>201</v>
      </c>
      <c r="C147" s="75"/>
      <c r="D147" s="75"/>
      <c r="E147" s="75"/>
      <c r="F147" s="76"/>
    </row>
    <row r="148" spans="2:6" x14ac:dyDescent="0.25">
      <c r="B148" s="1" t="s">
        <v>202</v>
      </c>
      <c r="C148" s="15" t="s">
        <v>203</v>
      </c>
      <c r="D148" s="81" t="s">
        <v>204</v>
      </c>
      <c r="E148" s="75"/>
      <c r="F148" s="76"/>
    </row>
    <row r="149" spans="2:6" ht="26.1" customHeight="1" x14ac:dyDescent="0.25">
      <c r="B149" s="8" t="s">
        <v>205</v>
      </c>
      <c r="C149" s="9" t="s">
        <v>197</v>
      </c>
      <c r="D149" s="95"/>
      <c r="E149" s="72"/>
      <c r="F149" s="73"/>
    </row>
    <row r="150" spans="2:6" ht="26.1" customHeight="1" x14ac:dyDescent="0.25">
      <c r="B150" s="10" t="s">
        <v>206</v>
      </c>
      <c r="C150" s="9" t="s">
        <v>197</v>
      </c>
      <c r="D150" s="86"/>
      <c r="E150" s="72"/>
      <c r="F150" s="73"/>
    </row>
    <row r="151" spans="2:6" ht="26.1" customHeight="1" x14ac:dyDescent="0.25">
      <c r="B151" s="8" t="s">
        <v>207</v>
      </c>
      <c r="C151" s="9" t="s">
        <v>197</v>
      </c>
      <c r="D151" s="95"/>
      <c r="E151" s="72"/>
      <c r="F151" s="73"/>
    </row>
    <row r="152" spans="2:6" ht="26.1" customHeight="1" x14ac:dyDescent="0.25">
      <c r="B152" s="10" t="s">
        <v>208</v>
      </c>
      <c r="C152" s="9" t="s">
        <v>197</v>
      </c>
      <c r="D152" s="86"/>
      <c r="E152" s="72"/>
      <c r="F152" s="73"/>
    </row>
    <row r="153" spans="2:6" ht="26.1" customHeight="1" x14ac:dyDescent="0.25">
      <c r="B153" s="8" t="s">
        <v>209</v>
      </c>
      <c r="C153" s="9" t="s">
        <v>197</v>
      </c>
      <c r="D153" s="95"/>
      <c r="E153" s="72"/>
      <c r="F153" s="73"/>
    </row>
    <row r="154" spans="2:6" ht="26.1" customHeight="1" x14ac:dyDescent="0.25">
      <c r="B154" s="10" t="s">
        <v>210</v>
      </c>
      <c r="C154" s="9" t="s">
        <v>197</v>
      </c>
      <c r="D154" s="86"/>
      <c r="E154" s="72"/>
      <c r="F154" s="73"/>
    </row>
    <row r="155" spans="2:6" ht="26.1" customHeight="1" x14ac:dyDescent="0.25">
      <c r="B155" s="8" t="s">
        <v>211</v>
      </c>
      <c r="C155" s="9" t="s">
        <v>197</v>
      </c>
      <c r="D155" s="95"/>
      <c r="E155" s="72"/>
      <c r="F155" s="73"/>
    </row>
    <row r="156" spans="2:6" ht="26.1" customHeight="1" x14ac:dyDescent="0.25">
      <c r="B156" s="10" t="s">
        <v>212</v>
      </c>
      <c r="C156" s="9" t="s">
        <v>197</v>
      </c>
      <c r="D156" s="86"/>
      <c r="E156" s="72"/>
      <c r="F156" s="73"/>
    </row>
    <row r="157" spans="2:6" ht="26.1" customHeight="1" x14ac:dyDescent="0.25">
      <c r="B157" s="8" t="s">
        <v>213</v>
      </c>
      <c r="C157" s="9" t="s">
        <v>197</v>
      </c>
      <c r="D157" s="95"/>
      <c r="E157" s="72"/>
      <c r="F157" s="73"/>
    </row>
    <row r="158" spans="2:6" ht="26.1" customHeight="1" x14ac:dyDescent="0.25">
      <c r="B158" s="10" t="s">
        <v>214</v>
      </c>
      <c r="C158" s="9" t="s">
        <v>197</v>
      </c>
      <c r="D158" s="86"/>
      <c r="E158" s="72"/>
      <c r="F158" s="73"/>
    </row>
    <row r="159" spans="2:6" ht="26.1" customHeight="1" x14ac:dyDescent="0.25">
      <c r="B159" s="8" t="s">
        <v>215</v>
      </c>
      <c r="C159" s="9" t="s">
        <v>197</v>
      </c>
      <c r="D159" s="95"/>
      <c r="E159" s="72"/>
      <c r="F159" s="73"/>
    </row>
    <row r="160" spans="2:6" ht="26.1" customHeight="1" x14ac:dyDescent="0.25">
      <c r="B160" s="8" t="s">
        <v>216</v>
      </c>
      <c r="C160" s="9" t="s">
        <v>197</v>
      </c>
      <c r="D160" s="95"/>
      <c r="E160" s="72"/>
      <c r="F160" s="73"/>
    </row>
    <row r="161" spans="2:6" ht="26.1" customHeight="1" x14ac:dyDescent="0.25">
      <c r="B161" s="8" t="s">
        <v>217</v>
      </c>
      <c r="C161" s="9" t="s">
        <v>197</v>
      </c>
      <c r="D161" s="95"/>
      <c r="E161" s="72"/>
      <c r="F161" s="73"/>
    </row>
    <row r="162" spans="2:6" ht="26.1" customHeight="1" x14ac:dyDescent="0.25">
      <c r="B162" s="8" t="s">
        <v>218</v>
      </c>
      <c r="C162" s="9" t="s">
        <v>197</v>
      </c>
      <c r="D162" s="95"/>
      <c r="E162" s="72"/>
      <c r="F162" s="73"/>
    </row>
    <row r="163" spans="2:6" ht="26.1" customHeight="1" x14ac:dyDescent="0.25">
      <c r="B163" s="8" t="s">
        <v>219</v>
      </c>
      <c r="C163" s="9" t="s">
        <v>197</v>
      </c>
      <c r="D163" s="95"/>
      <c r="E163" s="72"/>
      <c r="F163" s="73"/>
    </row>
    <row r="164" spans="2:6" ht="26.1" customHeight="1" x14ac:dyDescent="0.25">
      <c r="B164" s="8" t="s">
        <v>220</v>
      </c>
      <c r="C164" s="9" t="s">
        <v>197</v>
      </c>
      <c r="D164" s="95"/>
      <c r="E164" s="72"/>
      <c r="F164" s="73"/>
    </row>
    <row r="165" spans="2:6" x14ac:dyDescent="0.25">
      <c r="B165" s="30" t="s">
        <v>221</v>
      </c>
      <c r="C165" s="103" t="str">
        <f>IF(COUNTIF(C149:C164,"Yes")&gt;0,"YES — "&amp;COUNTIF(C149:C164,"Yes")&amp;" condition(s) flagged — automatic review required regardless of weighted score","No critical failures")</f>
        <v>No critical failures</v>
      </c>
      <c r="D165" s="75"/>
      <c r="E165" s="75"/>
      <c r="F165" s="76"/>
    </row>
    <row r="167" spans="2:6" ht="20.100000000000001" customHeight="1" x14ac:dyDescent="0.25">
      <c r="B167" s="77" t="s">
        <v>222</v>
      </c>
      <c r="C167" s="75"/>
      <c r="D167" s="75"/>
      <c r="E167" s="75"/>
      <c r="F167" s="76"/>
    </row>
    <row r="168" spans="2:6" ht="30" customHeight="1" x14ac:dyDescent="0.25">
      <c r="B168" s="100" t="s">
        <v>223</v>
      </c>
      <c r="C168" s="75"/>
      <c r="D168" s="75"/>
      <c r="E168" s="75"/>
      <c r="F168" s="76"/>
    </row>
    <row r="169" spans="2:6" ht="57.95" customHeight="1" x14ac:dyDescent="0.25">
      <c r="B169" s="78"/>
      <c r="C169" s="72"/>
      <c r="D169" s="72"/>
      <c r="E169" s="72"/>
      <c r="F169" s="73"/>
    </row>
    <row r="170" spans="2:6" ht="30" customHeight="1" x14ac:dyDescent="0.25">
      <c r="B170" s="100" t="s">
        <v>224</v>
      </c>
      <c r="C170" s="75"/>
      <c r="D170" s="75"/>
      <c r="E170" s="75"/>
      <c r="F170" s="76"/>
    </row>
    <row r="171" spans="2:6" ht="24" customHeight="1" x14ac:dyDescent="0.25">
      <c r="B171" s="99" t="s">
        <v>225</v>
      </c>
      <c r="C171" s="72"/>
      <c r="D171" s="72"/>
      <c r="E171" s="72"/>
      <c r="F171" s="73"/>
    </row>
    <row r="172" spans="2:6" ht="32.1" customHeight="1" x14ac:dyDescent="0.25">
      <c r="B172" s="7" t="s">
        <v>226</v>
      </c>
      <c r="C172" s="78"/>
      <c r="D172" s="72"/>
      <c r="E172" s="72"/>
      <c r="F172" s="73"/>
    </row>
    <row r="173" spans="2:6" ht="32.1" customHeight="1" x14ac:dyDescent="0.25">
      <c r="B173" s="7" t="s">
        <v>227</v>
      </c>
      <c r="C173" s="78"/>
      <c r="D173" s="72"/>
      <c r="E173" s="72"/>
      <c r="F173" s="73"/>
    </row>
    <row r="174" spans="2:6" ht="32.1" customHeight="1" x14ac:dyDescent="0.25">
      <c r="B174" s="7" t="s">
        <v>228</v>
      </c>
      <c r="C174" s="78"/>
      <c r="D174" s="72"/>
      <c r="E174" s="72"/>
      <c r="F174" s="73"/>
    </row>
    <row r="175" spans="2:6" ht="24" customHeight="1" x14ac:dyDescent="0.25">
      <c r="B175" s="99" t="s">
        <v>229</v>
      </c>
      <c r="C175" s="72"/>
      <c r="D175" s="72"/>
      <c r="E175" s="72"/>
      <c r="F175" s="73"/>
    </row>
    <row r="176" spans="2:6" ht="32.1" customHeight="1" x14ac:dyDescent="0.25">
      <c r="B176" s="7" t="s">
        <v>226</v>
      </c>
      <c r="C176" s="78"/>
      <c r="D176" s="72"/>
      <c r="E176" s="72"/>
      <c r="F176" s="73"/>
    </row>
    <row r="177" spans="2:6" ht="32.1" customHeight="1" x14ac:dyDescent="0.25">
      <c r="B177" s="7" t="s">
        <v>227</v>
      </c>
      <c r="C177" s="78"/>
      <c r="D177" s="72"/>
      <c r="E177" s="72"/>
      <c r="F177" s="73"/>
    </row>
    <row r="178" spans="2:6" ht="32.1" customHeight="1" x14ac:dyDescent="0.25">
      <c r="B178" s="7" t="s">
        <v>228</v>
      </c>
      <c r="C178" s="78"/>
      <c r="D178" s="72"/>
      <c r="E178" s="72"/>
      <c r="F178" s="73"/>
    </row>
    <row r="179" spans="2:6" ht="24" customHeight="1" x14ac:dyDescent="0.25">
      <c r="B179" s="99" t="s">
        <v>230</v>
      </c>
      <c r="C179" s="72"/>
      <c r="D179" s="72"/>
      <c r="E179" s="72"/>
      <c r="F179" s="73"/>
    </row>
    <row r="180" spans="2:6" ht="57.95" customHeight="1" x14ac:dyDescent="0.25">
      <c r="B180" s="78"/>
      <c r="C180" s="72"/>
      <c r="D180" s="72"/>
      <c r="E180" s="72"/>
      <c r="F180" s="73"/>
    </row>
    <row r="181" spans="2:6" ht="32.1" customHeight="1" x14ac:dyDescent="0.25">
      <c r="B181" s="100" t="s">
        <v>231</v>
      </c>
      <c r="C181" s="75"/>
      <c r="D181" s="75"/>
      <c r="E181" s="75"/>
      <c r="F181" s="76"/>
    </row>
    <row r="182" spans="2:6" ht="24" customHeight="1" x14ac:dyDescent="0.25">
      <c r="B182" s="99" t="s">
        <v>232</v>
      </c>
      <c r="C182" s="72"/>
      <c r="D182" s="72"/>
      <c r="E182" s="72"/>
      <c r="F182" s="73"/>
    </row>
    <row r="183" spans="2:6" ht="57.95" customHeight="1" x14ac:dyDescent="0.25">
      <c r="B183" s="78"/>
      <c r="C183" s="72"/>
      <c r="D183" s="72"/>
      <c r="E183" s="72"/>
      <c r="F183" s="73"/>
    </row>
    <row r="184" spans="2:6" ht="24" customHeight="1" x14ac:dyDescent="0.25">
      <c r="B184" s="99" t="s">
        <v>233</v>
      </c>
      <c r="C184" s="72"/>
      <c r="D184" s="72"/>
      <c r="E184" s="72"/>
      <c r="F184" s="73"/>
    </row>
    <row r="185" spans="2:6" ht="57.95" customHeight="1" x14ac:dyDescent="0.25">
      <c r="B185" s="78"/>
      <c r="C185" s="72"/>
      <c r="D185" s="72"/>
      <c r="E185" s="72"/>
      <c r="F185" s="73"/>
    </row>
    <row r="186" spans="2:6" ht="24" customHeight="1" x14ac:dyDescent="0.25">
      <c r="B186" s="99" t="s">
        <v>234</v>
      </c>
      <c r="C186" s="72"/>
      <c r="D186" s="72"/>
      <c r="E186" s="72"/>
      <c r="F186" s="73"/>
    </row>
    <row r="187" spans="2:6" ht="57.95" customHeight="1" x14ac:dyDescent="0.25">
      <c r="B187" s="78"/>
      <c r="C187" s="72"/>
      <c r="D187" s="72"/>
      <c r="E187" s="72"/>
      <c r="F187" s="73"/>
    </row>
    <row r="189" spans="2:6" ht="21.95" customHeight="1" x14ac:dyDescent="0.25">
      <c r="B189" s="102" t="s">
        <v>235</v>
      </c>
      <c r="C189" s="75"/>
      <c r="D189" s="75"/>
      <c r="E189" s="75"/>
      <c r="F189" s="76"/>
    </row>
    <row r="190" spans="2:6" ht="30" customHeight="1" x14ac:dyDescent="0.25">
      <c r="B190" s="71" t="s">
        <v>236</v>
      </c>
      <c r="C190" s="72"/>
      <c r="D190" s="72"/>
      <c r="E190" s="72"/>
      <c r="F190" s="73"/>
    </row>
    <row r="191" spans="2:6" x14ac:dyDescent="0.25">
      <c r="B191" s="1" t="s">
        <v>237</v>
      </c>
      <c r="C191" s="15" t="s">
        <v>238</v>
      </c>
      <c r="D191" s="81" t="s">
        <v>204</v>
      </c>
      <c r="E191" s="81"/>
      <c r="F191" s="81"/>
    </row>
    <row r="192" spans="2:6" ht="26.1" customHeight="1" x14ac:dyDescent="0.25">
      <c r="B192" s="8" t="s">
        <v>239</v>
      </c>
      <c r="C192" s="9" t="s">
        <v>240</v>
      </c>
      <c r="D192" s="95"/>
      <c r="E192" s="95"/>
      <c r="F192" s="95"/>
    </row>
    <row r="193" spans="2:6" ht="26.1" customHeight="1" x14ac:dyDescent="0.25">
      <c r="B193" s="8" t="s">
        <v>241</v>
      </c>
      <c r="C193" s="9" t="s">
        <v>240</v>
      </c>
      <c r="D193" s="95"/>
      <c r="E193" s="95"/>
      <c r="F193" s="95"/>
    </row>
    <row r="194" spans="2:6" ht="26.1" customHeight="1" x14ac:dyDescent="0.25">
      <c r="B194" s="8" t="s">
        <v>242</v>
      </c>
      <c r="C194" s="9" t="s">
        <v>240</v>
      </c>
      <c r="D194" s="95"/>
      <c r="E194" s="95"/>
      <c r="F194" s="95"/>
    </row>
    <row r="195" spans="2:6" x14ac:dyDescent="0.25">
      <c r="B195" s="1" t="s">
        <v>243</v>
      </c>
      <c r="C195" s="15" t="s">
        <v>244</v>
      </c>
      <c r="D195" s="81" t="s">
        <v>204</v>
      </c>
      <c r="E195" s="81"/>
      <c r="F195" s="81"/>
    </row>
    <row r="196" spans="2:6" ht="26.1" customHeight="1" x14ac:dyDescent="0.25">
      <c r="B196" s="8" t="s">
        <v>245</v>
      </c>
      <c r="C196" s="9" t="s">
        <v>197</v>
      </c>
      <c r="D196" s="95"/>
      <c r="E196" s="95"/>
      <c r="F196" s="95"/>
    </row>
    <row r="197" spans="2:6" ht="26.1" customHeight="1" x14ac:dyDescent="0.25">
      <c r="B197" s="8" t="s">
        <v>246</v>
      </c>
      <c r="C197" s="9" t="s">
        <v>197</v>
      </c>
      <c r="D197" s="95"/>
      <c r="E197" s="95"/>
      <c r="F197" s="95"/>
    </row>
    <row r="198" spans="2:6" ht="26.1" customHeight="1" x14ac:dyDescent="0.25">
      <c r="B198" s="8" t="s">
        <v>247</v>
      </c>
      <c r="C198" s="9" t="s">
        <v>197</v>
      </c>
      <c r="D198" s="95"/>
      <c r="E198" s="95"/>
      <c r="F198" s="95"/>
    </row>
    <row r="199" spans="2:6" ht="26.1" customHeight="1" x14ac:dyDescent="0.25">
      <c r="B199" s="8" t="s">
        <v>248</v>
      </c>
      <c r="C199" s="9" t="s">
        <v>197</v>
      </c>
      <c r="D199" s="95"/>
      <c r="E199" s="95"/>
      <c r="F199" s="95"/>
    </row>
    <row r="200" spans="2:6" ht="26.1" customHeight="1" x14ac:dyDescent="0.25">
      <c r="B200" s="8" t="s">
        <v>249</v>
      </c>
      <c r="C200" s="9" t="s">
        <v>197</v>
      </c>
      <c r="D200" s="95"/>
      <c r="E200" s="95"/>
      <c r="F200" s="95"/>
    </row>
    <row r="201" spans="2:6" ht="26.1" customHeight="1" x14ac:dyDescent="0.25">
      <c r="B201" s="8" t="s">
        <v>250</v>
      </c>
      <c r="C201" s="9" t="s">
        <v>197</v>
      </c>
      <c r="D201" s="95"/>
      <c r="E201" s="95"/>
      <c r="F201" s="95"/>
    </row>
    <row r="202" spans="2:6" ht="26.1" customHeight="1" x14ac:dyDescent="0.25">
      <c r="B202" s="8" t="s">
        <v>251</v>
      </c>
      <c r="C202" s="9" t="s">
        <v>197</v>
      </c>
      <c r="D202" s="95"/>
      <c r="E202" s="95"/>
      <c r="F202" s="95"/>
    </row>
    <row r="203" spans="2:6" ht="26.1" customHeight="1" x14ac:dyDescent="0.25">
      <c r="B203" s="8" t="s">
        <v>252</v>
      </c>
      <c r="C203" s="9" t="s">
        <v>197</v>
      </c>
      <c r="D203" s="95"/>
      <c r="E203" s="95"/>
      <c r="F203" s="95"/>
    </row>
    <row r="204" spans="2:6" ht="26.1" customHeight="1" x14ac:dyDescent="0.25">
      <c r="B204" s="8" t="s">
        <v>253</v>
      </c>
      <c r="C204" s="9" t="s">
        <v>197</v>
      </c>
      <c r="D204" s="95"/>
      <c r="E204" s="95"/>
      <c r="F204" s="95"/>
    </row>
    <row r="205" spans="2:6" ht="26.1" customHeight="1" x14ac:dyDescent="0.25">
      <c r="B205" s="8" t="s">
        <v>254</v>
      </c>
      <c r="C205" s="9" t="s">
        <v>197</v>
      </c>
      <c r="D205" s="95"/>
      <c r="E205" s="95"/>
      <c r="F205" s="95"/>
    </row>
    <row r="206" spans="2:6" ht="26.1" customHeight="1" x14ac:dyDescent="0.25">
      <c r="B206" s="8" t="s">
        <v>255</v>
      </c>
      <c r="C206" s="9" t="s">
        <v>197</v>
      </c>
      <c r="D206" s="95"/>
      <c r="E206" s="95"/>
      <c r="F206" s="95"/>
    </row>
    <row r="207" spans="2:6" x14ac:dyDescent="0.25">
      <c r="B207" s="30" t="s">
        <v>256</v>
      </c>
      <c r="C207" s="103" t="str">
        <f>IF(OR(C192="No",C193="No",C194="No",COUNTIF(C196:C206,"Yes")&gt;0,COUNTIF(C149:C164,"Yes")&gt;0),"YES — Quality Score forced to 0%","No")</f>
        <v>No</v>
      </c>
      <c r="D207" s="103"/>
      <c r="E207" s="103"/>
      <c r="F207" s="103"/>
    </row>
  </sheetData>
  <mergeCells count="185">
    <mergeCell ref="E8:F8"/>
    <mergeCell ref="C13:F13"/>
    <mergeCell ref="B180:F180"/>
    <mergeCell ref="D28:F28"/>
    <mergeCell ref="B2:F2"/>
    <mergeCell ref="D102:F102"/>
    <mergeCell ref="D196:F196"/>
    <mergeCell ref="D92:F92"/>
    <mergeCell ref="B170:F170"/>
    <mergeCell ref="D152:F152"/>
    <mergeCell ref="D30:F30"/>
    <mergeCell ref="B179:F179"/>
    <mergeCell ref="C172:F172"/>
    <mergeCell ref="D29:F29"/>
    <mergeCell ref="D94:F94"/>
    <mergeCell ref="B186:F186"/>
    <mergeCell ref="B168:F168"/>
    <mergeCell ref="D191:F191"/>
    <mergeCell ref="D144:F144"/>
    <mergeCell ref="B143:F143"/>
    <mergeCell ref="D119:F119"/>
    <mergeCell ref="C173:F173"/>
    <mergeCell ref="E145:F145"/>
    <mergeCell ref="D195:F195"/>
    <mergeCell ref="E12:F12"/>
    <mergeCell ref="D27:F27"/>
    <mergeCell ref="D120:F120"/>
    <mergeCell ref="B54:F54"/>
    <mergeCell ref="D154:F154"/>
    <mergeCell ref="D41:F41"/>
    <mergeCell ref="D194:F194"/>
    <mergeCell ref="B185:F185"/>
    <mergeCell ref="D163:F163"/>
    <mergeCell ref="B175:F175"/>
    <mergeCell ref="B171:F171"/>
    <mergeCell ref="C177:F177"/>
    <mergeCell ref="B187:F187"/>
    <mergeCell ref="B53:E53"/>
    <mergeCell ref="D31:F31"/>
    <mergeCell ref="D46:F46"/>
    <mergeCell ref="D158:F158"/>
    <mergeCell ref="D40:F40"/>
    <mergeCell ref="C139:F139"/>
    <mergeCell ref="B189:F189"/>
    <mergeCell ref="D108:F108"/>
    <mergeCell ref="D95:F95"/>
    <mergeCell ref="B15:F15"/>
    <mergeCell ref="B69:E69"/>
    <mergeCell ref="C14:F14"/>
    <mergeCell ref="D55:F55"/>
    <mergeCell ref="D157:F157"/>
    <mergeCell ref="B99:F99"/>
    <mergeCell ref="D60:F60"/>
    <mergeCell ref="D100:F100"/>
    <mergeCell ref="D109:F109"/>
    <mergeCell ref="E16:F16"/>
    <mergeCell ref="C207:F207"/>
    <mergeCell ref="D201:F201"/>
    <mergeCell ref="D199:F199"/>
    <mergeCell ref="B38:E38"/>
    <mergeCell ref="B80:F80"/>
    <mergeCell ref="B112:E112"/>
    <mergeCell ref="D105:F105"/>
    <mergeCell ref="C36:F36"/>
    <mergeCell ref="D57:F57"/>
    <mergeCell ref="D197:F197"/>
    <mergeCell ref="D47:F47"/>
    <mergeCell ref="D76:F76"/>
    <mergeCell ref="D116:F116"/>
    <mergeCell ref="D66:F66"/>
    <mergeCell ref="B122:F122"/>
    <mergeCell ref="D75:F75"/>
    <mergeCell ref="B4:F4"/>
    <mergeCell ref="D104:F104"/>
    <mergeCell ref="C110:F110"/>
    <mergeCell ref="D160:F160"/>
    <mergeCell ref="D150:F150"/>
    <mergeCell ref="D32:F32"/>
    <mergeCell ref="B190:F190"/>
    <mergeCell ref="C165:F165"/>
    <mergeCell ref="C174:F174"/>
    <mergeCell ref="D78:F78"/>
    <mergeCell ref="E17:F17"/>
    <mergeCell ref="E10:F10"/>
    <mergeCell ref="E9:F9"/>
    <mergeCell ref="E11:F11"/>
    <mergeCell ref="E5:F5"/>
    <mergeCell ref="C67:F67"/>
    <mergeCell ref="D91:F91"/>
    <mergeCell ref="C19:F19"/>
    <mergeCell ref="D162:F162"/>
    <mergeCell ref="D43:F43"/>
    <mergeCell ref="D156:F156"/>
    <mergeCell ref="B70:F70"/>
    <mergeCell ref="B167:F167"/>
    <mergeCell ref="D106:F106"/>
    <mergeCell ref="B21:F21"/>
    <mergeCell ref="C18:F18"/>
    <mergeCell ref="B39:F39"/>
    <mergeCell ref="B48:F48"/>
    <mergeCell ref="D71:F71"/>
    <mergeCell ref="D193:F193"/>
    <mergeCell ref="D202:F202"/>
    <mergeCell ref="D58:F58"/>
    <mergeCell ref="D149:F149"/>
    <mergeCell ref="D45:F45"/>
    <mergeCell ref="C51:F51"/>
    <mergeCell ref="D101:F101"/>
    <mergeCell ref="D124:F124"/>
    <mergeCell ref="C178:F178"/>
    <mergeCell ref="D77:F77"/>
    <mergeCell ref="D153:F153"/>
    <mergeCell ref="B127:F127"/>
    <mergeCell ref="D63:F63"/>
    <mergeCell ref="B98:E98"/>
    <mergeCell ref="D81:F81"/>
    <mergeCell ref="D90:F90"/>
    <mergeCell ref="C96:F96"/>
    <mergeCell ref="C83:F83"/>
    <mergeCell ref="B25:E25"/>
    <mergeCell ref="B1:F1"/>
    <mergeCell ref="D121:F121"/>
    <mergeCell ref="B181:F181"/>
    <mergeCell ref="D192:F192"/>
    <mergeCell ref="C141:F141"/>
    <mergeCell ref="D73:F73"/>
    <mergeCell ref="D164:F164"/>
    <mergeCell ref="D42:F42"/>
    <mergeCell ref="D82:F82"/>
    <mergeCell ref="E6:F6"/>
    <mergeCell ref="B147:F147"/>
    <mergeCell ref="D148:F148"/>
    <mergeCell ref="D123:F123"/>
    <mergeCell ref="C20:F20"/>
    <mergeCell ref="D35:F35"/>
    <mergeCell ref="D50:F50"/>
    <mergeCell ref="D44:F44"/>
    <mergeCell ref="D59:F59"/>
    <mergeCell ref="D115:F115"/>
    <mergeCell ref="D34:F34"/>
    <mergeCell ref="B183:F183"/>
    <mergeCell ref="C176:F176"/>
    <mergeCell ref="E7:F7"/>
    <mergeCell ref="D155:F155"/>
    <mergeCell ref="D204:F204"/>
    <mergeCell ref="B138:F138"/>
    <mergeCell ref="B113:F113"/>
    <mergeCell ref="D198:F198"/>
    <mergeCell ref="D151:F151"/>
    <mergeCell ref="D61:F61"/>
    <mergeCell ref="D206:F206"/>
    <mergeCell ref="B22:F22"/>
    <mergeCell ref="B93:F93"/>
    <mergeCell ref="B85:E85"/>
    <mergeCell ref="D103:F103"/>
    <mergeCell ref="D72:F72"/>
    <mergeCell ref="C140:F140"/>
    <mergeCell ref="D205:F205"/>
    <mergeCell ref="B86:F86"/>
    <mergeCell ref="D62:F62"/>
    <mergeCell ref="D118:F118"/>
    <mergeCell ref="D56:F56"/>
    <mergeCell ref="D161:F161"/>
    <mergeCell ref="D114:F114"/>
    <mergeCell ref="D89:F89"/>
    <mergeCell ref="B182:F182"/>
    <mergeCell ref="D79:F79"/>
    <mergeCell ref="D88:F88"/>
    <mergeCell ref="D203:F203"/>
    <mergeCell ref="B24:F24"/>
    <mergeCell ref="B64:F64"/>
    <mergeCell ref="B33:F33"/>
    <mergeCell ref="D65:F65"/>
    <mergeCell ref="B169:F169"/>
    <mergeCell ref="B26:F26"/>
    <mergeCell ref="D49:F49"/>
    <mergeCell ref="C145:D145"/>
    <mergeCell ref="D200:F200"/>
    <mergeCell ref="D87:F87"/>
    <mergeCell ref="B107:F107"/>
    <mergeCell ref="D74:F74"/>
    <mergeCell ref="D117:F117"/>
    <mergeCell ref="C125:F125"/>
    <mergeCell ref="B184:F184"/>
    <mergeCell ref="D159:F159"/>
  </mergeCells>
  <conditionalFormatting sqref="C20:C24">
    <cfRule type="cellIs" dxfId="196" priority="1" operator="equal">
      <formula>"Met"</formula>
    </cfRule>
    <cfRule type="cellIs" dxfId="195" priority="2" operator="equal">
      <formula>"Partial"</formula>
    </cfRule>
    <cfRule type="cellIs" dxfId="194" priority="3" operator="equal">
      <formula>"Missed"</formula>
    </cfRule>
  </conditionalFormatting>
  <conditionalFormatting sqref="C27">
    <cfRule type="cellIs" dxfId="193" priority="4" operator="lessThanOrEqual">
      <formula>2</formula>
    </cfRule>
    <cfRule type="cellIs" dxfId="192" priority="5" operator="equal">
      <formula>3</formula>
    </cfRule>
    <cfRule type="cellIs" dxfId="191" priority="6" operator="greaterThanOrEqual">
      <formula>4</formula>
    </cfRule>
  </conditionalFormatting>
  <conditionalFormatting sqref="C33:C39">
    <cfRule type="cellIs" dxfId="190" priority="7" operator="equal">
      <formula>"Met"</formula>
    </cfRule>
    <cfRule type="cellIs" dxfId="189" priority="8" operator="equal">
      <formula>"Partial"</formula>
    </cfRule>
    <cfRule type="cellIs" dxfId="188" priority="9" operator="equal">
      <formula>"Missed"</formula>
    </cfRule>
  </conditionalFormatting>
  <conditionalFormatting sqref="C42">
    <cfRule type="cellIs" dxfId="187" priority="10" operator="lessThanOrEqual">
      <formula>2</formula>
    </cfRule>
    <cfRule type="cellIs" dxfId="186" priority="11" operator="equal">
      <formula>3</formula>
    </cfRule>
    <cfRule type="cellIs" dxfId="185" priority="12" operator="greaterThanOrEqual">
      <formula>4</formula>
    </cfRule>
  </conditionalFormatting>
  <conditionalFormatting sqref="C48:C55">
    <cfRule type="cellIs" dxfId="184" priority="13" operator="equal">
      <formula>"Met"</formula>
    </cfRule>
    <cfRule type="cellIs" dxfId="183" priority="14" operator="equal">
      <formula>"Partial"</formula>
    </cfRule>
    <cfRule type="cellIs" dxfId="182" priority="15" operator="equal">
      <formula>"Missed"</formula>
    </cfRule>
  </conditionalFormatting>
  <conditionalFormatting sqref="C58">
    <cfRule type="cellIs" dxfId="181" priority="16" operator="lessThanOrEqual">
      <formula>2</formula>
    </cfRule>
    <cfRule type="cellIs" dxfId="180" priority="17" operator="equal">
      <formula>3</formula>
    </cfRule>
    <cfRule type="cellIs" dxfId="179" priority="18" operator="greaterThanOrEqual">
      <formula>4</formula>
    </cfRule>
  </conditionalFormatting>
  <conditionalFormatting sqref="C64:C71">
    <cfRule type="cellIs" dxfId="178" priority="19" operator="equal">
      <formula>"Met"</formula>
    </cfRule>
    <cfRule type="cellIs" dxfId="177" priority="20" operator="equal">
      <formula>"Partial"</formula>
    </cfRule>
    <cfRule type="cellIs" dxfId="176" priority="21" operator="equal">
      <formula>"Missed"</formula>
    </cfRule>
  </conditionalFormatting>
  <conditionalFormatting sqref="C74">
    <cfRule type="cellIs" dxfId="175" priority="22" operator="lessThanOrEqual">
      <formula>2</formula>
    </cfRule>
    <cfRule type="cellIs" dxfId="174" priority="23" operator="equal">
      <formula>3</formula>
    </cfRule>
    <cfRule type="cellIs" dxfId="173" priority="24" operator="greaterThanOrEqual">
      <formula>4</formula>
    </cfRule>
  </conditionalFormatting>
  <conditionalFormatting sqref="C80:C84">
    <cfRule type="cellIs" dxfId="172" priority="25" operator="equal">
      <formula>"Met"</formula>
    </cfRule>
    <cfRule type="cellIs" dxfId="171" priority="26" operator="equal">
      <formula>"Partial"</formula>
    </cfRule>
    <cfRule type="cellIs" dxfId="170" priority="27" operator="equal">
      <formula>"Missed"</formula>
    </cfRule>
  </conditionalFormatting>
  <conditionalFormatting sqref="C87">
    <cfRule type="cellIs" dxfId="169" priority="28" operator="lessThanOrEqual">
      <formula>2</formula>
    </cfRule>
    <cfRule type="cellIs" dxfId="168" priority="29" operator="equal">
      <formula>3</formula>
    </cfRule>
    <cfRule type="cellIs" dxfId="167" priority="30" operator="greaterThanOrEqual">
      <formula>4</formula>
    </cfRule>
  </conditionalFormatting>
  <conditionalFormatting sqref="C93:C98">
    <cfRule type="cellIs" dxfId="166" priority="31" operator="equal">
      <formula>"Met"</formula>
    </cfRule>
    <cfRule type="cellIs" dxfId="165" priority="32" operator="equal">
      <formula>"Partial"</formula>
    </cfRule>
    <cfRule type="cellIs" dxfId="164" priority="33" operator="equal">
      <formula>"Missed"</formula>
    </cfRule>
  </conditionalFormatting>
  <conditionalFormatting sqref="C101">
    <cfRule type="cellIs" dxfId="163" priority="34" operator="lessThanOrEqual">
      <formula>2</formula>
    </cfRule>
    <cfRule type="cellIs" dxfId="162" priority="35" operator="equal">
      <formula>3</formula>
    </cfRule>
    <cfRule type="cellIs" dxfId="161" priority="36" operator="greaterThanOrEqual">
      <formula>4</formula>
    </cfRule>
  </conditionalFormatting>
  <conditionalFormatting sqref="C107:C113">
    <cfRule type="cellIs" dxfId="160" priority="37" operator="equal">
      <formula>"Met"</formula>
    </cfRule>
    <cfRule type="cellIs" dxfId="159" priority="38" operator="equal">
      <formula>"Partial"</formula>
    </cfRule>
    <cfRule type="cellIs" dxfId="158" priority="39" operator="equal">
      <formula>"Missed"</formula>
    </cfRule>
  </conditionalFormatting>
  <conditionalFormatting sqref="C116">
    <cfRule type="cellIs" dxfId="157" priority="40" operator="lessThanOrEqual">
      <formula>2</formula>
    </cfRule>
    <cfRule type="cellIs" dxfId="156" priority="41" operator="equal">
      <formula>3</formula>
    </cfRule>
    <cfRule type="cellIs" dxfId="155" priority="42" operator="greaterThanOrEqual">
      <formula>4</formula>
    </cfRule>
  </conditionalFormatting>
  <conditionalFormatting sqref="C141:C151">
    <cfRule type="cellIs" dxfId="154" priority="51" operator="equal">
      <formula>"Yes"</formula>
    </cfRule>
  </conditionalFormatting>
  <conditionalFormatting sqref="C152">
    <cfRule type="expression" dxfId="153" priority="53">
      <formula>NOT(ISNUMBER(SEARCH("YES",C152)))</formula>
    </cfRule>
    <cfRule type="expression" dxfId="152" priority="52">
      <formula>ISNUMBER(SEARCH("YES",C152))</formula>
    </cfRule>
  </conditionalFormatting>
  <conditionalFormatting sqref="E128">
    <cfRule type="cellIs" dxfId="151" priority="43" operator="greaterThanOrEqual">
      <formula>0.85</formula>
    </cfRule>
    <cfRule type="cellIs" dxfId="150" priority="44" operator="between">
      <formula>0.7</formula>
      <formula>0.8499</formula>
    </cfRule>
    <cfRule type="cellIs" dxfId="149" priority="45" operator="lessThan">
      <formula>0.7</formula>
    </cfRule>
  </conditionalFormatting>
  <conditionalFormatting sqref="E137">
    <cfRule type="expression" dxfId="148" priority="49">
      <formula>E137&lt;&gt;"OK"</formula>
    </cfRule>
    <cfRule type="expression" dxfId="147" priority="50">
      <formula>E137="OK"</formula>
    </cfRule>
  </conditionalFormatting>
  <conditionalFormatting sqref="F121:F127">
    <cfRule type="cellIs" dxfId="146" priority="46" operator="equal">
      <formula>"Strong"</formula>
    </cfRule>
    <cfRule type="cellIs" dxfId="145" priority="48" operator="equal">
      <formula>"Needs Focus"</formula>
    </cfRule>
    <cfRule type="cellIs" dxfId="144" priority="47" operator="equal">
      <formula>"Developing"</formula>
    </cfRule>
  </conditionalFormatting>
  <dataValidations count="11">
    <dataValidation type="list" allowBlank="1" sqref="C28 C29 C30 C31 C32 C41 C42 C43 C44 C45 C46 C47 C56 C57 C58 C59 C60 C61 C62 C63 C72 C73 C74 C75 C76 C77 C78 C79 C88 C89 C90 C91 C92 C101 C102 C103 C104 C105 C106 C115 C116 C117 C118 C119 C120 C121" xr:uid="{00000000-0002-0000-0100-000000000000}">
      <formula1>"Met,Partial,Missed,N.A."</formula1>
    </dataValidation>
    <dataValidation type="whole" allowBlank="1" sqref="C35 C50 C66 C82 C95 C109 C124" xr:uid="{00000000-0002-0000-0100-000001000000}">
      <formula1>0</formula1>
    </dataValidation>
    <dataValidation type="list" allowBlank="1" sqref="C144 E10 C196:C206 C149:C164" xr:uid="{00000000-0002-0000-0100-000002000000}">
      <formula1>"No,Yes"</formula1>
    </dataValidation>
    <dataValidation type="list" allowBlank="1" sqref="C8" xr:uid="{00000000-0002-0000-0100-000003000000}">
      <formula1>"In-Warranty,Out-of-Warranty,Unknown"</formula1>
    </dataValidation>
    <dataValidation type="list" allowBlank="1" sqref="E7" xr:uid="{00000000-0002-0000-0100-000004000000}">
      <formula1>"Phone,Chat,Email,Social,Other"</formula1>
    </dataValidation>
    <dataValidation type="list" allowBlank="1" sqref="C9" xr:uid="{00000000-0002-0000-0100-000005000000}">
      <formula1>"Technical Issue,Setup/How-To,RMA/Replacement,Billing/Account,Connectivity,Other"</formula1>
    </dataValidation>
    <dataValidation type="list" allowBlank="1" sqref="E12" xr:uid="{00000000-0002-0000-0100-000006000000}">
      <formula1>"Within SLA,Breached,N.A."</formula1>
    </dataValidation>
    <dataValidation type="list" allowBlank="1" sqref="C139" xr:uid="{00000000-0002-0000-0100-000007000000}">
      <formula1>"Successful Resolution,Partial Resolution,Appropriate Escalation,Ownership Gap,Unresolved"</formula1>
    </dataValidation>
    <dataValidation type="list" allowBlank="1" sqref="C140" xr:uid="{00000000-0002-0000-0100-000008000000}">
      <formula1>_xlfn._LONGTEXT("Issue resolved,Proper RMA initiated (in-warranty / approved exception),Valid escalation submitted,Known limitation explained accurately,Customer educated with actionable next steps,Valid self-help guidance provided (out-of-warranty),Upgrade path recommend","ed appropriately (out-of-warranty),Customer declined further troubleshooting after reasonable effort,None achieved")</formula1>
    </dataValidation>
    <dataValidation type="list" allowBlank="1" sqref="C145" xr:uid="{00000000-0002-0000-0100-000009000000}">
      <formula1>"Callback attempt,Follow-up email,Private note documenting actions,Documented why follow-up not possible,None,N.A. — no disconnect"</formula1>
    </dataValidation>
    <dataValidation type="list" allowBlank="1" sqref="C192:C194" xr:uid="{00000000-0002-0000-0100-000012000000}">
      <formula1>"Yes,No,N.A."</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7">
        <x14:dataValidation type="list" allowBlank="1" xr:uid="{00000000-0002-0000-0100-00000A000000}">
          <x14:formula1>
            <xm:f>Lists!$A$2:$A$17</xm:f>
          </x14:formula1>
          <xm:sqref>C16</xm:sqref>
        </x14:dataValidation>
        <x14:dataValidation type="list" allowBlank="1" xr:uid="{00000000-0002-0000-0100-00000B000000}">
          <x14:formula1>
            <xm:f>Lists!$B$2:$B$5</xm:f>
          </x14:formula1>
          <xm:sqref>E16</xm:sqref>
        </x14:dataValidation>
        <x14:dataValidation type="list" allowBlank="1" xr:uid="{00000000-0002-0000-0100-00000C000000}">
          <x14:formula1>
            <xm:f>Lists!$C$2:$C$8</xm:f>
          </x14:formula1>
          <xm:sqref>C17</xm:sqref>
        </x14:dataValidation>
        <x14:dataValidation type="list" allowBlank="1" xr:uid="{00000000-0002-0000-0100-00000D000000}">
          <x14:formula1>
            <xm:f>Lists!$D$2:$D$6</xm:f>
          </x14:formula1>
          <xm:sqref>E17</xm:sqref>
        </x14:dataValidation>
        <x14:dataValidation type="list" allowBlank="1" xr:uid="{00000000-0002-0000-0100-00000E000000}">
          <x14:formula1>
            <xm:f>Lists!$E$2:$E$15</xm:f>
          </x14:formula1>
          <xm:sqref>C18</xm:sqref>
        </x14:dataValidation>
        <x14:dataValidation type="list" allowBlank="1" xr:uid="{00000000-0002-0000-0100-00000F000000}">
          <x14:formula1>
            <xm:f>Lists!$F$2:$F$9</xm:f>
          </x14:formula1>
          <xm:sqref>C19</xm:sqref>
        </x14:dataValidation>
        <x14:dataValidation type="list" allowBlank="1" xr:uid="{00000000-0002-0000-0100-000010000000}">
          <x14:formula1>
            <xm:f>Lists!$G$2:$G$10</xm:f>
          </x14:formula1>
          <xm:sqref>C20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42"/>
  <sheetViews>
    <sheetView showGridLines="0" workbookViewId="0"/>
  </sheetViews>
  <sheetFormatPr defaultRowHeight="15" x14ac:dyDescent="0.25"/>
  <cols>
    <col min="1" max="1" width="4" customWidth="1"/>
    <col min="2" max="2" width="30" customWidth="1"/>
    <col min="3" max="3" width="10" customWidth="1"/>
    <col min="4" max="4" width="80" customWidth="1"/>
  </cols>
  <sheetData>
    <row r="1" spans="2:4" ht="26.1" customHeight="1" x14ac:dyDescent="0.25">
      <c r="B1" s="82" t="s">
        <v>257</v>
      </c>
      <c r="C1" s="75"/>
      <c r="D1" s="76"/>
    </row>
    <row r="3" spans="2:4" x14ac:dyDescent="0.25">
      <c r="B3" s="81" t="s">
        <v>258</v>
      </c>
      <c r="C3" s="75"/>
      <c r="D3" s="76"/>
    </row>
    <row r="4" spans="2:4" x14ac:dyDescent="0.25">
      <c r="B4" s="95" t="s">
        <v>259</v>
      </c>
      <c r="C4" s="72"/>
      <c r="D4" s="73"/>
    </row>
    <row r="5" spans="2:4" x14ac:dyDescent="0.25">
      <c r="B5" s="86" t="s">
        <v>260</v>
      </c>
      <c r="C5" s="72"/>
      <c r="D5" s="73"/>
    </row>
    <row r="6" spans="2:4" x14ac:dyDescent="0.25">
      <c r="B6" s="95" t="s">
        <v>261</v>
      </c>
      <c r="C6" s="72"/>
      <c r="D6" s="73"/>
    </row>
    <row r="7" spans="2:4" x14ac:dyDescent="0.25">
      <c r="B7" s="86" t="s">
        <v>262</v>
      </c>
      <c r="C7" s="72"/>
      <c r="D7" s="73"/>
    </row>
    <row r="8" spans="2:4" x14ac:dyDescent="0.25">
      <c r="B8" s="95" t="s">
        <v>263</v>
      </c>
      <c r="C8" s="72"/>
      <c r="D8" s="73"/>
    </row>
    <row r="9" spans="2:4" x14ac:dyDescent="0.25">
      <c r="B9" s="86" t="s">
        <v>264</v>
      </c>
      <c r="C9" s="72"/>
      <c r="D9" s="73"/>
    </row>
    <row r="10" spans="2:4" x14ac:dyDescent="0.25">
      <c r="B10" s="95" t="s">
        <v>265</v>
      </c>
      <c r="C10" s="72"/>
      <c r="D10" s="73"/>
    </row>
    <row r="11" spans="2:4" x14ac:dyDescent="0.25">
      <c r="B11" s="86" t="s">
        <v>266</v>
      </c>
      <c r="C11" s="72"/>
      <c r="D11" s="73"/>
    </row>
    <row r="13" spans="2:4" x14ac:dyDescent="0.25">
      <c r="B13" s="81" t="s">
        <v>267</v>
      </c>
      <c r="C13" s="75"/>
      <c r="D13" s="76"/>
    </row>
    <row r="14" spans="2:4" x14ac:dyDescent="0.25">
      <c r="B14" s="15" t="s">
        <v>268</v>
      </c>
      <c r="C14" s="81" t="s">
        <v>269</v>
      </c>
      <c r="D14" s="76"/>
    </row>
    <row r="15" spans="2:4" x14ac:dyDescent="0.25">
      <c r="B15" s="31" t="s">
        <v>270</v>
      </c>
      <c r="C15" s="95" t="s">
        <v>271</v>
      </c>
      <c r="D15" s="73"/>
    </row>
    <row r="16" spans="2:4" x14ac:dyDescent="0.25">
      <c r="B16" s="32" t="s">
        <v>272</v>
      </c>
      <c r="C16" s="86" t="s">
        <v>273</v>
      </c>
      <c r="D16" s="73"/>
    </row>
    <row r="17" spans="2:4" x14ac:dyDescent="0.25">
      <c r="B17" s="31" t="s">
        <v>274</v>
      </c>
      <c r="C17" s="95" t="s">
        <v>275</v>
      </c>
      <c r="D17" s="73"/>
    </row>
    <row r="18" spans="2:4" x14ac:dyDescent="0.25">
      <c r="B18" s="32" t="s">
        <v>276</v>
      </c>
      <c r="C18" s="86" t="s">
        <v>277</v>
      </c>
      <c r="D18" s="73"/>
    </row>
    <row r="19" spans="2:4" x14ac:dyDescent="0.25">
      <c r="B19" s="31" t="s">
        <v>278</v>
      </c>
      <c r="C19" s="95" t="s">
        <v>279</v>
      </c>
      <c r="D19" s="73"/>
    </row>
    <row r="20" spans="2:4" x14ac:dyDescent="0.25">
      <c r="B20" s="32" t="s">
        <v>280</v>
      </c>
      <c r="C20" s="86" t="s">
        <v>281</v>
      </c>
      <c r="D20" s="73"/>
    </row>
    <row r="22" spans="2:4" x14ac:dyDescent="0.25">
      <c r="B22" s="81" t="s">
        <v>282</v>
      </c>
      <c r="C22" s="75"/>
      <c r="D22" s="76"/>
    </row>
    <row r="23" spans="2:4" x14ac:dyDescent="0.25">
      <c r="B23" s="31" t="s">
        <v>283</v>
      </c>
      <c r="C23" s="95" t="s">
        <v>284</v>
      </c>
      <c r="D23" s="73"/>
    </row>
    <row r="24" spans="2:4" x14ac:dyDescent="0.25">
      <c r="B24" s="32" t="s">
        <v>285</v>
      </c>
      <c r="C24" s="86" t="s">
        <v>286</v>
      </c>
      <c r="D24" s="73"/>
    </row>
    <row r="25" spans="2:4" x14ac:dyDescent="0.25">
      <c r="B25" s="31" t="s">
        <v>287</v>
      </c>
      <c r="C25" s="95" t="s">
        <v>288</v>
      </c>
      <c r="D25" s="73"/>
    </row>
    <row r="26" spans="2:4" x14ac:dyDescent="0.25">
      <c r="B26" s="32" t="s">
        <v>289</v>
      </c>
      <c r="C26" s="86" t="s">
        <v>290</v>
      </c>
      <c r="D26" s="73"/>
    </row>
    <row r="28" spans="2:4" x14ac:dyDescent="0.25">
      <c r="B28" s="81" t="s">
        <v>291</v>
      </c>
      <c r="C28" s="75"/>
      <c r="D28" s="76"/>
    </row>
    <row r="29" spans="2:4" ht="60" customHeight="1" x14ac:dyDescent="0.25">
      <c r="B29" s="33" t="s">
        <v>292</v>
      </c>
      <c r="C29" s="95" t="s">
        <v>293</v>
      </c>
      <c r="D29" s="73"/>
    </row>
    <row r="30" spans="2:4" ht="60" customHeight="1" x14ac:dyDescent="0.25">
      <c r="B30" s="34" t="s">
        <v>294</v>
      </c>
      <c r="C30" s="107" t="s">
        <v>295</v>
      </c>
      <c r="D30" s="73"/>
    </row>
    <row r="31" spans="2:4" ht="60" customHeight="1" x14ac:dyDescent="0.25">
      <c r="B31" s="33" t="s">
        <v>296</v>
      </c>
      <c r="C31" s="95" t="s">
        <v>297</v>
      </c>
      <c r="D31" s="73"/>
    </row>
    <row r="32" spans="2:4" ht="60" customHeight="1" x14ac:dyDescent="0.25">
      <c r="B32" s="34" t="s">
        <v>298</v>
      </c>
      <c r="C32" s="107" t="s">
        <v>299</v>
      </c>
      <c r="D32" s="73"/>
    </row>
    <row r="33" spans="2:4" ht="60" customHeight="1" x14ac:dyDescent="0.25">
      <c r="B33" s="33" t="s">
        <v>300</v>
      </c>
      <c r="C33" s="95" t="s">
        <v>301</v>
      </c>
      <c r="D33" s="73"/>
    </row>
    <row r="34" spans="2:4" ht="60" customHeight="1" x14ac:dyDescent="0.25">
      <c r="B34" s="34" t="s">
        <v>302</v>
      </c>
      <c r="C34" s="107" t="s">
        <v>303</v>
      </c>
      <c r="D34" s="73"/>
    </row>
    <row r="35" spans="2:4" ht="60" customHeight="1" x14ac:dyDescent="0.25">
      <c r="B35" s="33" t="s">
        <v>304</v>
      </c>
      <c r="C35" s="95" t="s">
        <v>305</v>
      </c>
      <c r="D35" s="73"/>
    </row>
    <row r="37" spans="2:4" x14ac:dyDescent="0.25">
      <c r="B37" s="81" t="s">
        <v>306</v>
      </c>
      <c r="C37" s="75"/>
      <c r="D37" s="76"/>
    </row>
    <row r="38" spans="2:4" x14ac:dyDescent="0.25">
      <c r="B38" s="36" t="s">
        <v>307</v>
      </c>
      <c r="C38" s="108" t="s">
        <v>308</v>
      </c>
      <c r="D38" s="73"/>
    </row>
    <row r="39" spans="2:4" x14ac:dyDescent="0.25">
      <c r="B39" s="37" t="s">
        <v>309</v>
      </c>
      <c r="C39" s="111" t="s">
        <v>310</v>
      </c>
      <c r="D39" s="73"/>
    </row>
    <row r="40" spans="2:4" x14ac:dyDescent="0.25">
      <c r="B40" s="38" t="s">
        <v>311</v>
      </c>
      <c r="C40" s="110" t="s">
        <v>312</v>
      </c>
      <c r="D40" s="73"/>
    </row>
    <row r="42" spans="2:4" ht="39.950000000000003" customHeight="1" x14ac:dyDescent="0.25">
      <c r="B42" s="109" t="s">
        <v>313</v>
      </c>
      <c r="C42" s="75"/>
      <c r="D42" s="76"/>
    </row>
  </sheetData>
  <mergeCells count="36">
    <mergeCell ref="B42:D42"/>
    <mergeCell ref="C24:D24"/>
    <mergeCell ref="C30:D30"/>
    <mergeCell ref="C15:D15"/>
    <mergeCell ref="C33:D33"/>
    <mergeCell ref="C35:D35"/>
    <mergeCell ref="B28:D28"/>
    <mergeCell ref="C29:D29"/>
    <mergeCell ref="B37:D37"/>
    <mergeCell ref="C40:D40"/>
    <mergeCell ref="C31:D31"/>
    <mergeCell ref="C39:D39"/>
    <mergeCell ref="B1:D1"/>
    <mergeCell ref="B8:D8"/>
    <mergeCell ref="B13:D13"/>
    <mergeCell ref="C14:D14"/>
    <mergeCell ref="C26:D26"/>
    <mergeCell ref="B10:D10"/>
    <mergeCell ref="C20:D20"/>
    <mergeCell ref="C16:D16"/>
    <mergeCell ref="C25:D25"/>
    <mergeCell ref="B9:D9"/>
    <mergeCell ref="B6:D6"/>
    <mergeCell ref="B5:D5"/>
    <mergeCell ref="B4:D4"/>
    <mergeCell ref="B7:D7"/>
    <mergeCell ref="C17:D17"/>
    <mergeCell ref="C23:D23"/>
    <mergeCell ref="B3:D3"/>
    <mergeCell ref="C32:D32"/>
    <mergeCell ref="C38:D38"/>
    <mergeCell ref="B22:D22"/>
    <mergeCell ref="C19:D19"/>
    <mergeCell ref="C18:D18"/>
    <mergeCell ref="B11:D11"/>
    <mergeCell ref="C34:D3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47"/>
  <sheetViews>
    <sheetView showGridLines="0" workbookViewId="0">
      <pane ySplit="2" topLeftCell="A3" activePane="bottomLeft" state="frozen"/>
      <selection pane="bottomLeft"/>
    </sheetView>
  </sheetViews>
  <sheetFormatPr defaultRowHeight="15" x14ac:dyDescent="0.25"/>
  <cols>
    <col min="1" max="1" width="4" customWidth="1"/>
    <col min="2" max="2" width="34" customWidth="1"/>
    <col min="3" max="3" width="110" customWidth="1"/>
  </cols>
  <sheetData>
    <row r="1" spans="2:3" ht="26.1" customHeight="1" x14ac:dyDescent="0.25">
      <c r="B1" s="82" t="s">
        <v>314</v>
      </c>
      <c r="C1" s="76"/>
    </row>
    <row r="3" spans="2:3" x14ac:dyDescent="0.25">
      <c r="B3" s="81" t="s">
        <v>315</v>
      </c>
      <c r="C3" s="76"/>
    </row>
    <row r="4" spans="2:3" ht="72" customHeight="1" x14ac:dyDescent="0.25">
      <c r="B4" s="33" t="s">
        <v>316</v>
      </c>
      <c r="C4" s="8" t="s">
        <v>317</v>
      </c>
    </row>
    <row r="5" spans="2:3" ht="72" customHeight="1" x14ac:dyDescent="0.25">
      <c r="B5" s="34" t="s">
        <v>318</v>
      </c>
      <c r="C5" s="35" t="s">
        <v>319</v>
      </c>
    </row>
    <row r="6" spans="2:3" ht="72" customHeight="1" x14ac:dyDescent="0.25">
      <c r="B6" s="33" t="s">
        <v>320</v>
      </c>
      <c r="C6" s="8" t="s">
        <v>321</v>
      </c>
    </row>
    <row r="7" spans="2:3" ht="72" customHeight="1" x14ac:dyDescent="0.25">
      <c r="B7" s="34" t="s">
        <v>322</v>
      </c>
      <c r="C7" s="35" t="s">
        <v>323</v>
      </c>
    </row>
    <row r="8" spans="2:3" ht="72" customHeight="1" x14ac:dyDescent="0.25">
      <c r="B8" s="33" t="s">
        <v>324</v>
      </c>
      <c r="C8" s="8" t="s">
        <v>325</v>
      </c>
    </row>
    <row r="9" spans="2:3" ht="72" customHeight="1" x14ac:dyDescent="0.25">
      <c r="B9" s="34" t="s">
        <v>326</v>
      </c>
      <c r="C9" s="35" t="s">
        <v>327</v>
      </c>
    </row>
    <row r="11" spans="2:3" x14ac:dyDescent="0.25">
      <c r="B11" s="81" t="s">
        <v>328</v>
      </c>
      <c r="C11" s="76"/>
    </row>
    <row r="12" spans="2:3" ht="57.95" customHeight="1" x14ac:dyDescent="0.25">
      <c r="B12" s="112" t="s">
        <v>329</v>
      </c>
      <c r="C12" s="73"/>
    </row>
    <row r="13" spans="2:3" x14ac:dyDescent="0.25">
      <c r="B13" s="30" t="s">
        <v>330</v>
      </c>
      <c r="C13" s="30" t="s">
        <v>331</v>
      </c>
    </row>
    <row r="14" spans="2:3" ht="66" customHeight="1" x14ac:dyDescent="0.25">
      <c r="B14" s="39" t="s">
        <v>332</v>
      </c>
      <c r="C14" s="8" t="s">
        <v>333</v>
      </c>
    </row>
    <row r="15" spans="2:3" ht="66" customHeight="1" x14ac:dyDescent="0.25">
      <c r="B15" s="40" t="s">
        <v>334</v>
      </c>
      <c r="C15" s="10" t="s">
        <v>335</v>
      </c>
    </row>
    <row r="16" spans="2:3" ht="66" customHeight="1" x14ac:dyDescent="0.25">
      <c r="B16" s="39" t="s">
        <v>336</v>
      </c>
      <c r="C16" s="8" t="s">
        <v>337</v>
      </c>
    </row>
    <row r="17" spans="2:3" ht="66" customHeight="1" x14ac:dyDescent="0.25">
      <c r="B17" s="40" t="s">
        <v>338</v>
      </c>
      <c r="C17" s="10" t="s">
        <v>339</v>
      </c>
    </row>
    <row r="18" spans="2:3" ht="66" customHeight="1" x14ac:dyDescent="0.25">
      <c r="B18" s="39" t="s">
        <v>340</v>
      </c>
      <c r="C18" s="8" t="s">
        <v>341</v>
      </c>
    </row>
    <row r="19" spans="2:3" ht="66" customHeight="1" x14ac:dyDescent="0.25">
      <c r="B19" s="40" t="s">
        <v>342</v>
      </c>
      <c r="C19" s="10" t="s">
        <v>343</v>
      </c>
    </row>
    <row r="20" spans="2:3" ht="66" customHeight="1" x14ac:dyDescent="0.25">
      <c r="B20" s="39" t="s">
        <v>344</v>
      </c>
      <c r="C20" s="8" t="s">
        <v>345</v>
      </c>
    </row>
    <row r="22" spans="2:3" x14ac:dyDescent="0.25">
      <c r="B22" s="81" t="s">
        <v>346</v>
      </c>
      <c r="C22" s="76"/>
    </row>
    <row r="23" spans="2:3" ht="50.1" customHeight="1" x14ac:dyDescent="0.25">
      <c r="B23" s="41" t="s">
        <v>347</v>
      </c>
      <c r="C23" s="8" t="s">
        <v>348</v>
      </c>
    </row>
    <row r="24" spans="2:3" ht="50.1" customHeight="1" x14ac:dyDescent="0.25">
      <c r="B24" s="42" t="s">
        <v>349</v>
      </c>
      <c r="C24" s="35" t="s">
        <v>350</v>
      </c>
    </row>
    <row r="25" spans="2:3" ht="50.1" customHeight="1" x14ac:dyDescent="0.25">
      <c r="B25" s="41" t="s">
        <v>351</v>
      </c>
      <c r="C25" s="8" t="s">
        <v>352</v>
      </c>
    </row>
    <row r="27" spans="2:3" x14ac:dyDescent="0.25">
      <c r="B27" s="81" t="s">
        <v>353</v>
      </c>
      <c r="C27" s="76"/>
    </row>
    <row r="28" spans="2:3" ht="39.950000000000003" customHeight="1" x14ac:dyDescent="0.25">
      <c r="B28" s="95" t="s">
        <v>354</v>
      </c>
      <c r="C28" s="73"/>
    </row>
    <row r="29" spans="2:3" ht="39.950000000000003" customHeight="1" x14ac:dyDescent="0.25">
      <c r="B29" s="86" t="s">
        <v>355</v>
      </c>
      <c r="C29" s="73"/>
    </row>
    <row r="30" spans="2:3" ht="39.950000000000003" customHeight="1" x14ac:dyDescent="0.25">
      <c r="B30" s="95" t="s">
        <v>356</v>
      </c>
      <c r="C30" s="73"/>
    </row>
    <row r="31" spans="2:3" ht="39.950000000000003" customHeight="1" x14ac:dyDescent="0.25">
      <c r="B31" s="86" t="s">
        <v>357</v>
      </c>
      <c r="C31" s="73"/>
    </row>
    <row r="32" spans="2:3" ht="39.950000000000003" customHeight="1" x14ac:dyDescent="0.25">
      <c r="B32" s="95" t="s">
        <v>358</v>
      </c>
      <c r="C32" s="73"/>
    </row>
    <row r="33" spans="2:3" ht="39.950000000000003" customHeight="1" x14ac:dyDescent="0.25">
      <c r="B33" s="86" t="s">
        <v>359</v>
      </c>
      <c r="C33" s="73"/>
    </row>
    <row r="35" spans="2:3" x14ac:dyDescent="0.25">
      <c r="B35" s="81" t="s">
        <v>360</v>
      </c>
      <c r="C35" s="76"/>
    </row>
    <row r="36" spans="2:3" ht="45.95" customHeight="1" x14ac:dyDescent="0.25">
      <c r="B36" s="109" t="s">
        <v>361</v>
      </c>
      <c r="C36" s="76"/>
    </row>
    <row r="37" spans="2:3" ht="57.95" customHeight="1" x14ac:dyDescent="0.25">
      <c r="B37" s="50" t="s">
        <v>362</v>
      </c>
      <c r="C37" s="8" t="s">
        <v>363</v>
      </c>
    </row>
    <row r="38" spans="2:3" ht="51.95" customHeight="1" x14ac:dyDescent="0.25">
      <c r="B38" s="34" t="s">
        <v>364</v>
      </c>
      <c r="C38" s="10" t="s">
        <v>365</v>
      </c>
    </row>
    <row r="39" spans="2:3" ht="51.95" customHeight="1" x14ac:dyDescent="0.25">
      <c r="B39" s="34" t="s">
        <v>366</v>
      </c>
      <c r="C39" s="8" t="s">
        <v>367</v>
      </c>
    </row>
    <row r="40" spans="2:3" ht="84" customHeight="1" x14ac:dyDescent="0.25">
      <c r="B40" s="34" t="s">
        <v>368</v>
      </c>
      <c r="C40" s="10" t="s">
        <v>369</v>
      </c>
    </row>
    <row r="41" spans="2:3" ht="51.95" customHeight="1" x14ac:dyDescent="0.25">
      <c r="B41" s="34" t="s">
        <v>370</v>
      </c>
      <c r="C41" s="8" t="s">
        <v>371</v>
      </c>
    </row>
    <row r="43" spans="2:3" x14ac:dyDescent="0.25">
      <c r="B43" s="81" t="s">
        <v>372</v>
      </c>
      <c r="C43" s="76"/>
    </row>
    <row r="44" spans="2:3" ht="45.95" customHeight="1" x14ac:dyDescent="0.25">
      <c r="B44" s="109" t="s">
        <v>373</v>
      </c>
      <c r="C44" s="76"/>
    </row>
    <row r="45" spans="2:3" ht="66" customHeight="1" x14ac:dyDescent="0.25">
      <c r="B45" s="34" t="s">
        <v>374</v>
      </c>
      <c r="C45" s="8" t="s">
        <v>375</v>
      </c>
    </row>
    <row r="46" spans="2:3" ht="78" customHeight="1" x14ac:dyDescent="0.25">
      <c r="B46" s="34" t="s">
        <v>376</v>
      </c>
      <c r="C46" s="10" t="s">
        <v>377</v>
      </c>
    </row>
    <row r="47" spans="2:3" ht="69.95" customHeight="1" x14ac:dyDescent="0.25">
      <c r="B47" s="34" t="s">
        <v>378</v>
      </c>
      <c r="C47" s="8" t="s">
        <v>379</v>
      </c>
    </row>
  </sheetData>
  <mergeCells count="16">
    <mergeCell ref="B44:C44"/>
    <mergeCell ref="B29:C29"/>
    <mergeCell ref="B33:C33"/>
    <mergeCell ref="B11:C11"/>
    <mergeCell ref="B1:C1"/>
    <mergeCell ref="B35:C35"/>
    <mergeCell ref="B43:C43"/>
    <mergeCell ref="B12:C12"/>
    <mergeCell ref="B3:C3"/>
    <mergeCell ref="B28:C28"/>
    <mergeCell ref="B22:C22"/>
    <mergeCell ref="B36:C36"/>
    <mergeCell ref="B32:C32"/>
    <mergeCell ref="B31:C31"/>
    <mergeCell ref="B27:C27"/>
    <mergeCell ref="B30:C3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D77"/>
  <sheetViews>
    <sheetView showGridLines="0" topLeftCell="A6" workbookViewId="0">
      <selection activeCell="B8" sqref="B8"/>
    </sheetView>
  </sheetViews>
  <sheetFormatPr defaultRowHeight="15" x14ac:dyDescent="0.25"/>
  <cols>
    <col min="1" max="1" width="3" customWidth="1"/>
    <col min="2" max="2" width="36" customWidth="1"/>
    <col min="3" max="3" width="52" customWidth="1"/>
    <col min="4" max="4" width="58" customWidth="1"/>
  </cols>
  <sheetData>
    <row r="1" spans="2:4" ht="27.95" customHeight="1" x14ac:dyDescent="0.25">
      <c r="B1" s="82" t="s">
        <v>380</v>
      </c>
      <c r="C1" s="75"/>
      <c r="D1" s="76"/>
    </row>
    <row r="2" spans="2:4" ht="32.1" customHeight="1" x14ac:dyDescent="0.25">
      <c r="B2" s="119" t="s">
        <v>381</v>
      </c>
      <c r="C2" s="75"/>
      <c r="D2" s="76"/>
    </row>
    <row r="4" spans="2:4" ht="24" customHeight="1" x14ac:dyDescent="0.25">
      <c r="B4" s="120" t="str">
        <f>"◆  LIVE TEAM SCORECARD  ·  "&amp;IF('Case Tracker'!A56="","(enter a Case ID + journey scores in Case Tracker row 56)",'Case Tracker'!A56)&amp;"  ◆"</f>
        <v>◆  LIVE TEAM SCORECARD  ·  (enter a Case ID + journey scores in Case Tracker row 56)  ◆</v>
      </c>
      <c r="C4" s="115"/>
      <c r="D4" s="116"/>
    </row>
    <row r="5" spans="2:4" ht="15.95" customHeight="1" x14ac:dyDescent="0.25">
      <c r="B5" s="59" t="s">
        <v>382</v>
      </c>
      <c r="C5" s="59" t="s">
        <v>383</v>
      </c>
      <c r="D5" s="59" t="s">
        <v>384</v>
      </c>
    </row>
    <row r="6" spans="2:4" ht="63.95" customHeight="1" x14ac:dyDescent="0.25">
      <c r="B6" s="60" t="str">
        <f>'Case Tracker'!G56</f>
        <v/>
      </c>
      <c r="C6" s="61" t="str">
        <f>UPPER('Case Tracker'!H56)</f>
        <v/>
      </c>
      <c r="D6" s="62" t="s">
        <v>385</v>
      </c>
    </row>
    <row r="7" spans="2:4" ht="15.95" customHeight="1" x14ac:dyDescent="0.25">
      <c r="B7" s="63" t="s">
        <v>386</v>
      </c>
      <c r="C7" s="63" t="s">
        <v>387</v>
      </c>
      <c r="D7" s="63" t="s">
        <v>388</v>
      </c>
    </row>
    <row r="8" spans="2:4" ht="27.95" customHeight="1" x14ac:dyDescent="0.25">
      <c r="B8" s="64" t="str">
        <f>IF('Case Tracker'!D56="","—",TEXT('Case Tracker'!D56,"0.0%")&amp;"  avg of "&amp;'Case Tracker'!C56&amp;" touches")</f>
        <v>—</v>
      </c>
      <c r="C8" s="65" t="str">
        <f>IF('Case Tracker'!E56="","—",'Case Tracker'!E56&amp;" / 5")</f>
        <v>—</v>
      </c>
      <c r="D8" s="65" t="str">
        <f>IF('Case Tracker'!F56="","—",'Case Tracker'!F56&amp;" / 5")</f>
        <v>—</v>
      </c>
    </row>
    <row r="9" spans="2:4" ht="21.95" customHeight="1" x14ac:dyDescent="0.25">
      <c r="B9" s="114" t="str">
        <f>IF('Case Tracker'!D56="","Team Score computes once the journey row (Case Tracker row 56) is filled."," = 50% × "&amp;TEXT('Case Tracker'!D56,"0.0%")&amp;"  +  30% × ("&amp;'Case Tracker'!E56&amp;"÷5)  +  20% × ("&amp;'Case Tracker'!F56&amp;"÷5)")</f>
        <v>Team Score computes once the journey row (Case Tracker row 56) is filled.</v>
      </c>
      <c r="C9" s="115"/>
      <c r="D9" s="116"/>
    </row>
    <row r="10" spans="2:4" ht="27.95" customHeight="1" x14ac:dyDescent="0.25">
      <c r="B10" s="117" t="s">
        <v>389</v>
      </c>
      <c r="C10" s="72"/>
      <c r="D10" s="73"/>
    </row>
    <row r="12" spans="2:4" x14ac:dyDescent="0.25">
      <c r="B12" s="81" t="s">
        <v>390</v>
      </c>
      <c r="C12" s="75"/>
      <c r="D12" s="76"/>
    </row>
    <row r="13" spans="2:4" ht="72" customHeight="1" x14ac:dyDescent="0.25">
      <c r="B13" s="92" t="s">
        <v>391</v>
      </c>
      <c r="C13" s="72"/>
      <c r="D13" s="73"/>
    </row>
    <row r="15" spans="2:4" x14ac:dyDescent="0.25">
      <c r="B15" s="81" t="s">
        <v>392</v>
      </c>
      <c r="C15" s="75"/>
      <c r="D15" s="76"/>
    </row>
    <row r="16" spans="2:4" x14ac:dyDescent="0.25">
      <c r="B16" s="1" t="s">
        <v>393</v>
      </c>
      <c r="C16" s="1" t="s">
        <v>394</v>
      </c>
      <c r="D16" s="1" t="s">
        <v>395</v>
      </c>
    </row>
    <row r="17" spans="2:4" ht="104.1" customHeight="1" x14ac:dyDescent="0.25">
      <c r="B17" s="53" t="s">
        <v>396</v>
      </c>
      <c r="C17" s="54" t="s">
        <v>397</v>
      </c>
      <c r="D17" s="54"/>
    </row>
    <row r="18" spans="2:4" ht="104.1" customHeight="1" x14ac:dyDescent="0.25">
      <c r="B18" s="55" t="s">
        <v>398</v>
      </c>
      <c r="C18" s="56" t="s">
        <v>399</v>
      </c>
      <c r="D18" s="56"/>
    </row>
    <row r="19" spans="2:4" ht="104.1" customHeight="1" x14ac:dyDescent="0.25">
      <c r="B19" s="53" t="s">
        <v>400</v>
      </c>
      <c r="C19" s="54" t="s">
        <v>401</v>
      </c>
      <c r="D19" s="54"/>
    </row>
    <row r="20" spans="2:4" ht="30" customHeight="1" x14ac:dyDescent="0.25">
      <c r="B20" s="121" t="s">
        <v>402</v>
      </c>
      <c r="C20" s="75"/>
      <c r="D20" s="76"/>
    </row>
    <row r="22" spans="2:4" x14ac:dyDescent="0.25">
      <c r="B22" s="81" t="s">
        <v>403</v>
      </c>
      <c r="C22" s="75"/>
      <c r="D22" s="76"/>
    </row>
    <row r="23" spans="2:4" ht="45.95" customHeight="1" x14ac:dyDescent="0.25">
      <c r="B23" s="53" t="s">
        <v>404</v>
      </c>
      <c r="C23" s="92" t="s">
        <v>405</v>
      </c>
      <c r="D23" s="73"/>
    </row>
    <row r="24" spans="2:4" ht="45.95" customHeight="1" x14ac:dyDescent="0.25">
      <c r="B24" s="55" t="s">
        <v>406</v>
      </c>
      <c r="C24" s="91" t="s">
        <v>407</v>
      </c>
      <c r="D24" s="73"/>
    </row>
    <row r="25" spans="2:4" ht="45.95" customHeight="1" x14ac:dyDescent="0.25">
      <c r="B25" s="53" t="s">
        <v>408</v>
      </c>
      <c r="C25" s="92" t="s">
        <v>409</v>
      </c>
      <c r="D25" s="73"/>
    </row>
    <row r="27" spans="2:4" x14ac:dyDescent="0.25">
      <c r="B27" s="81" t="s">
        <v>410</v>
      </c>
      <c r="C27" s="75"/>
      <c r="D27" s="76"/>
    </row>
    <row r="28" spans="2:4" ht="39.950000000000003" customHeight="1" x14ac:dyDescent="0.25">
      <c r="B28" s="118" t="s">
        <v>411</v>
      </c>
      <c r="C28" s="72"/>
      <c r="D28" s="73"/>
    </row>
    <row r="29" spans="2:4" x14ac:dyDescent="0.25">
      <c r="B29" s="1" t="s">
        <v>412</v>
      </c>
      <c r="C29" s="15" t="s">
        <v>413</v>
      </c>
      <c r="D29" s="1" t="s">
        <v>414</v>
      </c>
    </row>
    <row r="30" spans="2:4" ht="44.1" customHeight="1" x14ac:dyDescent="0.25">
      <c r="B30" s="53" t="s">
        <v>415</v>
      </c>
      <c r="C30" s="66">
        <f>IFERROR(ROUND(AVERAGE('Case Tracker'!E5:E49),2),"")</f>
        <v>3.5</v>
      </c>
      <c r="D30" s="54"/>
    </row>
    <row r="31" spans="2:4" ht="44.1" customHeight="1" x14ac:dyDescent="0.25">
      <c r="B31" s="55" t="s">
        <v>294</v>
      </c>
      <c r="C31" s="67">
        <f>IFERROR(ROUND(AVERAGE('Case Tracker'!F5:F49),2),"")</f>
        <v>4</v>
      </c>
      <c r="D31" s="56"/>
    </row>
    <row r="32" spans="2:4" ht="44.1" customHeight="1" x14ac:dyDescent="0.25">
      <c r="B32" s="53" t="s">
        <v>296</v>
      </c>
      <c r="C32" s="66">
        <f>IFERROR(ROUND(AVERAGE('Case Tracker'!G5:G49),2),"")</f>
        <v>4</v>
      </c>
      <c r="D32" s="54"/>
    </row>
    <row r="33" spans="2:4" ht="44.1" customHeight="1" x14ac:dyDescent="0.25">
      <c r="B33" s="55" t="s">
        <v>298</v>
      </c>
      <c r="C33" s="67">
        <f>IFERROR(ROUND(AVERAGE('Case Tracker'!H5:H49),2),"")</f>
        <v>3.5</v>
      </c>
      <c r="D33" s="56"/>
    </row>
    <row r="34" spans="2:4" ht="44.1" customHeight="1" x14ac:dyDescent="0.25">
      <c r="B34" s="53" t="s">
        <v>300</v>
      </c>
      <c r="C34" s="66">
        <f>IFERROR(ROUND(AVERAGE('Case Tracker'!I5:I49),2),"")</f>
        <v>2.5</v>
      </c>
      <c r="D34" s="54"/>
    </row>
    <row r="35" spans="2:4" ht="44.1" customHeight="1" x14ac:dyDescent="0.25">
      <c r="B35" s="55" t="s">
        <v>302</v>
      </c>
      <c r="C35" s="67">
        <f>IFERROR(ROUND(AVERAGE('Case Tracker'!J5:J49),2),"")</f>
        <v>5</v>
      </c>
      <c r="D35" s="56"/>
    </row>
    <row r="36" spans="2:4" ht="44.1" customHeight="1" x14ac:dyDescent="0.25">
      <c r="B36" s="53" t="s">
        <v>304</v>
      </c>
      <c r="C36" s="66">
        <f>IFERROR(ROUND(AVERAGE('Case Tracker'!K5:K49),2),"")</f>
        <v>4</v>
      </c>
      <c r="D36" s="54"/>
    </row>
    <row r="37" spans="2:4" ht="44.1" customHeight="1" x14ac:dyDescent="0.25">
      <c r="B37" s="94" t="s">
        <v>416</v>
      </c>
      <c r="C37" s="75"/>
      <c r="D37" s="76"/>
    </row>
    <row r="39" spans="2:4" x14ac:dyDescent="0.25">
      <c r="B39" s="102" t="s">
        <v>417</v>
      </c>
      <c r="C39" s="75"/>
      <c r="D39" s="76"/>
    </row>
    <row r="40" spans="2:4" x14ac:dyDescent="0.25">
      <c r="B40" s="1" t="s">
        <v>418</v>
      </c>
      <c r="C40" s="1" t="s">
        <v>419</v>
      </c>
      <c r="D40" s="1" t="s">
        <v>420</v>
      </c>
    </row>
    <row r="41" spans="2:4" ht="87.95" customHeight="1" x14ac:dyDescent="0.25">
      <c r="B41" s="53"/>
      <c r="C41" s="54"/>
      <c r="D41" s="54"/>
    </row>
    <row r="42" spans="2:4" ht="87.95" customHeight="1" x14ac:dyDescent="0.25">
      <c r="B42" s="55"/>
      <c r="C42" s="56"/>
      <c r="D42" s="56"/>
    </row>
    <row r="43" spans="2:4" ht="87.95" customHeight="1" x14ac:dyDescent="0.25">
      <c r="B43" s="53"/>
      <c r="C43" s="54"/>
      <c r="D43" s="54"/>
    </row>
    <row r="44" spans="2:4" ht="87.95" customHeight="1" x14ac:dyDescent="0.25">
      <c r="B44" s="55"/>
      <c r="C44" s="56"/>
      <c r="D44" s="56"/>
    </row>
    <row r="45" spans="2:4" ht="87.95" customHeight="1" x14ac:dyDescent="0.25">
      <c r="B45" s="53"/>
      <c r="C45" s="54"/>
      <c r="D45" s="54"/>
    </row>
    <row r="46" spans="2:4" ht="87.95" customHeight="1" x14ac:dyDescent="0.25">
      <c r="B46" s="55"/>
      <c r="C46" s="56"/>
      <c r="D46" s="56"/>
    </row>
    <row r="47" spans="2:4" ht="87.95" customHeight="1" x14ac:dyDescent="0.25">
      <c r="B47" s="53"/>
      <c r="C47" s="54"/>
      <c r="D47" s="54"/>
    </row>
    <row r="48" spans="2:4" ht="87.95" customHeight="1" x14ac:dyDescent="0.25">
      <c r="B48" s="55"/>
      <c r="C48" s="56"/>
      <c r="D48" s="56"/>
    </row>
    <row r="50" spans="2:4" x14ac:dyDescent="0.25">
      <c r="B50" s="81" t="s">
        <v>421</v>
      </c>
      <c r="C50" s="75"/>
      <c r="D50" s="76"/>
    </row>
    <row r="51" spans="2:4" ht="39.950000000000003" customHeight="1" x14ac:dyDescent="0.25">
      <c r="B51" s="57" t="s">
        <v>422</v>
      </c>
      <c r="C51" s="92" t="s">
        <v>423</v>
      </c>
      <c r="D51" s="73"/>
    </row>
    <row r="52" spans="2:4" ht="39.950000000000003" customHeight="1" x14ac:dyDescent="0.25">
      <c r="B52" s="58" t="s">
        <v>424</v>
      </c>
      <c r="C52" s="91" t="s">
        <v>425</v>
      </c>
      <c r="D52" s="73"/>
    </row>
    <row r="53" spans="2:4" ht="39.950000000000003" customHeight="1" x14ac:dyDescent="0.25">
      <c r="B53" s="57" t="s">
        <v>426</v>
      </c>
      <c r="C53" s="92" t="s">
        <v>427</v>
      </c>
      <c r="D53" s="73"/>
    </row>
    <row r="54" spans="2:4" ht="39.950000000000003" customHeight="1" x14ac:dyDescent="0.25">
      <c r="B54" s="58" t="s">
        <v>428</v>
      </c>
      <c r="C54" s="91" t="s">
        <v>429</v>
      </c>
      <c r="D54" s="73"/>
    </row>
    <row r="55" spans="2:4" ht="39.950000000000003" customHeight="1" x14ac:dyDescent="0.25">
      <c r="B55" s="57" t="s">
        <v>430</v>
      </c>
      <c r="C55" s="92" t="s">
        <v>431</v>
      </c>
      <c r="D55" s="73"/>
    </row>
    <row r="56" spans="2:4" ht="39.950000000000003" customHeight="1" x14ac:dyDescent="0.25">
      <c r="B56" s="58" t="s">
        <v>432</v>
      </c>
      <c r="C56" s="91" t="s">
        <v>433</v>
      </c>
      <c r="D56" s="73"/>
    </row>
    <row r="58" spans="2:4" ht="36" customHeight="1" x14ac:dyDescent="0.25">
      <c r="B58" s="94" t="s">
        <v>434</v>
      </c>
      <c r="C58" s="75"/>
      <c r="D58" s="76"/>
    </row>
    <row r="60" spans="2:4" ht="21.95" customHeight="1" x14ac:dyDescent="0.25">
      <c r="B60" s="81" t="s">
        <v>435</v>
      </c>
      <c r="C60" s="75"/>
      <c r="D60" s="76"/>
    </row>
    <row r="61" spans="2:4" ht="32.1" customHeight="1" x14ac:dyDescent="0.25">
      <c r="B61" s="109" t="s">
        <v>436</v>
      </c>
      <c r="C61" s="75"/>
      <c r="D61" s="76"/>
    </row>
    <row r="62" spans="2:4" ht="33.950000000000003" customHeight="1" x14ac:dyDescent="0.25">
      <c r="B62" s="113" t="str">
        <f>"Contribution mix across "&amp;COUNTA('Case Tracker'!C5:C49)&amp;" touches:  "&amp;COUNTIF('Case Tracker'!O5:O49,"Resolver")&amp;" Resolver · "&amp;COUNTIF('Case Tracker'!O5:O49,"Progress Builder")&amp;" Progress Builder · "&amp;COUNTIF('Case Tracker'!O5:O49,"Maintainer")&amp;" Maintainer · "&amp;COUNTIF('Case Tracker'!O5:O49,"Regression Contributor")&amp;" Regression Contributor"</f>
        <v>Contribution mix across 2 touches:  0 Resolver · 1 Progress Builder · 0 Maintainer · 1 Regression Contributor</v>
      </c>
      <c r="C62" s="75"/>
      <c r="D62" s="76"/>
    </row>
    <row r="63" spans="2:4" ht="24" customHeight="1" x14ac:dyDescent="0.25">
      <c r="B63" s="68" t="s">
        <v>437</v>
      </c>
      <c r="C63" s="69" t="s">
        <v>438</v>
      </c>
      <c r="D63" s="69" t="s">
        <v>439</v>
      </c>
    </row>
    <row r="64" spans="2:4" x14ac:dyDescent="0.25">
      <c r="B64" s="10" t="str">
        <f>IF('Case Tracker'!C5="","",'Case Tracker'!D5&amp;" - "&amp;'Case Tracker'!C5)</f>
        <v>1 - Girly Joy Pocot (L1)</v>
      </c>
      <c r="C64" s="25" t="str">
        <f>IF('Case Tracker'!C5="","",'Case Tracker'!O5)</f>
        <v>Progress Builder</v>
      </c>
      <c r="D64" s="25">
        <f>IF('Case Tracker'!C5="","",'Case Tracker'!P5)</f>
        <v>4</v>
      </c>
    </row>
    <row r="65" spans="2:4" x14ac:dyDescent="0.25">
      <c r="B65" s="8" t="str">
        <f>IF('Case Tracker'!C6="","",'Case Tracker'!E6&amp;" - "&amp;'Case Tracker'!C6)</f>
        <v>3 - Edgar Ian Mark Catulong (L2 / CAT)</v>
      </c>
      <c r="C65" s="20" t="str">
        <f>IF('Case Tracker'!C6="","",'Case Tracker'!O6)</f>
        <v>Regression Contributor</v>
      </c>
      <c r="D65" s="20">
        <f>IF('Case Tracker'!C6="","",'Case Tracker'!P6)</f>
        <v>2</v>
      </c>
    </row>
    <row r="66" spans="2:4" x14ac:dyDescent="0.25">
      <c r="B66" s="10" t="str">
        <f>IF('Case Tracker'!C7="","",'Case Tracker'!D7&amp;" - "&amp;'Case Tracker'!C7)</f>
        <v/>
      </c>
      <c r="C66" s="25" t="str">
        <f>IF('Case Tracker'!C7="","",'Case Tracker'!O7)</f>
        <v/>
      </c>
      <c r="D66" s="25" t="str">
        <f>IF('Case Tracker'!C7="","",'Case Tracker'!P7)</f>
        <v/>
      </c>
    </row>
    <row r="67" spans="2:4" x14ac:dyDescent="0.25">
      <c r="B67" s="8" t="str">
        <f>IF('Case Tracker'!C8="","",'Case Tracker'!D8&amp;" - "&amp;'Case Tracker'!C8)</f>
        <v/>
      </c>
      <c r="C67" s="20" t="str">
        <f>IF('Case Tracker'!C8="","",'Case Tracker'!O8)</f>
        <v/>
      </c>
      <c r="D67" s="20" t="str">
        <f>IF('Case Tracker'!C8="","",'Case Tracker'!P8)</f>
        <v/>
      </c>
    </row>
    <row r="68" spans="2:4" x14ac:dyDescent="0.25">
      <c r="B68" s="10" t="str">
        <f>IF('Case Tracker'!C9="","",'Case Tracker'!D9&amp;" - "&amp;'Case Tracker'!C9)</f>
        <v/>
      </c>
      <c r="C68" s="25" t="str">
        <f>IF('Case Tracker'!C9="","",'Case Tracker'!O9)</f>
        <v/>
      </c>
      <c r="D68" s="25" t="str">
        <f>IF('Case Tracker'!C9="","",'Case Tracker'!P9)</f>
        <v/>
      </c>
    </row>
    <row r="69" spans="2:4" x14ac:dyDescent="0.25">
      <c r="B69" s="8" t="str">
        <f>IF('Case Tracker'!C10="","",'Case Tracker'!D10&amp;" - "&amp;'Case Tracker'!C10)</f>
        <v/>
      </c>
      <c r="C69" s="20" t="str">
        <f>IF('Case Tracker'!C10="","",'Case Tracker'!O10)</f>
        <v/>
      </c>
      <c r="D69" s="20" t="str">
        <f>IF('Case Tracker'!C10="","",'Case Tracker'!P10)</f>
        <v/>
      </c>
    </row>
    <row r="70" spans="2:4" x14ac:dyDescent="0.25">
      <c r="B70" s="10" t="str">
        <f>IF('Case Tracker'!C11="","",'Case Tracker'!D11&amp;" - "&amp;'Case Tracker'!C11)</f>
        <v/>
      </c>
      <c r="C70" s="25" t="str">
        <f>IF('Case Tracker'!C11="","",'Case Tracker'!O11)</f>
        <v/>
      </c>
      <c r="D70" s="25" t="str">
        <f>IF('Case Tracker'!C11="","",'Case Tracker'!P11)</f>
        <v/>
      </c>
    </row>
    <row r="71" spans="2:4" x14ac:dyDescent="0.25">
      <c r="B71" s="8" t="str">
        <f>IF('Case Tracker'!C12="","",'Case Tracker'!D12&amp;" - "&amp;'Case Tracker'!C12)</f>
        <v/>
      </c>
      <c r="C71" s="20" t="str">
        <f>IF('Case Tracker'!C12="","",'Case Tracker'!O12)</f>
        <v/>
      </c>
      <c r="D71" s="20" t="str">
        <f>IF('Case Tracker'!C12="","",'Case Tracker'!P12)</f>
        <v/>
      </c>
    </row>
    <row r="72" spans="2:4" x14ac:dyDescent="0.25">
      <c r="B72" s="10" t="str">
        <f>IF('Case Tracker'!C13="","",'Case Tracker'!D13&amp;" - "&amp;'Case Tracker'!C13)</f>
        <v/>
      </c>
      <c r="C72" s="25" t="str">
        <f>IF('Case Tracker'!C13="","",'Case Tracker'!O13)</f>
        <v/>
      </c>
      <c r="D72" s="25" t="str">
        <f>IF('Case Tracker'!C13="","",'Case Tracker'!P13)</f>
        <v/>
      </c>
    </row>
    <row r="73" spans="2:4" x14ac:dyDescent="0.25">
      <c r="B73" s="8" t="str">
        <f>IF('Case Tracker'!C14="","",'Case Tracker'!D14&amp;" - "&amp;'Case Tracker'!C14)</f>
        <v/>
      </c>
      <c r="C73" s="20" t="str">
        <f>IF('Case Tracker'!C14="","",'Case Tracker'!O14)</f>
        <v/>
      </c>
      <c r="D73" s="20" t="str">
        <f>IF('Case Tracker'!C14="","",'Case Tracker'!P14)</f>
        <v/>
      </c>
    </row>
    <row r="74" spans="2:4" x14ac:dyDescent="0.25">
      <c r="B74" s="10" t="str">
        <f>IF('Case Tracker'!C15="","",'Case Tracker'!D15&amp;" - "&amp;'Case Tracker'!C15)</f>
        <v/>
      </c>
      <c r="C74" s="25" t="str">
        <f>IF('Case Tracker'!C15="","",'Case Tracker'!O15)</f>
        <v/>
      </c>
      <c r="D74" s="25" t="str">
        <f>IF('Case Tracker'!C15="","",'Case Tracker'!P15)</f>
        <v/>
      </c>
    </row>
    <row r="75" spans="2:4" x14ac:dyDescent="0.25">
      <c r="B75" s="8" t="str">
        <f>IF('Case Tracker'!C16="","",'Case Tracker'!D16&amp;" - "&amp;'Case Tracker'!C16)</f>
        <v/>
      </c>
      <c r="C75" s="20" t="str">
        <f>IF('Case Tracker'!C16="","",'Case Tracker'!O16)</f>
        <v/>
      </c>
      <c r="D75" s="20" t="str">
        <f>IF('Case Tracker'!C16="","",'Case Tracker'!P16)</f>
        <v/>
      </c>
    </row>
    <row r="76" spans="2:4" x14ac:dyDescent="0.25">
      <c r="B76" s="10" t="str">
        <f>IF('Case Tracker'!C17="","",'Case Tracker'!D17&amp;" - "&amp;'Case Tracker'!C17)</f>
        <v/>
      </c>
      <c r="C76" s="25" t="str">
        <f>IF('Case Tracker'!C17="","",'Case Tracker'!O17)</f>
        <v/>
      </c>
      <c r="D76" s="25" t="str">
        <f>IF('Case Tracker'!C17="","",'Case Tracker'!P17)</f>
        <v/>
      </c>
    </row>
    <row r="77" spans="2:4" ht="39.950000000000003" customHeight="1" x14ac:dyDescent="0.25">
      <c r="B77" s="71" t="s">
        <v>440</v>
      </c>
      <c r="C77" s="72"/>
      <c r="D77" s="73"/>
    </row>
  </sheetData>
  <mergeCells count="29">
    <mergeCell ref="C55:D55"/>
    <mergeCell ref="B9:D9"/>
    <mergeCell ref="C53:D53"/>
    <mergeCell ref="B15:D15"/>
    <mergeCell ref="B1:D1"/>
    <mergeCell ref="B13:D13"/>
    <mergeCell ref="B10:D10"/>
    <mergeCell ref="B28:D28"/>
    <mergeCell ref="B37:D37"/>
    <mergeCell ref="B2:D2"/>
    <mergeCell ref="B4:D4"/>
    <mergeCell ref="B20:D20"/>
    <mergeCell ref="C25:D25"/>
    <mergeCell ref="B77:D77"/>
    <mergeCell ref="B22:D22"/>
    <mergeCell ref="B27:D27"/>
    <mergeCell ref="B58:D58"/>
    <mergeCell ref="B12:D12"/>
    <mergeCell ref="B39:D39"/>
    <mergeCell ref="C51:D51"/>
    <mergeCell ref="B50:D50"/>
    <mergeCell ref="C52:D52"/>
    <mergeCell ref="B62:D62"/>
    <mergeCell ref="C23:D23"/>
    <mergeCell ref="B60:D60"/>
    <mergeCell ref="C24:D24"/>
    <mergeCell ref="B61:D61"/>
    <mergeCell ref="C56:D56"/>
    <mergeCell ref="C54:D54"/>
  </mergeCells>
  <conditionalFormatting sqref="B6">
    <cfRule type="cellIs" dxfId="142" priority="3" operator="greaterThanOrEqual">
      <formula>0.85</formula>
    </cfRule>
    <cfRule type="cellIs" dxfId="141" priority="4" operator="between">
      <formula>0.7</formula>
      <formula>0.8499</formula>
    </cfRule>
    <cfRule type="cellIs" dxfId="140" priority="5" operator="lessThan">
      <formula>0.7</formula>
    </cfRule>
  </conditionalFormatting>
  <conditionalFormatting sqref="C30:C36">
    <cfRule type="cellIs" dxfId="138" priority="6" operator="lessThan">
      <formula>2.75</formula>
    </cfRule>
    <cfRule type="cellIs" dxfId="137" priority="7" operator="between">
      <formula>2.75</formula>
      <formula>3.49</formula>
    </cfRule>
    <cfRule type="cellIs" dxfId="136" priority="8" operator="greaterThanOrEqual">
      <formula>3.5</formula>
    </cfRule>
  </conditionalFormatting>
  <conditionalFormatting sqref="C64:C76">
    <cfRule type="cellIs" dxfId="135" priority="9" operator="equal">
      <formula>"Resolver"</formula>
    </cfRule>
    <cfRule type="cellIs" dxfId="134" priority="10" operator="equal">
      <formula>"Progress Builder"</formula>
    </cfRule>
    <cfRule type="cellIs" dxfId="133" priority="11" operator="equal">
      <formula>"Maintainer"</formula>
    </cfRule>
    <cfRule type="cellIs" dxfId="132" priority="12" operator="equal">
      <formula>"Regression Contributor"</formula>
    </cfRule>
  </conditionalFormatting>
  <conditionalFormatting sqref="D64:D76">
    <cfRule type="cellIs" dxfId="131" priority="13" operator="greaterThanOrEqual">
      <formula>4</formula>
    </cfRule>
    <cfRule type="cellIs" dxfId="130" priority="14" operator="between">
      <formula>2</formula>
      <formula>3</formula>
    </cfRule>
    <cfRule type="cellIs" dxfId="129" priority="15" operator="lessThanOrEqual">
      <formula>1</formula>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cellIs" priority="1" operator="greaterThanOrEqual" id="{00000000-000E-0000-0400-000001000000}">
            <xm:f>'Case Tracker'!G56&gt;=0.85</xm:f>
            <x14:dxf>
              <font>
                <b/>
                <sz val="48"/>
                <color rgb="FF006100"/>
              </font>
              <fill>
                <patternFill patternType="solid">
                  <fgColor rgb="FFC6EFCE"/>
                </patternFill>
              </fill>
            </x14:dxf>
          </x14:cfRule>
          <xm:sqref>B6</xm:sqref>
        </x14:conditionalFormatting>
        <x14:conditionalFormatting xmlns:xm="http://schemas.microsoft.com/office/excel/2006/main">
          <x14:cfRule type="cellIs" priority="2" operator="greaterThanOrEqual" id="{00000000-000E-0000-0400-000002000000}">
            <xm:f>'Case Tracker'!G56&gt;=0.85</xm:f>
            <x14:dxf>
              <font>
                <b/>
                <sz val="22"/>
                <color rgb="FF006100"/>
              </font>
              <fill>
                <patternFill patternType="solid">
                  <fgColor rgb="FFC6EFCE"/>
                </patternFill>
              </fill>
            </x14:dxf>
          </x14:cfRule>
          <xm:sqref>C6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F170"/>
  <sheetViews>
    <sheetView showGridLines="0" workbookViewId="0">
      <pane ySplit="2" topLeftCell="A3" activePane="bottomLeft" state="frozen"/>
      <selection pane="bottomLeft" activeCell="C11" sqref="C11"/>
    </sheetView>
  </sheetViews>
  <sheetFormatPr defaultRowHeight="15" x14ac:dyDescent="0.25"/>
  <cols>
    <col min="1" max="1" width="4" customWidth="1"/>
    <col min="2" max="2" width="58" customWidth="1"/>
    <col min="3" max="3" width="14" customWidth="1"/>
    <col min="4" max="4" width="13" customWidth="1"/>
    <col min="5" max="5" width="15" customWidth="1"/>
    <col min="6" max="6" width="46" customWidth="1"/>
    <col min="7" max="7" width="3" customWidth="1"/>
  </cols>
  <sheetData>
    <row r="1" spans="2:6" ht="27.95" customHeight="1" x14ac:dyDescent="0.25">
      <c r="B1" s="85" t="s">
        <v>441</v>
      </c>
      <c r="C1" s="75"/>
      <c r="D1" s="75"/>
      <c r="E1" s="75"/>
      <c r="F1" s="76"/>
    </row>
    <row r="2" spans="2:6" ht="18" customHeight="1" x14ac:dyDescent="0.25">
      <c r="B2" s="105" t="s">
        <v>63</v>
      </c>
      <c r="C2" s="75"/>
      <c r="D2" s="75"/>
      <c r="E2" s="75"/>
      <c r="F2" s="76"/>
    </row>
    <row r="4" spans="2:6" x14ac:dyDescent="0.25">
      <c r="B4" s="81" t="s">
        <v>64</v>
      </c>
      <c r="C4" s="75"/>
      <c r="D4" s="75"/>
      <c r="E4" s="75"/>
      <c r="F4" s="76"/>
    </row>
    <row r="5" spans="2:6" ht="30" x14ac:dyDescent="0.25">
      <c r="B5" s="2" t="s">
        <v>65</v>
      </c>
      <c r="C5" s="3" t="s">
        <v>564</v>
      </c>
      <c r="D5" s="4" t="s">
        <v>66</v>
      </c>
      <c r="E5" s="79" t="s">
        <v>565</v>
      </c>
      <c r="F5" s="73"/>
    </row>
    <row r="6" spans="2:6" ht="30" x14ac:dyDescent="0.25">
      <c r="B6" s="2" t="s">
        <v>67</v>
      </c>
      <c r="C6" s="3" t="s">
        <v>442</v>
      </c>
      <c r="D6" s="4" t="s">
        <v>68</v>
      </c>
      <c r="E6" s="79" t="s">
        <v>566</v>
      </c>
      <c r="F6" s="73"/>
    </row>
    <row r="7" spans="2:6" x14ac:dyDescent="0.25">
      <c r="B7" s="2" t="s">
        <v>69</v>
      </c>
      <c r="C7" s="3" t="s">
        <v>561</v>
      </c>
      <c r="D7" s="4" t="s">
        <v>70</v>
      </c>
      <c r="E7" s="79" t="s">
        <v>443</v>
      </c>
      <c r="F7" s="73"/>
    </row>
    <row r="8" spans="2:6" x14ac:dyDescent="0.25">
      <c r="B8" s="2" t="s">
        <v>71</v>
      </c>
      <c r="C8" s="3" t="s">
        <v>562</v>
      </c>
      <c r="D8" s="4" t="s">
        <v>72</v>
      </c>
      <c r="E8" s="122">
        <v>46189</v>
      </c>
      <c r="F8" s="73"/>
    </row>
    <row r="9" spans="2:6" ht="30" x14ac:dyDescent="0.25">
      <c r="B9" s="2" t="s">
        <v>73</v>
      </c>
      <c r="C9" s="3" t="s">
        <v>444</v>
      </c>
      <c r="D9" s="4" t="s">
        <v>74</v>
      </c>
      <c r="E9" s="79" t="s">
        <v>563</v>
      </c>
      <c r="F9" s="73"/>
    </row>
    <row r="10" spans="2:6" ht="30" x14ac:dyDescent="0.25">
      <c r="B10" s="2" t="s">
        <v>75</v>
      </c>
      <c r="C10" s="3" t="s">
        <v>658</v>
      </c>
      <c r="D10" s="4" t="s">
        <v>76</v>
      </c>
      <c r="E10" s="79" t="s">
        <v>240</v>
      </c>
      <c r="F10" s="73"/>
    </row>
    <row r="11" spans="2:6" ht="30" x14ac:dyDescent="0.25">
      <c r="B11" s="2" t="s">
        <v>77</v>
      </c>
      <c r="C11" s="3" t="s">
        <v>445</v>
      </c>
      <c r="D11" s="4" t="s">
        <v>78</v>
      </c>
      <c r="E11" s="79" t="s">
        <v>570</v>
      </c>
      <c r="F11" s="73"/>
    </row>
    <row r="12" spans="2:6" x14ac:dyDescent="0.25">
      <c r="B12" s="2" t="s">
        <v>79</v>
      </c>
      <c r="C12" s="3" t="s">
        <v>567</v>
      </c>
      <c r="D12" s="4" t="s">
        <v>80</v>
      </c>
      <c r="E12" s="79" t="s">
        <v>446</v>
      </c>
      <c r="F12" s="73"/>
    </row>
    <row r="13" spans="2:6" ht="57.95" customHeight="1" x14ac:dyDescent="0.25">
      <c r="B13" s="4" t="s">
        <v>81</v>
      </c>
      <c r="C13" s="78" t="s">
        <v>568</v>
      </c>
      <c r="D13" s="72"/>
      <c r="E13" s="72"/>
      <c r="F13" s="73"/>
    </row>
    <row r="14" spans="2:6" ht="45.95" customHeight="1" x14ac:dyDescent="0.25">
      <c r="B14" s="4" t="s">
        <v>82</v>
      </c>
      <c r="C14" s="78" t="s">
        <v>569</v>
      </c>
      <c r="D14" s="72"/>
      <c r="E14" s="72"/>
      <c r="F14" s="73"/>
    </row>
    <row r="16" spans="2:6" x14ac:dyDescent="0.25">
      <c r="B16" s="77" t="s">
        <v>92</v>
      </c>
      <c r="C16" s="75"/>
      <c r="D16" s="75"/>
      <c r="E16" s="75"/>
      <c r="F16" s="76"/>
    </row>
    <row r="17" spans="2:6" ht="18" customHeight="1" x14ac:dyDescent="0.25">
      <c r="B17" s="81" t="s">
        <v>93</v>
      </c>
      <c r="C17" s="75"/>
      <c r="D17" s="75"/>
      <c r="E17" s="76"/>
      <c r="F17" s="6" t="s">
        <v>94</v>
      </c>
    </row>
    <row r="18" spans="2:6" ht="27.95" customHeight="1" x14ac:dyDescent="0.25">
      <c r="B18" s="97" t="s">
        <v>95</v>
      </c>
      <c r="C18" s="72"/>
      <c r="D18" s="72"/>
      <c r="E18" s="72"/>
      <c r="F18" s="73"/>
    </row>
    <row r="19" spans="2:6" x14ac:dyDescent="0.25">
      <c r="B19" s="2" t="s">
        <v>96</v>
      </c>
      <c r="C19" s="7" t="s">
        <v>97</v>
      </c>
      <c r="D19" s="98" t="s">
        <v>98</v>
      </c>
      <c r="E19" s="72"/>
      <c r="F19" s="73"/>
    </row>
    <row r="20" spans="2:6" ht="27.95" customHeight="1" x14ac:dyDescent="0.25">
      <c r="B20" s="8" t="s">
        <v>99</v>
      </c>
      <c r="C20" s="9" t="s">
        <v>285</v>
      </c>
      <c r="D20" s="95" t="s">
        <v>571</v>
      </c>
      <c r="E20" s="72"/>
      <c r="F20" s="73"/>
    </row>
    <row r="21" spans="2:6" ht="27.95" customHeight="1" x14ac:dyDescent="0.25">
      <c r="B21" s="10" t="s">
        <v>100</v>
      </c>
      <c r="C21" s="9" t="s">
        <v>283</v>
      </c>
      <c r="D21" s="86" t="s">
        <v>572</v>
      </c>
      <c r="E21" s="72"/>
      <c r="F21" s="73"/>
    </row>
    <row r="22" spans="2:6" ht="27.95" customHeight="1" x14ac:dyDescent="0.25">
      <c r="B22" s="8" t="s">
        <v>101</v>
      </c>
      <c r="C22" s="9" t="s">
        <v>283</v>
      </c>
      <c r="D22" s="95" t="s">
        <v>573</v>
      </c>
      <c r="E22" s="72"/>
      <c r="F22" s="73"/>
    </row>
    <row r="23" spans="2:6" ht="27.95" customHeight="1" x14ac:dyDescent="0.25">
      <c r="B23" s="10" t="s">
        <v>102</v>
      </c>
      <c r="C23" s="9" t="s">
        <v>287</v>
      </c>
      <c r="D23" s="86" t="s">
        <v>574</v>
      </c>
      <c r="E23" s="72"/>
      <c r="F23" s="73"/>
    </row>
    <row r="24" spans="2:6" ht="27.95" customHeight="1" x14ac:dyDescent="0.25">
      <c r="B24" s="8" t="s">
        <v>103</v>
      </c>
      <c r="C24" s="9" t="s">
        <v>287</v>
      </c>
      <c r="D24" s="95" t="s">
        <v>575</v>
      </c>
      <c r="E24" s="72"/>
      <c r="F24" s="73"/>
    </row>
    <row r="25" spans="2:6" ht="27.95" customHeight="1" x14ac:dyDescent="0.25">
      <c r="B25" s="71" t="s">
        <v>104</v>
      </c>
      <c r="C25" s="72"/>
      <c r="D25" s="72"/>
      <c r="E25" s="72"/>
      <c r="F25" s="73"/>
    </row>
    <row r="26" spans="2:6" ht="24" x14ac:dyDescent="0.25">
      <c r="B26" s="11" t="s">
        <v>447</v>
      </c>
      <c r="C26" s="12">
        <f>IF((COUNTIF(C20:C24,"Met")+COUNTIF(C20:C24,"Partial")+COUNTIF(C20:C24,"Missed"))=0,"",ROUND((COUNTIF(C20:C24,"Met")*5+COUNTIF(C20:C24,"Partial")*2.5)/(COUNTIF(C20:C24,"Met")+COUNTIF(C20:C24,"Partial")+COUNTIF(C20:C24,"Missed")),1))</f>
        <v>2.5</v>
      </c>
      <c r="D26" s="96"/>
      <c r="E26" s="72"/>
      <c r="F26" s="73"/>
    </row>
    <row r="27" spans="2:6" ht="24" customHeight="1" x14ac:dyDescent="0.25">
      <c r="B27" s="13" t="s">
        <v>448</v>
      </c>
      <c r="C27" s="14">
        <v>3</v>
      </c>
      <c r="D27" s="101" t="str">
        <f>IF(C27="","← enter score; anchor description appears here",CHOOSE(C27+1,"Agent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Partial progress made but opportunities missed</v>
      </c>
      <c r="E27" s="72"/>
      <c r="F27" s="73"/>
    </row>
    <row r="28" spans="2:6" ht="36" customHeight="1" x14ac:dyDescent="0.25">
      <c r="B28" s="13" t="s">
        <v>449</v>
      </c>
      <c r="C28" s="78" t="s">
        <v>450</v>
      </c>
      <c r="D28" s="72"/>
      <c r="E28" s="72"/>
      <c r="F28" s="73"/>
    </row>
    <row r="30" spans="2:6" ht="18" customHeight="1" x14ac:dyDescent="0.25">
      <c r="B30" s="81" t="s">
        <v>108</v>
      </c>
      <c r="C30" s="75"/>
      <c r="D30" s="75"/>
      <c r="E30" s="76"/>
      <c r="F30" s="6" t="s">
        <v>109</v>
      </c>
    </row>
    <row r="31" spans="2:6" ht="27.95" customHeight="1" x14ac:dyDescent="0.25">
      <c r="B31" s="97" t="s">
        <v>110</v>
      </c>
      <c r="C31" s="72"/>
      <c r="D31" s="72"/>
      <c r="E31" s="72"/>
      <c r="F31" s="73"/>
    </row>
    <row r="32" spans="2:6" x14ac:dyDescent="0.25">
      <c r="B32" s="2" t="s">
        <v>96</v>
      </c>
      <c r="C32" s="7" t="s">
        <v>97</v>
      </c>
      <c r="D32" s="98" t="s">
        <v>98</v>
      </c>
      <c r="E32" s="72"/>
      <c r="F32" s="73"/>
    </row>
    <row r="33" spans="2:6" ht="27.95" customHeight="1" x14ac:dyDescent="0.25">
      <c r="B33" s="8" t="s">
        <v>111</v>
      </c>
      <c r="C33" s="9" t="s">
        <v>283</v>
      </c>
      <c r="D33" s="95" t="s">
        <v>576</v>
      </c>
      <c r="E33" s="72"/>
      <c r="F33" s="73"/>
    </row>
    <row r="34" spans="2:6" ht="27.95" customHeight="1" x14ac:dyDescent="0.25">
      <c r="B34" s="10" t="s">
        <v>112</v>
      </c>
      <c r="C34" s="9" t="s">
        <v>283</v>
      </c>
      <c r="D34" s="86" t="s">
        <v>577</v>
      </c>
      <c r="E34" s="72"/>
      <c r="F34" s="73"/>
    </row>
    <row r="35" spans="2:6" ht="27.95" customHeight="1" x14ac:dyDescent="0.25">
      <c r="B35" s="8" t="s">
        <v>113</v>
      </c>
      <c r="C35" s="9" t="s">
        <v>283</v>
      </c>
      <c r="D35" s="95" t="s">
        <v>578</v>
      </c>
      <c r="E35" s="72"/>
      <c r="F35" s="73"/>
    </row>
    <row r="36" spans="2:6" ht="27.95" customHeight="1" x14ac:dyDescent="0.25">
      <c r="B36" s="10" t="s">
        <v>114</v>
      </c>
      <c r="C36" s="9" t="s">
        <v>285</v>
      </c>
      <c r="D36" s="86" t="s">
        <v>579</v>
      </c>
      <c r="E36" s="72"/>
      <c r="F36" s="73"/>
    </row>
    <row r="37" spans="2:6" ht="27.95" customHeight="1" x14ac:dyDescent="0.25">
      <c r="B37" s="8" t="s">
        <v>115</v>
      </c>
      <c r="C37" s="9" t="s">
        <v>285</v>
      </c>
      <c r="D37" s="95" t="s">
        <v>580</v>
      </c>
      <c r="E37" s="72"/>
      <c r="F37" s="73"/>
    </row>
    <row r="38" spans="2:6" ht="27.95" customHeight="1" x14ac:dyDescent="0.25">
      <c r="B38" s="10" t="s">
        <v>116</v>
      </c>
      <c r="C38" s="9" t="s">
        <v>283</v>
      </c>
      <c r="D38" s="86" t="s">
        <v>581</v>
      </c>
      <c r="E38" s="72"/>
      <c r="F38" s="73"/>
    </row>
    <row r="39" spans="2:6" ht="27.95" customHeight="1" x14ac:dyDescent="0.25">
      <c r="B39" s="8" t="s">
        <v>117</v>
      </c>
      <c r="C39" s="9" t="s">
        <v>283</v>
      </c>
      <c r="D39" s="95" t="s">
        <v>582</v>
      </c>
      <c r="E39" s="72"/>
      <c r="F39" s="73"/>
    </row>
    <row r="40" spans="2:6" ht="27.95" customHeight="1" x14ac:dyDescent="0.25">
      <c r="B40" s="71" t="s">
        <v>118</v>
      </c>
      <c r="C40" s="72"/>
      <c r="D40" s="72"/>
      <c r="E40" s="72"/>
      <c r="F40" s="73"/>
    </row>
    <row r="41" spans="2:6" ht="24" x14ac:dyDescent="0.25">
      <c r="B41" s="11" t="s">
        <v>447</v>
      </c>
      <c r="C41" s="12">
        <f>IF((COUNTIF(C33:C39,"Met")+COUNTIF(C33:C39,"Partial")+COUNTIF(C33:C39,"Missed"))=0,"",ROUND((COUNTIF(C33:C39,"Met")*5+COUNTIF(C33:C39,"Partial")*2.5)/(COUNTIF(C33:C39,"Met")+COUNTIF(C33:C39,"Partial")+COUNTIF(C33:C39,"Missed")),1))</f>
        <v>4.3</v>
      </c>
      <c r="D41" s="96"/>
      <c r="E41" s="72"/>
      <c r="F41" s="73"/>
    </row>
    <row r="42" spans="2:6" ht="24" customHeight="1" x14ac:dyDescent="0.25">
      <c r="B42" s="13" t="s">
        <v>448</v>
      </c>
      <c r="C42" s="14">
        <v>4</v>
      </c>
      <c r="D42" s="101" t="str">
        <f>IF(C42="","← enter score; anchor description appears here",CHOOSE(C42+1,"Agent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Significant progress made with clear next steps</v>
      </c>
      <c r="E42" s="72"/>
      <c r="F42" s="73"/>
    </row>
    <row r="43" spans="2:6" ht="36" customHeight="1" x14ac:dyDescent="0.25">
      <c r="B43" s="13" t="s">
        <v>449</v>
      </c>
      <c r="C43" s="78" t="s">
        <v>451</v>
      </c>
      <c r="D43" s="72"/>
      <c r="E43" s="72"/>
      <c r="F43" s="73"/>
    </row>
    <row r="45" spans="2:6" ht="18" customHeight="1" x14ac:dyDescent="0.25">
      <c r="B45" s="81" t="s">
        <v>120</v>
      </c>
      <c r="C45" s="75"/>
      <c r="D45" s="75"/>
      <c r="E45" s="76"/>
      <c r="F45" s="6" t="s">
        <v>121</v>
      </c>
    </row>
    <row r="46" spans="2:6" ht="27.95" customHeight="1" x14ac:dyDescent="0.25">
      <c r="B46" s="97" t="s">
        <v>122</v>
      </c>
      <c r="C46" s="72"/>
      <c r="D46" s="72"/>
      <c r="E46" s="72"/>
      <c r="F46" s="73"/>
    </row>
    <row r="47" spans="2:6" x14ac:dyDescent="0.25">
      <c r="B47" s="2" t="s">
        <v>96</v>
      </c>
      <c r="C47" s="7" t="s">
        <v>97</v>
      </c>
      <c r="D47" s="98" t="s">
        <v>98</v>
      </c>
      <c r="E47" s="72"/>
      <c r="F47" s="73"/>
    </row>
    <row r="48" spans="2:6" ht="27.95" customHeight="1" x14ac:dyDescent="0.25">
      <c r="B48" s="8" t="s">
        <v>123</v>
      </c>
      <c r="C48" s="9" t="s">
        <v>287</v>
      </c>
      <c r="D48" s="95" t="s">
        <v>583</v>
      </c>
      <c r="E48" s="72"/>
      <c r="F48" s="73"/>
    </row>
    <row r="49" spans="2:6" ht="27.95" customHeight="1" x14ac:dyDescent="0.25">
      <c r="B49" s="10" t="s">
        <v>124</v>
      </c>
      <c r="C49" s="9" t="s">
        <v>283</v>
      </c>
      <c r="D49" s="86" t="s">
        <v>584</v>
      </c>
      <c r="E49" s="72"/>
      <c r="F49" s="73"/>
    </row>
    <row r="50" spans="2:6" ht="27.95" customHeight="1" x14ac:dyDescent="0.25">
      <c r="B50" s="8" t="s">
        <v>125</v>
      </c>
      <c r="C50" s="9" t="s">
        <v>283</v>
      </c>
      <c r="D50" s="95" t="s">
        <v>585</v>
      </c>
      <c r="E50" s="72"/>
      <c r="F50" s="73"/>
    </row>
    <row r="51" spans="2:6" ht="27.95" customHeight="1" x14ac:dyDescent="0.25">
      <c r="B51" s="10" t="s">
        <v>126</v>
      </c>
      <c r="C51" s="9" t="s">
        <v>283</v>
      </c>
      <c r="D51" s="86" t="s">
        <v>586</v>
      </c>
      <c r="E51" s="72"/>
      <c r="F51" s="73"/>
    </row>
    <row r="52" spans="2:6" ht="27.95" customHeight="1" x14ac:dyDescent="0.25">
      <c r="B52" s="8" t="s">
        <v>127</v>
      </c>
      <c r="C52" s="9" t="s">
        <v>283</v>
      </c>
      <c r="D52" s="95" t="s">
        <v>587</v>
      </c>
      <c r="E52" s="72"/>
      <c r="F52" s="73"/>
    </row>
    <row r="53" spans="2:6" ht="27.95" customHeight="1" x14ac:dyDescent="0.25">
      <c r="B53" s="10" t="s">
        <v>128</v>
      </c>
      <c r="C53" s="9" t="s">
        <v>285</v>
      </c>
      <c r="D53" s="86" t="s">
        <v>588</v>
      </c>
      <c r="E53" s="72"/>
      <c r="F53" s="73"/>
    </row>
    <row r="54" spans="2:6" ht="27.95" customHeight="1" x14ac:dyDescent="0.25">
      <c r="B54" s="8" t="s">
        <v>129</v>
      </c>
      <c r="C54" s="9" t="s">
        <v>283</v>
      </c>
      <c r="D54" s="95" t="s">
        <v>589</v>
      </c>
      <c r="E54" s="72"/>
      <c r="F54" s="73"/>
    </row>
    <row r="55" spans="2:6" ht="27.95" customHeight="1" x14ac:dyDescent="0.25">
      <c r="B55" s="10" t="s">
        <v>130</v>
      </c>
      <c r="C55" s="9" t="s">
        <v>285</v>
      </c>
      <c r="D55" s="86" t="s">
        <v>590</v>
      </c>
      <c r="E55" s="72"/>
      <c r="F55" s="73"/>
    </row>
    <row r="56" spans="2:6" ht="27.95" customHeight="1" x14ac:dyDescent="0.25">
      <c r="B56" s="71" t="s">
        <v>131</v>
      </c>
      <c r="C56" s="72"/>
      <c r="D56" s="72"/>
      <c r="E56" s="72"/>
      <c r="F56" s="73"/>
    </row>
    <row r="57" spans="2:6" ht="24" x14ac:dyDescent="0.25">
      <c r="B57" s="11" t="s">
        <v>447</v>
      </c>
      <c r="C57" s="12">
        <f>IF((COUNTIF(C48:C55,"Met")+COUNTIF(C48:C55,"Partial")+COUNTIF(C48:C55,"Missed"))=0,"",ROUND((COUNTIF(C48:C55,"Met")*5+COUNTIF(C48:C55,"Partial")*2.5)/(COUNTIF(C48:C55,"Met")+COUNTIF(C48:C55,"Partial")+COUNTIF(C48:C55,"Missed")),1))</f>
        <v>3.8</v>
      </c>
      <c r="D57" s="96"/>
      <c r="E57" s="72"/>
      <c r="F57" s="73"/>
    </row>
    <row r="58" spans="2:6" ht="24" customHeight="1" x14ac:dyDescent="0.25">
      <c r="B58" s="13" t="s">
        <v>448</v>
      </c>
      <c r="C58" s="14">
        <v>3</v>
      </c>
      <c r="D58" s="101" t="str">
        <f>IF(C58="","← enter score; anchor description appears here",CHOOSE(C58+1,"Agent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Partial progress made but opportunities missed</v>
      </c>
      <c r="E58" s="72"/>
      <c r="F58" s="73"/>
    </row>
    <row r="59" spans="2:6" ht="36" customHeight="1" x14ac:dyDescent="0.25">
      <c r="B59" s="13" t="s">
        <v>449</v>
      </c>
      <c r="C59" s="78" t="s">
        <v>452</v>
      </c>
      <c r="D59" s="72"/>
      <c r="E59" s="72"/>
      <c r="F59" s="73"/>
    </row>
    <row r="61" spans="2:6" ht="18" customHeight="1" x14ac:dyDescent="0.25">
      <c r="B61" s="81" t="s">
        <v>133</v>
      </c>
      <c r="C61" s="75"/>
      <c r="D61" s="75"/>
      <c r="E61" s="76"/>
      <c r="F61" s="6" t="s">
        <v>121</v>
      </c>
    </row>
    <row r="62" spans="2:6" ht="27.95" customHeight="1" x14ac:dyDescent="0.25">
      <c r="B62" s="97" t="s">
        <v>134</v>
      </c>
      <c r="C62" s="72"/>
      <c r="D62" s="72"/>
      <c r="E62" s="72"/>
      <c r="F62" s="73"/>
    </row>
    <row r="63" spans="2:6" x14ac:dyDescent="0.25">
      <c r="B63" s="2" t="s">
        <v>96</v>
      </c>
      <c r="C63" s="7" t="s">
        <v>97</v>
      </c>
      <c r="D63" s="98" t="s">
        <v>98</v>
      </c>
      <c r="E63" s="72"/>
      <c r="F63" s="73"/>
    </row>
    <row r="64" spans="2:6" ht="27.95" customHeight="1" x14ac:dyDescent="0.25">
      <c r="B64" s="8" t="s">
        <v>135</v>
      </c>
      <c r="C64" s="9" t="s">
        <v>287</v>
      </c>
      <c r="D64" s="95" t="s">
        <v>611</v>
      </c>
      <c r="E64" s="72"/>
      <c r="F64" s="73"/>
    </row>
    <row r="65" spans="2:6" ht="27.95" customHeight="1" x14ac:dyDescent="0.25">
      <c r="B65" s="10" t="s">
        <v>136</v>
      </c>
      <c r="C65" s="9" t="s">
        <v>283</v>
      </c>
      <c r="D65" s="86" t="s">
        <v>591</v>
      </c>
      <c r="E65" s="72"/>
      <c r="F65" s="73"/>
    </row>
    <row r="66" spans="2:6" ht="27.95" customHeight="1" x14ac:dyDescent="0.25">
      <c r="B66" s="8" t="s">
        <v>137</v>
      </c>
      <c r="C66" s="9" t="s">
        <v>283</v>
      </c>
      <c r="D66" s="95" t="s">
        <v>592</v>
      </c>
      <c r="E66" s="72"/>
      <c r="F66" s="73"/>
    </row>
    <row r="67" spans="2:6" ht="27.95" customHeight="1" x14ac:dyDescent="0.25">
      <c r="B67" s="10" t="s">
        <v>138</v>
      </c>
      <c r="C67" s="9" t="s">
        <v>283</v>
      </c>
      <c r="D67" s="86" t="s">
        <v>593</v>
      </c>
      <c r="E67" s="72"/>
      <c r="F67" s="73"/>
    </row>
    <row r="68" spans="2:6" ht="27.95" customHeight="1" x14ac:dyDescent="0.25">
      <c r="B68" s="8" t="s">
        <v>139</v>
      </c>
      <c r="C68" s="9" t="s">
        <v>287</v>
      </c>
      <c r="D68" s="95" t="s">
        <v>594</v>
      </c>
      <c r="E68" s="72"/>
      <c r="F68" s="73"/>
    </row>
    <row r="69" spans="2:6" ht="27.95" customHeight="1" x14ac:dyDescent="0.25">
      <c r="B69" s="10" t="s">
        <v>140</v>
      </c>
      <c r="C69" s="9" t="s">
        <v>287</v>
      </c>
      <c r="D69" s="86" t="s">
        <v>595</v>
      </c>
      <c r="E69" s="72"/>
      <c r="F69" s="73"/>
    </row>
    <row r="70" spans="2:6" ht="27.95" customHeight="1" x14ac:dyDescent="0.25">
      <c r="B70" s="8" t="s">
        <v>141</v>
      </c>
      <c r="C70" s="9" t="s">
        <v>289</v>
      </c>
      <c r="D70" s="95" t="s">
        <v>453</v>
      </c>
      <c r="E70" s="72"/>
      <c r="F70" s="73"/>
    </row>
    <row r="71" spans="2:6" ht="27.95" customHeight="1" x14ac:dyDescent="0.25">
      <c r="B71" s="10" t="s">
        <v>142</v>
      </c>
      <c r="C71" s="9" t="s">
        <v>285</v>
      </c>
      <c r="D71" s="86" t="s">
        <v>596</v>
      </c>
      <c r="E71" s="72"/>
      <c r="F71" s="73"/>
    </row>
    <row r="72" spans="2:6" ht="27.95" customHeight="1" x14ac:dyDescent="0.25">
      <c r="B72" s="71" t="s">
        <v>143</v>
      </c>
      <c r="C72" s="72"/>
      <c r="D72" s="72"/>
      <c r="E72" s="72"/>
      <c r="F72" s="73"/>
    </row>
    <row r="73" spans="2:6" ht="24" x14ac:dyDescent="0.25">
      <c r="B73" s="11" t="s">
        <v>447</v>
      </c>
      <c r="C73" s="12">
        <f>IF((COUNTIF(C64:C71,"Met")+COUNTIF(C64:C71,"Partial")+COUNTIF(C64:C71,"Missed"))=0,"",ROUND((COUNTIF(C64:C71,"Met")*5+COUNTIF(C64:C71,"Partial")*2.5)/(COUNTIF(C64:C71,"Met")+COUNTIF(C64:C71,"Partial")+COUNTIF(C64:C71,"Missed")),1))</f>
        <v>2.5</v>
      </c>
      <c r="D73" s="96"/>
      <c r="E73" s="72"/>
      <c r="F73" s="73"/>
    </row>
    <row r="74" spans="2:6" ht="24" customHeight="1" x14ac:dyDescent="0.25">
      <c r="B74" s="13" t="s">
        <v>448</v>
      </c>
      <c r="C74" s="14">
        <v>2</v>
      </c>
      <c r="D74" s="101" t="str">
        <f>IF(C74="","← enter score; anchor description appears here",CHOOSE(C74+1,"Agent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Limited progress despite available troubleshooting paths</v>
      </c>
      <c r="E74" s="72"/>
      <c r="F74" s="73"/>
    </row>
    <row r="75" spans="2:6" ht="36" customHeight="1" x14ac:dyDescent="0.25">
      <c r="B75" s="13" t="s">
        <v>449</v>
      </c>
      <c r="C75" s="78" t="s">
        <v>454</v>
      </c>
      <c r="D75" s="72"/>
      <c r="E75" s="72"/>
      <c r="F75" s="73"/>
    </row>
    <row r="77" spans="2:6" ht="18" customHeight="1" x14ac:dyDescent="0.25">
      <c r="B77" s="81" t="s">
        <v>145</v>
      </c>
      <c r="C77" s="75"/>
      <c r="D77" s="75"/>
      <c r="E77" s="76"/>
      <c r="F77" s="6" t="s">
        <v>146</v>
      </c>
    </row>
    <row r="78" spans="2:6" ht="27.95" customHeight="1" x14ac:dyDescent="0.25">
      <c r="B78" s="97" t="s">
        <v>147</v>
      </c>
      <c r="C78" s="72"/>
      <c r="D78" s="72"/>
      <c r="E78" s="72"/>
      <c r="F78" s="73"/>
    </row>
    <row r="79" spans="2:6" x14ac:dyDescent="0.25">
      <c r="B79" s="2" t="s">
        <v>96</v>
      </c>
      <c r="C79" s="7" t="s">
        <v>97</v>
      </c>
      <c r="D79" s="98" t="s">
        <v>98</v>
      </c>
      <c r="E79" s="72"/>
      <c r="F79" s="73"/>
    </row>
    <row r="80" spans="2:6" ht="27.95" customHeight="1" x14ac:dyDescent="0.25">
      <c r="B80" s="8" t="s">
        <v>148</v>
      </c>
      <c r="C80" s="9" t="s">
        <v>289</v>
      </c>
      <c r="D80" s="95" t="s">
        <v>455</v>
      </c>
      <c r="E80" s="72"/>
      <c r="F80" s="73"/>
    </row>
    <row r="81" spans="2:6" ht="27.95" customHeight="1" x14ac:dyDescent="0.25">
      <c r="B81" s="10" t="s">
        <v>149</v>
      </c>
      <c r="C81" s="9" t="s">
        <v>287</v>
      </c>
      <c r="D81" s="86" t="s">
        <v>597</v>
      </c>
      <c r="E81" s="72"/>
      <c r="F81" s="73"/>
    </row>
    <row r="82" spans="2:6" ht="27.95" customHeight="1" x14ac:dyDescent="0.25">
      <c r="B82" s="8" t="s">
        <v>150</v>
      </c>
      <c r="C82" s="9" t="s">
        <v>289</v>
      </c>
      <c r="D82" s="95" t="s">
        <v>456</v>
      </c>
      <c r="E82" s="72"/>
      <c r="F82" s="73"/>
    </row>
    <row r="83" spans="2:6" ht="27.95" customHeight="1" x14ac:dyDescent="0.25">
      <c r="B83" s="10" t="s">
        <v>151</v>
      </c>
      <c r="C83" s="9" t="s">
        <v>289</v>
      </c>
      <c r="D83" s="86" t="s">
        <v>598</v>
      </c>
      <c r="E83" s="72"/>
      <c r="F83" s="73"/>
    </row>
    <row r="84" spans="2:6" ht="27.95" customHeight="1" x14ac:dyDescent="0.25">
      <c r="B84" s="8" t="s">
        <v>152</v>
      </c>
      <c r="C84" s="9" t="s">
        <v>289</v>
      </c>
      <c r="D84" s="86" t="s">
        <v>598</v>
      </c>
      <c r="E84" s="72"/>
      <c r="F84" s="73"/>
    </row>
    <row r="85" spans="2:6" ht="27.95" customHeight="1" x14ac:dyDescent="0.25">
      <c r="B85" s="71" t="s">
        <v>153</v>
      </c>
      <c r="C85" s="72"/>
      <c r="D85" s="72"/>
      <c r="E85" s="72"/>
      <c r="F85" s="73"/>
    </row>
    <row r="86" spans="2:6" ht="24" x14ac:dyDescent="0.25">
      <c r="B86" s="11" t="s">
        <v>447</v>
      </c>
      <c r="C86" s="12">
        <f>IF((COUNTIF(C80:C84,"Met")+COUNTIF(C80:C84,"Partial")+COUNTIF(C80:C84,"Missed"))=0,"",ROUND((COUNTIF(C80:C84,"Met")*5+COUNTIF(C80:C84,"Partial")*2.5)/(COUNTIF(C80:C84,"Met")+COUNTIF(C80:C84,"Partial")+COUNTIF(C80:C84,"Missed")),1))</f>
        <v>0</v>
      </c>
      <c r="D86" s="96"/>
      <c r="E86" s="72"/>
      <c r="F86" s="73"/>
    </row>
    <row r="87" spans="2:6" ht="24" customHeight="1" x14ac:dyDescent="0.25">
      <c r="B87" s="13" t="s">
        <v>448</v>
      </c>
      <c r="C87" s="14">
        <v>0</v>
      </c>
      <c r="D87" s="101" t="str">
        <f>IF(C87="","← enter score; anchor description appears here",CHOOSE(C87+1,"Agent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Agent actions delayed, prevented, or negatively impacted resolution</v>
      </c>
      <c r="E87" s="72"/>
      <c r="F87" s="73"/>
    </row>
    <row r="88" spans="2:6" ht="36" customHeight="1" x14ac:dyDescent="0.25">
      <c r="B88" s="13" t="s">
        <v>449</v>
      </c>
      <c r="C88" s="78" t="s">
        <v>457</v>
      </c>
      <c r="D88" s="72"/>
      <c r="E88" s="72"/>
      <c r="F88" s="73"/>
    </row>
    <row r="90" spans="2:6" ht="18" customHeight="1" x14ac:dyDescent="0.25">
      <c r="B90" s="81" t="s">
        <v>155</v>
      </c>
      <c r="C90" s="75"/>
      <c r="D90" s="75"/>
      <c r="E90" s="76"/>
      <c r="F90" s="6" t="s">
        <v>156</v>
      </c>
    </row>
    <row r="91" spans="2:6" ht="27.95" customHeight="1" x14ac:dyDescent="0.25">
      <c r="B91" s="97" t="s">
        <v>157</v>
      </c>
      <c r="C91" s="72"/>
      <c r="D91" s="72"/>
      <c r="E91" s="72"/>
      <c r="F91" s="73"/>
    </row>
    <row r="92" spans="2:6" x14ac:dyDescent="0.25">
      <c r="B92" s="2" t="s">
        <v>96</v>
      </c>
      <c r="C92" s="7" t="s">
        <v>97</v>
      </c>
      <c r="D92" s="98" t="s">
        <v>98</v>
      </c>
      <c r="E92" s="72"/>
      <c r="F92" s="73"/>
    </row>
    <row r="93" spans="2:6" ht="27.95" customHeight="1" x14ac:dyDescent="0.25">
      <c r="B93" s="8" t="s">
        <v>158</v>
      </c>
      <c r="C93" s="9" t="s">
        <v>283</v>
      </c>
      <c r="D93" s="95" t="s">
        <v>599</v>
      </c>
      <c r="E93" s="72"/>
      <c r="F93" s="73"/>
    </row>
    <row r="94" spans="2:6" ht="27.95" customHeight="1" x14ac:dyDescent="0.25">
      <c r="B94" s="10" t="s">
        <v>159</v>
      </c>
      <c r="C94" s="9" t="s">
        <v>283</v>
      </c>
      <c r="D94" s="86" t="s">
        <v>600</v>
      </c>
      <c r="E94" s="72"/>
      <c r="F94" s="73"/>
    </row>
    <row r="95" spans="2:6" ht="27.95" customHeight="1" x14ac:dyDescent="0.25">
      <c r="B95" s="8" t="s">
        <v>160</v>
      </c>
      <c r="C95" s="9" t="s">
        <v>283</v>
      </c>
      <c r="D95" s="95" t="s">
        <v>601</v>
      </c>
      <c r="E95" s="72"/>
      <c r="F95" s="73"/>
    </row>
    <row r="96" spans="2:6" ht="27.95" customHeight="1" x14ac:dyDescent="0.25">
      <c r="B96" s="10" t="s">
        <v>161</v>
      </c>
      <c r="C96" s="9" t="s">
        <v>283</v>
      </c>
      <c r="D96" s="86" t="s">
        <v>602</v>
      </c>
      <c r="E96" s="72"/>
      <c r="F96" s="73"/>
    </row>
    <row r="97" spans="2:6" ht="27.95" customHeight="1" x14ac:dyDescent="0.25">
      <c r="B97" s="8" t="s">
        <v>162</v>
      </c>
      <c r="C97" s="9" t="s">
        <v>283</v>
      </c>
      <c r="D97" s="95" t="s">
        <v>603</v>
      </c>
      <c r="E97" s="72"/>
      <c r="F97" s="73"/>
    </row>
    <row r="98" spans="2:6" ht="27.95" customHeight="1" x14ac:dyDescent="0.25">
      <c r="B98" s="10" t="s">
        <v>163</v>
      </c>
      <c r="C98" s="9" t="s">
        <v>283</v>
      </c>
      <c r="D98" s="86" t="s">
        <v>604</v>
      </c>
      <c r="E98" s="72"/>
      <c r="F98" s="73"/>
    </row>
    <row r="99" spans="2:6" ht="27.95" customHeight="1" x14ac:dyDescent="0.25">
      <c r="B99" s="71" t="s">
        <v>164</v>
      </c>
      <c r="C99" s="72"/>
      <c r="D99" s="72"/>
      <c r="E99" s="72"/>
      <c r="F99" s="73"/>
    </row>
    <row r="100" spans="2:6" ht="24" x14ac:dyDescent="0.25">
      <c r="B100" s="11" t="s">
        <v>447</v>
      </c>
      <c r="C100" s="12">
        <f>IF((COUNTIF(C93:C98,"Met")+COUNTIF(C93:C98,"Partial")+COUNTIF(C93:C98,"Missed"))=0,"",ROUND((COUNTIF(C93:C98,"Met")*5+COUNTIF(C93:C98,"Partial")*2.5)/(COUNTIF(C93:C98,"Met")+COUNTIF(C93:C98,"Partial")+COUNTIF(C93:C98,"Missed")),1))</f>
        <v>5</v>
      </c>
      <c r="D100" s="96"/>
      <c r="E100" s="72"/>
      <c r="F100" s="73"/>
    </row>
    <row r="101" spans="2:6" ht="24" customHeight="1" x14ac:dyDescent="0.25">
      <c r="B101" s="13" t="s">
        <v>448</v>
      </c>
      <c r="C101" s="14">
        <v>5</v>
      </c>
      <c r="D101" s="101" t="str">
        <f>IF(C101="","← enter score; anchor description appears here",CHOOSE(C101+1,"Agent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Issue resolved or strongest available outcome achieved</v>
      </c>
      <c r="E101" s="72"/>
      <c r="F101" s="73"/>
    </row>
    <row r="102" spans="2:6" ht="36" customHeight="1" x14ac:dyDescent="0.25">
      <c r="B102" s="13" t="s">
        <v>449</v>
      </c>
      <c r="C102" s="78" t="s">
        <v>458</v>
      </c>
      <c r="D102" s="72"/>
      <c r="E102" s="72"/>
      <c r="F102" s="73"/>
    </row>
    <row r="104" spans="2:6" ht="18" customHeight="1" x14ac:dyDescent="0.25">
      <c r="B104" s="81" t="s">
        <v>166</v>
      </c>
      <c r="C104" s="75"/>
      <c r="D104" s="75"/>
      <c r="E104" s="76"/>
      <c r="F104" s="6" t="s">
        <v>156</v>
      </c>
    </row>
    <row r="105" spans="2:6" ht="27.95" customHeight="1" x14ac:dyDescent="0.25">
      <c r="B105" s="97" t="s">
        <v>167</v>
      </c>
      <c r="C105" s="72"/>
      <c r="D105" s="72"/>
      <c r="E105" s="72"/>
      <c r="F105" s="73"/>
    </row>
    <row r="106" spans="2:6" x14ac:dyDescent="0.25">
      <c r="B106" s="2" t="s">
        <v>96</v>
      </c>
      <c r="C106" s="7" t="s">
        <v>97</v>
      </c>
      <c r="D106" s="98" t="s">
        <v>98</v>
      </c>
      <c r="E106" s="72"/>
      <c r="F106" s="73"/>
    </row>
    <row r="107" spans="2:6" ht="27.95" customHeight="1" x14ac:dyDescent="0.25">
      <c r="B107" s="8" t="s">
        <v>168</v>
      </c>
      <c r="C107" s="9" t="s">
        <v>283</v>
      </c>
      <c r="D107" s="95" t="s">
        <v>605</v>
      </c>
      <c r="E107" s="72"/>
      <c r="F107" s="73"/>
    </row>
    <row r="108" spans="2:6" ht="27.95" customHeight="1" x14ac:dyDescent="0.25">
      <c r="B108" s="10" t="s">
        <v>169</v>
      </c>
      <c r="C108" s="9" t="s">
        <v>283</v>
      </c>
      <c r="D108" s="86" t="s">
        <v>169</v>
      </c>
      <c r="E108" s="72"/>
      <c r="F108" s="73"/>
    </row>
    <row r="109" spans="2:6" ht="27.95" customHeight="1" x14ac:dyDescent="0.25">
      <c r="B109" s="8" t="s">
        <v>170</v>
      </c>
      <c r="C109" s="9" t="s">
        <v>283</v>
      </c>
      <c r="D109" s="95" t="s">
        <v>606</v>
      </c>
      <c r="E109" s="72"/>
      <c r="F109" s="73"/>
    </row>
    <row r="110" spans="2:6" ht="27.95" customHeight="1" x14ac:dyDescent="0.25">
      <c r="B110" s="10" t="s">
        <v>171</v>
      </c>
      <c r="C110" s="9" t="s">
        <v>287</v>
      </c>
      <c r="D110" s="86" t="s">
        <v>607</v>
      </c>
      <c r="E110" s="72"/>
      <c r="F110" s="73"/>
    </row>
    <row r="111" spans="2:6" ht="27.95" customHeight="1" x14ac:dyDescent="0.25">
      <c r="B111" s="8" t="s">
        <v>172</v>
      </c>
      <c r="C111" s="9" t="s">
        <v>289</v>
      </c>
      <c r="D111" s="95" t="s">
        <v>608</v>
      </c>
      <c r="E111" s="72"/>
      <c r="F111" s="73"/>
    </row>
    <row r="112" spans="2:6" ht="27.95" customHeight="1" x14ac:dyDescent="0.25">
      <c r="B112" s="10" t="s">
        <v>173</v>
      </c>
      <c r="C112" s="9" t="s">
        <v>283</v>
      </c>
      <c r="D112" s="86" t="s">
        <v>609</v>
      </c>
      <c r="E112" s="72"/>
      <c r="F112" s="73"/>
    </row>
    <row r="113" spans="2:6" ht="27.95" customHeight="1" x14ac:dyDescent="0.25">
      <c r="B113" s="8" t="s">
        <v>174</v>
      </c>
      <c r="C113" s="9" t="s">
        <v>287</v>
      </c>
      <c r="D113" s="95" t="s">
        <v>610</v>
      </c>
      <c r="E113" s="72"/>
      <c r="F113" s="73"/>
    </row>
    <row r="114" spans="2:6" ht="27.95" customHeight="1" x14ac:dyDescent="0.25">
      <c r="B114" s="71" t="s">
        <v>175</v>
      </c>
      <c r="C114" s="72"/>
      <c r="D114" s="72"/>
      <c r="E114" s="72"/>
      <c r="F114" s="73"/>
    </row>
    <row r="115" spans="2:6" ht="24" x14ac:dyDescent="0.25">
      <c r="B115" s="11" t="s">
        <v>447</v>
      </c>
      <c r="C115" s="12">
        <f>IF((COUNTIF(C107:C113,"Met")+COUNTIF(C107:C113,"Partial")+COUNTIF(C107:C113,"Missed"))=0,"",ROUND((COUNTIF(C107:C113,"Met")*5+COUNTIF(C107:C113,"Partial")*2.5)/(COUNTIF(C107:C113,"Met")+COUNTIF(C107:C113,"Partial")+COUNTIF(C107:C113,"Missed")),1))</f>
        <v>3.3</v>
      </c>
      <c r="D115" s="96"/>
      <c r="E115" s="72"/>
      <c r="F115" s="73"/>
    </row>
    <row r="116" spans="2:6" ht="24" customHeight="1" x14ac:dyDescent="0.25">
      <c r="B116" s="13" t="s">
        <v>448</v>
      </c>
      <c r="C116" s="14">
        <v>3</v>
      </c>
      <c r="D116" s="101" t="str">
        <f>IF(C116="","← enter score; anchor description appears here",CHOOSE(C116+1,"Agent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Partial progress made but opportunities missed</v>
      </c>
      <c r="E116" s="72"/>
      <c r="F116" s="73"/>
    </row>
    <row r="117" spans="2:6" ht="36" customHeight="1" x14ac:dyDescent="0.25">
      <c r="B117" s="13" t="s">
        <v>449</v>
      </c>
      <c r="C117" s="78" t="s">
        <v>459</v>
      </c>
      <c r="D117" s="72"/>
      <c r="E117" s="72"/>
      <c r="F117" s="73"/>
    </row>
    <row r="119" spans="2:6" x14ac:dyDescent="0.25">
      <c r="B119" s="77" t="s">
        <v>177</v>
      </c>
      <c r="C119" s="75"/>
      <c r="D119" s="75"/>
      <c r="E119" s="75"/>
      <c r="F119" s="76"/>
    </row>
    <row r="120" spans="2:6" x14ac:dyDescent="0.25">
      <c r="B120" s="15" t="s">
        <v>178</v>
      </c>
      <c r="C120" s="15" t="s">
        <v>179</v>
      </c>
      <c r="D120" s="15" t="s">
        <v>180</v>
      </c>
      <c r="E120" s="15" t="s">
        <v>181</v>
      </c>
      <c r="F120" s="15" t="s">
        <v>182</v>
      </c>
    </row>
    <row r="121" spans="2:6" x14ac:dyDescent="0.25">
      <c r="B121" s="16" t="s">
        <v>183</v>
      </c>
      <c r="C121" s="17">
        <v>0.3</v>
      </c>
      <c r="D121" s="18">
        <f>C27</f>
        <v>3</v>
      </c>
      <c r="E121" s="19">
        <f t="shared" ref="E121:E127" si="0">IF(D121="","",(D121/5)*C121)</f>
        <v>0.18</v>
      </c>
      <c r="F121" s="20" t="str">
        <f t="shared" ref="F121:F127" si="1">IF(D121="","",IF(D121&gt;=4,"Strong",IF(D121=3,"Developing","Needs Focus")))</f>
        <v>Developing</v>
      </c>
    </row>
    <row r="122" spans="2:6" x14ac:dyDescent="0.25">
      <c r="B122" s="21" t="s">
        <v>184</v>
      </c>
      <c r="C122" s="22">
        <v>0.2</v>
      </c>
      <c r="D122" s="23">
        <f>C42</f>
        <v>4</v>
      </c>
      <c r="E122" s="24">
        <f t="shared" si="0"/>
        <v>0.16000000000000003</v>
      </c>
      <c r="F122" s="25" t="str">
        <f t="shared" si="1"/>
        <v>Strong</v>
      </c>
    </row>
    <row r="123" spans="2:6" x14ac:dyDescent="0.25">
      <c r="B123" s="16" t="s">
        <v>185</v>
      </c>
      <c r="C123" s="17">
        <v>0.15</v>
      </c>
      <c r="D123" s="18">
        <f>C58</f>
        <v>3</v>
      </c>
      <c r="E123" s="19">
        <f t="shared" si="0"/>
        <v>0.09</v>
      </c>
      <c r="F123" s="20" t="str">
        <f t="shared" si="1"/>
        <v>Developing</v>
      </c>
    </row>
    <row r="124" spans="2:6" x14ac:dyDescent="0.25">
      <c r="B124" s="21" t="s">
        <v>186</v>
      </c>
      <c r="C124" s="22">
        <v>0.15</v>
      </c>
      <c r="D124" s="23">
        <f>C74</f>
        <v>2</v>
      </c>
      <c r="E124" s="24">
        <f t="shared" si="0"/>
        <v>0.06</v>
      </c>
      <c r="F124" s="25" t="str">
        <f t="shared" si="1"/>
        <v>Needs Focus</v>
      </c>
    </row>
    <row r="125" spans="2:6" x14ac:dyDescent="0.25">
      <c r="B125" s="16" t="s">
        <v>187</v>
      </c>
      <c r="C125" s="17">
        <v>0.1</v>
      </c>
      <c r="D125" s="18">
        <f>C87</f>
        <v>0</v>
      </c>
      <c r="E125" s="19">
        <f t="shared" si="0"/>
        <v>0</v>
      </c>
      <c r="F125" s="20" t="str">
        <f t="shared" si="1"/>
        <v>Needs Focus</v>
      </c>
    </row>
    <row r="126" spans="2:6" x14ac:dyDescent="0.25">
      <c r="B126" s="21" t="s">
        <v>188</v>
      </c>
      <c r="C126" s="22">
        <v>0.05</v>
      </c>
      <c r="D126" s="23">
        <f>C101</f>
        <v>5</v>
      </c>
      <c r="E126" s="24">
        <f t="shared" si="0"/>
        <v>0.05</v>
      </c>
      <c r="F126" s="25" t="str">
        <f t="shared" si="1"/>
        <v>Strong</v>
      </c>
    </row>
    <row r="127" spans="2:6" x14ac:dyDescent="0.25">
      <c r="B127" s="16" t="s">
        <v>189</v>
      </c>
      <c r="C127" s="17">
        <v>0.05</v>
      </c>
      <c r="D127" s="18">
        <f>C116</f>
        <v>3</v>
      </c>
      <c r="E127" s="19">
        <f t="shared" si="0"/>
        <v>0.03</v>
      </c>
      <c r="F127" s="20" t="str">
        <f t="shared" si="1"/>
        <v>Developing</v>
      </c>
    </row>
    <row r="128" spans="2:6" ht="24" customHeight="1" x14ac:dyDescent="0.25">
      <c r="B128" s="5" t="s">
        <v>190</v>
      </c>
      <c r="C128" s="26">
        <f>SUM(C121:C127)</f>
        <v>1</v>
      </c>
      <c r="D128" s="27"/>
      <c r="E128" s="28">
        <f>SUM(E121:E127)</f>
        <v>0.57000000000000006</v>
      </c>
      <c r="F128" s="29" t="str">
        <f>IF(E128="","",IF(E128&gt;=0.85,"MEETS / EXCEEDS",IF(E128&gt;=0.7,"DEVELOPING","NEEDS IMPROVEMENT")))</f>
        <v>NEEDS IMPROVEMENT</v>
      </c>
    </row>
    <row r="130" spans="2:6" x14ac:dyDescent="0.25">
      <c r="B130" s="81" t="s">
        <v>191</v>
      </c>
      <c r="C130" s="75"/>
      <c r="D130" s="75"/>
      <c r="E130" s="75"/>
      <c r="F130" s="76"/>
    </row>
    <row r="131" spans="2:6" x14ac:dyDescent="0.25">
      <c r="B131" s="2" t="s">
        <v>192</v>
      </c>
      <c r="C131" s="104" t="s">
        <v>460</v>
      </c>
      <c r="D131" s="72"/>
      <c r="E131" s="72"/>
      <c r="F131" s="73"/>
    </row>
    <row r="132" spans="2:6" x14ac:dyDescent="0.25">
      <c r="B132" s="4" t="s">
        <v>193</v>
      </c>
      <c r="C132" s="79" t="s">
        <v>461</v>
      </c>
      <c r="D132" s="72"/>
      <c r="E132" s="72"/>
      <c r="F132" s="73"/>
    </row>
    <row r="133" spans="2:6" ht="51.95" customHeight="1" x14ac:dyDescent="0.25">
      <c r="B133" s="2" t="s">
        <v>194</v>
      </c>
      <c r="C133" s="78" t="s">
        <v>612</v>
      </c>
      <c r="D133" s="72"/>
      <c r="E133" s="72"/>
      <c r="F133" s="73"/>
    </row>
    <row r="135" spans="2:6" x14ac:dyDescent="0.25">
      <c r="B135" s="81" t="s">
        <v>195</v>
      </c>
      <c r="C135" s="75"/>
      <c r="D135" s="75"/>
      <c r="E135" s="75"/>
      <c r="F135" s="76"/>
    </row>
    <row r="136" spans="2:6" x14ac:dyDescent="0.25">
      <c r="B136" s="4" t="s">
        <v>196</v>
      </c>
      <c r="C136" s="9" t="s">
        <v>197</v>
      </c>
      <c r="D136" s="71" t="s">
        <v>198</v>
      </c>
      <c r="E136" s="72"/>
      <c r="F136" s="73"/>
    </row>
    <row r="137" spans="2:6" ht="30" customHeight="1" x14ac:dyDescent="0.25">
      <c r="B137" s="2" t="s">
        <v>199</v>
      </c>
      <c r="C137" s="79" t="s">
        <v>200</v>
      </c>
      <c r="D137" s="73"/>
      <c r="E137" s="106" t="str">
        <f>IF(AND(C136="Yes",OR(C137="None",C137="N.A. — no disconnect")),"⚠ MISSED OWNERSHIP OPPORTUNITY — flag in Customer Ownership and Critical Failures","OK")</f>
        <v>OK</v>
      </c>
      <c r="F137" s="73"/>
    </row>
    <row r="139" spans="2:6" x14ac:dyDescent="0.25">
      <c r="B139" s="102" t="s">
        <v>201</v>
      </c>
      <c r="C139" s="75"/>
      <c r="D139" s="75"/>
      <c r="E139" s="75"/>
      <c r="F139" s="76"/>
    </row>
    <row r="140" spans="2:6" x14ac:dyDescent="0.25">
      <c r="B140" s="1" t="s">
        <v>202</v>
      </c>
      <c r="C140" s="15" t="s">
        <v>203</v>
      </c>
      <c r="D140" s="81" t="s">
        <v>204</v>
      </c>
      <c r="E140" s="75"/>
      <c r="F140" s="76"/>
    </row>
    <row r="141" spans="2:6" ht="26.1" customHeight="1" x14ac:dyDescent="0.25">
      <c r="B141" s="8" t="s">
        <v>205</v>
      </c>
      <c r="C141" s="9" t="s">
        <v>197</v>
      </c>
      <c r="D141" s="95"/>
      <c r="E141" s="72"/>
      <c r="F141" s="73"/>
    </row>
    <row r="142" spans="2:6" ht="26.1" customHeight="1" x14ac:dyDescent="0.25">
      <c r="B142" s="10" t="s">
        <v>206</v>
      </c>
      <c r="C142" s="9" t="s">
        <v>197</v>
      </c>
      <c r="D142" s="86"/>
      <c r="E142" s="72"/>
      <c r="F142" s="73"/>
    </row>
    <row r="143" spans="2:6" ht="26.1" customHeight="1" x14ac:dyDescent="0.25">
      <c r="B143" s="8" t="s">
        <v>207</v>
      </c>
      <c r="C143" s="9" t="s">
        <v>197</v>
      </c>
      <c r="D143" s="95"/>
      <c r="E143" s="72"/>
      <c r="F143" s="73"/>
    </row>
    <row r="144" spans="2:6" ht="26.1" customHeight="1" x14ac:dyDescent="0.25">
      <c r="B144" s="10" t="s">
        <v>208</v>
      </c>
      <c r="C144" s="9" t="s">
        <v>197</v>
      </c>
      <c r="D144" s="86"/>
      <c r="E144" s="72"/>
      <c r="F144" s="73"/>
    </row>
    <row r="145" spans="2:6" ht="26.1" customHeight="1" x14ac:dyDescent="0.25">
      <c r="B145" s="8" t="s">
        <v>209</v>
      </c>
      <c r="C145" s="9" t="s">
        <v>197</v>
      </c>
      <c r="D145" s="95"/>
      <c r="E145" s="72"/>
      <c r="F145" s="73"/>
    </row>
    <row r="146" spans="2:6" ht="26.1" customHeight="1" x14ac:dyDescent="0.25">
      <c r="B146" s="10" t="s">
        <v>210</v>
      </c>
      <c r="C146" s="9" t="s">
        <v>197</v>
      </c>
      <c r="D146" s="86"/>
      <c r="E146" s="72"/>
      <c r="F146" s="73"/>
    </row>
    <row r="147" spans="2:6" ht="26.1" customHeight="1" x14ac:dyDescent="0.25">
      <c r="B147" s="8" t="s">
        <v>211</v>
      </c>
      <c r="C147" s="9" t="s">
        <v>197</v>
      </c>
      <c r="D147" s="95"/>
      <c r="E147" s="72"/>
      <c r="F147" s="73"/>
    </row>
    <row r="148" spans="2:6" ht="26.1" customHeight="1" x14ac:dyDescent="0.25">
      <c r="B148" s="10" t="s">
        <v>212</v>
      </c>
      <c r="C148" s="9" t="s">
        <v>197</v>
      </c>
      <c r="D148" s="86"/>
      <c r="E148" s="72"/>
      <c r="F148" s="73"/>
    </row>
    <row r="149" spans="2:6" ht="26.1" customHeight="1" x14ac:dyDescent="0.25">
      <c r="B149" s="8" t="s">
        <v>213</v>
      </c>
      <c r="C149" s="9" t="s">
        <v>197</v>
      </c>
      <c r="D149" s="95"/>
      <c r="E149" s="72"/>
      <c r="F149" s="73"/>
    </row>
    <row r="150" spans="2:6" ht="26.1" customHeight="1" x14ac:dyDescent="0.25">
      <c r="B150" s="10" t="s">
        <v>214</v>
      </c>
      <c r="C150" s="9" t="s">
        <v>240</v>
      </c>
      <c r="D150" s="86" t="s">
        <v>613</v>
      </c>
      <c r="E150" s="72"/>
      <c r="F150" s="73"/>
    </row>
    <row r="151" spans="2:6" ht="26.1" customHeight="1" x14ac:dyDescent="0.25">
      <c r="B151" s="8" t="s">
        <v>215</v>
      </c>
      <c r="C151" s="9" t="s">
        <v>197</v>
      </c>
      <c r="D151" s="95"/>
      <c r="E151" s="72"/>
      <c r="F151" s="73"/>
    </row>
    <row r="152" spans="2:6" x14ac:dyDescent="0.25">
      <c r="B152" s="30" t="s">
        <v>221</v>
      </c>
      <c r="C152" s="103" t="str">
        <f>IF(COUNTIF(C141:C151,"Yes")&gt;0,"YES — "&amp;COUNTIF(C141:C151,"Yes")&amp;" condition(s) flagged — automatic review required regardless of weighted score","No critical failures")</f>
        <v>YES — 1 condition(s) flagged — automatic review required regardless of weighted score</v>
      </c>
      <c r="D152" s="75"/>
      <c r="E152" s="75"/>
      <c r="F152" s="76"/>
    </row>
    <row r="154" spans="2:6" x14ac:dyDescent="0.25">
      <c r="B154" s="77" t="s">
        <v>462</v>
      </c>
      <c r="C154" s="75"/>
      <c r="D154" s="75"/>
      <c r="E154" s="75"/>
      <c r="F154" s="76"/>
    </row>
    <row r="155" spans="2:6" x14ac:dyDescent="0.25">
      <c r="B155" s="81" t="s">
        <v>463</v>
      </c>
      <c r="C155" s="75"/>
      <c r="D155" s="75"/>
      <c r="E155" s="75"/>
      <c r="F155" s="76"/>
    </row>
    <row r="156" spans="2:6" ht="32.1" customHeight="1" x14ac:dyDescent="0.25">
      <c r="B156" s="7" t="s">
        <v>226</v>
      </c>
      <c r="C156" s="78"/>
      <c r="D156" s="72"/>
      <c r="E156" s="72"/>
      <c r="F156" s="73"/>
    </row>
    <row r="157" spans="2:6" ht="32.1" customHeight="1" x14ac:dyDescent="0.25">
      <c r="B157" s="7" t="s">
        <v>227</v>
      </c>
      <c r="C157" s="78"/>
      <c r="D157" s="72"/>
      <c r="E157" s="72"/>
      <c r="F157" s="73"/>
    </row>
    <row r="158" spans="2:6" ht="32.1" customHeight="1" x14ac:dyDescent="0.25">
      <c r="B158" s="7" t="s">
        <v>228</v>
      </c>
      <c r="C158" s="78"/>
      <c r="D158" s="72"/>
      <c r="E158" s="72"/>
      <c r="F158" s="73"/>
    </row>
    <row r="159" spans="2:6" x14ac:dyDescent="0.25">
      <c r="B159" s="81" t="s">
        <v>464</v>
      </c>
      <c r="C159" s="75"/>
      <c r="D159" s="75"/>
      <c r="E159" s="75"/>
      <c r="F159" s="76"/>
    </row>
    <row r="160" spans="2:6" ht="32.1" customHeight="1" x14ac:dyDescent="0.25">
      <c r="B160" s="7" t="s">
        <v>226</v>
      </c>
      <c r="C160" s="78"/>
      <c r="D160" s="72"/>
      <c r="E160" s="72"/>
      <c r="F160" s="73"/>
    </row>
    <row r="161" spans="2:6" ht="32.1" customHeight="1" x14ac:dyDescent="0.25">
      <c r="B161" s="7" t="s">
        <v>227</v>
      </c>
      <c r="C161" s="78"/>
      <c r="D161" s="72"/>
      <c r="E161" s="72"/>
      <c r="F161" s="73"/>
    </row>
    <row r="162" spans="2:6" ht="32.1" customHeight="1" x14ac:dyDescent="0.25">
      <c r="B162" s="7" t="s">
        <v>228</v>
      </c>
      <c r="C162" s="78"/>
      <c r="D162" s="72"/>
      <c r="E162" s="72"/>
      <c r="F162" s="73"/>
    </row>
    <row r="163" spans="2:6" x14ac:dyDescent="0.25">
      <c r="B163" s="81" t="s">
        <v>465</v>
      </c>
      <c r="C163" s="75"/>
      <c r="D163" s="75"/>
      <c r="E163" s="75"/>
      <c r="F163" s="76"/>
    </row>
    <row r="164" spans="2:6" ht="57.95" customHeight="1" x14ac:dyDescent="0.25">
      <c r="B164" s="78"/>
      <c r="C164" s="72"/>
      <c r="D164" s="72"/>
      <c r="E164" s="72"/>
      <c r="F164" s="73"/>
    </row>
    <row r="165" spans="2:6" x14ac:dyDescent="0.25">
      <c r="B165" s="81" t="s">
        <v>466</v>
      </c>
      <c r="C165" s="75"/>
      <c r="D165" s="75"/>
      <c r="E165" s="75"/>
      <c r="F165" s="76"/>
    </row>
    <row r="166" spans="2:6" ht="69.95" customHeight="1" x14ac:dyDescent="0.25">
      <c r="B166" s="78"/>
      <c r="C166" s="72"/>
      <c r="D166" s="72"/>
      <c r="E166" s="72"/>
      <c r="F166" s="73"/>
    </row>
    <row r="167" spans="2:6" x14ac:dyDescent="0.25">
      <c r="B167" s="81" t="s">
        <v>467</v>
      </c>
      <c r="C167" s="75"/>
      <c r="D167" s="75"/>
      <c r="E167" s="75"/>
      <c r="F167" s="76"/>
    </row>
    <row r="168" spans="2:6" ht="57.95" customHeight="1" x14ac:dyDescent="0.25">
      <c r="B168" s="78"/>
      <c r="C168" s="72"/>
      <c r="D168" s="72"/>
      <c r="E168" s="72"/>
      <c r="F168" s="73"/>
    </row>
    <row r="169" spans="2:6" x14ac:dyDescent="0.25">
      <c r="B169" s="81" t="s">
        <v>468</v>
      </c>
      <c r="C169" s="75"/>
      <c r="D169" s="75"/>
      <c r="E169" s="75"/>
      <c r="F169" s="76"/>
    </row>
    <row r="170" spans="2:6" ht="57.95" customHeight="1" x14ac:dyDescent="0.25">
      <c r="B170" s="78"/>
      <c r="C170" s="72"/>
      <c r="D170" s="72"/>
      <c r="E170" s="72"/>
      <c r="F170" s="73"/>
    </row>
  </sheetData>
  <mergeCells count="149">
    <mergeCell ref="B31:F31"/>
    <mergeCell ref="B46:F46"/>
    <mergeCell ref="D58:F58"/>
    <mergeCell ref="D22:F22"/>
    <mergeCell ref="D36:F36"/>
    <mergeCell ref="B2:F2"/>
    <mergeCell ref="D37:F37"/>
    <mergeCell ref="E137:F137"/>
    <mergeCell ref="D143:F143"/>
    <mergeCell ref="D92:F92"/>
    <mergeCell ref="B170:F170"/>
    <mergeCell ref="D39:F39"/>
    <mergeCell ref="B166:F166"/>
    <mergeCell ref="D142:F142"/>
    <mergeCell ref="D23:F23"/>
    <mergeCell ref="C88:F88"/>
    <mergeCell ref="D94:F94"/>
    <mergeCell ref="B168:F168"/>
    <mergeCell ref="D144:F144"/>
    <mergeCell ref="D80:F80"/>
    <mergeCell ref="C43:F43"/>
    <mergeCell ref="D96:F96"/>
    <mergeCell ref="D57:F57"/>
    <mergeCell ref="B135:F135"/>
    <mergeCell ref="E12:F12"/>
    <mergeCell ref="D27:F27"/>
    <mergeCell ref="D41:F41"/>
    <mergeCell ref="B72:F72"/>
    <mergeCell ref="D107:F107"/>
    <mergeCell ref="B167:F167"/>
    <mergeCell ref="B105:F105"/>
    <mergeCell ref="D106:F106"/>
    <mergeCell ref="D146:F146"/>
    <mergeCell ref="D93:F93"/>
    <mergeCell ref="C137:D137"/>
    <mergeCell ref="B90:E90"/>
    <mergeCell ref="D74:F74"/>
    <mergeCell ref="D68:F68"/>
    <mergeCell ref="D83:F83"/>
    <mergeCell ref="D110:F110"/>
    <mergeCell ref="C162:F162"/>
    <mergeCell ref="B77:E77"/>
    <mergeCell ref="B99:F99"/>
    <mergeCell ref="D116:F116"/>
    <mergeCell ref="C161:F161"/>
    <mergeCell ref="B159:F159"/>
    <mergeCell ref="C157:F157"/>
    <mergeCell ref="D87:F87"/>
    <mergeCell ref="C102:F102"/>
    <mergeCell ref="D71:F71"/>
    <mergeCell ref="B164:F164"/>
    <mergeCell ref="B114:F114"/>
    <mergeCell ref="D149:F149"/>
    <mergeCell ref="E5:F5"/>
    <mergeCell ref="C158:F158"/>
    <mergeCell ref="B104:E104"/>
    <mergeCell ref="D147:F147"/>
    <mergeCell ref="B56:F56"/>
    <mergeCell ref="C28:F28"/>
    <mergeCell ref="C14:F14"/>
    <mergeCell ref="D55:F55"/>
    <mergeCell ref="D67:F67"/>
    <mergeCell ref="D54:F54"/>
    <mergeCell ref="B16:F16"/>
    <mergeCell ref="B25:F25"/>
    <mergeCell ref="D66:F66"/>
    <mergeCell ref="D53:F53"/>
    <mergeCell ref="D47:F47"/>
    <mergeCell ref="B18:F18"/>
    <mergeCell ref="E8:F8"/>
    <mergeCell ref="C13:F13"/>
    <mergeCell ref="C75:F75"/>
    <mergeCell ref="D65:F65"/>
    <mergeCell ref="E7:F7"/>
    <mergeCell ref="B139:F139"/>
    <mergeCell ref="D84:F84"/>
    <mergeCell ref="D140:F140"/>
    <mergeCell ref="B1:F1"/>
    <mergeCell ref="C160:F160"/>
    <mergeCell ref="D33:F33"/>
    <mergeCell ref="D73:F73"/>
    <mergeCell ref="D42:F42"/>
    <mergeCell ref="D51:F51"/>
    <mergeCell ref="D82:F82"/>
    <mergeCell ref="D113:F113"/>
    <mergeCell ref="E6:F6"/>
    <mergeCell ref="D148:F148"/>
    <mergeCell ref="D35:F35"/>
    <mergeCell ref="D50:F50"/>
    <mergeCell ref="C152:F152"/>
    <mergeCell ref="D115:F115"/>
    <mergeCell ref="D20:F20"/>
    <mergeCell ref="D34:F34"/>
    <mergeCell ref="C133:F133"/>
    <mergeCell ref="B17:E17"/>
    <mergeCell ref="B4:F4"/>
    <mergeCell ref="C132:F132"/>
    <mergeCell ref="B62:F62"/>
    <mergeCell ref="D136:F136"/>
    <mergeCell ref="D150:F150"/>
    <mergeCell ref="D145:F145"/>
    <mergeCell ref="B154:F154"/>
    <mergeCell ref="D101:F101"/>
    <mergeCell ref="B163:F163"/>
    <mergeCell ref="B91:F91"/>
    <mergeCell ref="D151:F151"/>
    <mergeCell ref="E10:F10"/>
    <mergeCell ref="E9:F9"/>
    <mergeCell ref="D24:F24"/>
    <mergeCell ref="E11:F11"/>
    <mergeCell ref="D26:F26"/>
    <mergeCell ref="D19:F19"/>
    <mergeCell ref="D32:F32"/>
    <mergeCell ref="D97:F97"/>
    <mergeCell ref="B45:E45"/>
    <mergeCell ref="D69:F69"/>
    <mergeCell ref="D100:F100"/>
    <mergeCell ref="D109:F109"/>
    <mergeCell ref="B61:E61"/>
    <mergeCell ref="D111:F111"/>
    <mergeCell ref="B85:F85"/>
    <mergeCell ref="D108:F108"/>
    <mergeCell ref="D21:F21"/>
    <mergeCell ref="D86:F86"/>
    <mergeCell ref="D95:F95"/>
    <mergeCell ref="B169:F169"/>
    <mergeCell ref="C59:F59"/>
    <mergeCell ref="D52:F52"/>
    <mergeCell ref="D49:F49"/>
    <mergeCell ref="B165:F165"/>
    <mergeCell ref="B30:E30"/>
    <mergeCell ref="D141:F141"/>
    <mergeCell ref="D70:F70"/>
    <mergeCell ref="D48:F48"/>
    <mergeCell ref="B155:F155"/>
    <mergeCell ref="C131:F131"/>
    <mergeCell ref="B130:F130"/>
    <mergeCell ref="D112:F112"/>
    <mergeCell ref="C156:F156"/>
    <mergeCell ref="B119:F119"/>
    <mergeCell ref="D64:F64"/>
    <mergeCell ref="D38:F38"/>
    <mergeCell ref="D98:F98"/>
    <mergeCell ref="B78:F78"/>
    <mergeCell ref="D79:F79"/>
    <mergeCell ref="C117:F117"/>
    <mergeCell ref="B40:F40"/>
    <mergeCell ref="D63:F63"/>
    <mergeCell ref="D81:F81"/>
  </mergeCells>
  <conditionalFormatting sqref="C20:C24">
    <cfRule type="cellIs" dxfId="128" priority="1" operator="equal">
      <formula>"Met"</formula>
    </cfRule>
    <cfRule type="cellIs" dxfId="127" priority="2" operator="equal">
      <formula>"Partial"</formula>
    </cfRule>
    <cfRule type="cellIs" dxfId="126" priority="3" operator="equal">
      <formula>"Missed"</formula>
    </cfRule>
  </conditionalFormatting>
  <conditionalFormatting sqref="C27">
    <cfRule type="cellIs" dxfId="125" priority="4" operator="lessThanOrEqual">
      <formula>2</formula>
    </cfRule>
    <cfRule type="cellIs" dxfId="124" priority="5" operator="equal">
      <formula>3</formula>
    </cfRule>
    <cfRule type="cellIs" dxfId="123" priority="6" operator="greaterThanOrEqual">
      <formula>4</formula>
    </cfRule>
  </conditionalFormatting>
  <conditionalFormatting sqref="C33:C39">
    <cfRule type="cellIs" dxfId="122" priority="7" operator="equal">
      <formula>"Met"</formula>
    </cfRule>
    <cfRule type="cellIs" dxfId="121" priority="8" operator="equal">
      <formula>"Partial"</formula>
    </cfRule>
    <cfRule type="cellIs" dxfId="120" priority="9" operator="equal">
      <formula>"Missed"</formula>
    </cfRule>
  </conditionalFormatting>
  <conditionalFormatting sqref="C42">
    <cfRule type="cellIs" dxfId="119" priority="10" operator="lessThanOrEqual">
      <formula>2</formula>
    </cfRule>
    <cfRule type="cellIs" dxfId="118" priority="11" operator="equal">
      <formula>3</formula>
    </cfRule>
    <cfRule type="cellIs" dxfId="117" priority="12" operator="greaterThanOrEqual">
      <formula>4</formula>
    </cfRule>
  </conditionalFormatting>
  <conditionalFormatting sqref="C48:C55">
    <cfRule type="cellIs" dxfId="116" priority="13" operator="equal">
      <formula>"Met"</formula>
    </cfRule>
    <cfRule type="cellIs" dxfId="115" priority="14" operator="equal">
      <formula>"Partial"</formula>
    </cfRule>
    <cfRule type="cellIs" dxfId="114" priority="15" operator="equal">
      <formula>"Missed"</formula>
    </cfRule>
  </conditionalFormatting>
  <conditionalFormatting sqref="C58">
    <cfRule type="cellIs" dxfId="113" priority="16" operator="lessThanOrEqual">
      <formula>2</formula>
    </cfRule>
    <cfRule type="cellIs" dxfId="112" priority="17" operator="equal">
      <formula>3</formula>
    </cfRule>
    <cfRule type="cellIs" dxfId="111" priority="18" operator="greaterThanOrEqual">
      <formula>4</formula>
    </cfRule>
  </conditionalFormatting>
  <conditionalFormatting sqref="C64:C71">
    <cfRule type="cellIs" dxfId="110" priority="19" operator="equal">
      <formula>"Met"</formula>
    </cfRule>
    <cfRule type="cellIs" dxfId="109" priority="20" operator="equal">
      <formula>"Partial"</formula>
    </cfRule>
    <cfRule type="cellIs" dxfId="108" priority="21" operator="equal">
      <formula>"Missed"</formula>
    </cfRule>
  </conditionalFormatting>
  <conditionalFormatting sqref="C74">
    <cfRule type="cellIs" dxfId="107" priority="22" operator="lessThanOrEqual">
      <formula>2</formula>
    </cfRule>
    <cfRule type="cellIs" dxfId="106" priority="23" operator="equal">
      <formula>3</formula>
    </cfRule>
    <cfRule type="cellIs" dxfId="105" priority="24" operator="greaterThanOrEqual">
      <formula>4</formula>
    </cfRule>
  </conditionalFormatting>
  <conditionalFormatting sqref="C80:C84">
    <cfRule type="cellIs" dxfId="104" priority="25" operator="equal">
      <formula>"Met"</formula>
    </cfRule>
    <cfRule type="cellIs" dxfId="103" priority="26" operator="equal">
      <formula>"Partial"</formula>
    </cfRule>
    <cfRule type="cellIs" dxfId="102" priority="27" operator="equal">
      <formula>"Missed"</formula>
    </cfRule>
  </conditionalFormatting>
  <conditionalFormatting sqref="C87">
    <cfRule type="cellIs" dxfId="101" priority="28" operator="lessThanOrEqual">
      <formula>2</formula>
    </cfRule>
    <cfRule type="cellIs" dxfId="100" priority="29" operator="equal">
      <formula>3</formula>
    </cfRule>
    <cfRule type="cellIs" dxfId="99" priority="30" operator="greaterThanOrEqual">
      <formula>4</formula>
    </cfRule>
  </conditionalFormatting>
  <conditionalFormatting sqref="C93:C98">
    <cfRule type="cellIs" dxfId="98" priority="31" operator="equal">
      <formula>"Met"</formula>
    </cfRule>
    <cfRule type="cellIs" dxfId="97" priority="32" operator="equal">
      <formula>"Partial"</formula>
    </cfRule>
    <cfRule type="cellIs" dxfId="96" priority="33" operator="equal">
      <formula>"Missed"</formula>
    </cfRule>
  </conditionalFormatting>
  <conditionalFormatting sqref="C101">
    <cfRule type="cellIs" dxfId="95" priority="34" operator="lessThanOrEqual">
      <formula>2</formula>
    </cfRule>
    <cfRule type="cellIs" dxfId="94" priority="35" operator="equal">
      <formula>3</formula>
    </cfRule>
    <cfRule type="cellIs" dxfId="93" priority="36" operator="greaterThanOrEqual">
      <formula>4</formula>
    </cfRule>
  </conditionalFormatting>
  <conditionalFormatting sqref="C107:C113">
    <cfRule type="cellIs" dxfId="92" priority="37" operator="equal">
      <formula>"Met"</formula>
    </cfRule>
    <cfRule type="cellIs" dxfId="91" priority="38" operator="equal">
      <formula>"Partial"</formula>
    </cfRule>
    <cfRule type="cellIs" dxfId="90" priority="39" operator="equal">
      <formula>"Missed"</formula>
    </cfRule>
  </conditionalFormatting>
  <conditionalFormatting sqref="C116">
    <cfRule type="cellIs" dxfId="89" priority="40" operator="lessThanOrEqual">
      <formula>2</formula>
    </cfRule>
    <cfRule type="cellIs" dxfId="88" priority="41" operator="equal">
      <formula>3</formula>
    </cfRule>
    <cfRule type="cellIs" dxfId="87" priority="42" operator="greaterThanOrEqual">
      <formula>4</formula>
    </cfRule>
  </conditionalFormatting>
  <conditionalFormatting sqref="C141:C151">
    <cfRule type="cellIs" dxfId="86" priority="51" operator="equal">
      <formula>"Yes"</formula>
    </cfRule>
  </conditionalFormatting>
  <conditionalFormatting sqref="C152">
    <cfRule type="expression" dxfId="85" priority="53">
      <formula>NOT(ISNUMBER(SEARCH("YES",C152)))</formula>
    </cfRule>
    <cfRule type="expression" dxfId="84" priority="52">
      <formula>ISNUMBER(SEARCH("YES",C152))</formula>
    </cfRule>
  </conditionalFormatting>
  <conditionalFormatting sqref="E128">
    <cfRule type="cellIs" dxfId="83" priority="43" operator="greaterThanOrEqual">
      <formula>0.85</formula>
    </cfRule>
    <cfRule type="cellIs" dxfId="82" priority="44" operator="between">
      <formula>0.7</formula>
      <formula>0.8499</formula>
    </cfRule>
    <cfRule type="cellIs" dxfId="81" priority="45" operator="lessThan">
      <formula>0.7</formula>
    </cfRule>
  </conditionalFormatting>
  <conditionalFormatting sqref="E137">
    <cfRule type="expression" dxfId="80" priority="49">
      <formula>E137&lt;&gt;"OK"</formula>
    </cfRule>
    <cfRule type="expression" dxfId="79" priority="50">
      <formula>E137="OK"</formula>
    </cfRule>
  </conditionalFormatting>
  <conditionalFormatting sqref="F121:F127">
    <cfRule type="cellIs" dxfId="78" priority="46" operator="equal">
      <formula>"Strong"</formula>
    </cfRule>
    <cfRule type="cellIs" dxfId="77" priority="48" operator="equal">
      <formula>"Needs Focus"</formula>
    </cfRule>
    <cfRule type="cellIs" dxfId="76" priority="47" operator="equal">
      <formula>"Developing"</formula>
    </cfRule>
  </conditionalFormatting>
  <dataValidations count="10">
    <dataValidation type="list" allowBlank="1" sqref="C20:C24 C33:C39 C48:C55 C64:C71 C80:C84 C93:C98 C107:C113" xr:uid="{00000000-0002-0000-0500-000000000000}">
      <formula1>"Met,Partial,Missed,N.A."</formula1>
    </dataValidation>
    <dataValidation type="whole" allowBlank="1" showErrorMessage="1" errorTitle="Invalid score" error="Enter a whole number from 0 to 5." sqref="C27 C42 C58 C74 C87 C101 C116" xr:uid="{00000000-0002-0000-0500-000001000000}">
      <formula1>0</formula1>
      <formula2>5</formula2>
    </dataValidation>
    <dataValidation type="list" allowBlank="1" sqref="C136 C141:C151 E10" xr:uid="{00000000-0002-0000-0500-000002000000}">
      <formula1>"No,Yes"</formula1>
    </dataValidation>
    <dataValidation type="list" allowBlank="1" sqref="C8" xr:uid="{00000000-0002-0000-0500-000003000000}">
      <formula1>"In-Warranty,Out-of-Warranty,Unknown"</formula1>
    </dataValidation>
    <dataValidation type="list" allowBlank="1" sqref="E7" xr:uid="{00000000-0002-0000-0500-000004000000}">
      <formula1>"Phone,Chat,Email,Social,Other"</formula1>
    </dataValidation>
    <dataValidation type="list" allowBlank="1" sqref="C9" xr:uid="{00000000-0002-0000-0500-000005000000}">
      <formula1>"Technical Issue,Setup/How-To,RMA/Replacement,Billing/Account,Connectivity,Other"</formula1>
    </dataValidation>
    <dataValidation type="list" allowBlank="1" sqref="E12" xr:uid="{00000000-0002-0000-0500-000006000000}">
      <formula1>"Within SLA,Breached,N.A."</formula1>
    </dataValidation>
    <dataValidation type="list" allowBlank="1" sqref="C131" xr:uid="{00000000-0002-0000-0500-000007000000}">
      <formula1>"Successful Resolution,Partial Resolution,Appropriate Escalation,Ownership Gap,Unresolved"</formula1>
    </dataValidation>
    <dataValidation type="list" allowBlank="1" sqref="C132" xr:uid="{00000000-0002-0000-0500-000008000000}">
      <formula1>_xlfn._LONGTEXT("Issue resolved,Proper RMA initiated (in-warranty / approved exception),Valid escalation submitted,Known limitation explained accurately,Customer educated with actionable next steps,Valid self-help guidance provided (out-of-warranty),Upgrade path recommend","ed appropriately (out-of-warranty),Customer declined further troubleshooting after reasonable effort,None achieved")</formula1>
    </dataValidation>
    <dataValidation type="list" allowBlank="1" sqref="C137" xr:uid="{00000000-0002-0000-0500-000009000000}">
      <formula1>"Callback attempt,Follow-up email,Private note documenting actions,Documented why follow-up not possible,None,N.A. — no disconnect"</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97B35-6B0E-4CBA-95CB-3AC11FC88266}">
  <dimension ref="B1:F170"/>
  <sheetViews>
    <sheetView showGridLines="0" workbookViewId="0">
      <pane ySplit="2" topLeftCell="A105" activePane="bottomLeft" state="frozen"/>
      <selection pane="bottomLeft" activeCell="D116" sqref="D116:F116"/>
    </sheetView>
  </sheetViews>
  <sheetFormatPr defaultRowHeight="15" x14ac:dyDescent="0.25"/>
  <cols>
    <col min="1" max="1" width="4" customWidth="1"/>
    <col min="2" max="2" width="58" customWidth="1"/>
    <col min="3" max="3" width="14" customWidth="1"/>
    <col min="4" max="4" width="13" customWidth="1"/>
    <col min="5" max="5" width="15" customWidth="1"/>
    <col min="6" max="6" width="46" customWidth="1"/>
    <col min="7" max="7" width="3" customWidth="1"/>
  </cols>
  <sheetData>
    <row r="1" spans="2:6" ht="27.95" customHeight="1" thickBot="1" x14ac:dyDescent="0.3">
      <c r="B1" s="85" t="s">
        <v>441</v>
      </c>
      <c r="C1" s="75"/>
      <c r="D1" s="75"/>
      <c r="E1" s="75"/>
      <c r="F1" s="76"/>
    </row>
    <row r="2" spans="2:6" ht="18" customHeight="1" thickBot="1" x14ac:dyDescent="0.3">
      <c r="B2" s="105" t="s">
        <v>63</v>
      </c>
      <c r="C2" s="75"/>
      <c r="D2" s="75"/>
      <c r="E2" s="75"/>
      <c r="F2" s="76"/>
    </row>
    <row r="4" spans="2:6" ht="15.75" thickBot="1" x14ac:dyDescent="0.3">
      <c r="B4" s="81" t="s">
        <v>64</v>
      </c>
      <c r="C4" s="75"/>
      <c r="D4" s="75"/>
      <c r="E4" s="75"/>
      <c r="F4" s="76"/>
    </row>
    <row r="5" spans="2:6" ht="30" x14ac:dyDescent="0.25">
      <c r="B5" s="2" t="s">
        <v>65</v>
      </c>
      <c r="C5" s="3" t="s">
        <v>614</v>
      </c>
      <c r="D5" s="4" t="s">
        <v>66</v>
      </c>
      <c r="E5" s="79" t="s">
        <v>565</v>
      </c>
      <c r="F5" s="73"/>
    </row>
    <row r="6" spans="2:6" ht="30" x14ac:dyDescent="0.25">
      <c r="B6" s="2" t="s">
        <v>67</v>
      </c>
      <c r="C6" s="3" t="s">
        <v>442</v>
      </c>
      <c r="D6" s="4" t="s">
        <v>68</v>
      </c>
      <c r="E6" s="122">
        <v>46063</v>
      </c>
      <c r="F6" s="73"/>
    </row>
    <row r="7" spans="2:6" x14ac:dyDescent="0.25">
      <c r="B7" s="2" t="s">
        <v>69</v>
      </c>
      <c r="C7" s="3" t="s">
        <v>561</v>
      </c>
      <c r="D7" s="4" t="s">
        <v>70</v>
      </c>
      <c r="E7" s="79" t="s">
        <v>443</v>
      </c>
      <c r="F7" s="73"/>
    </row>
    <row r="8" spans="2:6" x14ac:dyDescent="0.25">
      <c r="B8" s="2" t="s">
        <v>71</v>
      </c>
      <c r="C8" s="3" t="s">
        <v>562</v>
      </c>
      <c r="D8" s="4" t="s">
        <v>72</v>
      </c>
      <c r="E8" s="122">
        <v>46189</v>
      </c>
      <c r="F8" s="73"/>
    </row>
    <row r="9" spans="2:6" ht="30" x14ac:dyDescent="0.25">
      <c r="B9" s="2" t="s">
        <v>73</v>
      </c>
      <c r="C9" s="3" t="s">
        <v>444</v>
      </c>
      <c r="D9" s="4" t="s">
        <v>74</v>
      </c>
      <c r="E9" s="79" t="s">
        <v>615</v>
      </c>
      <c r="F9" s="73"/>
    </row>
    <row r="10" spans="2:6" ht="30" x14ac:dyDescent="0.25">
      <c r="B10" s="2" t="s">
        <v>75</v>
      </c>
      <c r="C10" s="3" t="s">
        <v>616</v>
      </c>
      <c r="D10" s="4" t="s">
        <v>76</v>
      </c>
      <c r="E10" s="79" t="s">
        <v>240</v>
      </c>
      <c r="F10" s="73"/>
    </row>
    <row r="11" spans="2:6" ht="30" x14ac:dyDescent="0.25">
      <c r="B11" s="2" t="s">
        <v>77</v>
      </c>
      <c r="C11" s="3"/>
      <c r="D11" s="4" t="s">
        <v>78</v>
      </c>
      <c r="E11" s="79" t="s">
        <v>617</v>
      </c>
      <c r="F11" s="73"/>
    </row>
    <row r="12" spans="2:6" x14ac:dyDescent="0.25">
      <c r="B12" s="2" t="s">
        <v>79</v>
      </c>
      <c r="C12" s="3" t="s">
        <v>567</v>
      </c>
      <c r="D12" s="4" t="s">
        <v>80</v>
      </c>
      <c r="E12" s="79" t="s">
        <v>446</v>
      </c>
      <c r="F12" s="73"/>
    </row>
    <row r="13" spans="2:6" ht="57.95" customHeight="1" x14ac:dyDescent="0.25">
      <c r="B13" s="4" t="s">
        <v>81</v>
      </c>
      <c r="C13" s="78" t="s">
        <v>568</v>
      </c>
      <c r="D13" s="72"/>
      <c r="E13" s="72"/>
      <c r="F13" s="73"/>
    </row>
    <row r="14" spans="2:6" ht="45.95" customHeight="1" x14ac:dyDescent="0.25">
      <c r="B14" s="4" t="s">
        <v>82</v>
      </c>
      <c r="C14" s="78" t="s">
        <v>618</v>
      </c>
      <c r="D14" s="72"/>
      <c r="E14" s="72"/>
      <c r="F14" s="73"/>
    </row>
    <row r="16" spans="2:6" ht="15.75" thickBot="1" x14ac:dyDescent="0.3">
      <c r="B16" s="77" t="s">
        <v>92</v>
      </c>
      <c r="C16" s="75"/>
      <c r="D16" s="75"/>
      <c r="E16" s="75"/>
      <c r="F16" s="76"/>
    </row>
    <row r="17" spans="2:6" ht="18" customHeight="1" thickBot="1" x14ac:dyDescent="0.3">
      <c r="B17" s="81" t="s">
        <v>93</v>
      </c>
      <c r="C17" s="75"/>
      <c r="D17" s="75"/>
      <c r="E17" s="76"/>
      <c r="F17" s="6" t="s">
        <v>94</v>
      </c>
    </row>
    <row r="18" spans="2:6" ht="27.95" customHeight="1" x14ac:dyDescent="0.25">
      <c r="B18" s="97" t="s">
        <v>95</v>
      </c>
      <c r="C18" s="72"/>
      <c r="D18" s="72"/>
      <c r="E18" s="72"/>
      <c r="F18" s="73"/>
    </row>
    <row r="19" spans="2:6" x14ac:dyDescent="0.25">
      <c r="B19" s="2" t="s">
        <v>96</v>
      </c>
      <c r="C19" s="7" t="s">
        <v>97</v>
      </c>
      <c r="D19" s="98" t="s">
        <v>98</v>
      </c>
      <c r="E19" s="72"/>
      <c r="F19" s="73"/>
    </row>
    <row r="20" spans="2:6" ht="27.95" customHeight="1" x14ac:dyDescent="0.25">
      <c r="B20" s="8" t="s">
        <v>99</v>
      </c>
      <c r="C20" s="9" t="s">
        <v>285</v>
      </c>
      <c r="D20" s="95" t="s">
        <v>619</v>
      </c>
      <c r="E20" s="72"/>
      <c r="F20" s="73"/>
    </row>
    <row r="21" spans="2:6" ht="27.95" customHeight="1" x14ac:dyDescent="0.25">
      <c r="B21" s="10" t="s">
        <v>100</v>
      </c>
      <c r="C21" s="9" t="s">
        <v>283</v>
      </c>
      <c r="D21" s="86" t="s">
        <v>620</v>
      </c>
      <c r="E21" s="72"/>
      <c r="F21" s="73"/>
    </row>
    <row r="22" spans="2:6" ht="27.95" customHeight="1" x14ac:dyDescent="0.25">
      <c r="B22" s="8" t="s">
        <v>101</v>
      </c>
      <c r="C22" s="9" t="s">
        <v>283</v>
      </c>
      <c r="D22" s="95" t="s">
        <v>621</v>
      </c>
      <c r="E22" s="72"/>
      <c r="F22" s="73"/>
    </row>
    <row r="23" spans="2:6" ht="27.95" customHeight="1" x14ac:dyDescent="0.25">
      <c r="B23" s="10" t="s">
        <v>102</v>
      </c>
      <c r="C23" s="9" t="s">
        <v>283</v>
      </c>
      <c r="D23" s="86" t="s">
        <v>622</v>
      </c>
      <c r="E23" s="72"/>
      <c r="F23" s="73"/>
    </row>
    <row r="24" spans="2:6" ht="27.95" customHeight="1" x14ac:dyDescent="0.25">
      <c r="B24" s="8" t="s">
        <v>103</v>
      </c>
      <c r="C24" s="9" t="s">
        <v>283</v>
      </c>
      <c r="D24" s="95" t="s">
        <v>623</v>
      </c>
      <c r="E24" s="72"/>
      <c r="F24" s="73"/>
    </row>
    <row r="25" spans="2:6" ht="27.95" customHeight="1" x14ac:dyDescent="0.25">
      <c r="B25" s="71" t="s">
        <v>104</v>
      </c>
      <c r="C25" s="72"/>
      <c r="D25" s="72"/>
      <c r="E25" s="72"/>
      <c r="F25" s="73"/>
    </row>
    <row r="26" spans="2:6" ht="24" x14ac:dyDescent="0.25">
      <c r="B26" s="11" t="s">
        <v>447</v>
      </c>
      <c r="C26" s="12">
        <f>IF((COUNTIF(C20:C24,"Met")+COUNTIF(C20:C24,"Partial")+COUNTIF(C20:C24,"Missed"))=0,"",ROUND((COUNTIF(C20:C24,"Met")*5+COUNTIF(C20:C24,"Partial")*2.5)/(COUNTIF(C20:C24,"Met")+COUNTIF(C20:C24,"Partial")+COUNTIF(C20:C24,"Missed")),1))</f>
        <v>4.5</v>
      </c>
      <c r="D26" s="96"/>
      <c r="E26" s="72"/>
      <c r="F26" s="73"/>
    </row>
    <row r="27" spans="2:6" ht="24" customHeight="1" x14ac:dyDescent="0.25">
      <c r="B27" s="13" t="s">
        <v>448</v>
      </c>
      <c r="C27" s="14">
        <v>4</v>
      </c>
      <c r="D27" s="101" t="str">
        <f>IF(C27="","← enter score; anchor description appears here",CHOOSE(C27+1,"Agent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Significant progress made with clear next steps</v>
      </c>
      <c r="E27" s="72"/>
      <c r="F27" s="73"/>
    </row>
    <row r="28" spans="2:6" ht="36" customHeight="1" x14ac:dyDescent="0.25">
      <c r="B28" s="13" t="s">
        <v>449</v>
      </c>
      <c r="C28" s="78" t="s">
        <v>450</v>
      </c>
      <c r="D28" s="72"/>
      <c r="E28" s="72"/>
      <c r="F28" s="73"/>
    </row>
    <row r="30" spans="2:6" ht="18" customHeight="1" thickBot="1" x14ac:dyDescent="0.3">
      <c r="B30" s="81" t="s">
        <v>108</v>
      </c>
      <c r="C30" s="75"/>
      <c r="D30" s="75"/>
      <c r="E30" s="76"/>
      <c r="F30" s="6" t="s">
        <v>109</v>
      </c>
    </row>
    <row r="31" spans="2:6" ht="27.95" customHeight="1" x14ac:dyDescent="0.25">
      <c r="B31" s="97" t="s">
        <v>110</v>
      </c>
      <c r="C31" s="72"/>
      <c r="D31" s="72"/>
      <c r="E31" s="72"/>
      <c r="F31" s="73"/>
    </row>
    <row r="32" spans="2:6" x14ac:dyDescent="0.25">
      <c r="B32" s="2" t="s">
        <v>96</v>
      </c>
      <c r="C32" s="7" t="s">
        <v>97</v>
      </c>
      <c r="D32" s="98" t="s">
        <v>98</v>
      </c>
      <c r="E32" s="72"/>
      <c r="F32" s="73"/>
    </row>
    <row r="33" spans="2:6" ht="27.95" customHeight="1" x14ac:dyDescent="0.25">
      <c r="B33" s="8" t="s">
        <v>111</v>
      </c>
      <c r="C33" s="9" t="s">
        <v>283</v>
      </c>
      <c r="D33" s="95" t="s">
        <v>624</v>
      </c>
      <c r="E33" s="72"/>
      <c r="F33" s="73"/>
    </row>
    <row r="34" spans="2:6" ht="27.95" customHeight="1" x14ac:dyDescent="0.25">
      <c r="B34" s="10" t="s">
        <v>112</v>
      </c>
      <c r="C34" s="9" t="s">
        <v>283</v>
      </c>
      <c r="D34" s="86" t="s">
        <v>625</v>
      </c>
      <c r="E34" s="72"/>
      <c r="F34" s="73"/>
    </row>
    <row r="35" spans="2:6" ht="27.95" customHeight="1" x14ac:dyDescent="0.25">
      <c r="B35" s="8" t="s">
        <v>113</v>
      </c>
      <c r="C35" s="9" t="s">
        <v>283</v>
      </c>
      <c r="D35" s="95" t="s">
        <v>626</v>
      </c>
      <c r="E35" s="72"/>
      <c r="F35" s="73"/>
    </row>
    <row r="36" spans="2:6" ht="27.95" customHeight="1" x14ac:dyDescent="0.25">
      <c r="B36" s="10" t="s">
        <v>114</v>
      </c>
      <c r="C36" s="9" t="s">
        <v>283</v>
      </c>
      <c r="D36" s="86" t="s">
        <v>627</v>
      </c>
      <c r="E36" s="72"/>
      <c r="F36" s="73"/>
    </row>
    <row r="37" spans="2:6" ht="27.95" customHeight="1" x14ac:dyDescent="0.25">
      <c r="B37" s="8" t="s">
        <v>115</v>
      </c>
      <c r="C37" s="9" t="s">
        <v>285</v>
      </c>
      <c r="D37" s="95" t="s">
        <v>580</v>
      </c>
      <c r="E37" s="72"/>
      <c r="F37" s="73"/>
    </row>
    <row r="38" spans="2:6" ht="27.95" customHeight="1" x14ac:dyDescent="0.25">
      <c r="B38" s="10" t="s">
        <v>116</v>
      </c>
      <c r="C38" s="9" t="s">
        <v>283</v>
      </c>
      <c r="D38" s="86" t="s">
        <v>628</v>
      </c>
      <c r="E38" s="72"/>
      <c r="F38" s="73"/>
    </row>
    <row r="39" spans="2:6" ht="27.95" customHeight="1" x14ac:dyDescent="0.25">
      <c r="B39" s="8" t="s">
        <v>117</v>
      </c>
      <c r="C39" s="9" t="s">
        <v>283</v>
      </c>
      <c r="D39" s="95" t="s">
        <v>629</v>
      </c>
      <c r="E39" s="72"/>
      <c r="F39" s="73"/>
    </row>
    <row r="40" spans="2:6" ht="27.95" customHeight="1" x14ac:dyDescent="0.25">
      <c r="B40" s="71" t="s">
        <v>118</v>
      </c>
      <c r="C40" s="72"/>
      <c r="D40" s="72"/>
      <c r="E40" s="72"/>
      <c r="F40" s="73"/>
    </row>
    <row r="41" spans="2:6" ht="24" x14ac:dyDescent="0.25">
      <c r="B41" s="11" t="s">
        <v>447</v>
      </c>
      <c r="C41" s="12">
        <f>IF((COUNTIF(C33:C39,"Met")+COUNTIF(C33:C39,"Partial")+COUNTIF(C33:C39,"Missed"))=0,"",ROUND((COUNTIF(C33:C39,"Met")*5+COUNTIF(C33:C39,"Partial")*2.5)/(COUNTIF(C33:C39,"Met")+COUNTIF(C33:C39,"Partial")+COUNTIF(C33:C39,"Missed")),1))</f>
        <v>4.5999999999999996</v>
      </c>
      <c r="D41" s="96"/>
      <c r="E41" s="72"/>
      <c r="F41" s="73"/>
    </row>
    <row r="42" spans="2:6" ht="24" customHeight="1" x14ac:dyDescent="0.25">
      <c r="B42" s="13" t="s">
        <v>448</v>
      </c>
      <c r="C42" s="14">
        <v>4</v>
      </c>
      <c r="D42" s="101" t="str">
        <f>IF(C42="","← enter score; anchor description appears here",CHOOSE(C42+1,"Agent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Significant progress made with clear next steps</v>
      </c>
      <c r="E42" s="72"/>
      <c r="F42" s="73"/>
    </row>
    <row r="43" spans="2:6" ht="36" customHeight="1" x14ac:dyDescent="0.25">
      <c r="B43" s="13" t="s">
        <v>449</v>
      </c>
      <c r="C43" s="78" t="s">
        <v>451</v>
      </c>
      <c r="D43" s="72"/>
      <c r="E43" s="72"/>
      <c r="F43" s="73"/>
    </row>
    <row r="45" spans="2:6" ht="18" customHeight="1" thickBot="1" x14ac:dyDescent="0.3">
      <c r="B45" s="81" t="s">
        <v>120</v>
      </c>
      <c r="C45" s="75"/>
      <c r="D45" s="75"/>
      <c r="E45" s="76"/>
      <c r="F45" s="6" t="s">
        <v>121</v>
      </c>
    </row>
    <row r="46" spans="2:6" ht="27.95" customHeight="1" x14ac:dyDescent="0.25">
      <c r="B46" s="97" t="s">
        <v>122</v>
      </c>
      <c r="C46" s="72"/>
      <c r="D46" s="72"/>
      <c r="E46" s="72"/>
      <c r="F46" s="73"/>
    </row>
    <row r="47" spans="2:6" x14ac:dyDescent="0.25">
      <c r="B47" s="2" t="s">
        <v>96</v>
      </c>
      <c r="C47" s="7" t="s">
        <v>97</v>
      </c>
      <c r="D47" s="98" t="s">
        <v>98</v>
      </c>
      <c r="E47" s="72"/>
      <c r="F47" s="73"/>
    </row>
    <row r="48" spans="2:6" ht="27.95" customHeight="1" x14ac:dyDescent="0.25">
      <c r="B48" s="8" t="s">
        <v>123</v>
      </c>
      <c r="C48" s="9" t="s">
        <v>283</v>
      </c>
      <c r="D48" s="95" t="s">
        <v>630</v>
      </c>
      <c r="E48" s="72"/>
      <c r="F48" s="73"/>
    </row>
    <row r="49" spans="2:6" ht="27.95" customHeight="1" x14ac:dyDescent="0.25">
      <c r="B49" s="10" t="s">
        <v>124</v>
      </c>
      <c r="C49" s="9" t="s">
        <v>283</v>
      </c>
      <c r="D49" s="86" t="s">
        <v>631</v>
      </c>
      <c r="E49" s="72"/>
      <c r="F49" s="73"/>
    </row>
    <row r="50" spans="2:6" ht="27.95" customHeight="1" x14ac:dyDescent="0.25">
      <c r="B50" s="8" t="s">
        <v>125</v>
      </c>
      <c r="C50" s="9" t="s">
        <v>283</v>
      </c>
      <c r="D50" s="95" t="s">
        <v>632</v>
      </c>
      <c r="E50" s="72"/>
      <c r="F50" s="73"/>
    </row>
    <row r="51" spans="2:6" ht="27.95" customHeight="1" x14ac:dyDescent="0.25">
      <c r="B51" s="10" t="s">
        <v>126</v>
      </c>
      <c r="C51" s="9" t="s">
        <v>283</v>
      </c>
      <c r="D51" s="86" t="s">
        <v>633</v>
      </c>
      <c r="E51" s="72"/>
      <c r="F51" s="73"/>
    </row>
    <row r="52" spans="2:6" ht="27.95" customHeight="1" x14ac:dyDescent="0.25">
      <c r="B52" s="8" t="s">
        <v>127</v>
      </c>
      <c r="C52" s="9" t="s">
        <v>283</v>
      </c>
      <c r="D52" s="95" t="s">
        <v>634</v>
      </c>
      <c r="E52" s="72"/>
      <c r="F52" s="73"/>
    </row>
    <row r="53" spans="2:6" ht="27.95" customHeight="1" x14ac:dyDescent="0.25">
      <c r="B53" s="10" t="s">
        <v>128</v>
      </c>
      <c r="C53" s="9" t="s">
        <v>283</v>
      </c>
      <c r="D53" s="86" t="s">
        <v>635</v>
      </c>
      <c r="E53" s="72"/>
      <c r="F53" s="73"/>
    </row>
    <row r="54" spans="2:6" ht="27.95" customHeight="1" x14ac:dyDescent="0.25">
      <c r="B54" s="8" t="s">
        <v>129</v>
      </c>
      <c r="C54" s="9" t="s">
        <v>283</v>
      </c>
      <c r="D54" s="95" t="s">
        <v>636</v>
      </c>
      <c r="E54" s="72"/>
      <c r="F54" s="73"/>
    </row>
    <row r="55" spans="2:6" ht="27.95" customHeight="1" x14ac:dyDescent="0.25">
      <c r="B55" s="10" t="s">
        <v>130</v>
      </c>
      <c r="C55" s="9" t="s">
        <v>283</v>
      </c>
      <c r="D55" s="86" t="s">
        <v>637</v>
      </c>
      <c r="E55" s="72"/>
      <c r="F55" s="73"/>
    </row>
    <row r="56" spans="2:6" ht="27.95" customHeight="1" x14ac:dyDescent="0.25">
      <c r="B56" s="71" t="s">
        <v>131</v>
      </c>
      <c r="C56" s="72"/>
      <c r="D56" s="72"/>
      <c r="E56" s="72"/>
      <c r="F56" s="73"/>
    </row>
    <row r="57" spans="2:6" ht="24" x14ac:dyDescent="0.25">
      <c r="B57" s="11" t="s">
        <v>447</v>
      </c>
      <c r="C57" s="12">
        <f>IF((COUNTIF(C48:C55,"Met")+COUNTIF(C48:C55,"Partial")+COUNTIF(C48:C55,"Missed"))=0,"",ROUND((COUNTIF(C48:C55,"Met")*5+COUNTIF(C48:C55,"Partial")*2.5)/(COUNTIF(C48:C55,"Met")+COUNTIF(C48:C55,"Partial")+COUNTIF(C48:C55,"Missed")),1))</f>
        <v>5</v>
      </c>
      <c r="D57" s="96"/>
      <c r="E57" s="72"/>
      <c r="F57" s="73"/>
    </row>
    <row r="58" spans="2:6" ht="24" customHeight="1" x14ac:dyDescent="0.25">
      <c r="B58" s="13" t="s">
        <v>448</v>
      </c>
      <c r="C58" s="14">
        <v>5</v>
      </c>
      <c r="D58" s="101" t="str">
        <f>IF(C58="","← enter score; anchor description appears here",CHOOSE(C58+1,"Agent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Issue resolved or strongest available outcome achieved</v>
      </c>
      <c r="E58" s="72"/>
      <c r="F58" s="73"/>
    </row>
    <row r="59" spans="2:6" ht="36" customHeight="1" x14ac:dyDescent="0.25">
      <c r="B59" s="13" t="s">
        <v>449</v>
      </c>
      <c r="C59" s="78" t="s">
        <v>452</v>
      </c>
      <c r="D59" s="72"/>
      <c r="E59" s="72"/>
      <c r="F59" s="73"/>
    </row>
    <row r="61" spans="2:6" ht="18" customHeight="1" thickBot="1" x14ac:dyDescent="0.3">
      <c r="B61" s="81" t="s">
        <v>133</v>
      </c>
      <c r="C61" s="75"/>
      <c r="D61" s="75"/>
      <c r="E61" s="76"/>
      <c r="F61" s="6" t="s">
        <v>121</v>
      </c>
    </row>
    <row r="62" spans="2:6" ht="27.95" customHeight="1" x14ac:dyDescent="0.25">
      <c r="B62" s="97" t="s">
        <v>134</v>
      </c>
      <c r="C62" s="72"/>
      <c r="D62" s="72"/>
      <c r="E62" s="72"/>
      <c r="F62" s="73"/>
    </row>
    <row r="63" spans="2:6" x14ac:dyDescent="0.25">
      <c r="B63" s="2" t="s">
        <v>96</v>
      </c>
      <c r="C63" s="7" t="s">
        <v>97</v>
      </c>
      <c r="D63" s="98" t="s">
        <v>98</v>
      </c>
      <c r="E63" s="72"/>
      <c r="F63" s="73"/>
    </row>
    <row r="64" spans="2:6" ht="27.95" customHeight="1" x14ac:dyDescent="0.25">
      <c r="B64" s="8" t="s">
        <v>135</v>
      </c>
      <c r="C64" s="9" t="s">
        <v>283</v>
      </c>
      <c r="D64" s="95" t="s">
        <v>638</v>
      </c>
      <c r="E64" s="72"/>
      <c r="F64" s="73"/>
    </row>
    <row r="65" spans="2:6" ht="27.95" customHeight="1" x14ac:dyDescent="0.25">
      <c r="B65" s="10" t="s">
        <v>136</v>
      </c>
      <c r="C65" s="9" t="s">
        <v>283</v>
      </c>
      <c r="D65" s="86" t="s">
        <v>639</v>
      </c>
      <c r="E65" s="72"/>
      <c r="F65" s="73"/>
    </row>
    <row r="66" spans="2:6" ht="27.95" customHeight="1" x14ac:dyDescent="0.25">
      <c r="B66" s="8" t="s">
        <v>137</v>
      </c>
      <c r="C66" s="9" t="s">
        <v>283</v>
      </c>
      <c r="D66" s="95" t="s">
        <v>640</v>
      </c>
      <c r="E66" s="72"/>
      <c r="F66" s="73"/>
    </row>
    <row r="67" spans="2:6" ht="27.95" customHeight="1" x14ac:dyDescent="0.25">
      <c r="B67" s="10" t="s">
        <v>138</v>
      </c>
      <c r="C67" s="9" t="s">
        <v>283</v>
      </c>
      <c r="D67" s="86" t="s">
        <v>641</v>
      </c>
      <c r="E67" s="72"/>
      <c r="F67" s="73"/>
    </row>
    <row r="68" spans="2:6" ht="27.95" customHeight="1" x14ac:dyDescent="0.25">
      <c r="B68" s="8" t="s">
        <v>139</v>
      </c>
      <c r="C68" s="9" t="s">
        <v>283</v>
      </c>
      <c r="D68" s="95" t="s">
        <v>642</v>
      </c>
      <c r="E68" s="72"/>
      <c r="F68" s="73"/>
    </row>
    <row r="69" spans="2:6" ht="27.95" customHeight="1" x14ac:dyDescent="0.25">
      <c r="B69" s="10" t="s">
        <v>140</v>
      </c>
      <c r="C69" s="9" t="s">
        <v>283</v>
      </c>
      <c r="D69" s="86" t="s">
        <v>643</v>
      </c>
      <c r="E69" s="72"/>
      <c r="F69" s="73"/>
    </row>
    <row r="70" spans="2:6" ht="27.95" customHeight="1" x14ac:dyDescent="0.25">
      <c r="B70" s="8" t="s">
        <v>141</v>
      </c>
      <c r="C70" s="9" t="s">
        <v>289</v>
      </c>
      <c r="D70" s="95" t="s">
        <v>453</v>
      </c>
      <c r="E70" s="72"/>
      <c r="F70" s="73"/>
    </row>
    <row r="71" spans="2:6" ht="27.95" customHeight="1" x14ac:dyDescent="0.25">
      <c r="B71" s="10" t="s">
        <v>142</v>
      </c>
      <c r="C71" s="9" t="s">
        <v>289</v>
      </c>
      <c r="D71" s="86" t="s">
        <v>644</v>
      </c>
      <c r="E71" s="72"/>
      <c r="F71" s="73"/>
    </row>
    <row r="72" spans="2:6" ht="27.95" customHeight="1" x14ac:dyDescent="0.25">
      <c r="B72" s="71" t="s">
        <v>143</v>
      </c>
      <c r="C72" s="72"/>
      <c r="D72" s="72"/>
      <c r="E72" s="72"/>
      <c r="F72" s="73"/>
    </row>
    <row r="73" spans="2:6" ht="24" x14ac:dyDescent="0.25">
      <c r="B73" s="11" t="s">
        <v>447</v>
      </c>
      <c r="C73" s="12">
        <f>IF((COUNTIF(C64:C71,"Met")+COUNTIF(C64:C71,"Partial")+COUNTIF(C64:C71,"Missed"))=0,"",ROUND((COUNTIF(C64:C71,"Met")*5+COUNTIF(C64:C71,"Partial")*2.5)/(COUNTIF(C64:C71,"Met")+COUNTIF(C64:C71,"Partial")+COUNTIF(C64:C71,"Missed")),1))</f>
        <v>5</v>
      </c>
      <c r="D73" s="96"/>
      <c r="E73" s="72"/>
      <c r="F73" s="73"/>
    </row>
    <row r="74" spans="2:6" ht="24" customHeight="1" x14ac:dyDescent="0.25">
      <c r="B74" s="13" t="s">
        <v>448</v>
      </c>
      <c r="C74" s="14">
        <v>5</v>
      </c>
      <c r="D74" s="101" t="str">
        <f>IF(C74="","← enter score; anchor description appears here",CHOOSE(C74+1,"Agent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Issue resolved or strongest available outcome achieved</v>
      </c>
      <c r="E74" s="72"/>
      <c r="F74" s="73"/>
    </row>
    <row r="75" spans="2:6" ht="36" customHeight="1" x14ac:dyDescent="0.25">
      <c r="B75" s="13" t="s">
        <v>449</v>
      </c>
      <c r="C75" s="78" t="s">
        <v>454</v>
      </c>
      <c r="D75" s="72"/>
      <c r="E75" s="72"/>
      <c r="F75" s="73"/>
    </row>
    <row r="77" spans="2:6" ht="18" customHeight="1" thickBot="1" x14ac:dyDescent="0.3">
      <c r="B77" s="81" t="s">
        <v>145</v>
      </c>
      <c r="C77" s="75"/>
      <c r="D77" s="75"/>
      <c r="E77" s="76"/>
      <c r="F77" s="6" t="s">
        <v>146</v>
      </c>
    </row>
    <row r="78" spans="2:6" ht="27.95" customHeight="1" x14ac:dyDescent="0.25">
      <c r="B78" s="97" t="s">
        <v>147</v>
      </c>
      <c r="C78" s="72"/>
      <c r="D78" s="72"/>
      <c r="E78" s="72"/>
      <c r="F78" s="73"/>
    </row>
    <row r="79" spans="2:6" x14ac:dyDescent="0.25">
      <c r="B79" s="2" t="s">
        <v>96</v>
      </c>
      <c r="C79" s="7" t="s">
        <v>97</v>
      </c>
      <c r="D79" s="98" t="s">
        <v>98</v>
      </c>
      <c r="E79" s="72"/>
      <c r="F79" s="73"/>
    </row>
    <row r="80" spans="2:6" ht="27.95" customHeight="1" x14ac:dyDescent="0.25">
      <c r="B80" s="8" t="s">
        <v>148</v>
      </c>
      <c r="C80" s="9" t="s">
        <v>289</v>
      </c>
      <c r="D80" s="95" t="s">
        <v>645</v>
      </c>
      <c r="E80" s="72"/>
      <c r="F80" s="73"/>
    </row>
    <row r="81" spans="2:6" ht="27.95" customHeight="1" x14ac:dyDescent="0.25">
      <c r="B81" s="10" t="s">
        <v>149</v>
      </c>
      <c r="C81" s="9" t="s">
        <v>289</v>
      </c>
      <c r="D81" s="95" t="s">
        <v>645</v>
      </c>
      <c r="E81" s="72"/>
      <c r="F81" s="73"/>
    </row>
    <row r="82" spans="2:6" ht="27.95" customHeight="1" x14ac:dyDescent="0.25">
      <c r="B82" s="8" t="s">
        <v>150</v>
      </c>
      <c r="C82" s="9" t="s">
        <v>289</v>
      </c>
      <c r="D82" s="123" t="s">
        <v>645</v>
      </c>
      <c r="E82" s="124"/>
      <c r="F82" s="125"/>
    </row>
    <row r="83" spans="2:6" ht="27.95" customHeight="1" x14ac:dyDescent="0.25">
      <c r="B83" s="10" t="s">
        <v>151</v>
      </c>
      <c r="C83" s="9" t="s">
        <v>289</v>
      </c>
      <c r="D83" s="123" t="s">
        <v>645</v>
      </c>
      <c r="E83" s="124"/>
      <c r="F83" s="125"/>
    </row>
    <row r="84" spans="2:6" ht="27.95" customHeight="1" x14ac:dyDescent="0.25">
      <c r="B84" s="8" t="s">
        <v>152</v>
      </c>
      <c r="C84" s="9" t="s">
        <v>289</v>
      </c>
      <c r="D84" s="123" t="s">
        <v>645</v>
      </c>
      <c r="E84" s="124"/>
      <c r="F84" s="125"/>
    </row>
    <row r="85" spans="2:6" ht="27.95" customHeight="1" x14ac:dyDescent="0.25">
      <c r="B85" s="71" t="s">
        <v>153</v>
      </c>
      <c r="C85" s="72"/>
      <c r="D85" s="72"/>
      <c r="E85" s="72"/>
      <c r="F85" s="73"/>
    </row>
    <row r="86" spans="2:6" ht="24" x14ac:dyDescent="0.25">
      <c r="B86" s="11" t="s">
        <v>447</v>
      </c>
      <c r="C86" s="12" t="str">
        <f>IF((COUNTIF(C80:C84,"Met")+COUNTIF(C80:C84,"Partial")+COUNTIF(C80:C84,"Missed"))=0,"",ROUND((COUNTIF(C80:C84,"Met")*5+COUNTIF(C80:C84,"Partial")*2.5)/(COUNTIF(C80:C84,"Met")+COUNTIF(C80:C84,"Partial")+COUNTIF(C80:C84,"Missed")),1))</f>
        <v/>
      </c>
      <c r="D86" s="96"/>
      <c r="E86" s="72"/>
      <c r="F86" s="73"/>
    </row>
    <row r="87" spans="2:6" ht="24" customHeight="1" x14ac:dyDescent="0.25">
      <c r="B87" s="13" t="s">
        <v>448</v>
      </c>
      <c r="C87" s="14">
        <v>5</v>
      </c>
      <c r="D87" s="101" t="str">
        <f>IF(C87="","← enter score; anchor description appears here",CHOOSE(C87+1,"Agent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Issue resolved or strongest available outcome achieved</v>
      </c>
      <c r="E87" s="72"/>
      <c r="F87" s="73"/>
    </row>
    <row r="88" spans="2:6" ht="36" customHeight="1" x14ac:dyDescent="0.25">
      <c r="B88" s="13" t="s">
        <v>449</v>
      </c>
      <c r="C88" s="78" t="s">
        <v>457</v>
      </c>
      <c r="D88" s="72"/>
      <c r="E88" s="72"/>
      <c r="F88" s="73"/>
    </row>
    <row r="90" spans="2:6" ht="18" customHeight="1" thickBot="1" x14ac:dyDescent="0.3">
      <c r="B90" s="81" t="s">
        <v>155</v>
      </c>
      <c r="C90" s="75"/>
      <c r="D90" s="75"/>
      <c r="E90" s="76"/>
      <c r="F90" s="6" t="s">
        <v>156</v>
      </c>
    </row>
    <row r="91" spans="2:6" ht="27.95" customHeight="1" x14ac:dyDescent="0.25">
      <c r="B91" s="97" t="s">
        <v>157</v>
      </c>
      <c r="C91" s="72"/>
      <c r="D91" s="72"/>
      <c r="E91" s="72"/>
      <c r="F91" s="73"/>
    </row>
    <row r="92" spans="2:6" x14ac:dyDescent="0.25">
      <c r="B92" s="2" t="s">
        <v>96</v>
      </c>
      <c r="C92" s="7" t="s">
        <v>97</v>
      </c>
      <c r="D92" s="98" t="s">
        <v>98</v>
      </c>
      <c r="E92" s="72"/>
      <c r="F92" s="73"/>
    </row>
    <row r="93" spans="2:6" ht="27.95" customHeight="1" x14ac:dyDescent="0.25">
      <c r="B93" s="8" t="s">
        <v>158</v>
      </c>
      <c r="C93" s="9" t="s">
        <v>283</v>
      </c>
      <c r="D93" s="95" t="s">
        <v>646</v>
      </c>
      <c r="E93" s="72"/>
      <c r="F93" s="73"/>
    </row>
    <row r="94" spans="2:6" ht="27.95" customHeight="1" x14ac:dyDescent="0.25">
      <c r="B94" s="10" t="s">
        <v>159</v>
      </c>
      <c r="C94" s="9" t="s">
        <v>283</v>
      </c>
      <c r="D94" s="86" t="s">
        <v>647</v>
      </c>
      <c r="E94" s="72"/>
      <c r="F94" s="73"/>
    </row>
    <row r="95" spans="2:6" ht="27.95" customHeight="1" x14ac:dyDescent="0.25">
      <c r="B95" s="8" t="s">
        <v>160</v>
      </c>
      <c r="C95" s="9" t="s">
        <v>283</v>
      </c>
      <c r="D95" s="95" t="s">
        <v>648</v>
      </c>
      <c r="E95" s="72"/>
      <c r="F95" s="73"/>
    </row>
    <row r="96" spans="2:6" ht="27.95" customHeight="1" x14ac:dyDescent="0.25">
      <c r="B96" s="10" t="s">
        <v>161</v>
      </c>
      <c r="C96" s="9" t="s">
        <v>283</v>
      </c>
      <c r="D96" s="86" t="s">
        <v>602</v>
      </c>
      <c r="E96" s="72"/>
      <c r="F96" s="73"/>
    </row>
    <row r="97" spans="2:6" ht="27.95" customHeight="1" x14ac:dyDescent="0.25">
      <c r="B97" s="8" t="s">
        <v>162</v>
      </c>
      <c r="C97" s="9" t="s">
        <v>283</v>
      </c>
      <c r="D97" s="95" t="s">
        <v>603</v>
      </c>
      <c r="E97" s="72"/>
      <c r="F97" s="73"/>
    </row>
    <row r="98" spans="2:6" ht="27.95" customHeight="1" x14ac:dyDescent="0.25">
      <c r="B98" s="10" t="s">
        <v>163</v>
      </c>
      <c r="C98" s="9" t="s">
        <v>283</v>
      </c>
      <c r="D98" s="86" t="s">
        <v>604</v>
      </c>
      <c r="E98" s="72"/>
      <c r="F98" s="73"/>
    </row>
    <row r="99" spans="2:6" ht="27.95" customHeight="1" x14ac:dyDescent="0.25">
      <c r="B99" s="71" t="s">
        <v>164</v>
      </c>
      <c r="C99" s="72"/>
      <c r="D99" s="72"/>
      <c r="E99" s="72"/>
      <c r="F99" s="73"/>
    </row>
    <row r="100" spans="2:6" ht="24" x14ac:dyDescent="0.25">
      <c r="B100" s="11" t="s">
        <v>447</v>
      </c>
      <c r="C100" s="12">
        <f>IF((COUNTIF(C93:C98,"Met")+COUNTIF(C93:C98,"Partial")+COUNTIF(C93:C98,"Missed"))=0,"",ROUND((COUNTIF(C93:C98,"Met")*5+COUNTIF(C93:C98,"Partial")*2.5)/(COUNTIF(C93:C98,"Met")+COUNTIF(C93:C98,"Partial")+COUNTIF(C93:C98,"Missed")),1))</f>
        <v>5</v>
      </c>
      <c r="D100" s="96"/>
      <c r="E100" s="72"/>
      <c r="F100" s="73"/>
    </row>
    <row r="101" spans="2:6" ht="24" customHeight="1" x14ac:dyDescent="0.25">
      <c r="B101" s="13" t="s">
        <v>448</v>
      </c>
      <c r="C101" s="14">
        <v>5</v>
      </c>
      <c r="D101" s="101" t="str">
        <f>IF(C101="","← enter score; anchor description appears here",CHOOSE(C101+1,"Agent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Issue resolved or strongest available outcome achieved</v>
      </c>
      <c r="E101" s="72"/>
      <c r="F101" s="73"/>
    </row>
    <row r="102" spans="2:6" ht="36" customHeight="1" x14ac:dyDescent="0.25">
      <c r="B102" s="13" t="s">
        <v>449</v>
      </c>
      <c r="C102" s="78" t="s">
        <v>458</v>
      </c>
      <c r="D102" s="72"/>
      <c r="E102" s="72"/>
      <c r="F102" s="73"/>
    </row>
    <row r="104" spans="2:6" ht="18" customHeight="1" thickBot="1" x14ac:dyDescent="0.3">
      <c r="B104" s="81" t="s">
        <v>166</v>
      </c>
      <c r="C104" s="75"/>
      <c r="D104" s="75"/>
      <c r="E104" s="76"/>
      <c r="F104" s="6" t="s">
        <v>156</v>
      </c>
    </row>
    <row r="105" spans="2:6" ht="27.95" customHeight="1" x14ac:dyDescent="0.25">
      <c r="B105" s="97" t="s">
        <v>167</v>
      </c>
      <c r="C105" s="72"/>
      <c r="D105" s="72"/>
      <c r="E105" s="72"/>
      <c r="F105" s="73"/>
    </row>
    <row r="106" spans="2:6" x14ac:dyDescent="0.25">
      <c r="B106" s="2" t="s">
        <v>96</v>
      </c>
      <c r="C106" s="7" t="s">
        <v>97</v>
      </c>
      <c r="D106" s="98" t="s">
        <v>98</v>
      </c>
      <c r="E106" s="72"/>
      <c r="F106" s="73"/>
    </row>
    <row r="107" spans="2:6" ht="27.95" customHeight="1" x14ac:dyDescent="0.25">
      <c r="B107" s="8" t="s">
        <v>168</v>
      </c>
      <c r="C107" s="9" t="s">
        <v>283</v>
      </c>
      <c r="D107" s="95" t="s">
        <v>605</v>
      </c>
      <c r="E107" s="72"/>
      <c r="F107" s="73"/>
    </row>
    <row r="108" spans="2:6" ht="27.95" customHeight="1" x14ac:dyDescent="0.25">
      <c r="B108" s="10" t="s">
        <v>169</v>
      </c>
      <c r="C108" s="9" t="s">
        <v>283</v>
      </c>
      <c r="D108" s="86" t="s">
        <v>169</v>
      </c>
      <c r="E108" s="72"/>
      <c r="F108" s="73"/>
    </row>
    <row r="109" spans="2:6" ht="27.95" customHeight="1" x14ac:dyDescent="0.25">
      <c r="B109" s="8" t="s">
        <v>170</v>
      </c>
      <c r="C109" s="9" t="s">
        <v>283</v>
      </c>
      <c r="D109" s="95" t="s">
        <v>606</v>
      </c>
      <c r="E109" s="72"/>
      <c r="F109" s="73"/>
    </row>
    <row r="110" spans="2:6" ht="27.95" customHeight="1" x14ac:dyDescent="0.25">
      <c r="B110" s="10" t="s">
        <v>171</v>
      </c>
      <c r="C110" s="9" t="s">
        <v>283</v>
      </c>
      <c r="D110" s="86" t="s">
        <v>652</v>
      </c>
      <c r="E110" s="72"/>
      <c r="F110" s="73"/>
    </row>
    <row r="111" spans="2:6" ht="27.95" customHeight="1" x14ac:dyDescent="0.25">
      <c r="B111" s="8" t="s">
        <v>172</v>
      </c>
      <c r="C111" s="9" t="s">
        <v>289</v>
      </c>
      <c r="D111" s="95" t="s">
        <v>608</v>
      </c>
      <c r="E111" s="72"/>
      <c r="F111" s="73"/>
    </row>
    <row r="112" spans="2:6" ht="27.95" customHeight="1" x14ac:dyDescent="0.25">
      <c r="B112" s="10" t="s">
        <v>173</v>
      </c>
      <c r="C112" s="9" t="s">
        <v>283</v>
      </c>
      <c r="D112" s="86" t="s">
        <v>609</v>
      </c>
      <c r="E112" s="72"/>
      <c r="F112" s="73"/>
    </row>
    <row r="113" spans="2:6" ht="27.95" customHeight="1" x14ac:dyDescent="0.25">
      <c r="B113" s="8" t="s">
        <v>174</v>
      </c>
      <c r="C113" s="9" t="s">
        <v>283</v>
      </c>
      <c r="D113" s="95" t="s">
        <v>653</v>
      </c>
      <c r="E113" s="72"/>
      <c r="F113" s="73"/>
    </row>
    <row r="114" spans="2:6" ht="27.95" customHeight="1" x14ac:dyDescent="0.25">
      <c r="B114" s="71" t="s">
        <v>175</v>
      </c>
      <c r="C114" s="72"/>
      <c r="D114" s="72"/>
      <c r="E114" s="72"/>
      <c r="F114" s="73"/>
    </row>
    <row r="115" spans="2:6" ht="24" x14ac:dyDescent="0.25">
      <c r="B115" s="11" t="s">
        <v>447</v>
      </c>
      <c r="C115" s="12">
        <f>IF((COUNTIF(C107:C113,"Met")+COUNTIF(C107:C113,"Partial")+COUNTIF(C107:C113,"Missed"))=0,"",ROUND((COUNTIF(C107:C113,"Met")*5+COUNTIF(C107:C113,"Partial")*2.5)/(COUNTIF(C107:C113,"Met")+COUNTIF(C107:C113,"Partial")+COUNTIF(C107:C113,"Missed")),1))</f>
        <v>5</v>
      </c>
      <c r="D115" s="96"/>
      <c r="E115" s="72"/>
      <c r="F115" s="73"/>
    </row>
    <row r="116" spans="2:6" ht="24" customHeight="1" x14ac:dyDescent="0.25">
      <c r="B116" s="13" t="s">
        <v>448</v>
      </c>
      <c r="C116" s="14">
        <v>5</v>
      </c>
      <c r="D116" s="101" t="str">
        <f>IF(C116="","← enter score; anchor description appears here",CHOOSE(C116+1,"Agent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Issue resolved or strongest available outcome achieved</v>
      </c>
      <c r="E116" s="72"/>
      <c r="F116" s="73"/>
    </row>
    <row r="117" spans="2:6" ht="36" customHeight="1" x14ac:dyDescent="0.25">
      <c r="B117" s="13" t="s">
        <v>449</v>
      </c>
      <c r="C117" s="78" t="s">
        <v>459</v>
      </c>
      <c r="D117" s="72"/>
      <c r="E117" s="72"/>
      <c r="F117" s="73"/>
    </row>
    <row r="119" spans="2:6" ht="15.75" thickBot="1" x14ac:dyDescent="0.3">
      <c r="B119" s="77" t="s">
        <v>177</v>
      </c>
      <c r="C119" s="75"/>
      <c r="D119" s="75"/>
      <c r="E119" s="75"/>
      <c r="F119" s="76"/>
    </row>
    <row r="120" spans="2:6" ht="15.75" thickBot="1" x14ac:dyDescent="0.3">
      <c r="B120" s="15" t="s">
        <v>178</v>
      </c>
      <c r="C120" s="15" t="s">
        <v>179</v>
      </c>
      <c r="D120" s="15" t="s">
        <v>180</v>
      </c>
      <c r="E120" s="15" t="s">
        <v>181</v>
      </c>
      <c r="F120" s="15" t="s">
        <v>182</v>
      </c>
    </row>
    <row r="121" spans="2:6" x14ac:dyDescent="0.25">
      <c r="B121" s="16" t="s">
        <v>183</v>
      </c>
      <c r="C121" s="17">
        <v>0.3</v>
      </c>
      <c r="D121" s="18">
        <f>C27</f>
        <v>4</v>
      </c>
      <c r="E121" s="19">
        <f t="shared" ref="E121:E127" si="0">IF(D121="","",(D121/5)*C121)</f>
        <v>0.24</v>
      </c>
      <c r="F121" s="20" t="str">
        <f t="shared" ref="F121:F127" si="1">IF(D121="","",IF(D121&gt;=4,"Strong",IF(D121=3,"Developing","Needs Focus")))</f>
        <v>Strong</v>
      </c>
    </row>
    <row r="122" spans="2:6" x14ac:dyDescent="0.25">
      <c r="B122" s="21" t="s">
        <v>184</v>
      </c>
      <c r="C122" s="22">
        <v>0.2</v>
      </c>
      <c r="D122" s="23">
        <f>C42</f>
        <v>4</v>
      </c>
      <c r="E122" s="24">
        <f t="shared" si="0"/>
        <v>0.16000000000000003</v>
      </c>
      <c r="F122" s="25" t="str">
        <f t="shared" si="1"/>
        <v>Strong</v>
      </c>
    </row>
    <row r="123" spans="2:6" x14ac:dyDescent="0.25">
      <c r="B123" s="16" t="s">
        <v>185</v>
      </c>
      <c r="C123" s="17">
        <v>0.15</v>
      </c>
      <c r="D123" s="18">
        <f>C58</f>
        <v>5</v>
      </c>
      <c r="E123" s="19">
        <f t="shared" si="0"/>
        <v>0.15</v>
      </c>
      <c r="F123" s="20" t="str">
        <f t="shared" si="1"/>
        <v>Strong</v>
      </c>
    </row>
    <row r="124" spans="2:6" x14ac:dyDescent="0.25">
      <c r="B124" s="21" t="s">
        <v>186</v>
      </c>
      <c r="C124" s="22">
        <v>0.15</v>
      </c>
      <c r="D124" s="23">
        <f>C74</f>
        <v>5</v>
      </c>
      <c r="E124" s="24">
        <f t="shared" si="0"/>
        <v>0.15</v>
      </c>
      <c r="F124" s="25" t="str">
        <f t="shared" si="1"/>
        <v>Strong</v>
      </c>
    </row>
    <row r="125" spans="2:6" x14ac:dyDescent="0.25">
      <c r="B125" s="16" t="s">
        <v>187</v>
      </c>
      <c r="C125" s="17">
        <v>0.1</v>
      </c>
      <c r="D125" s="18">
        <f>C87</f>
        <v>5</v>
      </c>
      <c r="E125" s="19">
        <f t="shared" si="0"/>
        <v>0.1</v>
      </c>
      <c r="F125" s="20" t="str">
        <f t="shared" si="1"/>
        <v>Strong</v>
      </c>
    </row>
    <row r="126" spans="2:6" x14ac:dyDescent="0.25">
      <c r="B126" s="21" t="s">
        <v>188</v>
      </c>
      <c r="C126" s="22">
        <v>0.05</v>
      </c>
      <c r="D126" s="23">
        <f>C101</f>
        <v>5</v>
      </c>
      <c r="E126" s="24">
        <f t="shared" si="0"/>
        <v>0.05</v>
      </c>
      <c r="F126" s="25" t="str">
        <f t="shared" si="1"/>
        <v>Strong</v>
      </c>
    </row>
    <row r="127" spans="2:6" ht="15.75" thickBot="1" x14ac:dyDescent="0.3">
      <c r="B127" s="16" t="s">
        <v>189</v>
      </c>
      <c r="C127" s="17">
        <v>0.05</v>
      </c>
      <c r="D127" s="18">
        <f>C116</f>
        <v>5</v>
      </c>
      <c r="E127" s="19">
        <f t="shared" si="0"/>
        <v>0.05</v>
      </c>
      <c r="F127" s="20" t="str">
        <f t="shared" si="1"/>
        <v>Strong</v>
      </c>
    </row>
    <row r="128" spans="2:6" ht="24" customHeight="1" thickBot="1" x14ac:dyDescent="0.3">
      <c r="B128" s="5" t="s">
        <v>190</v>
      </c>
      <c r="C128" s="26">
        <f>SUM(C121:C127)</f>
        <v>1</v>
      </c>
      <c r="D128" s="27"/>
      <c r="E128" s="28">
        <f>SUM(E121:E127)</f>
        <v>0.90000000000000013</v>
      </c>
      <c r="F128" s="29" t="str">
        <f>IF(E128="","",IF(E128&gt;=0.85,"MEETS / EXCEEDS",IF(E128&gt;=0.7,"DEVELOPING","NEEDS IMPROVEMENT")))</f>
        <v>MEETS / EXCEEDS</v>
      </c>
    </row>
    <row r="130" spans="2:6" ht="15.75" thickBot="1" x14ac:dyDescent="0.3">
      <c r="B130" s="81" t="s">
        <v>191</v>
      </c>
      <c r="C130" s="75"/>
      <c r="D130" s="75"/>
      <c r="E130" s="75"/>
      <c r="F130" s="76"/>
    </row>
    <row r="131" spans="2:6" x14ac:dyDescent="0.25">
      <c r="B131" s="2" t="s">
        <v>192</v>
      </c>
      <c r="C131" s="104" t="s">
        <v>649</v>
      </c>
      <c r="D131" s="72"/>
      <c r="E131" s="72"/>
      <c r="F131" s="73"/>
    </row>
    <row r="132" spans="2:6" x14ac:dyDescent="0.25">
      <c r="B132" s="4" t="s">
        <v>193</v>
      </c>
      <c r="C132" s="79" t="s">
        <v>650</v>
      </c>
      <c r="D132" s="72"/>
      <c r="E132" s="72"/>
      <c r="F132" s="73"/>
    </row>
    <row r="133" spans="2:6" ht="51.95" customHeight="1" x14ac:dyDescent="0.25">
      <c r="B133" s="2" t="s">
        <v>194</v>
      </c>
      <c r="C133" s="78" t="s">
        <v>651</v>
      </c>
      <c r="D133" s="72"/>
      <c r="E133" s="72"/>
      <c r="F133" s="73"/>
    </row>
    <row r="135" spans="2:6" ht="15.75" thickBot="1" x14ac:dyDescent="0.3">
      <c r="B135" s="81" t="s">
        <v>195</v>
      </c>
      <c r="C135" s="75"/>
      <c r="D135" s="75"/>
      <c r="E135" s="75"/>
      <c r="F135" s="76"/>
    </row>
    <row r="136" spans="2:6" x14ac:dyDescent="0.25">
      <c r="B136" s="4" t="s">
        <v>196</v>
      </c>
      <c r="C136" s="9" t="s">
        <v>197</v>
      </c>
      <c r="D136" s="71" t="s">
        <v>198</v>
      </c>
      <c r="E136" s="72"/>
      <c r="F136" s="73"/>
    </row>
    <row r="137" spans="2:6" ht="30" customHeight="1" x14ac:dyDescent="0.25">
      <c r="B137" s="2" t="s">
        <v>199</v>
      </c>
      <c r="C137" s="79" t="s">
        <v>200</v>
      </c>
      <c r="D137" s="73"/>
      <c r="E137" s="106" t="str">
        <f>IF(AND(C136="Yes",OR(C137="None",C137="N.A. — no disconnect")),"⚠ MISSED OWNERSHIP OPPORTUNITY — flag in Customer Ownership and Critical Failures","OK")</f>
        <v>OK</v>
      </c>
      <c r="F137" s="73"/>
    </row>
    <row r="139" spans="2:6" ht="15.75" thickBot="1" x14ac:dyDescent="0.3">
      <c r="B139" s="102" t="s">
        <v>201</v>
      </c>
      <c r="C139" s="75"/>
      <c r="D139" s="75"/>
      <c r="E139" s="75"/>
      <c r="F139" s="76"/>
    </row>
    <row r="140" spans="2:6" ht="15.75" thickBot="1" x14ac:dyDescent="0.3">
      <c r="B140" s="1" t="s">
        <v>202</v>
      </c>
      <c r="C140" s="15" t="s">
        <v>203</v>
      </c>
      <c r="D140" s="81" t="s">
        <v>204</v>
      </c>
      <c r="E140" s="75"/>
      <c r="F140" s="76"/>
    </row>
    <row r="141" spans="2:6" ht="26.1" customHeight="1" x14ac:dyDescent="0.25">
      <c r="B141" s="8" t="s">
        <v>205</v>
      </c>
      <c r="C141" s="9" t="s">
        <v>197</v>
      </c>
      <c r="D141" s="95"/>
      <c r="E141" s="72"/>
      <c r="F141" s="73"/>
    </row>
    <row r="142" spans="2:6" ht="26.1" customHeight="1" x14ac:dyDescent="0.25">
      <c r="B142" s="10" t="s">
        <v>206</v>
      </c>
      <c r="C142" s="9" t="s">
        <v>197</v>
      </c>
      <c r="D142" s="86"/>
      <c r="E142" s="72"/>
      <c r="F142" s="73"/>
    </row>
    <row r="143" spans="2:6" ht="26.1" customHeight="1" x14ac:dyDescent="0.25">
      <c r="B143" s="8" t="s">
        <v>207</v>
      </c>
      <c r="C143" s="9" t="s">
        <v>197</v>
      </c>
      <c r="D143" s="95"/>
      <c r="E143" s="72"/>
      <c r="F143" s="73"/>
    </row>
    <row r="144" spans="2:6" ht="26.1" customHeight="1" x14ac:dyDescent="0.25">
      <c r="B144" s="10" t="s">
        <v>208</v>
      </c>
      <c r="C144" s="9" t="s">
        <v>197</v>
      </c>
      <c r="D144" s="86"/>
      <c r="E144" s="72"/>
      <c r="F144" s="73"/>
    </row>
    <row r="145" spans="2:6" ht="26.1" customHeight="1" x14ac:dyDescent="0.25">
      <c r="B145" s="8" t="s">
        <v>209</v>
      </c>
      <c r="C145" s="9" t="s">
        <v>197</v>
      </c>
      <c r="D145" s="95"/>
      <c r="E145" s="72"/>
      <c r="F145" s="73"/>
    </row>
    <row r="146" spans="2:6" ht="26.1" customHeight="1" x14ac:dyDescent="0.25">
      <c r="B146" s="10" t="s">
        <v>210</v>
      </c>
      <c r="C146" s="9" t="s">
        <v>197</v>
      </c>
      <c r="D146" s="86"/>
      <c r="E146" s="72"/>
      <c r="F146" s="73"/>
    </row>
    <row r="147" spans="2:6" ht="26.1" customHeight="1" x14ac:dyDescent="0.25">
      <c r="B147" s="8" t="s">
        <v>211</v>
      </c>
      <c r="C147" s="9" t="s">
        <v>197</v>
      </c>
      <c r="D147" s="95"/>
      <c r="E147" s="72"/>
      <c r="F147" s="73"/>
    </row>
    <row r="148" spans="2:6" ht="26.1" customHeight="1" x14ac:dyDescent="0.25">
      <c r="B148" s="10" t="s">
        <v>212</v>
      </c>
      <c r="C148" s="9" t="s">
        <v>197</v>
      </c>
      <c r="D148" s="86"/>
      <c r="E148" s="72"/>
      <c r="F148" s="73"/>
    </row>
    <row r="149" spans="2:6" ht="26.1" customHeight="1" x14ac:dyDescent="0.25">
      <c r="B149" s="8" t="s">
        <v>213</v>
      </c>
      <c r="C149" s="9" t="s">
        <v>197</v>
      </c>
      <c r="D149" s="95"/>
      <c r="E149" s="72"/>
      <c r="F149" s="73"/>
    </row>
    <row r="150" spans="2:6" ht="26.1" customHeight="1" x14ac:dyDescent="0.25">
      <c r="B150" s="10" t="s">
        <v>214</v>
      </c>
      <c r="C150" s="9" t="s">
        <v>197</v>
      </c>
      <c r="D150" s="86"/>
      <c r="E150" s="72"/>
      <c r="F150" s="73"/>
    </row>
    <row r="151" spans="2:6" ht="26.1" customHeight="1" thickBot="1" x14ac:dyDescent="0.3">
      <c r="B151" s="8" t="s">
        <v>215</v>
      </c>
      <c r="C151" s="9" t="s">
        <v>197</v>
      </c>
      <c r="D151" s="95"/>
      <c r="E151" s="72"/>
      <c r="F151" s="73"/>
    </row>
    <row r="152" spans="2:6" ht="15.75" thickBot="1" x14ac:dyDescent="0.3">
      <c r="B152" s="30" t="s">
        <v>221</v>
      </c>
      <c r="C152" s="103" t="str">
        <f>IF(COUNTIF(C141:C151,"Yes")&gt;0,"YES — "&amp;COUNTIF(C141:C151,"Yes")&amp;" condition(s) flagged — automatic review required regardless of weighted score","No critical failures")</f>
        <v>No critical failures</v>
      </c>
      <c r="D152" s="75"/>
      <c r="E152" s="75"/>
      <c r="F152" s="76"/>
    </row>
    <row r="154" spans="2:6" ht="15.75" thickBot="1" x14ac:dyDescent="0.3">
      <c r="B154" s="77" t="s">
        <v>462</v>
      </c>
      <c r="C154" s="75"/>
      <c r="D154" s="75"/>
      <c r="E154" s="75"/>
      <c r="F154" s="76"/>
    </row>
    <row r="155" spans="2:6" ht="15.75" thickBot="1" x14ac:dyDescent="0.3">
      <c r="B155" s="81" t="s">
        <v>463</v>
      </c>
      <c r="C155" s="75"/>
      <c r="D155" s="75"/>
      <c r="E155" s="75"/>
      <c r="F155" s="76"/>
    </row>
    <row r="156" spans="2:6" ht="32.1" customHeight="1" x14ac:dyDescent="0.25">
      <c r="B156" s="7" t="s">
        <v>226</v>
      </c>
      <c r="C156" s="78"/>
      <c r="D156" s="72"/>
      <c r="E156" s="72"/>
      <c r="F156" s="73"/>
    </row>
    <row r="157" spans="2:6" ht="32.1" customHeight="1" x14ac:dyDescent="0.25">
      <c r="B157" s="7" t="s">
        <v>227</v>
      </c>
      <c r="C157" s="78"/>
      <c r="D157" s="72"/>
      <c r="E157" s="72"/>
      <c r="F157" s="73"/>
    </row>
    <row r="158" spans="2:6" ht="32.1" customHeight="1" thickBot="1" x14ac:dyDescent="0.3">
      <c r="B158" s="7" t="s">
        <v>228</v>
      </c>
      <c r="C158" s="78"/>
      <c r="D158" s="72"/>
      <c r="E158" s="72"/>
      <c r="F158" s="73"/>
    </row>
    <row r="159" spans="2:6" ht="15.75" thickBot="1" x14ac:dyDescent="0.3">
      <c r="B159" s="81" t="s">
        <v>464</v>
      </c>
      <c r="C159" s="75"/>
      <c r="D159" s="75"/>
      <c r="E159" s="75"/>
      <c r="F159" s="76"/>
    </row>
    <row r="160" spans="2:6" ht="32.1" customHeight="1" x14ac:dyDescent="0.25">
      <c r="B160" s="7" t="s">
        <v>226</v>
      </c>
      <c r="C160" s="78"/>
      <c r="D160" s="72"/>
      <c r="E160" s="72"/>
      <c r="F160" s="73"/>
    </row>
    <row r="161" spans="2:6" ht="32.1" customHeight="1" x14ac:dyDescent="0.25">
      <c r="B161" s="7" t="s">
        <v>227</v>
      </c>
      <c r="C161" s="78"/>
      <c r="D161" s="72"/>
      <c r="E161" s="72"/>
      <c r="F161" s="73"/>
    </row>
    <row r="162" spans="2:6" ht="32.1" customHeight="1" thickBot="1" x14ac:dyDescent="0.3">
      <c r="B162" s="7" t="s">
        <v>228</v>
      </c>
      <c r="C162" s="78"/>
      <c r="D162" s="72"/>
      <c r="E162" s="72"/>
      <c r="F162" s="73"/>
    </row>
    <row r="163" spans="2:6" ht="15.75" thickBot="1" x14ac:dyDescent="0.3">
      <c r="B163" s="81" t="s">
        <v>465</v>
      </c>
      <c r="C163" s="75"/>
      <c r="D163" s="75"/>
      <c r="E163" s="75"/>
      <c r="F163" s="76"/>
    </row>
    <row r="164" spans="2:6" ht="57.95" customHeight="1" thickBot="1" x14ac:dyDescent="0.3">
      <c r="B164" s="78"/>
      <c r="C164" s="72"/>
      <c r="D164" s="72"/>
      <c r="E164" s="72"/>
      <c r="F164" s="73"/>
    </row>
    <row r="165" spans="2:6" ht="15.75" thickBot="1" x14ac:dyDescent="0.3">
      <c r="B165" s="81" t="s">
        <v>466</v>
      </c>
      <c r="C165" s="75"/>
      <c r="D165" s="75"/>
      <c r="E165" s="75"/>
      <c r="F165" s="76"/>
    </row>
    <row r="166" spans="2:6" ht="69.95" customHeight="1" thickBot="1" x14ac:dyDescent="0.3">
      <c r="B166" s="78"/>
      <c r="C166" s="72"/>
      <c r="D166" s="72"/>
      <c r="E166" s="72"/>
      <c r="F166" s="73"/>
    </row>
    <row r="167" spans="2:6" ht="15.75" thickBot="1" x14ac:dyDescent="0.3">
      <c r="B167" s="81" t="s">
        <v>467</v>
      </c>
      <c r="C167" s="75"/>
      <c r="D167" s="75"/>
      <c r="E167" s="75"/>
      <c r="F167" s="76"/>
    </row>
    <row r="168" spans="2:6" ht="57.95" customHeight="1" thickBot="1" x14ac:dyDescent="0.3">
      <c r="B168" s="78"/>
      <c r="C168" s="72"/>
      <c r="D168" s="72"/>
      <c r="E168" s="72"/>
      <c r="F168" s="73"/>
    </row>
    <row r="169" spans="2:6" ht="15.75" thickBot="1" x14ac:dyDescent="0.3">
      <c r="B169" s="81" t="s">
        <v>468</v>
      </c>
      <c r="C169" s="75"/>
      <c r="D169" s="75"/>
      <c r="E169" s="75"/>
      <c r="F169" s="76"/>
    </row>
    <row r="170" spans="2:6" ht="57.95" customHeight="1" x14ac:dyDescent="0.25">
      <c r="B170" s="78"/>
      <c r="C170" s="72"/>
      <c r="D170" s="72"/>
      <c r="E170" s="72"/>
      <c r="F170" s="73"/>
    </row>
  </sheetData>
  <mergeCells count="149">
    <mergeCell ref="B1:F1"/>
    <mergeCell ref="B2:F2"/>
    <mergeCell ref="B4:F4"/>
    <mergeCell ref="E5:F5"/>
    <mergeCell ref="E6:F6"/>
    <mergeCell ref="E7:F7"/>
    <mergeCell ref="C14:F14"/>
    <mergeCell ref="B16:F16"/>
    <mergeCell ref="B17:E17"/>
    <mergeCell ref="B18:F18"/>
    <mergeCell ref="D19:F19"/>
    <mergeCell ref="D20:F20"/>
    <mergeCell ref="E8:F8"/>
    <mergeCell ref="E9:F9"/>
    <mergeCell ref="E10:F10"/>
    <mergeCell ref="E11:F11"/>
    <mergeCell ref="E12:F12"/>
    <mergeCell ref="C13:F13"/>
    <mergeCell ref="D27:F27"/>
    <mergeCell ref="C28:F28"/>
    <mergeCell ref="B30:E30"/>
    <mergeCell ref="B31:F31"/>
    <mergeCell ref="D32:F32"/>
    <mergeCell ref="D33:F33"/>
    <mergeCell ref="D21:F21"/>
    <mergeCell ref="D22:F22"/>
    <mergeCell ref="D23:F23"/>
    <mergeCell ref="D24:F24"/>
    <mergeCell ref="B25:F25"/>
    <mergeCell ref="D26:F26"/>
    <mergeCell ref="B40:F40"/>
    <mergeCell ref="D41:F41"/>
    <mergeCell ref="D42:F42"/>
    <mergeCell ref="C43:F43"/>
    <mergeCell ref="B45:E45"/>
    <mergeCell ref="B46:F46"/>
    <mergeCell ref="D34:F34"/>
    <mergeCell ref="D35:F35"/>
    <mergeCell ref="D36:F36"/>
    <mergeCell ref="D37:F37"/>
    <mergeCell ref="D38:F38"/>
    <mergeCell ref="D39:F39"/>
    <mergeCell ref="D53:F53"/>
    <mergeCell ref="D54:F54"/>
    <mergeCell ref="D55:F55"/>
    <mergeCell ref="B56:F56"/>
    <mergeCell ref="D57:F57"/>
    <mergeCell ref="D58:F58"/>
    <mergeCell ref="D47:F47"/>
    <mergeCell ref="D48:F48"/>
    <mergeCell ref="D49:F49"/>
    <mergeCell ref="D50:F50"/>
    <mergeCell ref="D51:F51"/>
    <mergeCell ref="D52:F52"/>
    <mergeCell ref="D66:F66"/>
    <mergeCell ref="D67:F67"/>
    <mergeCell ref="D68:F68"/>
    <mergeCell ref="D69:F69"/>
    <mergeCell ref="D70:F70"/>
    <mergeCell ref="D71:F71"/>
    <mergeCell ref="C59:F59"/>
    <mergeCell ref="B61:E61"/>
    <mergeCell ref="B62:F62"/>
    <mergeCell ref="D63:F63"/>
    <mergeCell ref="D64:F64"/>
    <mergeCell ref="D65:F65"/>
    <mergeCell ref="D79:F79"/>
    <mergeCell ref="D80:F80"/>
    <mergeCell ref="D81:F81"/>
    <mergeCell ref="D82:F82"/>
    <mergeCell ref="D83:F83"/>
    <mergeCell ref="D84:F84"/>
    <mergeCell ref="B72:F72"/>
    <mergeCell ref="D73:F73"/>
    <mergeCell ref="D74:F74"/>
    <mergeCell ref="C75:F75"/>
    <mergeCell ref="B77:E77"/>
    <mergeCell ref="B78:F78"/>
    <mergeCell ref="D92:F92"/>
    <mergeCell ref="D93:F93"/>
    <mergeCell ref="D94:F94"/>
    <mergeCell ref="D95:F95"/>
    <mergeCell ref="D96:F96"/>
    <mergeCell ref="D97:F97"/>
    <mergeCell ref="B85:F85"/>
    <mergeCell ref="D86:F86"/>
    <mergeCell ref="D87:F87"/>
    <mergeCell ref="C88:F88"/>
    <mergeCell ref="B90:E90"/>
    <mergeCell ref="B91:F91"/>
    <mergeCell ref="B105:F105"/>
    <mergeCell ref="D106:F106"/>
    <mergeCell ref="D107:F107"/>
    <mergeCell ref="D108:F108"/>
    <mergeCell ref="D109:F109"/>
    <mergeCell ref="D110:F110"/>
    <mergeCell ref="D98:F98"/>
    <mergeCell ref="B99:F99"/>
    <mergeCell ref="D100:F100"/>
    <mergeCell ref="D101:F101"/>
    <mergeCell ref="C102:F102"/>
    <mergeCell ref="B104:E104"/>
    <mergeCell ref="C117:F117"/>
    <mergeCell ref="B119:F119"/>
    <mergeCell ref="B130:F130"/>
    <mergeCell ref="C131:F131"/>
    <mergeCell ref="C132:F132"/>
    <mergeCell ref="C133:F133"/>
    <mergeCell ref="D111:F111"/>
    <mergeCell ref="D112:F112"/>
    <mergeCell ref="D113:F113"/>
    <mergeCell ref="B114:F114"/>
    <mergeCell ref="D115:F115"/>
    <mergeCell ref="D116:F116"/>
    <mergeCell ref="D141:F141"/>
    <mergeCell ref="D142:F142"/>
    <mergeCell ref="D143:F143"/>
    <mergeCell ref="D144:F144"/>
    <mergeCell ref="D145:F145"/>
    <mergeCell ref="D146:F146"/>
    <mergeCell ref="B135:F135"/>
    <mergeCell ref="D136:F136"/>
    <mergeCell ref="C137:D137"/>
    <mergeCell ref="E137:F137"/>
    <mergeCell ref="B139:F139"/>
    <mergeCell ref="D140:F140"/>
    <mergeCell ref="B154:F154"/>
    <mergeCell ref="B155:F155"/>
    <mergeCell ref="C156:F156"/>
    <mergeCell ref="C157:F157"/>
    <mergeCell ref="C158:F158"/>
    <mergeCell ref="B159:F159"/>
    <mergeCell ref="D147:F147"/>
    <mergeCell ref="D148:F148"/>
    <mergeCell ref="D149:F149"/>
    <mergeCell ref="D150:F150"/>
    <mergeCell ref="D151:F151"/>
    <mergeCell ref="C152:F152"/>
    <mergeCell ref="B166:F166"/>
    <mergeCell ref="B167:F167"/>
    <mergeCell ref="B168:F168"/>
    <mergeCell ref="B169:F169"/>
    <mergeCell ref="B170:F170"/>
    <mergeCell ref="C160:F160"/>
    <mergeCell ref="C161:F161"/>
    <mergeCell ref="C162:F162"/>
    <mergeCell ref="B163:F163"/>
    <mergeCell ref="B164:F164"/>
    <mergeCell ref="B165:F165"/>
  </mergeCells>
  <conditionalFormatting sqref="C20:C24">
    <cfRule type="cellIs" dxfId="75" priority="1" operator="equal">
      <formula>"Met"</formula>
    </cfRule>
    <cfRule type="cellIs" dxfId="74" priority="2" operator="equal">
      <formula>"Partial"</formula>
    </cfRule>
    <cfRule type="cellIs" dxfId="73" priority="3" operator="equal">
      <formula>"Missed"</formula>
    </cfRule>
  </conditionalFormatting>
  <conditionalFormatting sqref="C27">
    <cfRule type="cellIs" dxfId="72" priority="4" operator="lessThanOrEqual">
      <formula>2</formula>
    </cfRule>
    <cfRule type="cellIs" dxfId="71" priority="5" operator="equal">
      <formula>3</formula>
    </cfRule>
    <cfRule type="cellIs" dxfId="70" priority="6" operator="greaterThanOrEqual">
      <formula>4</formula>
    </cfRule>
  </conditionalFormatting>
  <conditionalFormatting sqref="C33:C39">
    <cfRule type="cellIs" dxfId="69" priority="7" operator="equal">
      <formula>"Met"</formula>
    </cfRule>
    <cfRule type="cellIs" dxfId="68" priority="8" operator="equal">
      <formula>"Partial"</formula>
    </cfRule>
    <cfRule type="cellIs" dxfId="67" priority="9" operator="equal">
      <formula>"Missed"</formula>
    </cfRule>
  </conditionalFormatting>
  <conditionalFormatting sqref="C42">
    <cfRule type="cellIs" dxfId="66" priority="10" operator="lessThanOrEqual">
      <formula>2</formula>
    </cfRule>
    <cfRule type="cellIs" dxfId="65" priority="11" operator="equal">
      <formula>3</formula>
    </cfRule>
    <cfRule type="cellIs" dxfId="64" priority="12" operator="greaterThanOrEqual">
      <formula>4</formula>
    </cfRule>
  </conditionalFormatting>
  <conditionalFormatting sqref="C48:C55">
    <cfRule type="cellIs" dxfId="63" priority="13" operator="equal">
      <formula>"Met"</formula>
    </cfRule>
    <cfRule type="cellIs" dxfId="62" priority="14" operator="equal">
      <formula>"Partial"</formula>
    </cfRule>
    <cfRule type="cellIs" dxfId="61" priority="15" operator="equal">
      <formula>"Missed"</formula>
    </cfRule>
  </conditionalFormatting>
  <conditionalFormatting sqref="C58">
    <cfRule type="cellIs" dxfId="60" priority="16" operator="lessThanOrEqual">
      <formula>2</formula>
    </cfRule>
    <cfRule type="cellIs" dxfId="59" priority="17" operator="equal">
      <formula>3</formula>
    </cfRule>
    <cfRule type="cellIs" dxfId="58" priority="18" operator="greaterThanOrEqual">
      <formula>4</formula>
    </cfRule>
  </conditionalFormatting>
  <conditionalFormatting sqref="C64:C71">
    <cfRule type="cellIs" dxfId="57" priority="19" operator="equal">
      <formula>"Met"</formula>
    </cfRule>
    <cfRule type="cellIs" dxfId="56" priority="20" operator="equal">
      <formula>"Partial"</formula>
    </cfRule>
    <cfRule type="cellIs" dxfId="55" priority="21" operator="equal">
      <formula>"Missed"</formula>
    </cfRule>
  </conditionalFormatting>
  <conditionalFormatting sqref="C74">
    <cfRule type="cellIs" dxfId="54" priority="22" operator="lessThanOrEqual">
      <formula>2</formula>
    </cfRule>
    <cfRule type="cellIs" dxfId="53" priority="23" operator="equal">
      <formula>3</formula>
    </cfRule>
    <cfRule type="cellIs" dxfId="52" priority="24" operator="greaterThanOrEqual">
      <formula>4</formula>
    </cfRule>
  </conditionalFormatting>
  <conditionalFormatting sqref="C80:C84">
    <cfRule type="cellIs" dxfId="51" priority="25" operator="equal">
      <formula>"Met"</formula>
    </cfRule>
    <cfRule type="cellIs" dxfId="50" priority="26" operator="equal">
      <formula>"Partial"</formula>
    </cfRule>
    <cfRule type="cellIs" dxfId="49" priority="27" operator="equal">
      <formula>"Missed"</formula>
    </cfRule>
  </conditionalFormatting>
  <conditionalFormatting sqref="C87">
    <cfRule type="cellIs" dxfId="48" priority="28" operator="lessThanOrEqual">
      <formula>2</formula>
    </cfRule>
    <cfRule type="cellIs" dxfId="47" priority="29" operator="equal">
      <formula>3</formula>
    </cfRule>
    <cfRule type="cellIs" dxfId="46" priority="30" operator="greaterThanOrEqual">
      <formula>4</formula>
    </cfRule>
  </conditionalFormatting>
  <conditionalFormatting sqref="C93:C98">
    <cfRule type="cellIs" dxfId="45" priority="31" operator="equal">
      <formula>"Met"</formula>
    </cfRule>
    <cfRule type="cellIs" dxfId="44" priority="32" operator="equal">
      <formula>"Partial"</formula>
    </cfRule>
    <cfRule type="cellIs" dxfId="43" priority="33" operator="equal">
      <formula>"Missed"</formula>
    </cfRule>
  </conditionalFormatting>
  <conditionalFormatting sqref="C101">
    <cfRule type="cellIs" dxfId="42" priority="34" operator="lessThanOrEqual">
      <formula>2</formula>
    </cfRule>
    <cfRule type="cellIs" dxfId="41" priority="35" operator="equal">
      <formula>3</formula>
    </cfRule>
    <cfRule type="cellIs" dxfId="40" priority="36" operator="greaterThanOrEqual">
      <formula>4</formula>
    </cfRule>
  </conditionalFormatting>
  <conditionalFormatting sqref="C107:C113">
    <cfRule type="cellIs" dxfId="39" priority="37" operator="equal">
      <formula>"Met"</formula>
    </cfRule>
    <cfRule type="cellIs" dxfId="38" priority="38" operator="equal">
      <formula>"Partial"</formula>
    </cfRule>
    <cfRule type="cellIs" dxfId="37" priority="39" operator="equal">
      <formula>"Missed"</formula>
    </cfRule>
  </conditionalFormatting>
  <conditionalFormatting sqref="C116">
    <cfRule type="cellIs" dxfId="36" priority="40" operator="lessThanOrEqual">
      <formula>2</formula>
    </cfRule>
    <cfRule type="cellIs" dxfId="35" priority="41" operator="equal">
      <formula>3</formula>
    </cfRule>
    <cfRule type="cellIs" dxfId="34" priority="42" operator="greaterThanOrEqual">
      <formula>4</formula>
    </cfRule>
  </conditionalFormatting>
  <conditionalFormatting sqref="C141:C151">
    <cfRule type="cellIs" dxfId="33" priority="51" operator="equal">
      <formula>"Yes"</formula>
    </cfRule>
  </conditionalFormatting>
  <conditionalFormatting sqref="C152">
    <cfRule type="expression" dxfId="32" priority="53">
      <formula>NOT(ISNUMBER(SEARCH("YES",C152)))</formula>
    </cfRule>
    <cfRule type="expression" dxfId="31" priority="52">
      <formula>ISNUMBER(SEARCH("YES",C152))</formula>
    </cfRule>
  </conditionalFormatting>
  <conditionalFormatting sqref="E128">
    <cfRule type="cellIs" dxfId="30" priority="43" operator="greaterThanOrEqual">
      <formula>0.85</formula>
    </cfRule>
    <cfRule type="cellIs" dxfId="29" priority="44" operator="between">
      <formula>0.7</formula>
      <formula>0.8499</formula>
    </cfRule>
    <cfRule type="cellIs" dxfId="28" priority="45" operator="lessThan">
      <formula>0.7</formula>
    </cfRule>
  </conditionalFormatting>
  <conditionalFormatting sqref="E137">
    <cfRule type="expression" dxfId="27" priority="49">
      <formula>E137&lt;&gt;"OK"</formula>
    </cfRule>
    <cfRule type="expression" dxfId="26" priority="50">
      <formula>E137="OK"</formula>
    </cfRule>
  </conditionalFormatting>
  <conditionalFormatting sqref="F121:F127">
    <cfRule type="cellIs" dxfId="25" priority="46" operator="equal">
      <formula>"Strong"</formula>
    </cfRule>
    <cfRule type="cellIs" dxfId="24" priority="48" operator="equal">
      <formula>"Needs Focus"</formula>
    </cfRule>
    <cfRule type="cellIs" dxfId="23" priority="47" operator="equal">
      <formula>"Developing"</formula>
    </cfRule>
  </conditionalFormatting>
  <dataValidations count="10">
    <dataValidation type="list" allowBlank="1" sqref="C137" xr:uid="{899E1078-9C6B-44D3-A316-D80103BD1FF4}">
      <formula1>"Callback attempt,Follow-up email,Private note documenting actions,Documented why follow-up not possible,None,N.A. — no disconnect"</formula1>
    </dataValidation>
    <dataValidation type="list" allowBlank="1" sqref="C132" xr:uid="{77044E96-F89A-4431-BC16-5940228A5A18}">
      <formula1>_xlfn._LONGTEXT("Issue resolved,Proper RMA initiated (in-warranty / approved exception),Valid escalation submitted,Known limitation explained accurately,Customer educated with actionable next steps,Valid self-help guidance provided (out-of-warranty),Upgrade path recommend","ed appropriately (out-of-warranty),Customer declined further troubleshooting after reasonable effort,None achieved")</formula1>
    </dataValidation>
    <dataValidation type="list" allowBlank="1" sqref="C131" xr:uid="{472872BB-7E33-4BD7-B16A-956B9B288D08}">
      <formula1>"Successful Resolution,Partial Resolution,Appropriate Escalation,Ownership Gap,Unresolved"</formula1>
    </dataValidation>
    <dataValidation type="list" allowBlank="1" sqref="E12" xr:uid="{556E200E-F652-4A5E-9FB2-6C1504C63FAA}">
      <formula1>"Within SLA,Breached,N.A."</formula1>
    </dataValidation>
    <dataValidation type="list" allowBlank="1" sqref="C9" xr:uid="{7A64DBA9-BF76-4497-9670-C64418CEF8C6}">
      <formula1>"Technical Issue,Setup/How-To,RMA/Replacement,Billing/Account,Connectivity,Other"</formula1>
    </dataValidation>
    <dataValidation type="list" allowBlank="1" sqref="E7" xr:uid="{68592BE9-214D-4D9C-A189-51C5C953D9F4}">
      <formula1>"Phone,Chat,Email,Social,Other"</formula1>
    </dataValidation>
    <dataValidation type="list" allowBlank="1" sqref="C8" xr:uid="{237E417E-27F4-4D86-BBDE-E4D13FC0F5B1}">
      <formula1>"In-Warranty,Out-of-Warranty,Unknown"</formula1>
    </dataValidation>
    <dataValidation type="list" allowBlank="1" sqref="C136 C141:C151 E10" xr:uid="{8357A18E-B31A-4917-9780-67DC89C3E490}">
      <formula1>"No,Yes"</formula1>
    </dataValidation>
    <dataValidation type="whole" allowBlank="1" showErrorMessage="1" errorTitle="Invalid score" error="Enter a whole number from 0 to 5." sqref="C27 C42 C58 C74 C87 C101 C116" xr:uid="{9A98B1BD-F54A-4E5A-BB45-4F15698EBC82}">
      <formula1>0</formula1>
      <formula2>5</formula2>
    </dataValidation>
    <dataValidation type="list" allowBlank="1" sqref="C20:C24 C107:C113 C48:C55 C64:C71 C80:C84 C93:C98 C33:C39" xr:uid="{45FB01EC-B674-4D70-9C21-D2480ADB63FF}">
      <formula1>"Met,Partial,Missed,N.A."</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60"/>
  <sheetViews>
    <sheetView showGridLines="0" tabSelected="1" workbookViewId="0">
      <pane ySplit="4" topLeftCell="A5" activePane="bottomLeft" state="frozen"/>
      <selection pane="bottomLeft" activeCell="M8" sqref="M8"/>
    </sheetView>
  </sheetViews>
  <sheetFormatPr defaultRowHeight="15" x14ac:dyDescent="0.25"/>
  <cols>
    <col min="1" max="1" width="11" customWidth="1"/>
    <col min="2" max="2" width="13" customWidth="1"/>
    <col min="3" max="3" width="18" customWidth="1"/>
    <col min="4" max="11" width="8" customWidth="1"/>
    <col min="12" max="12" width="10" customWidth="1"/>
    <col min="13" max="13" width="13" customWidth="1"/>
    <col min="14" max="14" width="60" customWidth="1"/>
    <col min="15" max="15" width="22" customWidth="1"/>
    <col min="16" max="16" width="14" customWidth="1"/>
  </cols>
  <sheetData>
    <row r="1" spans="1:16" ht="26.1" customHeight="1" x14ac:dyDescent="0.25">
      <c r="A1" s="82" t="s">
        <v>469</v>
      </c>
      <c r="B1" s="75"/>
      <c r="C1" s="75"/>
      <c r="D1" s="75"/>
      <c r="E1" s="75"/>
      <c r="F1" s="75"/>
      <c r="G1" s="75"/>
      <c r="H1" s="75"/>
      <c r="I1" s="75"/>
      <c r="J1" s="75"/>
      <c r="K1" s="75"/>
      <c r="L1" s="75"/>
      <c r="M1" s="75"/>
      <c r="N1" s="75"/>
      <c r="O1" s="75"/>
      <c r="P1" s="76"/>
    </row>
    <row r="2" spans="1:16" ht="15.95" customHeight="1" x14ac:dyDescent="0.25">
      <c r="A2" s="87" t="s">
        <v>470</v>
      </c>
      <c r="B2" s="75"/>
      <c r="C2" s="75"/>
      <c r="D2" s="75"/>
      <c r="E2" s="75"/>
      <c r="F2" s="75"/>
      <c r="G2" s="75"/>
      <c r="H2" s="75"/>
      <c r="I2" s="75"/>
      <c r="J2" s="75"/>
      <c r="K2" s="75"/>
      <c r="L2" s="75"/>
      <c r="M2" s="75"/>
      <c r="N2" s="75"/>
      <c r="O2" s="75"/>
      <c r="P2" s="76"/>
    </row>
    <row r="3" spans="1:16" ht="24" customHeight="1" x14ac:dyDescent="0.25">
      <c r="A3" s="74" t="str">
        <f>IF(A56="","  JOURNEY TEAM SCORE  ▸  log touches below, then enter a Case ID + Outcome/Continuity in row 56","  LOADED JOURNEY TEAM SCORE  ▸  "&amp;A56&amp;":  "&amp;TEXT(G56,"0.0%")&amp;"   "&amp;UPPER(H56))</f>
        <v xml:space="preserve">  JOURNEY TEAM SCORE  ▸  log touches below, then enter a Case ID + Outcome/Continuity in row 56</v>
      </c>
      <c r="B3" s="75"/>
      <c r="C3" s="75"/>
      <c r="D3" s="75"/>
      <c r="E3" s="75"/>
      <c r="F3" s="75"/>
      <c r="G3" s="75"/>
      <c r="H3" s="75"/>
      <c r="I3" s="75"/>
      <c r="J3" s="75"/>
      <c r="K3" s="75"/>
      <c r="L3" s="75"/>
      <c r="M3" s="75"/>
      <c r="N3" s="75"/>
      <c r="O3" s="75"/>
      <c r="P3" s="76"/>
    </row>
    <row r="4" spans="1:16" ht="30" customHeight="1" x14ac:dyDescent="0.25">
      <c r="A4" s="43" t="s">
        <v>471</v>
      </c>
      <c r="B4" s="43" t="s">
        <v>472</v>
      </c>
      <c r="C4" s="43" t="s">
        <v>473</v>
      </c>
      <c r="D4" s="43" t="s">
        <v>474</v>
      </c>
      <c r="E4" s="43" t="s">
        <v>475</v>
      </c>
      <c r="F4" s="43" t="s">
        <v>476</v>
      </c>
      <c r="G4" s="43" t="s">
        <v>477</v>
      </c>
      <c r="H4" s="43" t="s">
        <v>478</v>
      </c>
      <c r="I4" s="43" t="s">
        <v>479</v>
      </c>
      <c r="J4" s="43" t="s">
        <v>480</v>
      </c>
      <c r="K4" s="43" t="s">
        <v>481</v>
      </c>
      <c r="L4" s="43" t="s">
        <v>181</v>
      </c>
      <c r="M4" s="43" t="s">
        <v>482</v>
      </c>
      <c r="N4" s="43" t="s">
        <v>483</v>
      </c>
      <c r="O4" s="69" t="s">
        <v>438</v>
      </c>
      <c r="P4" s="69" t="s">
        <v>439</v>
      </c>
    </row>
    <row r="5" spans="1:16" ht="39.950000000000003" customHeight="1" x14ac:dyDescent="0.25">
      <c r="A5" s="70">
        <v>46063</v>
      </c>
      <c r="B5" s="44" t="s">
        <v>565</v>
      </c>
      <c r="C5" s="44" t="s">
        <v>614</v>
      </c>
      <c r="D5" s="44">
        <v>1</v>
      </c>
      <c r="E5" s="44">
        <v>4</v>
      </c>
      <c r="F5" s="44">
        <v>4</v>
      </c>
      <c r="G5" s="44">
        <v>5</v>
      </c>
      <c r="H5" s="44">
        <v>5</v>
      </c>
      <c r="I5" s="44">
        <v>5</v>
      </c>
      <c r="J5" s="44">
        <v>5</v>
      </c>
      <c r="K5" s="44">
        <v>5</v>
      </c>
      <c r="L5" s="45">
        <f t="shared" ref="L5:L49" si="0">IF((COUNT(E5)+COUNT(F5)+COUNT(G5)+COUNT(H5)+COUNT(I5)+COUNT(J5)+COUNT(K5))=0,"",IFERROR(E5/5*0.3,0)+IFERROR(F5/5*0.2,0)+IFERROR(G5/5*0.15,0)+IFERROR(H5/5*0.15,0)+IFERROR(I5/5*0.1,0)+IFERROR(J5/5*0.05,0)+IFERROR(K5/5*0.05,0))</f>
        <v>0.90000000000000013</v>
      </c>
      <c r="M5" s="20" t="str">
        <f>IF(L5="","",IF(L5&gt;=0.85,"Meets/Exceeds",IF(L5&gt;=0.7,"Developing","Needs Improv.")))</f>
        <v>Meets/Exceeds</v>
      </c>
      <c r="N5" s="8" t="s">
        <v>655</v>
      </c>
      <c r="O5" s="20" t="s">
        <v>654</v>
      </c>
      <c r="P5" s="20">
        <v>4</v>
      </c>
    </row>
    <row r="6" spans="1:16" ht="39.950000000000003" customHeight="1" x14ac:dyDescent="0.25">
      <c r="A6" s="70">
        <v>46188</v>
      </c>
      <c r="B6" s="44" t="s">
        <v>565</v>
      </c>
      <c r="C6" s="44" t="s">
        <v>564</v>
      </c>
      <c r="D6" s="44">
        <v>2</v>
      </c>
      <c r="E6" s="44">
        <v>3</v>
      </c>
      <c r="F6" s="44">
        <v>4</v>
      </c>
      <c r="G6" s="44">
        <v>3</v>
      </c>
      <c r="H6" s="44">
        <v>2</v>
      </c>
      <c r="I6" s="44">
        <v>0</v>
      </c>
      <c r="J6" s="44">
        <v>5</v>
      </c>
      <c r="K6" s="44">
        <v>3</v>
      </c>
      <c r="L6" s="46">
        <f>IF((COUNT(F6)+COUNT(G6)+COUNT(H6)+COUNT(I6)+COUNT(J6)+COUNT(K6)+COUNT(#REF!))=0,"",IFERROR(F6/5*0.3,0)+IFERROR(G6/5*0.2,0)+IFERROR(H6/5*0.15,0)+IFERROR(I6/5*0.15,0)+IFERROR(J6/5*0.1,0)+IFERROR(K6/5*0.05,0)+IFERROR(#REF!/5*0.05,0))</f>
        <v>0.55000000000000004</v>
      </c>
      <c r="M6" s="25" t="str">
        <f t="shared" ref="M5:M49" si="1">IF(L6="","",IF(L6&gt;=0.85,"Meets/Exceeds",IF(L6&gt;=0.7,"Developing","Needs Improv.")))</f>
        <v>Needs Improv.</v>
      </c>
      <c r="N6" s="10" t="s">
        <v>656</v>
      </c>
      <c r="O6" s="25" t="s">
        <v>657</v>
      </c>
      <c r="P6" s="25">
        <v>2</v>
      </c>
    </row>
    <row r="7" spans="1:16" ht="39.950000000000003" customHeight="1" x14ac:dyDescent="0.25">
      <c r="A7" s="44"/>
      <c r="B7" s="44"/>
      <c r="C7" s="44"/>
      <c r="D7" s="44"/>
      <c r="E7" s="44"/>
      <c r="F7" s="44"/>
      <c r="G7" s="44"/>
      <c r="H7" s="44"/>
      <c r="I7" s="44"/>
      <c r="J7" s="44"/>
      <c r="K7" s="44"/>
      <c r="L7" s="45" t="str">
        <f t="shared" si="0"/>
        <v/>
      </c>
      <c r="M7" s="20" t="str">
        <f t="shared" si="1"/>
        <v/>
      </c>
      <c r="N7" s="8"/>
      <c r="O7" s="20"/>
      <c r="P7" s="20"/>
    </row>
    <row r="8" spans="1:16" ht="39.950000000000003" customHeight="1" x14ac:dyDescent="0.25">
      <c r="A8" s="44"/>
      <c r="B8" s="44"/>
      <c r="C8" s="44"/>
      <c r="D8" s="44"/>
      <c r="E8" s="44"/>
      <c r="F8" s="44"/>
      <c r="G8" s="44"/>
      <c r="H8" s="44"/>
      <c r="I8" s="44"/>
      <c r="J8" s="44"/>
      <c r="K8" s="44"/>
      <c r="L8" s="46" t="str">
        <f t="shared" si="0"/>
        <v/>
      </c>
      <c r="M8" s="25" t="str">
        <f t="shared" si="1"/>
        <v/>
      </c>
      <c r="N8" s="10"/>
      <c r="O8" s="25"/>
      <c r="P8" s="25"/>
    </row>
    <row r="9" spans="1:16" ht="39.950000000000003" customHeight="1" x14ac:dyDescent="0.25">
      <c r="A9" s="44"/>
      <c r="B9" s="44"/>
      <c r="C9" s="44"/>
      <c r="D9" s="44"/>
      <c r="E9" s="44"/>
      <c r="F9" s="44"/>
      <c r="G9" s="44"/>
      <c r="H9" s="44"/>
      <c r="I9" s="44"/>
      <c r="J9" s="44"/>
      <c r="K9" s="44"/>
      <c r="L9" s="45" t="str">
        <f t="shared" si="0"/>
        <v/>
      </c>
      <c r="M9" s="20" t="str">
        <f t="shared" si="1"/>
        <v/>
      </c>
      <c r="N9" s="8"/>
      <c r="O9" s="20"/>
      <c r="P9" s="20"/>
    </row>
    <row r="10" spans="1:16" ht="39.950000000000003" customHeight="1" x14ac:dyDescent="0.25">
      <c r="A10" s="44"/>
      <c r="B10" s="44"/>
      <c r="C10" s="44"/>
      <c r="D10" s="44"/>
      <c r="E10" s="44"/>
      <c r="F10" s="44"/>
      <c r="G10" s="44"/>
      <c r="H10" s="44"/>
      <c r="I10" s="44"/>
      <c r="J10" s="44"/>
      <c r="K10" s="44"/>
      <c r="L10" s="46" t="str">
        <f t="shared" si="0"/>
        <v/>
      </c>
      <c r="M10" s="25" t="str">
        <f t="shared" si="1"/>
        <v/>
      </c>
      <c r="N10" s="10"/>
      <c r="O10" s="25"/>
      <c r="P10" s="25"/>
    </row>
    <row r="11" spans="1:16" ht="39.950000000000003" customHeight="1" x14ac:dyDescent="0.25">
      <c r="A11" s="44"/>
      <c r="B11" s="44"/>
      <c r="C11" s="44"/>
      <c r="D11" s="44"/>
      <c r="E11" s="44"/>
      <c r="F11" s="44"/>
      <c r="G11" s="44"/>
      <c r="H11" s="44"/>
      <c r="I11" s="44"/>
      <c r="J11" s="44"/>
      <c r="K11" s="44"/>
      <c r="L11" s="45" t="str">
        <f t="shared" si="0"/>
        <v/>
      </c>
      <c r="M11" s="20" t="str">
        <f t="shared" si="1"/>
        <v/>
      </c>
      <c r="N11" s="8"/>
      <c r="O11" s="20"/>
      <c r="P11" s="20"/>
    </row>
    <row r="12" spans="1:16" ht="39.950000000000003" customHeight="1" x14ac:dyDescent="0.25">
      <c r="A12" s="44"/>
      <c r="B12" s="44"/>
      <c r="C12" s="44"/>
      <c r="D12" s="44"/>
      <c r="E12" s="44"/>
      <c r="F12" s="44"/>
      <c r="G12" s="44"/>
      <c r="H12" s="44"/>
      <c r="I12" s="44"/>
      <c r="J12" s="44"/>
      <c r="K12" s="44"/>
      <c r="L12" s="46" t="str">
        <f t="shared" si="0"/>
        <v/>
      </c>
      <c r="M12" s="25" t="str">
        <f t="shared" si="1"/>
        <v/>
      </c>
      <c r="N12" s="10"/>
      <c r="O12" s="25"/>
      <c r="P12" s="25"/>
    </row>
    <row r="13" spans="1:16" ht="39.950000000000003" customHeight="1" x14ac:dyDescent="0.25">
      <c r="A13" s="44"/>
      <c r="B13" s="44"/>
      <c r="C13" s="44"/>
      <c r="D13" s="44"/>
      <c r="E13" s="44"/>
      <c r="F13" s="44"/>
      <c r="G13" s="44"/>
      <c r="H13" s="44"/>
      <c r="I13" s="44"/>
      <c r="J13" s="44"/>
      <c r="K13" s="44"/>
      <c r="L13" s="45" t="str">
        <f t="shared" si="0"/>
        <v/>
      </c>
      <c r="M13" s="20" t="str">
        <f t="shared" si="1"/>
        <v/>
      </c>
      <c r="N13" s="8"/>
      <c r="O13" s="20"/>
      <c r="P13" s="20"/>
    </row>
    <row r="14" spans="1:16" ht="39.950000000000003" customHeight="1" x14ac:dyDescent="0.25">
      <c r="A14" s="44"/>
      <c r="B14" s="44"/>
      <c r="C14" s="44"/>
      <c r="D14" s="44"/>
      <c r="E14" s="44"/>
      <c r="F14" s="44"/>
      <c r="G14" s="44"/>
      <c r="H14" s="44"/>
      <c r="I14" s="44"/>
      <c r="J14" s="44"/>
      <c r="K14" s="44"/>
      <c r="L14" s="46" t="str">
        <f t="shared" si="0"/>
        <v/>
      </c>
      <c r="M14" s="25" t="str">
        <f t="shared" si="1"/>
        <v/>
      </c>
      <c r="N14" s="10"/>
      <c r="O14" s="25"/>
      <c r="P14" s="25"/>
    </row>
    <row r="15" spans="1:16" ht="39.950000000000003" customHeight="1" x14ac:dyDescent="0.25">
      <c r="A15" s="44"/>
      <c r="B15" s="44"/>
      <c r="C15" s="44"/>
      <c r="D15" s="44"/>
      <c r="E15" s="44"/>
      <c r="F15" s="44"/>
      <c r="G15" s="44"/>
      <c r="H15" s="44"/>
      <c r="I15" s="44"/>
      <c r="J15" s="44"/>
      <c r="K15" s="44"/>
      <c r="L15" s="45" t="str">
        <f t="shared" si="0"/>
        <v/>
      </c>
      <c r="M15" s="20" t="str">
        <f t="shared" si="1"/>
        <v/>
      </c>
      <c r="N15" s="8"/>
      <c r="O15" s="20"/>
      <c r="P15" s="20"/>
    </row>
    <row r="16" spans="1:16" ht="39.950000000000003" customHeight="1" x14ac:dyDescent="0.25">
      <c r="A16" s="44"/>
      <c r="B16" s="44"/>
      <c r="C16" s="44"/>
      <c r="D16" s="44"/>
      <c r="E16" s="44"/>
      <c r="F16" s="44"/>
      <c r="G16" s="44"/>
      <c r="H16" s="44"/>
      <c r="I16" s="44"/>
      <c r="J16" s="44"/>
      <c r="K16" s="44"/>
      <c r="L16" s="46" t="str">
        <f t="shared" si="0"/>
        <v/>
      </c>
      <c r="M16" s="25" t="str">
        <f t="shared" si="1"/>
        <v/>
      </c>
      <c r="N16" s="10"/>
      <c r="O16" s="25"/>
      <c r="P16" s="25"/>
    </row>
    <row r="17" spans="1:16" ht="39.950000000000003" customHeight="1" x14ac:dyDescent="0.25">
      <c r="A17" s="44"/>
      <c r="B17" s="44"/>
      <c r="C17" s="44"/>
      <c r="D17" s="44"/>
      <c r="E17" s="44"/>
      <c r="F17" s="44"/>
      <c r="G17" s="44"/>
      <c r="H17" s="44"/>
      <c r="I17" s="44"/>
      <c r="J17" s="44"/>
      <c r="K17" s="44"/>
      <c r="L17" s="45" t="str">
        <f t="shared" si="0"/>
        <v/>
      </c>
      <c r="M17" s="20" t="str">
        <f t="shared" si="1"/>
        <v/>
      </c>
      <c r="N17" s="8"/>
      <c r="O17" s="20"/>
      <c r="P17" s="20"/>
    </row>
    <row r="18" spans="1:16" x14ac:dyDescent="0.25">
      <c r="A18" s="44"/>
      <c r="B18" s="44"/>
      <c r="C18" s="44"/>
      <c r="D18" s="44"/>
      <c r="E18" s="44"/>
      <c r="F18" s="44"/>
      <c r="G18" s="44"/>
      <c r="H18" s="44"/>
      <c r="I18" s="44"/>
      <c r="J18" s="44"/>
      <c r="K18" s="44"/>
      <c r="L18" s="46" t="str">
        <f t="shared" si="0"/>
        <v/>
      </c>
      <c r="M18" s="25" t="str">
        <f t="shared" si="1"/>
        <v/>
      </c>
      <c r="N18" s="10"/>
      <c r="O18" s="25"/>
      <c r="P18" s="25"/>
    </row>
    <row r="19" spans="1:16" x14ac:dyDescent="0.25">
      <c r="A19" s="44"/>
      <c r="B19" s="44"/>
      <c r="C19" s="44"/>
      <c r="D19" s="44"/>
      <c r="E19" s="44"/>
      <c r="F19" s="44"/>
      <c r="G19" s="44"/>
      <c r="H19" s="44"/>
      <c r="I19" s="44"/>
      <c r="J19" s="44"/>
      <c r="K19" s="44"/>
      <c r="L19" s="45" t="str">
        <f t="shared" si="0"/>
        <v/>
      </c>
      <c r="M19" s="20" t="str">
        <f t="shared" si="1"/>
        <v/>
      </c>
      <c r="N19" s="8"/>
      <c r="O19" s="20"/>
      <c r="P19" s="20"/>
    </row>
    <row r="20" spans="1:16" x14ac:dyDescent="0.25">
      <c r="A20" s="44"/>
      <c r="B20" s="44"/>
      <c r="C20" s="44"/>
      <c r="D20" s="44"/>
      <c r="E20" s="44"/>
      <c r="F20" s="44"/>
      <c r="G20" s="44"/>
      <c r="H20" s="44"/>
      <c r="I20" s="44"/>
      <c r="J20" s="44"/>
      <c r="K20" s="44"/>
      <c r="L20" s="46" t="str">
        <f t="shared" si="0"/>
        <v/>
      </c>
      <c r="M20" s="25" t="str">
        <f t="shared" si="1"/>
        <v/>
      </c>
      <c r="N20" s="10"/>
      <c r="O20" s="25"/>
      <c r="P20" s="25"/>
    </row>
    <row r="21" spans="1:16" x14ac:dyDescent="0.25">
      <c r="A21" s="44"/>
      <c r="B21" s="44"/>
      <c r="C21" s="44"/>
      <c r="D21" s="44"/>
      <c r="E21" s="44"/>
      <c r="F21" s="44"/>
      <c r="G21" s="44"/>
      <c r="H21" s="44"/>
      <c r="I21" s="44"/>
      <c r="J21" s="44"/>
      <c r="K21" s="44"/>
      <c r="L21" s="45" t="str">
        <f t="shared" si="0"/>
        <v/>
      </c>
      <c r="M21" s="20" t="str">
        <f t="shared" si="1"/>
        <v/>
      </c>
      <c r="N21" s="8"/>
      <c r="O21" s="20"/>
      <c r="P21" s="20"/>
    </row>
    <row r="22" spans="1:16" x14ac:dyDescent="0.25">
      <c r="A22" s="44"/>
      <c r="B22" s="44"/>
      <c r="C22" s="44"/>
      <c r="D22" s="44"/>
      <c r="E22" s="44"/>
      <c r="F22" s="44"/>
      <c r="G22" s="44"/>
      <c r="H22" s="44"/>
      <c r="I22" s="44"/>
      <c r="J22" s="44"/>
      <c r="K22" s="44"/>
      <c r="L22" s="46" t="str">
        <f t="shared" si="0"/>
        <v/>
      </c>
      <c r="M22" s="25" t="str">
        <f t="shared" si="1"/>
        <v/>
      </c>
      <c r="N22" s="10"/>
      <c r="O22" s="25"/>
      <c r="P22" s="25"/>
    </row>
    <row r="23" spans="1:16" x14ac:dyDescent="0.25">
      <c r="A23" s="44"/>
      <c r="B23" s="44"/>
      <c r="C23" s="44"/>
      <c r="D23" s="44"/>
      <c r="E23" s="44"/>
      <c r="F23" s="44"/>
      <c r="G23" s="44"/>
      <c r="H23" s="44"/>
      <c r="I23" s="44"/>
      <c r="J23" s="44"/>
      <c r="K23" s="44"/>
      <c r="L23" s="45" t="str">
        <f t="shared" si="0"/>
        <v/>
      </c>
      <c r="M23" s="20" t="str">
        <f t="shared" si="1"/>
        <v/>
      </c>
      <c r="N23" s="8"/>
      <c r="O23" s="20"/>
      <c r="P23" s="20"/>
    </row>
    <row r="24" spans="1:16" x14ac:dyDescent="0.25">
      <c r="A24" s="44"/>
      <c r="B24" s="44"/>
      <c r="C24" s="44"/>
      <c r="D24" s="44"/>
      <c r="E24" s="44"/>
      <c r="F24" s="44"/>
      <c r="G24" s="44"/>
      <c r="H24" s="44"/>
      <c r="I24" s="44"/>
      <c r="J24" s="44"/>
      <c r="K24" s="44"/>
      <c r="L24" s="46" t="str">
        <f t="shared" si="0"/>
        <v/>
      </c>
      <c r="M24" s="25" t="str">
        <f t="shared" si="1"/>
        <v/>
      </c>
      <c r="N24" s="10"/>
      <c r="O24" s="25"/>
      <c r="P24" s="25"/>
    </row>
    <row r="25" spans="1:16" x14ac:dyDescent="0.25">
      <c r="A25" s="44"/>
      <c r="B25" s="44"/>
      <c r="C25" s="44"/>
      <c r="D25" s="44"/>
      <c r="E25" s="44"/>
      <c r="F25" s="44"/>
      <c r="G25" s="44"/>
      <c r="H25" s="44"/>
      <c r="I25" s="44"/>
      <c r="J25" s="44"/>
      <c r="K25" s="44"/>
      <c r="L25" s="45" t="str">
        <f t="shared" si="0"/>
        <v/>
      </c>
      <c r="M25" s="20" t="str">
        <f t="shared" si="1"/>
        <v/>
      </c>
      <c r="N25" s="8"/>
      <c r="O25" s="20"/>
      <c r="P25" s="20"/>
    </row>
    <row r="26" spans="1:16" x14ac:dyDescent="0.25">
      <c r="A26" s="44"/>
      <c r="B26" s="44"/>
      <c r="C26" s="44"/>
      <c r="D26" s="44"/>
      <c r="E26" s="44"/>
      <c r="F26" s="44"/>
      <c r="G26" s="44"/>
      <c r="H26" s="44"/>
      <c r="I26" s="44"/>
      <c r="J26" s="44"/>
      <c r="K26" s="44"/>
      <c r="L26" s="46" t="str">
        <f t="shared" si="0"/>
        <v/>
      </c>
      <c r="M26" s="25" t="str">
        <f t="shared" si="1"/>
        <v/>
      </c>
      <c r="N26" s="10"/>
      <c r="O26" s="25"/>
      <c r="P26" s="25"/>
    </row>
    <row r="27" spans="1:16" x14ac:dyDescent="0.25">
      <c r="A27" s="44"/>
      <c r="B27" s="44"/>
      <c r="C27" s="44"/>
      <c r="D27" s="44"/>
      <c r="E27" s="44"/>
      <c r="F27" s="44"/>
      <c r="G27" s="44"/>
      <c r="H27" s="44"/>
      <c r="I27" s="44"/>
      <c r="J27" s="44"/>
      <c r="K27" s="44"/>
      <c r="L27" s="45" t="str">
        <f t="shared" si="0"/>
        <v/>
      </c>
      <c r="M27" s="20" t="str">
        <f t="shared" si="1"/>
        <v/>
      </c>
      <c r="N27" s="8"/>
      <c r="O27" s="20"/>
      <c r="P27" s="20"/>
    </row>
    <row r="28" spans="1:16" x14ac:dyDescent="0.25">
      <c r="A28" s="44"/>
      <c r="B28" s="44"/>
      <c r="C28" s="44"/>
      <c r="D28" s="44"/>
      <c r="E28" s="44"/>
      <c r="F28" s="44"/>
      <c r="G28" s="44"/>
      <c r="H28" s="44"/>
      <c r="I28" s="44"/>
      <c r="J28" s="44"/>
      <c r="K28" s="44"/>
      <c r="L28" s="46" t="str">
        <f t="shared" si="0"/>
        <v/>
      </c>
      <c r="M28" s="25" t="str">
        <f t="shared" si="1"/>
        <v/>
      </c>
      <c r="N28" s="10"/>
      <c r="O28" s="25"/>
      <c r="P28" s="25"/>
    </row>
    <row r="29" spans="1:16" x14ac:dyDescent="0.25">
      <c r="A29" s="44"/>
      <c r="B29" s="44"/>
      <c r="C29" s="44"/>
      <c r="D29" s="44"/>
      <c r="E29" s="44"/>
      <c r="F29" s="44"/>
      <c r="G29" s="44"/>
      <c r="H29" s="44"/>
      <c r="I29" s="44"/>
      <c r="J29" s="44"/>
      <c r="K29" s="44"/>
      <c r="L29" s="45" t="str">
        <f t="shared" si="0"/>
        <v/>
      </c>
      <c r="M29" s="20" t="str">
        <f t="shared" si="1"/>
        <v/>
      </c>
      <c r="N29" s="8"/>
      <c r="O29" s="20"/>
      <c r="P29" s="20"/>
    </row>
    <row r="30" spans="1:16" x14ac:dyDescent="0.25">
      <c r="A30" s="44"/>
      <c r="B30" s="44"/>
      <c r="C30" s="44"/>
      <c r="D30" s="44"/>
      <c r="E30" s="44"/>
      <c r="F30" s="44"/>
      <c r="G30" s="44"/>
      <c r="H30" s="44"/>
      <c r="I30" s="44"/>
      <c r="J30" s="44"/>
      <c r="K30" s="44"/>
      <c r="L30" s="46" t="str">
        <f t="shared" si="0"/>
        <v/>
      </c>
      <c r="M30" s="25" t="str">
        <f t="shared" si="1"/>
        <v/>
      </c>
      <c r="N30" s="10"/>
      <c r="O30" s="25"/>
      <c r="P30" s="25"/>
    </row>
    <row r="31" spans="1:16" x14ac:dyDescent="0.25">
      <c r="A31" s="44"/>
      <c r="B31" s="44"/>
      <c r="C31" s="44"/>
      <c r="D31" s="44"/>
      <c r="E31" s="44"/>
      <c r="F31" s="44"/>
      <c r="G31" s="44"/>
      <c r="H31" s="44"/>
      <c r="I31" s="44"/>
      <c r="J31" s="44"/>
      <c r="K31" s="44"/>
      <c r="L31" s="45" t="str">
        <f t="shared" si="0"/>
        <v/>
      </c>
      <c r="M31" s="20" t="str">
        <f t="shared" si="1"/>
        <v/>
      </c>
      <c r="N31" s="8"/>
      <c r="O31" s="20"/>
      <c r="P31" s="20"/>
    </row>
    <row r="32" spans="1:16" x14ac:dyDescent="0.25">
      <c r="A32" s="44"/>
      <c r="B32" s="44"/>
      <c r="C32" s="44"/>
      <c r="D32" s="44"/>
      <c r="E32" s="44"/>
      <c r="F32" s="44"/>
      <c r="G32" s="44"/>
      <c r="H32" s="44"/>
      <c r="I32" s="44"/>
      <c r="J32" s="44"/>
      <c r="K32" s="44"/>
      <c r="L32" s="46" t="str">
        <f t="shared" si="0"/>
        <v/>
      </c>
      <c r="M32" s="25" t="str">
        <f t="shared" si="1"/>
        <v/>
      </c>
      <c r="N32" s="10"/>
      <c r="O32" s="25"/>
      <c r="P32" s="25"/>
    </row>
    <row r="33" spans="1:16" x14ac:dyDescent="0.25">
      <c r="A33" s="44"/>
      <c r="B33" s="44"/>
      <c r="C33" s="44"/>
      <c r="D33" s="44"/>
      <c r="E33" s="44"/>
      <c r="F33" s="44"/>
      <c r="G33" s="44"/>
      <c r="H33" s="44"/>
      <c r="I33" s="44"/>
      <c r="J33" s="44"/>
      <c r="K33" s="44"/>
      <c r="L33" s="45" t="str">
        <f t="shared" si="0"/>
        <v/>
      </c>
      <c r="M33" s="20" t="str">
        <f t="shared" si="1"/>
        <v/>
      </c>
      <c r="N33" s="8"/>
      <c r="O33" s="20"/>
      <c r="P33" s="20"/>
    </row>
    <row r="34" spans="1:16" x14ac:dyDescent="0.25">
      <c r="A34" s="44"/>
      <c r="B34" s="44"/>
      <c r="C34" s="44"/>
      <c r="D34" s="44"/>
      <c r="E34" s="44"/>
      <c r="F34" s="44"/>
      <c r="G34" s="44"/>
      <c r="H34" s="44"/>
      <c r="I34" s="44"/>
      <c r="J34" s="44"/>
      <c r="K34" s="44"/>
      <c r="L34" s="46" t="str">
        <f t="shared" si="0"/>
        <v/>
      </c>
      <c r="M34" s="25" t="str">
        <f t="shared" si="1"/>
        <v/>
      </c>
      <c r="N34" s="10"/>
      <c r="O34" s="25"/>
      <c r="P34" s="25"/>
    </row>
    <row r="35" spans="1:16" x14ac:dyDescent="0.25">
      <c r="A35" s="44"/>
      <c r="B35" s="44"/>
      <c r="C35" s="44"/>
      <c r="D35" s="44"/>
      <c r="E35" s="44"/>
      <c r="F35" s="44"/>
      <c r="G35" s="44"/>
      <c r="H35" s="44"/>
      <c r="I35" s="44"/>
      <c r="J35" s="44"/>
      <c r="K35" s="44"/>
      <c r="L35" s="45" t="str">
        <f t="shared" si="0"/>
        <v/>
      </c>
      <c r="M35" s="20" t="str">
        <f t="shared" si="1"/>
        <v/>
      </c>
      <c r="N35" s="8"/>
      <c r="O35" s="20"/>
      <c r="P35" s="20"/>
    </row>
    <row r="36" spans="1:16" x14ac:dyDescent="0.25">
      <c r="A36" s="44"/>
      <c r="B36" s="44"/>
      <c r="C36" s="44"/>
      <c r="D36" s="44"/>
      <c r="E36" s="44"/>
      <c r="F36" s="44"/>
      <c r="G36" s="44"/>
      <c r="H36" s="44"/>
      <c r="I36" s="44"/>
      <c r="J36" s="44"/>
      <c r="K36" s="44"/>
      <c r="L36" s="46" t="str">
        <f t="shared" si="0"/>
        <v/>
      </c>
      <c r="M36" s="25" t="str">
        <f t="shared" si="1"/>
        <v/>
      </c>
      <c r="N36" s="10"/>
      <c r="O36" s="25"/>
      <c r="P36" s="25"/>
    </row>
    <row r="37" spans="1:16" x14ac:dyDescent="0.25">
      <c r="A37" s="44"/>
      <c r="B37" s="44"/>
      <c r="C37" s="44"/>
      <c r="D37" s="44"/>
      <c r="E37" s="44"/>
      <c r="F37" s="44"/>
      <c r="G37" s="44"/>
      <c r="H37" s="44"/>
      <c r="I37" s="44"/>
      <c r="J37" s="44"/>
      <c r="K37" s="44"/>
      <c r="L37" s="45" t="str">
        <f t="shared" si="0"/>
        <v/>
      </c>
      <c r="M37" s="20" t="str">
        <f t="shared" si="1"/>
        <v/>
      </c>
      <c r="N37" s="8"/>
      <c r="O37" s="20"/>
      <c r="P37" s="20"/>
    </row>
    <row r="38" spans="1:16" x14ac:dyDescent="0.25">
      <c r="A38" s="44"/>
      <c r="B38" s="44"/>
      <c r="C38" s="44"/>
      <c r="D38" s="44"/>
      <c r="E38" s="44"/>
      <c r="F38" s="44"/>
      <c r="G38" s="44"/>
      <c r="H38" s="44"/>
      <c r="I38" s="44"/>
      <c r="J38" s="44"/>
      <c r="K38" s="44"/>
      <c r="L38" s="46" t="str">
        <f t="shared" si="0"/>
        <v/>
      </c>
      <c r="M38" s="25" t="str">
        <f t="shared" si="1"/>
        <v/>
      </c>
      <c r="N38" s="10"/>
      <c r="O38" s="25"/>
      <c r="P38" s="25"/>
    </row>
    <row r="39" spans="1:16" x14ac:dyDescent="0.25">
      <c r="A39" s="44"/>
      <c r="B39" s="44"/>
      <c r="C39" s="44"/>
      <c r="D39" s="44"/>
      <c r="E39" s="44"/>
      <c r="F39" s="44"/>
      <c r="G39" s="44"/>
      <c r="H39" s="44"/>
      <c r="I39" s="44"/>
      <c r="J39" s="44"/>
      <c r="K39" s="44"/>
      <c r="L39" s="45" t="str">
        <f t="shared" si="0"/>
        <v/>
      </c>
      <c r="M39" s="20" t="str">
        <f t="shared" si="1"/>
        <v/>
      </c>
      <c r="N39" s="8"/>
      <c r="O39" s="20"/>
      <c r="P39" s="20"/>
    </row>
    <row r="40" spans="1:16" x14ac:dyDescent="0.25">
      <c r="A40" s="44"/>
      <c r="B40" s="44"/>
      <c r="C40" s="44"/>
      <c r="D40" s="44"/>
      <c r="E40" s="44"/>
      <c r="F40" s="44"/>
      <c r="G40" s="44"/>
      <c r="H40" s="44"/>
      <c r="I40" s="44"/>
      <c r="J40" s="44"/>
      <c r="K40" s="44"/>
      <c r="L40" s="46" t="str">
        <f t="shared" si="0"/>
        <v/>
      </c>
      <c r="M40" s="25" t="str">
        <f t="shared" si="1"/>
        <v/>
      </c>
      <c r="N40" s="10"/>
      <c r="O40" s="25"/>
      <c r="P40" s="25"/>
    </row>
    <row r="41" spans="1:16" x14ac:dyDescent="0.25">
      <c r="A41" s="44"/>
      <c r="B41" s="44"/>
      <c r="C41" s="44"/>
      <c r="D41" s="44"/>
      <c r="E41" s="44"/>
      <c r="F41" s="44"/>
      <c r="G41" s="44"/>
      <c r="H41" s="44"/>
      <c r="I41" s="44"/>
      <c r="J41" s="44"/>
      <c r="K41" s="44"/>
      <c r="L41" s="45" t="str">
        <f t="shared" si="0"/>
        <v/>
      </c>
      <c r="M41" s="20" t="str">
        <f t="shared" si="1"/>
        <v/>
      </c>
      <c r="N41" s="8"/>
      <c r="O41" s="20"/>
      <c r="P41" s="20"/>
    </row>
    <row r="42" spans="1:16" x14ac:dyDescent="0.25">
      <c r="A42" s="44"/>
      <c r="B42" s="44"/>
      <c r="C42" s="44"/>
      <c r="D42" s="44"/>
      <c r="E42" s="44"/>
      <c r="F42" s="44"/>
      <c r="G42" s="44"/>
      <c r="H42" s="44"/>
      <c r="I42" s="44"/>
      <c r="J42" s="44"/>
      <c r="K42" s="44"/>
      <c r="L42" s="46" t="str">
        <f t="shared" si="0"/>
        <v/>
      </c>
      <c r="M42" s="25" t="str">
        <f t="shared" si="1"/>
        <v/>
      </c>
      <c r="N42" s="10"/>
      <c r="O42" s="25"/>
      <c r="P42" s="25"/>
    </row>
    <row r="43" spans="1:16" x14ac:dyDescent="0.25">
      <c r="A43" s="44"/>
      <c r="B43" s="44"/>
      <c r="C43" s="44"/>
      <c r="D43" s="44"/>
      <c r="E43" s="44"/>
      <c r="F43" s="44"/>
      <c r="G43" s="44"/>
      <c r="H43" s="44"/>
      <c r="I43" s="44"/>
      <c r="J43" s="44"/>
      <c r="K43" s="44"/>
      <c r="L43" s="45" t="str">
        <f t="shared" si="0"/>
        <v/>
      </c>
      <c r="M43" s="20" t="str">
        <f t="shared" si="1"/>
        <v/>
      </c>
      <c r="N43" s="8"/>
      <c r="O43" s="20"/>
      <c r="P43" s="20"/>
    </row>
    <row r="44" spans="1:16" x14ac:dyDescent="0.25">
      <c r="A44" s="44"/>
      <c r="B44" s="44"/>
      <c r="C44" s="44"/>
      <c r="D44" s="44"/>
      <c r="E44" s="44"/>
      <c r="F44" s="44"/>
      <c r="G44" s="44"/>
      <c r="H44" s="44"/>
      <c r="I44" s="44"/>
      <c r="J44" s="44"/>
      <c r="K44" s="44"/>
      <c r="L44" s="46" t="str">
        <f t="shared" si="0"/>
        <v/>
      </c>
      <c r="M44" s="25" t="str">
        <f t="shared" si="1"/>
        <v/>
      </c>
      <c r="N44" s="10"/>
      <c r="O44" s="25"/>
      <c r="P44" s="25"/>
    </row>
    <row r="45" spans="1:16" x14ac:dyDescent="0.25">
      <c r="A45" s="44"/>
      <c r="B45" s="44"/>
      <c r="C45" s="44"/>
      <c r="D45" s="44"/>
      <c r="E45" s="44"/>
      <c r="F45" s="44"/>
      <c r="G45" s="44"/>
      <c r="H45" s="44"/>
      <c r="I45" s="44"/>
      <c r="J45" s="44"/>
      <c r="K45" s="44"/>
      <c r="L45" s="45" t="str">
        <f t="shared" si="0"/>
        <v/>
      </c>
      <c r="M45" s="20" t="str">
        <f t="shared" si="1"/>
        <v/>
      </c>
      <c r="N45" s="8"/>
      <c r="O45" s="20"/>
      <c r="P45" s="20"/>
    </row>
    <row r="46" spans="1:16" x14ac:dyDescent="0.25">
      <c r="A46" s="44"/>
      <c r="B46" s="44"/>
      <c r="C46" s="44"/>
      <c r="D46" s="44"/>
      <c r="E46" s="44"/>
      <c r="F46" s="44"/>
      <c r="G46" s="44"/>
      <c r="H46" s="44"/>
      <c r="I46" s="44"/>
      <c r="J46" s="44"/>
      <c r="K46" s="44"/>
      <c r="L46" s="46" t="str">
        <f t="shared" si="0"/>
        <v/>
      </c>
      <c r="M46" s="25" t="str">
        <f t="shared" si="1"/>
        <v/>
      </c>
      <c r="N46" s="10"/>
      <c r="O46" s="25"/>
      <c r="P46" s="25"/>
    </row>
    <row r="47" spans="1:16" x14ac:dyDescent="0.25">
      <c r="A47" s="44"/>
      <c r="B47" s="44"/>
      <c r="C47" s="44"/>
      <c r="D47" s="44"/>
      <c r="E47" s="44"/>
      <c r="F47" s="44"/>
      <c r="G47" s="44"/>
      <c r="H47" s="44"/>
      <c r="I47" s="44"/>
      <c r="J47" s="44"/>
      <c r="K47" s="44"/>
      <c r="L47" s="45" t="str">
        <f t="shared" si="0"/>
        <v/>
      </c>
      <c r="M47" s="20" t="str">
        <f t="shared" si="1"/>
        <v/>
      </c>
      <c r="N47" s="8"/>
      <c r="O47" s="20"/>
      <c r="P47" s="20"/>
    </row>
    <row r="48" spans="1:16" x14ac:dyDescent="0.25">
      <c r="A48" s="44"/>
      <c r="B48" s="44"/>
      <c r="C48" s="44"/>
      <c r="D48" s="44"/>
      <c r="E48" s="44"/>
      <c r="F48" s="44"/>
      <c r="G48" s="44"/>
      <c r="H48" s="44"/>
      <c r="I48" s="44"/>
      <c r="J48" s="44"/>
      <c r="K48" s="44"/>
      <c r="L48" s="46" t="str">
        <f t="shared" si="0"/>
        <v/>
      </c>
      <c r="M48" s="25" t="str">
        <f t="shared" si="1"/>
        <v/>
      </c>
      <c r="N48" s="10"/>
      <c r="O48" s="25"/>
      <c r="P48" s="25"/>
    </row>
    <row r="49" spans="1:16" x14ac:dyDescent="0.25">
      <c r="A49" s="44"/>
      <c r="B49" s="44"/>
      <c r="C49" s="44"/>
      <c r="D49" s="44"/>
      <c r="E49" s="44"/>
      <c r="F49" s="44"/>
      <c r="G49" s="44"/>
      <c r="H49" s="44"/>
      <c r="I49" s="44"/>
      <c r="J49" s="44"/>
      <c r="K49" s="44"/>
      <c r="L49" s="45" t="str">
        <f t="shared" si="0"/>
        <v/>
      </c>
      <c r="M49" s="20" t="str">
        <f t="shared" si="1"/>
        <v/>
      </c>
      <c r="N49" s="8"/>
      <c r="O49" s="20"/>
      <c r="P49" s="20"/>
    </row>
    <row r="51" spans="1:16" ht="15.75" x14ac:dyDescent="0.25">
      <c r="A51" s="77" t="s">
        <v>484</v>
      </c>
      <c r="B51" s="75"/>
      <c r="C51" s="75"/>
      <c r="D51" s="76"/>
      <c r="E51" s="47">
        <f t="shared" ref="E51:L51" si="2">IFERROR(AVERAGE(E5:E49),"")</f>
        <v>3.5</v>
      </c>
      <c r="F51" s="47">
        <f t="shared" si="2"/>
        <v>4</v>
      </c>
      <c r="G51" s="47">
        <f t="shared" si="2"/>
        <v>4</v>
      </c>
      <c r="H51" s="47">
        <f t="shared" si="2"/>
        <v>3.5</v>
      </c>
      <c r="I51" s="47">
        <f t="shared" si="2"/>
        <v>2.5</v>
      </c>
      <c r="J51" s="47">
        <f t="shared" si="2"/>
        <v>5</v>
      </c>
      <c r="K51" s="47">
        <f t="shared" si="2"/>
        <v>4</v>
      </c>
      <c r="L51" s="48">
        <f t="shared" si="2"/>
        <v>0.72500000000000009</v>
      </c>
      <c r="M51" s="27"/>
      <c r="N51" s="49" t="s">
        <v>485</v>
      </c>
    </row>
    <row r="53" spans="1:16" ht="21.95" customHeight="1" x14ac:dyDescent="0.25">
      <c r="A53" s="85" t="s">
        <v>486</v>
      </c>
      <c r="B53" s="75"/>
      <c r="C53" s="75"/>
      <c r="D53" s="75"/>
      <c r="E53" s="75"/>
      <c r="F53" s="75"/>
      <c r="G53" s="75"/>
      <c r="H53" s="75"/>
      <c r="I53" s="75"/>
      <c r="J53" s="75"/>
      <c r="K53" s="75"/>
      <c r="L53" s="75"/>
      <c r="M53" s="75"/>
      <c r="N53" s="75"/>
      <c r="O53" s="75"/>
      <c r="P53" s="76"/>
    </row>
    <row r="54" spans="1:16" ht="32.1" customHeight="1" x14ac:dyDescent="0.25">
      <c r="A54" s="84" t="s">
        <v>487</v>
      </c>
      <c r="B54" s="75"/>
      <c r="C54" s="75"/>
      <c r="D54" s="75"/>
      <c r="E54" s="75"/>
      <c r="F54" s="75"/>
      <c r="G54" s="75"/>
      <c r="H54" s="75"/>
      <c r="I54" s="75"/>
      <c r="J54" s="75"/>
      <c r="K54" s="75"/>
      <c r="L54" s="75"/>
      <c r="M54" s="75"/>
      <c r="N54" s="75"/>
      <c r="O54" s="75"/>
      <c r="P54" s="76"/>
    </row>
    <row r="55" spans="1:16" ht="26.1" customHeight="1" x14ac:dyDescent="0.25">
      <c r="A55" s="80" t="s">
        <v>488</v>
      </c>
      <c r="B55" s="76"/>
      <c r="C55" s="15" t="s">
        <v>489</v>
      </c>
      <c r="D55" s="43" t="s">
        <v>490</v>
      </c>
      <c r="E55" s="43" t="s">
        <v>491</v>
      </c>
      <c r="F55" s="43" t="s">
        <v>492</v>
      </c>
      <c r="G55" s="43" t="s">
        <v>382</v>
      </c>
      <c r="H55" s="15" t="s">
        <v>182</v>
      </c>
      <c r="I55" s="81" t="s">
        <v>493</v>
      </c>
      <c r="J55" s="75"/>
      <c r="K55" s="75"/>
      <c r="L55" s="75"/>
      <c r="M55" s="75"/>
      <c r="N55" s="76"/>
    </row>
    <row r="56" spans="1:16" ht="48" customHeight="1" x14ac:dyDescent="0.25">
      <c r="A56" s="83"/>
      <c r="B56" s="73"/>
      <c r="C56" s="25" t="str">
        <f>IF(A56="","",COUNTIF(B5:B49,A56))</f>
        <v/>
      </c>
      <c r="D56" s="24" t="str">
        <f>IF(A56="","",IFERROR(AVERAGEIF(B5:B49,A56,L5:L49),""))</f>
        <v/>
      </c>
      <c r="E56" s="9"/>
      <c r="F56" s="9"/>
      <c r="G56" s="51" t="str">
        <f>IF(OR(A56="",D56="",E56="",F56=""),"",0.5*D56+0.3*(E56/5)+0.2*(F56/5))</f>
        <v/>
      </c>
      <c r="H56" s="25" t="str">
        <f>IF(G56="","",IF(G56&gt;=0.85,"Meets/Exceeds",IF(G56&gt;=0.7,"Developing","Needs Improvement")))</f>
        <v/>
      </c>
      <c r="I56" s="86"/>
      <c r="J56" s="72"/>
      <c r="K56" s="72"/>
      <c r="L56" s="72"/>
      <c r="M56" s="72"/>
      <c r="N56" s="73"/>
    </row>
    <row r="57" spans="1:16" ht="27.95" customHeight="1" x14ac:dyDescent="0.25">
      <c r="A57" s="79"/>
      <c r="B57" s="73"/>
      <c r="C57" s="25" t="str">
        <f>IF(A57="","",COUNTIF(B5:B49,A57))</f>
        <v/>
      </c>
      <c r="D57" s="24" t="str">
        <f>IF(A57="","",IFERROR(AVERAGEIF(B5:B49,A57,L5:L49),""))</f>
        <v/>
      </c>
      <c r="E57" s="9"/>
      <c r="F57" s="9"/>
      <c r="G57" s="51" t="str">
        <f>IF(OR(A57="",D57="",E57="",F57=""),"",0.5*D57+0.3*(E57/5)+0.2*(F57/5))</f>
        <v/>
      </c>
      <c r="H57" s="25" t="str">
        <f>IF(G57="","",IF(G57&gt;=0.85,"Meets/Exceeds",IF(G57&gt;=0.7,"Developing","Needs Improv.")))</f>
        <v/>
      </c>
      <c r="I57" s="78"/>
      <c r="J57" s="72"/>
      <c r="K57" s="72"/>
      <c r="L57" s="72"/>
      <c r="M57" s="72"/>
      <c r="N57" s="73"/>
    </row>
    <row r="58" spans="1:16" ht="27.95" customHeight="1" x14ac:dyDescent="0.25">
      <c r="A58" s="79"/>
      <c r="B58" s="73"/>
      <c r="C58" s="20" t="str">
        <f>IF(A58="","",COUNTIF(B5:B49,A58))</f>
        <v/>
      </c>
      <c r="D58" s="19" t="str">
        <f>IF(A58="","",IFERROR(AVERAGEIF(B5:B49,A58,L5:L49),""))</f>
        <v/>
      </c>
      <c r="E58" s="9"/>
      <c r="F58" s="9"/>
      <c r="G58" s="52" t="str">
        <f>IF(OR(A58="",D58="",E58="",F58=""),"",0.5*D58+0.3*(E58/5)+0.2*(F58/5))</f>
        <v/>
      </c>
      <c r="H58" s="20" t="str">
        <f>IF(G58="","",IF(G58&gt;=0.85,"Meets/Exceeds",IF(G58&gt;=0.7,"Developing","Needs Improv.")))</f>
        <v/>
      </c>
      <c r="I58" s="78"/>
      <c r="J58" s="72"/>
      <c r="K58" s="72"/>
      <c r="L58" s="72"/>
      <c r="M58" s="72"/>
      <c r="N58" s="73"/>
    </row>
    <row r="59" spans="1:16" ht="27.95" customHeight="1" x14ac:dyDescent="0.25">
      <c r="A59" s="79"/>
      <c r="B59" s="73"/>
      <c r="C59" s="25" t="str">
        <f>IF(A59="","",COUNTIF(B5:B49,A59))</f>
        <v/>
      </c>
      <c r="D59" s="24" t="str">
        <f>IF(A59="","",IFERROR(AVERAGEIF(B5:B49,A59,L5:L49),""))</f>
        <v/>
      </c>
      <c r="E59" s="9"/>
      <c r="F59" s="9"/>
      <c r="G59" s="51" t="str">
        <f>IF(OR(A59="",D59="",E59="",F59=""),"",0.5*D59+0.3*(E59/5)+0.2*(F59/5))</f>
        <v/>
      </c>
      <c r="H59" s="25" t="str">
        <f>IF(G59="","",IF(G59&gt;=0.85,"Meets/Exceeds",IF(G59&gt;=0.7,"Developing","Needs Improv.")))</f>
        <v/>
      </c>
      <c r="I59" s="78"/>
      <c r="J59" s="72"/>
      <c r="K59" s="72"/>
      <c r="L59" s="72"/>
      <c r="M59" s="72"/>
      <c r="N59" s="73"/>
    </row>
    <row r="60" spans="1:16" ht="27.95" customHeight="1" x14ac:dyDescent="0.25">
      <c r="A60" s="71" t="s">
        <v>494</v>
      </c>
      <c r="B60" s="72"/>
      <c r="C60" s="72"/>
      <c r="D60" s="72"/>
      <c r="E60" s="72"/>
      <c r="F60" s="72"/>
      <c r="G60" s="72"/>
      <c r="H60" s="72"/>
      <c r="I60" s="72"/>
      <c r="J60" s="72"/>
      <c r="K60" s="72"/>
      <c r="L60" s="72"/>
      <c r="M60" s="72"/>
      <c r="N60" s="73"/>
    </row>
  </sheetData>
  <mergeCells count="17">
    <mergeCell ref="A1:P1"/>
    <mergeCell ref="A57:B57"/>
    <mergeCell ref="A56:B56"/>
    <mergeCell ref="A54:P54"/>
    <mergeCell ref="A53:P53"/>
    <mergeCell ref="I56:N56"/>
    <mergeCell ref="A2:P2"/>
    <mergeCell ref="A60:N60"/>
    <mergeCell ref="A3:P3"/>
    <mergeCell ref="A51:D51"/>
    <mergeCell ref="I57:N57"/>
    <mergeCell ref="I58:N58"/>
    <mergeCell ref="A58:B58"/>
    <mergeCell ref="A55:B55"/>
    <mergeCell ref="I55:N55"/>
    <mergeCell ref="A59:B59"/>
    <mergeCell ref="I59:N59"/>
  </mergeCells>
  <conditionalFormatting sqref="A3">
    <cfRule type="cellIs" dxfId="22" priority="13" operator="greaterThanOrEqual">
      <formula>$G$56&gt;=0.85</formula>
    </cfRule>
    <cfRule type="expression" dxfId="21" priority="14">
      <formula>$G$56&gt;=0.85</formula>
    </cfRule>
    <cfRule type="expression" dxfId="20" priority="15">
      <formula>AND($G$56&gt;=0.7,$G$56&lt;0.85)</formula>
    </cfRule>
    <cfRule type="expression" dxfId="19" priority="16">
      <formula>$G$56&lt;0.7</formula>
    </cfRule>
  </conditionalFormatting>
  <conditionalFormatting sqref="G56:G59">
    <cfRule type="cellIs" dxfId="18" priority="7" operator="greaterThanOrEqual">
      <formula>0.85</formula>
    </cfRule>
    <cfRule type="cellIs" dxfId="17" priority="8" operator="between">
      <formula>0.7</formula>
      <formula>0.8499</formula>
    </cfRule>
    <cfRule type="cellIs" dxfId="16" priority="9" operator="lessThan">
      <formula>0.7</formula>
    </cfRule>
  </conditionalFormatting>
  <conditionalFormatting sqref="H56:H59">
    <cfRule type="cellIs" dxfId="15" priority="10" operator="equal">
      <formula>"Meets/Exceeds"</formula>
    </cfRule>
    <cfRule type="cellIs" dxfId="14" priority="11" operator="equal">
      <formula>"Developing"</formula>
    </cfRule>
    <cfRule type="cellIs" dxfId="13" priority="12" operator="equal">
      <formula>"Needs Improv."</formula>
    </cfRule>
  </conditionalFormatting>
  <conditionalFormatting sqref="L5:L49">
    <cfRule type="cellIs" dxfId="12" priority="1" operator="greaterThanOrEqual">
      <formula>0.85</formula>
    </cfRule>
    <cfRule type="cellIs" dxfId="11" priority="2" operator="between">
      <formula>0.7</formula>
      <formula>0.8499</formula>
    </cfRule>
    <cfRule type="cellIs" dxfId="10" priority="3" operator="lessThan">
      <formula>0.7</formula>
    </cfRule>
  </conditionalFormatting>
  <conditionalFormatting sqref="M5:M49">
    <cfRule type="cellIs" dxfId="9" priority="4" operator="equal">
      <formula>"Meets/Exceeds"</formula>
    </cfRule>
    <cfRule type="cellIs" dxfId="8" priority="5" operator="equal">
      <formula>"Developing"</formula>
    </cfRule>
    <cfRule type="cellIs" dxfId="7" priority="6" operator="equal">
      <formula>"Needs Improv."</formula>
    </cfRule>
  </conditionalFormatting>
  <conditionalFormatting sqref="O5:O49">
    <cfRule type="cellIs" dxfId="6" priority="17" operator="equal">
      <formula>"Resolver"</formula>
    </cfRule>
    <cfRule type="cellIs" dxfId="5" priority="18" operator="equal">
      <formula>"Progress Builder"</formula>
    </cfRule>
    <cfRule type="cellIs" dxfId="4" priority="19" operator="equal">
      <formula>"Maintainer"</formula>
    </cfRule>
    <cfRule type="cellIs" dxfId="3" priority="20" operator="equal">
      <formula>"Regression Contributor"</formula>
    </cfRule>
  </conditionalFormatting>
  <conditionalFormatting sqref="P5:P49">
    <cfRule type="cellIs" dxfId="2" priority="21" operator="greaterThanOrEqual">
      <formula>4</formula>
    </cfRule>
    <cfRule type="cellIs" dxfId="1" priority="22" operator="between">
      <formula>2</formula>
      <formula>3</formula>
    </cfRule>
    <cfRule type="cellIs" dxfId="0" priority="23" operator="lessThanOrEqual">
      <formula>1</formula>
    </cfRule>
  </conditionalFormatting>
  <dataValidations count="4">
    <dataValidation type="whole" allowBlank="1" showErrorMessage="1" errorTitle="Invalid score" error="Enter 0 to 5." sqref="E5:K5 E7:K49 F6:K6" xr:uid="{00000000-0002-0000-0600-000000000000}">
      <formula1>0</formula1>
      <formula2>5</formula2>
    </dataValidation>
    <dataValidation type="whole" allowBlank="1" showErrorMessage="1" errorTitle="Invalid score" error="Enter 0 to 5 (anchors on Multi-Touch Guide)." sqref="E56:F59" xr:uid="{00000000-0002-0000-0600-000001000000}">
      <formula1>0</formula1>
      <formula2>5</formula2>
    </dataValidation>
    <dataValidation type="list" allowBlank="1" showErrorMessage="1" errorTitle="Invalid type" error="Pick Resolver, Progress Builder, Maintainer, Breaker, or N/A." sqref="O5:O49" xr:uid="{00000000-0002-0000-0600-000002000000}">
      <formula1>"Resolver,Progress Builder,Maintainer,Regression Contributor,N/A"</formula1>
    </dataValidation>
    <dataValidation type="whole" allowBlank="1" showErrorMessage="1" errorTitle="Invalid score" error="Enter 0 to 5, or leave blank / type N/A for a final touch with no further handoff." sqref="P5:P16 P18:P49" xr:uid="{00000000-0002-0000-0600-000003000000}">
      <formula1>0</formula1>
      <formula2>5</formula2>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7"/>
  <sheetViews>
    <sheetView workbookViewId="0"/>
  </sheetViews>
  <sheetFormatPr defaultRowHeight="15" x14ac:dyDescent="0.25"/>
  <cols>
    <col min="1" max="8" width="34" customWidth="1"/>
  </cols>
  <sheetData>
    <row r="1" spans="1:10" x14ac:dyDescent="0.25">
      <c r="A1" t="s">
        <v>84</v>
      </c>
      <c r="B1" t="s">
        <v>495</v>
      </c>
      <c r="C1" t="s">
        <v>496</v>
      </c>
      <c r="D1" t="s">
        <v>497</v>
      </c>
      <c r="E1" t="s">
        <v>498</v>
      </c>
      <c r="F1" t="s">
        <v>499</v>
      </c>
      <c r="G1" t="s">
        <v>500</v>
      </c>
      <c r="J1" t="s">
        <v>501</v>
      </c>
    </row>
    <row r="2" spans="1:10" x14ac:dyDescent="0.25">
      <c r="A2" t="s">
        <v>502</v>
      </c>
      <c r="B2" t="s">
        <v>503</v>
      </c>
      <c r="C2" t="s">
        <v>504</v>
      </c>
      <c r="D2" t="s">
        <v>505</v>
      </c>
      <c r="E2" t="s">
        <v>505</v>
      </c>
      <c r="F2" t="s">
        <v>505</v>
      </c>
      <c r="G2" t="s">
        <v>505</v>
      </c>
    </row>
    <row r="3" spans="1:10" x14ac:dyDescent="0.25">
      <c r="A3" t="s">
        <v>506</v>
      </c>
      <c r="B3" t="s">
        <v>507</v>
      </c>
      <c r="C3" t="s">
        <v>508</v>
      </c>
      <c r="D3" t="s">
        <v>509</v>
      </c>
      <c r="E3" t="s">
        <v>510</v>
      </c>
      <c r="F3" t="s">
        <v>511</v>
      </c>
      <c r="G3" t="s">
        <v>512</v>
      </c>
    </row>
    <row r="4" spans="1:10" x14ac:dyDescent="0.25">
      <c r="A4" t="s">
        <v>513</v>
      </c>
      <c r="B4" t="s">
        <v>514</v>
      </c>
      <c r="C4" t="s">
        <v>515</v>
      </c>
      <c r="D4" t="s">
        <v>516</v>
      </c>
      <c r="E4" t="s">
        <v>517</v>
      </c>
      <c r="F4" t="s">
        <v>518</v>
      </c>
      <c r="G4" t="s">
        <v>519</v>
      </c>
    </row>
    <row r="5" spans="1:10" x14ac:dyDescent="0.25">
      <c r="A5" t="s">
        <v>520</v>
      </c>
      <c r="B5" t="s">
        <v>521</v>
      </c>
      <c r="C5" t="s">
        <v>522</v>
      </c>
      <c r="D5" t="s">
        <v>69</v>
      </c>
      <c r="E5" t="s">
        <v>523</v>
      </c>
      <c r="F5" t="s">
        <v>524</v>
      </c>
      <c r="G5" t="s">
        <v>525</v>
      </c>
    </row>
    <row r="6" spans="1:10" x14ac:dyDescent="0.25">
      <c r="A6" t="s">
        <v>526</v>
      </c>
      <c r="C6" t="s">
        <v>527</v>
      </c>
      <c r="D6" t="s">
        <v>528</v>
      </c>
      <c r="E6" t="s">
        <v>529</v>
      </c>
      <c r="F6" t="s">
        <v>530</v>
      </c>
      <c r="G6" t="s">
        <v>531</v>
      </c>
    </row>
    <row r="7" spans="1:10" x14ac:dyDescent="0.25">
      <c r="A7" t="s">
        <v>532</v>
      </c>
      <c r="C7" t="s">
        <v>533</v>
      </c>
      <c r="E7" t="s">
        <v>534</v>
      </c>
      <c r="F7" t="s">
        <v>535</v>
      </c>
      <c r="G7" t="s">
        <v>536</v>
      </c>
    </row>
    <row r="8" spans="1:10" x14ac:dyDescent="0.25">
      <c r="A8" t="s">
        <v>537</v>
      </c>
      <c r="C8" t="s">
        <v>538</v>
      </c>
      <c r="E8" t="s">
        <v>539</v>
      </c>
      <c r="F8" t="s">
        <v>540</v>
      </c>
      <c r="G8" t="s">
        <v>541</v>
      </c>
    </row>
    <row r="9" spans="1:10" x14ac:dyDescent="0.25">
      <c r="A9" t="s">
        <v>542</v>
      </c>
      <c r="E9" t="s">
        <v>543</v>
      </c>
      <c r="F9" t="s">
        <v>544</v>
      </c>
      <c r="G9" t="s">
        <v>545</v>
      </c>
    </row>
    <row r="10" spans="1:10" x14ac:dyDescent="0.25">
      <c r="A10" t="s">
        <v>546</v>
      </c>
      <c r="E10" t="s">
        <v>547</v>
      </c>
      <c r="G10" t="s">
        <v>548</v>
      </c>
    </row>
    <row r="11" spans="1:10" x14ac:dyDescent="0.25">
      <c r="A11" t="s">
        <v>549</v>
      </c>
      <c r="E11" t="s">
        <v>550</v>
      </c>
    </row>
    <row r="12" spans="1:10" x14ac:dyDescent="0.25">
      <c r="A12" t="s">
        <v>551</v>
      </c>
      <c r="E12" t="s">
        <v>552</v>
      </c>
    </row>
    <row r="13" spans="1:10" x14ac:dyDescent="0.25">
      <c r="A13" t="s">
        <v>553</v>
      </c>
      <c r="E13" t="s">
        <v>554</v>
      </c>
    </row>
    <row r="14" spans="1:10" x14ac:dyDescent="0.25">
      <c r="A14" t="s">
        <v>555</v>
      </c>
      <c r="E14" t="s">
        <v>556</v>
      </c>
    </row>
    <row r="15" spans="1:10" x14ac:dyDescent="0.25">
      <c r="A15" t="s">
        <v>557</v>
      </c>
      <c r="E15" t="s">
        <v>558</v>
      </c>
    </row>
    <row r="16" spans="1:10" x14ac:dyDescent="0.25">
      <c r="A16" t="s">
        <v>559</v>
      </c>
    </row>
    <row r="17" spans="1:1" x14ac:dyDescent="0.25">
      <c r="A17"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Quick Start</vt:lpstr>
      <vt:lpstr>Scoring Form</vt:lpstr>
      <vt:lpstr>Scoring Guide</vt:lpstr>
      <vt:lpstr>Multi-Touch Guide</vt:lpstr>
      <vt:lpstr>Team Scoring</vt:lpstr>
      <vt:lpstr>TE00117249_Edgar Ian Mark Catul</vt:lpstr>
      <vt:lpstr>TE00117249_Girly Joy Pocot</vt:lpstr>
      <vt:lpstr>Case Tracker</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Argie Gucor</cp:lastModifiedBy>
  <dcterms:created xsi:type="dcterms:W3CDTF">2026-06-10T01:33:30Z</dcterms:created>
  <dcterms:modified xsi:type="dcterms:W3CDTF">2026-06-16T09:04:46Z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2026-06-16T02:18:33Z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ffc6db12-5428-4caf-b237-b8735eda8c6e</vt:lpwstr>
  </property>
  <property fmtid="{D5CDD505-2E9C-101B-9397-08002B2CF9AE}" pid="7" name="MSIP_Label_defa4170-0d19-0005-0004-bc88714345d2_ActionId">
    <vt:lpwstr>196d2114-528f-41fd-b642-ef853cc98903</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