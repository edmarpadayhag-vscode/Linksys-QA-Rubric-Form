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D:\Visual Studio Code\QA Rubric\"/>
    </mc:Choice>
  </mc:AlternateContent>
  <xr:revisionPtr revIDLastSave="0" documentId="13_ncr:1_{0E1478B7-9F36-49F6-AC93-F8790E316B3F}" xr6:coauthVersionLast="47" xr6:coauthVersionMax="47" xr10:uidLastSave="{00000000-0000-0000-0000-000000000000}"/>
  <bookViews>
    <workbookView xWindow="28680" yWindow="-120" windowWidth="29040" windowHeight="15720" firstSheet="2" activeTab="4" xr2:uid="{00000000-000D-0000-FFFF-FFFF00000000}"/>
  </bookViews>
  <sheets>
    <sheet name="Quick Start" sheetId="1" r:id="rId1"/>
    <sheet name="Scoring Form" sheetId="2" r:id="rId2"/>
    <sheet name="Scoring Guide" sheetId="3" r:id="rId3"/>
    <sheet name="Multi-Touch Guide" sheetId="4" r:id="rId4"/>
    <sheet name="Team Scoring" sheetId="5" r:id="rId5"/>
    <sheet name="Eppie Lou Lagumbay (L1)" sheetId="10" r:id="rId6"/>
    <sheet name="John Clark Labadan ( L2 )" sheetId="6" r:id="rId7"/>
    <sheet name="Case Tracker" sheetId="7" r:id="rId8"/>
    <sheet name="Lists" sheetId="8" state="hidden"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6" i="7" l="1"/>
  <c r="M5" i="7"/>
  <c r="C152" i="10"/>
  <c r="E137" i="10"/>
  <c r="C128" i="10"/>
  <c r="D127" i="10"/>
  <c r="D126" i="10"/>
  <c r="D125" i="10"/>
  <c r="D124" i="10"/>
  <c r="F123" i="10"/>
  <c r="D123" i="10"/>
  <c r="F122" i="10"/>
  <c r="E122" i="10"/>
  <c r="D122" i="10"/>
  <c r="D121" i="10"/>
  <c r="D116" i="10"/>
  <c r="C115" i="10"/>
  <c r="D101" i="10"/>
  <c r="C100" i="10"/>
  <c r="D87" i="10"/>
  <c r="C86" i="10"/>
  <c r="D74" i="10"/>
  <c r="C73" i="10"/>
  <c r="D58" i="10"/>
  <c r="C57" i="10"/>
  <c r="D42" i="10"/>
  <c r="C41" i="10"/>
  <c r="D27" i="10"/>
  <c r="C26" i="10"/>
  <c r="D59" i="7"/>
  <c r="G59" i="7" s="1"/>
  <c r="H59" i="7" s="1"/>
  <c r="C59" i="7"/>
  <c r="D58" i="7"/>
  <c r="G58" i="7" s="1"/>
  <c r="H58" i="7" s="1"/>
  <c r="C58" i="7"/>
  <c r="D57" i="7"/>
  <c r="G57" i="7" s="1"/>
  <c r="H57" i="7" s="1"/>
  <c r="C57" i="7"/>
  <c r="D56" i="7"/>
  <c r="C56" i="7"/>
  <c r="K51" i="7"/>
  <c r="J51" i="7"/>
  <c r="I51" i="7"/>
  <c r="H51" i="7"/>
  <c r="G51" i="7"/>
  <c r="F51" i="7"/>
  <c r="E51" i="7"/>
  <c r="L49" i="7"/>
  <c r="L48" i="7"/>
  <c r="M48" i="7" s="1"/>
  <c r="L47" i="7"/>
  <c r="M47" i="7" s="1"/>
  <c r="L46" i="7"/>
  <c r="M46" i="7" s="1"/>
  <c r="L45" i="7"/>
  <c r="M45" i="7" s="1"/>
  <c r="L44" i="7"/>
  <c r="M44" i="7" s="1"/>
  <c r="L43" i="7"/>
  <c r="M43" i="7" s="1"/>
  <c r="L42" i="7"/>
  <c r="L41" i="7"/>
  <c r="M41" i="7" s="1"/>
  <c r="L40" i="7"/>
  <c r="M40" i="7" s="1"/>
  <c r="L39" i="7"/>
  <c r="M39" i="7" s="1"/>
  <c r="L38" i="7"/>
  <c r="M38" i="7" s="1"/>
  <c r="L37" i="7"/>
  <c r="M37" i="7" s="1"/>
  <c r="L36" i="7"/>
  <c r="M36" i="7" s="1"/>
  <c r="L35" i="7"/>
  <c r="L34" i="7"/>
  <c r="M34" i="7" s="1"/>
  <c r="L33" i="7"/>
  <c r="M33" i="7" s="1"/>
  <c r="L32" i="7"/>
  <c r="M32" i="7" s="1"/>
  <c r="L31" i="7"/>
  <c r="M31" i="7" s="1"/>
  <c r="L30" i="7"/>
  <c r="M30" i="7" s="1"/>
  <c r="L29" i="7"/>
  <c r="M29" i="7" s="1"/>
  <c r="L28" i="7"/>
  <c r="L27" i="7"/>
  <c r="M27" i="7" s="1"/>
  <c r="L26" i="7"/>
  <c r="M26" i="7" s="1"/>
  <c r="L25" i="7"/>
  <c r="M25" i="7" s="1"/>
  <c r="L24" i="7"/>
  <c r="M24" i="7" s="1"/>
  <c r="L23" i="7"/>
  <c r="M23" i="7" s="1"/>
  <c r="L22" i="7"/>
  <c r="M22" i="7" s="1"/>
  <c r="L21" i="7"/>
  <c r="L20" i="7"/>
  <c r="M20" i="7" s="1"/>
  <c r="L19" i="7"/>
  <c r="M19" i="7" s="1"/>
  <c r="L18" i="7"/>
  <c r="M18" i="7" s="1"/>
  <c r="L17" i="7"/>
  <c r="M17" i="7" s="1"/>
  <c r="L16" i="7"/>
  <c r="M16" i="7" s="1"/>
  <c r="L15" i="7"/>
  <c r="M15" i="7" s="1"/>
  <c r="L14" i="7"/>
  <c r="L13" i="7"/>
  <c r="M13" i="7" s="1"/>
  <c r="L12" i="7"/>
  <c r="M12" i="7" s="1"/>
  <c r="L11" i="7"/>
  <c r="M11" i="7" s="1"/>
  <c r="L10" i="7"/>
  <c r="M10" i="7" s="1"/>
  <c r="L9" i="7"/>
  <c r="M9" i="7" s="1"/>
  <c r="L8" i="7"/>
  <c r="M8" i="7" s="1"/>
  <c r="L7" i="7"/>
  <c r="C152" i="6"/>
  <c r="E137" i="6"/>
  <c r="C128" i="6"/>
  <c r="D127" i="6"/>
  <c r="F127" i="6" s="1"/>
  <c r="D126" i="6"/>
  <c r="F126" i="6" s="1"/>
  <c r="D125" i="6"/>
  <c r="F125" i="6" s="1"/>
  <c r="D124" i="6"/>
  <c r="F124" i="6" s="1"/>
  <c r="D123" i="6"/>
  <c r="E123" i="6" s="1"/>
  <c r="D122" i="6"/>
  <c r="D121" i="6"/>
  <c r="D116" i="6"/>
  <c r="C115" i="6"/>
  <c r="D101" i="6"/>
  <c r="C100" i="6"/>
  <c r="D87" i="6"/>
  <c r="C86" i="6"/>
  <c r="D74" i="6"/>
  <c r="C73" i="6"/>
  <c r="D58" i="6"/>
  <c r="C57" i="6"/>
  <c r="D42" i="6"/>
  <c r="C41" i="6"/>
  <c r="D27" i="6"/>
  <c r="C26" i="6"/>
  <c r="D76" i="5"/>
  <c r="C76" i="5"/>
  <c r="B76" i="5"/>
  <c r="D75" i="5"/>
  <c r="C75" i="5"/>
  <c r="B75" i="5"/>
  <c r="D74" i="5"/>
  <c r="C74" i="5"/>
  <c r="B74" i="5"/>
  <c r="D73" i="5"/>
  <c r="C73" i="5"/>
  <c r="B73" i="5"/>
  <c r="D72" i="5"/>
  <c r="C72" i="5"/>
  <c r="B72" i="5"/>
  <c r="D71" i="5"/>
  <c r="C71" i="5"/>
  <c r="B71" i="5"/>
  <c r="D70" i="5"/>
  <c r="C70" i="5"/>
  <c r="B70" i="5"/>
  <c r="D69" i="5"/>
  <c r="C69" i="5"/>
  <c r="B69" i="5"/>
  <c r="D68" i="5"/>
  <c r="C68" i="5"/>
  <c r="B68" i="5"/>
  <c r="D67" i="5"/>
  <c r="C67" i="5"/>
  <c r="B67" i="5"/>
  <c r="D66" i="5"/>
  <c r="C66" i="5"/>
  <c r="B66" i="5"/>
  <c r="D65" i="5"/>
  <c r="C65" i="5"/>
  <c r="B65" i="5"/>
  <c r="D64" i="5"/>
  <c r="C64" i="5"/>
  <c r="B64" i="5"/>
  <c r="B62" i="5"/>
  <c r="C36" i="5"/>
  <c r="C35" i="5"/>
  <c r="C34" i="5"/>
  <c r="C33" i="5"/>
  <c r="C32" i="5"/>
  <c r="C31" i="5"/>
  <c r="C30" i="5"/>
  <c r="D8" i="5"/>
  <c r="C8" i="5"/>
  <c r="B4" i="5"/>
  <c r="C207" i="2"/>
  <c r="C165" i="2"/>
  <c r="E145" i="2"/>
  <c r="C136" i="2"/>
  <c r="D135" i="2"/>
  <c r="F135" i="2" s="1"/>
  <c r="D134" i="2"/>
  <c r="F134" i="2" s="1"/>
  <c r="C123" i="2"/>
  <c r="D124" i="2" s="1"/>
  <c r="C108" i="2"/>
  <c r="D109" i="2" s="1"/>
  <c r="C94" i="2"/>
  <c r="D95" i="2" s="1"/>
  <c r="C81" i="2"/>
  <c r="D82" i="2" s="1"/>
  <c r="C65" i="2"/>
  <c r="D131" i="2" s="1"/>
  <c r="C49" i="2"/>
  <c r="D50" i="2" s="1"/>
  <c r="D35" i="2"/>
  <c r="C34" i="2"/>
  <c r="D129" i="2" s="1"/>
  <c r="F121" i="10" l="1"/>
  <c r="E127" i="10"/>
  <c r="F127" i="10"/>
  <c r="E124" i="10"/>
  <c r="F126" i="10"/>
  <c r="E126" i="10"/>
  <c r="F125" i="10"/>
  <c r="E125" i="10"/>
  <c r="F124" i="10"/>
  <c r="E123" i="10"/>
  <c r="E121" i="10"/>
  <c r="E128" i="10" s="1"/>
  <c r="F128" i="10" s="1"/>
  <c r="F122" i="6"/>
  <c r="E122" i="6"/>
  <c r="M49" i="7"/>
  <c r="M35" i="7"/>
  <c r="M14" i="7"/>
  <c r="M42" i="7"/>
  <c r="M28" i="7"/>
  <c r="M21" i="7"/>
  <c r="M7" i="7"/>
  <c r="L51" i="7"/>
  <c r="G56" i="7"/>
  <c r="B9" i="5"/>
  <c r="B8" i="5"/>
  <c r="F121" i="6"/>
  <c r="E121" i="6"/>
  <c r="F129" i="2"/>
  <c r="E129" i="2"/>
  <c r="F131" i="2"/>
  <c r="E131" i="2"/>
  <c r="E134" i="2"/>
  <c r="D130" i="2"/>
  <c r="E124" i="6"/>
  <c r="E126" i="6"/>
  <c r="D66" i="2"/>
  <c r="F123" i="6"/>
  <c r="D133" i="2"/>
  <c r="E127" i="6"/>
  <c r="D132" i="2"/>
  <c r="E125" i="6"/>
  <c r="E135" i="2"/>
  <c r="B6" i="5" l="1"/>
  <c r="A3" i="7"/>
  <c r="H56" i="7"/>
  <c r="C6" i="5" s="1"/>
  <c r="E128" i="6"/>
  <c r="F128" i="6" s="1"/>
  <c r="F133" i="2"/>
  <c r="E133" i="2"/>
  <c r="F130" i="2"/>
  <c r="E130" i="2"/>
  <c r="E136" i="2"/>
  <c r="F136" i="2" s="1"/>
  <c r="F132" i="2"/>
  <c r="E132" i="2"/>
</calcChain>
</file>

<file path=xl/sharedStrings.xml><?xml version="1.0" encoding="utf-8"?>
<sst xmlns="http://schemas.openxmlformats.org/spreadsheetml/2006/main" count="1260" uniqueCount="662">
  <si>
    <t>QA SCORING WORKBOOK — QUICK START GUIDE</t>
  </si>
  <si>
    <t>Resolution-focused coaching QA: one form per interaction, evidence-based indicator ratings, weighted 0-5 scoring, journey-level tracking and TEAM scoring for multi-touch cases. Yellow cells are YOUR inputs — everything else calculates or is reference.</t>
  </si>
  <si>
    <t>1 · THE WORKING SHEETS</t>
  </si>
  <si>
    <t>Scoring Form</t>
  </si>
  <si>
    <t>The blank form you fill for EVERY interaction you review. Make a copy of this sheet per review (right-click tab → Move or Copy → Create a copy) so the master stays blank.</t>
  </si>
  <si>
    <t>Scoring Guide</t>
  </si>
  <si>
    <t>Reference: how-to steps, the 0-5 score anchors, what Met/Partial/Missed/N.A. mean, category objectives and watch-fors, and the result bands. Read once before your first review; return whenever unsure.</t>
  </si>
  <si>
    <t>Multi-Touch Guide</t>
  </si>
  <si>
    <t>Rules for cases handled by multiple agents: how to score each touch fairly, who owns handoff failures, plus a full real-case walkthrough (the Stell journey) showing where a support chain broke and recovered.</t>
  </si>
  <si>
    <t>Team Scoring</t>
  </si>
  <si>
    <t>The team layer: the Team Score formula component by component, how to read the gap between execution and outcome, a LIVE category heatmap showing where the team is weak, the 8 team opportunities identified from the Stell journey with owners, and a 6-step recipe to run a team review on your own journeys.</t>
  </si>
  <si>
    <t>Example (Filled)</t>
  </si>
  <si>
    <t>A complete, real worked review — the final touch of the Stell case (Eric Marbella). Shows exactly how detailed your evidence should be, how indicator ratings map to a final score, and how critical failures are written up. Copy its style.</t>
  </si>
  <si>
    <t>Case Tracker</t>
  </si>
  <si>
    <t>The log. One row per reviewed touch (date, agent, 7 scores, auto weighted % and band). Reuse a Case ID across rows for multi-touch journeys. Team Average at row 51; Team/Journey Scores section at row 53.</t>
  </si>
  <si>
    <t>2 · HOW TO SCORE ONE INTERACTION (Scoring Form, ~15 min)</t>
  </si>
  <si>
    <t>Step 1 — Case Information</t>
  </si>
  <si>
    <t>Fill the yellow cells: agent, ticket, dates, product. Dropdowns: Warranty, Channel, Case Type, SLA. Write a 2-3 sentence Case Summary. Multi-touch? Set Touch # and fill 'Inherited context' (what this agent received from prior touches).</t>
  </si>
  <si>
    <t>Step 2 — Rate the indicators</t>
  </si>
  <si>
    <t>Each of the 7 categories lists 5-8 behaviors. Rate each: Met / Partial / Missed / N.A. (dropdown). N.A. = genuinely not applicable (e.g., no escalation involved) — it is excluded from the math, never a shortcut.</t>
  </si>
  <si>
    <t>Step 3 — Capture evidence</t>
  </si>
  <si>
    <t>Next to every rating, write WHY: a quote, timestamp, or note excerpt. 'Customer said X at 28:10' beats 'communication was good'. The Example sheet shows the standard.</t>
  </si>
  <si>
    <t>Step 4 — Set the final score</t>
  </si>
  <si>
    <t>A suggested score appears automatically (Met=5, Partial=2.5, Missed=0, averaged). You may override it — your judgment prevails — but the anchor text that appears beside your score tells you what a 4 vs a 3 means. Apply the rubric's automatic deductions (e.g., missed callback) even if indicators average higher.</t>
  </si>
  <si>
    <t>Step 5 — Outcome &amp; disconnect</t>
  </si>
  <si>
    <t>Classify the Resolution Outcome (dropdown) and the primary positive outcome achieved. If the call disconnected, record the follow-up taken — 'Yes disconnect + no follow-up' auto-flags a missed ownership opportunity in red.</t>
  </si>
  <si>
    <t>Step 6 — Critical failures</t>
  </si>
  <si>
    <t>Answer Yes/No on all 11 conditions. ANY Yes turns the banner red: automatic review, regardless of the score. These include premature RESOLVED closure, PCI/compliance breaches, and unescalated management/legal requests.</t>
  </si>
  <si>
    <t>Step 7 — Coaching sections</t>
  </si>
  <si>
    <t>3 strengths, 3 improvements, a specific coaching recommendation (at least one is mandatory per review), organizational insights, journey notes (multi-touch), and the final assessment.</t>
  </si>
  <si>
    <t>Step 8 — Log it</t>
  </si>
  <si>
    <t>Add one row in the Case Tracker: date, Case ID, agent, touch #, and your 7 final scores. Weighted % and band compute themselves.</t>
  </si>
  <si>
    <t>3 · WHAT YOU TYPE vs WHAT CALCULATES ITSELF</t>
  </si>
  <si>
    <t>You type (yellow cells)</t>
  </si>
  <si>
    <t>Case info · indicator ratings (dropdowns) · evidence text · the 7 final 0-5 scores · outcome dropdowns · critical-failure Yes/No · coaching text · tracker rows · Team Score's Outcome and Continuity (0-5).</t>
  </si>
  <si>
    <t>Calculates automatically</t>
  </si>
  <si>
    <t>Suggested score per category · anchor description beside each score · Score Summary table · Weighted Total = Σ(score÷5 × weight) with weights 30/20/15/15/10/5/5 · result band · disconnect flag · critical-failure banner · tracker Weighted % and band · Team Average · Team Score = 50% avg touches + 30% Outcome/5 + 20% Continuity/5 · the Team Scoring sheet's category heatmap.</t>
  </si>
  <si>
    <t>Color language</t>
  </si>
  <si>
    <t>GREEN = strong (scores 4-5, total ≥85%) · YELLOW = developing (score 3, total 70-84%) · RED = needs focus (scores 0-2, total &lt;70%, any critical failure, missed disconnect follow-up). Indicator cells: Met=green, Partial=yellow, Missed=red. Heatmap: category avg &lt;2.75 red = team coaching theme.</t>
  </si>
  <si>
    <t>4 · MULTI-TOUCH CASES IN SIX LINES (full rules: Multi-Touch Guide + Team Scoring)</t>
  </si>
  <si>
    <t>One form per touch</t>
  </si>
  <si>
    <t>Every agent gets their own form. Read all prior touches first; record what the agent inherited.</t>
  </si>
  <si>
    <t>Score the contribution</t>
  </si>
  <si>
    <t>Did THIS touch move the customer forward, given what it inherited? Agents aren't punished for inherited messes — only for what they pass downstream (thin notes, false RESOLVED, missed callbacks).</t>
  </si>
  <si>
    <t>Handoffs belong to the sender</t>
  </si>
  <si>
    <t>Bad notes that force rework = deduction for the earlier agent. Ignoring good notes and re-asking everything = deduction for the later agent.</t>
  </si>
  <si>
    <t>Log every touch, same Case ID</t>
  </si>
  <si>
    <t>Tracker rows side by side show exactly where the chain broke or recovered.</t>
  </si>
  <si>
    <t>Score the chain</t>
  </si>
  <si>
    <t>Bottom of the Case Tracker: type the Case ID in a Team/Journey row, judge Outcome (0-5) and Continuity (0-5) — the Team Score computes. Drives process fixes and team recognition, never individual discipline.</t>
  </si>
  <si>
    <t>Find the TEAM opportunities</t>
  </si>
  <si>
    <t>Team Scoring sheet: build the category heatmap over the journey's rows, take the bottom two categories as team coaching themes, scan for patterns repeating across 3+ agents, and write the action plan with named owners (section 5 there is the model).</t>
  </si>
  <si>
    <t>5 · GOLDEN RULES</t>
  </si>
  <si>
    <t>• A closed case is NOT automatically a resolved case — and RESOLVED on a known-unresolved issue is a critical failure.</t>
  </si>
  <si>
    <t>• Any critical failure = automatic review, no matter how good the weighted score looks.</t>
  </si>
  <si>
    <t>• Resolution isn't only 'fixed': a proper RMA, a valid escalation, or an accurately explained limitation all count as positive outcomes.</t>
  </si>
  <si>
    <t>• Every review must produce at least one actionable coaching opportunity — and an operational improvement recommendation where applicable.</t>
  </si>
  <si>
    <t>• Evidence over opinion: every rating should be defensible with a quote, timestamp, or note excerpt.</t>
  </si>
  <si>
    <t>• Documentation supports outcomes but never outweighs troubleshooting, communication, or ownership — continuity, not compliance.</t>
  </si>
  <si>
    <t>• Reward judgment: an unresolved case with correct next steps and full ownership can still score well.</t>
  </si>
  <si>
    <t>• Team Scores coach the chain; individual forms coach the agent. Never mix the two purposes.</t>
  </si>
  <si>
    <t>Questions while reviewing? Order of reference: this sheet → Scoring Guide (anchors &amp; criteria) → Multi-Touch Guide (journey rules) → Team Scoring (team layer &amp; heatmap) → Example (Filled) (what good looks like).</t>
  </si>
  <si>
    <t>SUPPORT QUALITY ASSURANCE — SCORING FORM</t>
  </si>
  <si>
    <t>Resolution-Focused Coaching &amp; Performance Framework  |  Rate each behavior: Met / Partial / Missed / N.A. — then assign the 0-5 category score (suggested score is advisory).</t>
  </si>
  <si>
    <t>1 · CASE INFORMATION</t>
  </si>
  <si>
    <t>Agent Name</t>
  </si>
  <si>
    <t>Case / Ticket ID</t>
  </si>
  <si>
    <t>Evaluator (QA)</t>
  </si>
  <si>
    <t>Interaction Date</t>
  </si>
  <si>
    <t>Product</t>
  </si>
  <si>
    <t>Channel</t>
  </si>
  <si>
    <t>Warranty Status</t>
  </si>
  <si>
    <t>Review Date</t>
  </si>
  <si>
    <t>Case Type</t>
  </si>
  <si>
    <t>Interaction Duration</t>
  </si>
  <si>
    <t>Touch # (multi-touch case)</t>
  </si>
  <si>
    <t>Prior touches reviewed?</t>
  </si>
  <si>
    <t>CSAT / Survey result</t>
  </si>
  <si>
    <t>FCR / total contacts</t>
  </si>
  <si>
    <t>Total case time</t>
  </si>
  <si>
    <t>SLA status</t>
  </si>
  <si>
    <t>Case Summary (customer issue &amp; goal)</t>
  </si>
  <si>
    <t>Inherited context (what this agent received from prior touches)</t>
  </si>
  <si>
    <t>CLASSIFICATION &amp; ROOT-CAUSE   (added from the 360 Form model)</t>
  </si>
  <si>
    <t>Audit / Review Type</t>
  </si>
  <si>
    <t>Contact iteration (repeat contact)</t>
  </si>
  <si>
    <t>Resolution status — detailed</t>
  </si>
  <si>
    <t>Primary root-cause domain</t>
  </si>
  <si>
    <t>Process driver (if any)</t>
  </si>
  <si>
    <t>Product driver (if any)</t>
  </si>
  <si>
    <t>System / tooling driver (if any)</t>
  </si>
  <si>
    <t>Root-cause / contact-driver notes   (feeds Team Scoring → Team Opportunities Identified)</t>
  </si>
  <si>
    <t>2 · CATEGORY ASSESSMENTS</t>
  </si>
  <si>
    <t>1. RESOLUTION / PROGRESS TOWARD RESOLUTION</t>
  </si>
  <si>
    <t>Weight: 30%</t>
  </si>
  <si>
    <t>Objective: Determine whether the interaction moved the customer meaningfully closer to resolution.</t>
  </si>
  <si>
    <t>Behavioral Indicator</t>
  </si>
  <si>
    <t>Assessment</t>
  </si>
  <si>
    <t>Evidence / Observation (quote or timestamp where possible)</t>
  </si>
  <si>
    <t>Issue resolved, or the strongest available outcome was achieved (RMA, valid escalation, limitation explained, education)</t>
  </si>
  <si>
    <t>Reasonable troubleshooting was completed before any conclusion was reached</t>
  </si>
  <si>
    <t>Clear, actionable next steps were provided to the customer</t>
  </si>
  <si>
    <t>Resolution path was appropriate for the situation and warranty status</t>
  </si>
  <si>
    <t>Customer was moved meaningfully closer to a solution</t>
  </si>
  <si>
    <t>⚠ Does NOT count: customer simply ends call; generic KB sent without troubleshooting; warranty used as reason to stop helping; escalation as shortcut; unsupported ISP blame; 'monitor &amp; call back' with no plan; ownership transferred without expectations or documentation.</t>
  </si>
  <si>
    <t>Auto score (0–5) from indicator ratings — applies unless overridden</t>
  </si>
  <si>
    <t>FINAL SCORE — leave blank to use the auto score; type 0–5 to override</t>
  </si>
  <si>
    <t>Score reflects the cumulative effect of this touch within the 8-month journey: the Nov 24, 2025 hardware/RMA determination remains undelivered, and the case culminates here in executive-level escalation with no path forward offered.</t>
  </si>
  <si>
    <t>2. TECHNICAL ACCURACY</t>
  </si>
  <si>
    <t>Weight: 20%</t>
  </si>
  <si>
    <t>Objective: Evaluate the quality of troubleshooting and technical guidance.</t>
  </si>
  <si>
    <t>Symptoms were identified correctly</t>
  </si>
  <si>
    <t>Relevant diagnostic questions were asked</t>
  </si>
  <si>
    <t>Logical troubleshooting methodology was followed</t>
  </si>
  <si>
    <t>Available tools were used appropriately</t>
  </si>
  <si>
    <t>Information provided was technically accurate</t>
  </si>
  <si>
    <t>Assumptions were validated; no unsupported conclusions</t>
  </si>
  <si>
    <t>Root cause (or likely cause) was identified when possible</t>
  </si>
  <si>
    <t>⚠ Deduct for: incorrect technical information; skipped critical troubleshooting; misdiagnosis; unnecessary actions recommended; ISP or customer blamed without evidence; repeating basic steps the customer already completed.</t>
  </si>
  <si>
    <t>Individual diagnostic steps (signal/backhaul check, swap-test proposal) were sound, but the unvalidated reversal of a prior CAT-level conclusion undermines technical credibility.</t>
  </si>
  <si>
    <t>3. COMMUNICATION &amp; CALL CONTROL</t>
  </si>
  <si>
    <t>Weight: 15%</t>
  </si>
  <si>
    <t>Objective: Evaluate how effectively the agent managed the interaction.</t>
  </si>
  <si>
    <t>Expectations were set clearly from the start</t>
  </si>
  <si>
    <t>Agent maintained control of the troubleshooting flow</t>
  </si>
  <si>
    <t>Actions were explained in understandable, jargon-free language</t>
  </si>
  <si>
    <t>Questions were purposeful (no repetitive questioning)</t>
  </si>
  <si>
    <t>Customer understanding was confirmed at key points</t>
  </si>
  <si>
    <t>Clear transitions between troubleshooting steps; effective time management</t>
  </si>
  <si>
    <t>Difficult moments were managed professionally</t>
  </si>
  <si>
    <t>Communication adapted to the customer's accessibility needs (hearing, vision, age)</t>
  </si>
  <si>
    <t>⚠ High performance: customer always knows what is happening and the agent drives the call confidently. One instruction at a time for customers who need it.</t>
  </si>
  <si>
    <t>The core communication failure is the unacknowledged expectation gap: the customer's RMA expectation from Nov 24 was never reconciled with the renewed troubleshooting requests.</t>
  </si>
  <si>
    <t>4. CUSTOMER OWNERSHIP</t>
  </si>
  <si>
    <t>Objective: Measure the degree to which the agent accepted responsibility for moving the customer forward.</t>
  </si>
  <si>
    <t>Agent demonstrated accountability for the customer's outcome</t>
  </si>
  <si>
    <t>Unnecessary transfers were avoided</t>
  </si>
  <si>
    <t>Commitments made during the interaction were followed through</t>
  </si>
  <si>
    <t>A clear path forward was created for the customer</t>
  </si>
  <si>
    <t>Next actions were documented</t>
  </si>
  <si>
    <t>Realistic expectations were set</t>
  </si>
  <si>
    <t>Disconnect follow-up completed (callback / email / note) — mark N.A. if no disconnect</t>
  </si>
  <si>
    <t>Callback commitments were met within the agreed window (or proactively renegotiated before it lapsed)</t>
  </si>
  <si>
    <t>⚠ Automatic deductions: no documented follow-up after disconnect; unclear next steps; passing responsibility without context; failure to complete promised actions; missed or late callbacks without proactive renegotiation.</t>
  </si>
  <si>
    <t>The escalation itself was a positive ownership step, but follow-through collapsed: the customer's direct questions and the SLA commitment were both left unmet, requiring PMO intervention.</t>
  </si>
  <si>
    <t>5. ESCALATION JUDGMENT</t>
  </si>
  <si>
    <t>Weight: 10%</t>
  </si>
  <si>
    <t>Objective: Determine whether escalation decisions were appropriate — including UPWARD escalations the customer requested (management, complaint, legal). Mark all N.A. if no escalation was involved and none was warranted.</t>
  </si>
  <si>
    <t>Reasonable troubleshooting was completed before escalating</t>
  </si>
  <si>
    <t>Legitimate escalation criteria were identified (incl. complaint / management / legal-risk triggers)</t>
  </si>
  <si>
    <t>Escalation contained complete, useful details (logs, findings, steps tried)</t>
  </si>
  <si>
    <t>Correct escalation path was chosen</t>
  </si>
  <si>
    <t>Customer expectations about the escalation were set appropriately</t>
  </si>
  <si>
    <t>⚠ Low score: premature, avoidable, poorly documented, used as a substitute for troubleshooting — or a warranted escalation (incl. a customer's management request) that was NOT made.</t>
  </si>
  <si>
    <t>The escalation decision and routing were correct; the SLA management and handoff completeness after escalation were not.</t>
  </si>
  <si>
    <t>6. CUSTOMER EXPERIENCE</t>
  </si>
  <si>
    <t>Weight: 5%</t>
  </si>
  <si>
    <t>Objective: Measure the overall customer experience delivered during the interaction.</t>
  </si>
  <si>
    <t>Empathy was demonstrated (incl. acknowledging cumulative effort and fatigue on repeat contacts)</t>
  </si>
  <si>
    <t>Professionalism was maintained throughout</t>
  </si>
  <si>
    <t>Communication style was adapted to the customer</t>
  </si>
  <si>
    <t>Patience was maintained, even under pressure</t>
  </si>
  <si>
    <t>Customer effort was reduced where possible</t>
  </si>
  <si>
    <t>Customer felt heard, understood next steps, and remained engaged</t>
  </si>
  <si>
    <t>⚠ Negative indicators: dismissive responses; robotic interactions; frustration escalation caused by agent behavior; marathon sessions pushed onto vulnerable customers without offering to pause and resume.</t>
  </si>
  <si>
    <t>Professionalism was maintained, but the customer's confidence and engagement collapsed by the end of this touch.</t>
  </si>
  <si>
    <t>7. DOCUMENTATION &amp; NOTES</t>
  </si>
  <si>
    <t>Objective: Ensure future agents can quickly understand the case. Purpose is continuity, not compliance.</t>
  </si>
  <si>
    <t>Customer issue summary recorded</t>
  </si>
  <si>
    <t>Troubleshooting performed is documented</t>
  </si>
  <si>
    <t>Key findings / discoveries noted</t>
  </si>
  <si>
    <t>Agent reasoning is captured</t>
  </si>
  <si>
    <t>Escalation justification included — mark N.A. if no escalation</t>
  </si>
  <si>
    <t>Next steps and follow-up actions listed (incl. callback records)</t>
  </si>
  <si>
    <t>Ticket status accurately reflects case state (no premature RESOLVED; closure reason documented)</t>
  </si>
  <si>
    <t>⚠ Documentation supports outcomes but should not outweigh troubleshooting quality, communication, or ownership. Notes must carry the FULL history — including pre-ticket contacts — so no agent treats a long-running case as new.</t>
  </si>
  <si>
    <t>Escalation steps are documented, but the case record does not carry the full history forward, and ticket status does not reflect reality.</t>
  </si>
  <si>
    <t>3 · SCORE SUMMARY</t>
  </si>
  <si>
    <t>Category</t>
  </si>
  <si>
    <t>Weight</t>
  </si>
  <si>
    <t>Score (0-5)</t>
  </si>
  <si>
    <t>Weighted</t>
  </si>
  <si>
    <t>Band</t>
  </si>
  <si>
    <t>Resolution / Progress Toward Resolution</t>
  </si>
  <si>
    <t>Technical Accuracy</t>
  </si>
  <si>
    <t>Communication &amp; Call Control</t>
  </si>
  <si>
    <t>Customer Ownership</t>
  </si>
  <si>
    <t>Escalation Judgment</t>
  </si>
  <si>
    <t>Customer Experience</t>
  </si>
  <si>
    <t>Documentation &amp; Notes</t>
  </si>
  <si>
    <t>WEIGHTED TOTAL SCORE</t>
  </si>
  <si>
    <t>4 · RESOLUTION OUTCOME</t>
  </si>
  <si>
    <t>Outcome classification</t>
  </si>
  <si>
    <t>Primary positive outcome achieved</t>
  </si>
  <si>
    <t>Justification</t>
  </si>
  <si>
    <t>5 · DISCONNECTED CALL FOLLOW-UP</t>
  </si>
  <si>
    <t>Did the interaction disconnect before completion?</t>
  </si>
  <si>
    <t>No</t>
  </si>
  <si>
    <t>If Yes, at least one documented follow-up action is required.</t>
  </si>
  <si>
    <t>Follow-up action taken</t>
  </si>
  <si>
    <t>N.A. — no disconnect</t>
  </si>
  <si>
    <t>6 · CRITICAL FAILURE CONDITIONS  (any 'Yes' triggers automatic review / coaching / QA failure regardless of score)</t>
  </si>
  <si>
    <t>Condition</t>
  </si>
  <si>
    <t>Present?</t>
  </si>
  <si>
    <t>Notes / Evidence</t>
  </si>
  <si>
    <t>Harmful or incorrect troubleshooting provided</t>
  </si>
  <si>
    <t>Misrepresented product capabilities</t>
  </si>
  <si>
    <t>Unsupported root-cause claims (e.g., ISP/customer blame w/o evidence)</t>
  </si>
  <si>
    <t>No follow-up after disconnected call</t>
  </si>
  <si>
    <t>Failed to complete a promised action (incl. missed agreed callback window)</t>
  </si>
  <si>
    <t>Abandoned customer without a path forward</t>
  </si>
  <si>
    <t>Escalated without reasonable troubleshooting / to avoid ownership</t>
  </si>
  <si>
    <t>Unprofessional, rude, or dismissive conduct / policy violation</t>
  </si>
  <si>
    <t>Compliance / security violation (e.g., payment card data spoken or stored in plaintext — PCI DSS)</t>
  </si>
  <si>
    <t>Case marked Resolved while issue known to be unresolved (premature closure / no closure reason)</t>
  </si>
  <si>
    <t>Customer complaint, management-contact, or legal-risk request not escalated</t>
  </si>
  <si>
    <t>Line release — agent ended a live, unresolved contact</t>
  </si>
  <si>
    <t>Call / session avoidance or evasion</t>
  </si>
  <si>
    <t>Survey / CSAT manipulation</t>
  </si>
  <si>
    <t>Hard-selling or other sales-related irregularity</t>
  </si>
  <si>
    <t>Unofficial email used, or failed to capture customer email</t>
  </si>
  <si>
    <t>CRITICAL FAILURE FLAGGED?</t>
  </si>
  <si>
    <t>7 · COACHING &amp; FEEDBACK   (every review answers the three QA questions below)</t>
  </si>
  <si>
    <t>Q1 · Did we help the customer as effectively as we reasonably could?</t>
  </si>
  <si>
    <t>Q2 · Did the agent demonstrate strong technical and communication behavior?</t>
  </si>
  <si>
    <t>What went well — behaviors to repeat</t>
  </si>
  <si>
    <t>1.</t>
  </si>
  <si>
    <t>2.</t>
  </si>
  <si>
    <t>3.</t>
  </si>
  <si>
    <t>Improvement opportunities — behaviors to improve</t>
  </si>
  <si>
    <t>Coaching recommendation — specific actions the agent should apply going forward</t>
  </si>
  <si>
    <t>Q3 · What does this interaction tell us about training, process, or knowledge gaps across the team?</t>
  </si>
  <si>
    <t>Organizational insights — training / process / KB / chatbot / tooling / product / contact-driver gaps</t>
  </si>
  <si>
    <t>Multi-touch / journey notes — handoff quality, continuity, where the chain strengthened or broke</t>
  </si>
  <si>
    <t>Final QA assessment — overall customer outcome, support quality, and coaching value</t>
  </si>
  <si>
    <t>8 · AUTO-ZERO   (from the 360 Form — any trigger forces the Quality Score to 0%)</t>
  </si>
  <si>
    <t>A gate marked 'No', any A–K item marked 'Yes', or any §6 critical-failure condition forces the weighted Quality Score (§3) to 0%. Category scores still show for coaching.</t>
  </si>
  <si>
    <t>Compliance gate  (mark Yes if adhered)</t>
  </si>
  <si>
    <t>Adherent?</t>
  </si>
  <si>
    <t>Adherence to Callback Hours</t>
  </si>
  <si>
    <t>Yes</t>
  </si>
  <si>
    <t>Adherence to PCI &amp; Information Security Standards</t>
  </si>
  <si>
    <t>Sales</t>
  </si>
  <si>
    <t>AUTO-ZERO list — A to K  (mark Yes if it occurred)</t>
  </si>
  <si>
    <t>Occurred?</t>
  </si>
  <si>
    <t>A.  Call / Session Abandonment</t>
  </si>
  <si>
    <t>B.  Call / Session Avoidance / Evasion</t>
  </si>
  <si>
    <t>C.  Discourtesy</t>
  </si>
  <si>
    <t>D.  Escalation</t>
  </si>
  <si>
    <t>E.  Failure to ask for the email address</t>
  </si>
  <si>
    <t>F.  Fraud</t>
  </si>
  <si>
    <t>G.  Hard-selling</t>
  </si>
  <si>
    <t>H.  Line Release</t>
  </si>
  <si>
    <t>I.  Non-Adherence to Callback Hours</t>
  </si>
  <si>
    <t>J.  Non-Adherence to PCI and Information Security Standards</t>
  </si>
  <si>
    <t>K.  Non-First Call Resolution</t>
  </si>
  <si>
    <t>AUTO-ZERO TRIGGERED?</t>
  </si>
  <si>
    <t>SCORING GUIDE &amp; CATEGORY CRITERIA</t>
  </si>
  <si>
    <t>How to use this form</t>
  </si>
  <si>
    <t>1. Fill in Case Information, the Case Summary, and (for multi-touch cases) the Inherited Context field.</t>
  </si>
  <si>
    <t>2. For each category, rate every behavioral indicator: Met / Partial / Missed / N.A. (N.A. excludes it from the suggested score).</t>
  </si>
  <si>
    <t>3. Record evidence — quotes, timestamps, or note excerpts — beside each indicator.</t>
  </si>
  <si>
    <t>4. Review the auto-suggested score, then assign the FINAL 0-5 score using evaluator judgment and the anchors below.</t>
  </si>
  <si>
    <t>5. Classify the Resolution Outcome and the primary positive outcome achieved.</t>
  </si>
  <si>
    <t>6. Complete the Disconnect Follow-Up check and the Critical Failure checklist.</t>
  </si>
  <si>
    <t>7. Write coaching feedback: at least one actionable coaching opportunity is required; add an operational improvement recommendation where applicable.</t>
  </si>
  <si>
    <t>8. For multi-touch cases, also read the Multi-Touch Guide sheet and log every touch in the Case Tracker under the same Case ID.</t>
  </si>
  <si>
    <t>Score Anchors (0–5 scale)</t>
  </si>
  <si>
    <t>Score</t>
  </si>
  <si>
    <t>Description</t>
  </si>
  <si>
    <t>5</t>
  </si>
  <si>
    <t>Issue resolved or strongest available outcome achieved</t>
  </si>
  <si>
    <t>4</t>
  </si>
  <si>
    <t>Significant progress made with clear next steps</t>
  </si>
  <si>
    <t>3</t>
  </si>
  <si>
    <t>Partial progress made but opportunities missed</t>
  </si>
  <si>
    <t>2</t>
  </si>
  <si>
    <t>Limited progress despite available troubleshooting paths</t>
  </si>
  <si>
    <t>1</t>
  </si>
  <si>
    <t>Little or no meaningful progress</t>
  </si>
  <si>
    <t>0</t>
  </si>
  <si>
    <t>Agent actions delayed, prevented, or negatively impacted resolution</t>
  </si>
  <si>
    <t>Indicator ratings</t>
  </si>
  <si>
    <t>Met</t>
  </si>
  <si>
    <t>Behavior fully demonstrated (counts as 5 toward the suggested score)</t>
  </si>
  <si>
    <t>Partial</t>
  </si>
  <si>
    <t>Behavior attempted but incomplete or inconsistent (counts as 2.5)</t>
  </si>
  <si>
    <t>Missed</t>
  </si>
  <si>
    <t>Behavior expected but not demonstrated (counts as 0)</t>
  </si>
  <si>
    <t>N.A.</t>
  </si>
  <si>
    <t>Not applicable to this interaction (excluded from the suggested score)</t>
  </si>
  <si>
    <t>Category Objectives &amp; Watch-Fors</t>
  </si>
  <si>
    <t>Resolution / Progress Toward Resolution (30%)</t>
  </si>
  <si>
    <t>Determine whether the interaction moved the customer meaningfully closer to resolution. Does NOT count: customer simply ends call; generic KB sent without troubleshooting; warranty used as reason to stop helping; escalation as shortcut; unsupported ISP blame; 'monitor &amp; call back' with no plan; ownership transferred without expectations or documentation.</t>
  </si>
  <si>
    <t>Technical Accuracy (20%)</t>
  </si>
  <si>
    <t>Evaluate the quality of troubleshooting and technical guidance. Deduct for: incorrect technical information; skipped critical troubleshooting; misdiagnosis; unnecessary actions recommended; ISP or customer blamed without evidence; repeating basic steps the customer already completed.</t>
  </si>
  <si>
    <t>Communication &amp; Call Control (15%)</t>
  </si>
  <si>
    <t>Evaluate how effectively the agent managed the interaction. High performance: customer always knows what is happening and the agent drives the call confidently. One instruction at a time for customers who need it.</t>
  </si>
  <si>
    <t>Customer Ownership (15%)</t>
  </si>
  <si>
    <t>Measure the degree to which the agent accepted responsibility for moving the customer forward. Automatic deductions: no documented follow-up after disconnect; unclear next steps; passing responsibility without context; failure to complete promised actions; missed or late callbacks without proactive renegotiation.</t>
  </si>
  <si>
    <t>Escalation Judgment (10%)</t>
  </si>
  <si>
    <t>Determine whether escalation decisions were appropriate — including UPWARD escalations the customer requested (management, complaint, legal). Mark all N.A. if no escalation was involved and none was warranted. Low score: premature, avoidable, poorly documented, used as a substitute for troubleshooting — or a warranted escalation (incl. a customer's management request) that was NOT made.</t>
  </si>
  <si>
    <t>Customer Experience (5%)</t>
  </si>
  <si>
    <t>Measure the overall customer experience delivered during the interaction. Negative indicators: dismissive responses; robotic interactions; frustration escalation caused by agent behavior; marathon sessions pushed onto vulnerable customers without offering to pause and resume.</t>
  </si>
  <si>
    <t>Documentation &amp; Notes (5%)</t>
  </si>
  <si>
    <t>Ensure future agents can quickly understand the case. Purpose is continuity, not compliance. Documentation supports outcomes but should not outweigh troubleshooting quality, communication, or ownership. Notes must carry the FULL history — including pre-ticket contacts — so no agent treats a long-running case as new.</t>
  </si>
  <si>
    <t>Overall Result Bands</t>
  </si>
  <si>
    <t>≥ 85%</t>
  </si>
  <si>
    <t>Meets / Exceeds — strong support behavior</t>
  </si>
  <si>
    <t>70–84%</t>
  </si>
  <si>
    <t>Developing — coaching opportunities present</t>
  </si>
  <si>
    <t>&lt; 70%</t>
  </si>
  <si>
    <t>Needs improvement — prioritized coaching required</t>
  </si>
  <si>
    <t>A critical failure overrides the band: any flagged condition requires automatic review regardless of the weighted total. Every review must produce at least one actionable coaching opportunity and, where applicable, one operational improvement recommendation.</t>
  </si>
  <si>
    <t>MULTI-TOUCH CASE SCORING — HOW IT WORKS</t>
  </si>
  <si>
    <t>THE MECHANICS</t>
  </si>
  <si>
    <t>1. One scoring form per touch, not per case</t>
  </si>
  <si>
    <t>Each agent who handles the case gets their own complete evaluation (indicators, 0-5 scores, weighted total). Set Touch # on the form and mark 'Prior touches reviewed?' = Yes. The rubric requires assessing the entire customer journey, so read the earlier touches before scoring any of them. Use the 'Inherited context' field to record what the agent received.</t>
  </si>
  <si>
    <t>2. Score each agent on THEIR contribution, in the context they inherited</t>
  </si>
  <si>
    <t>Resolution/Progress measures whether THAT touch moved the customer closer — an agent who inherits a mess and makes real progress can score 4-5 even on an old, ugly case. Agents are NOT penalized for problems they inherited, but they ARE penalized for problems they pass downstream: thin handoff notes, undocumented promises, premature RESOLVED statuses, missed callbacks.</t>
  </si>
  <si>
    <t>3. Handoff quality is scored on the SENDING agent</t>
  </si>
  <si>
    <t>Customer Ownership ('ownership transfer without context' = automatic deduction) and Documentation ('could another agent quickly understand the case?') belong to the agent who wrote the notes. If a later agent re-runs all diagnostics because earlier notes were unusable, that hits the EARLIER touch. But if good notes existed and the later agent ignored them and made the customer repeat everything, that hits the LATER agent's Communication (repetitive questioning) and Customer Experience (increased effort).</t>
  </si>
  <si>
    <t>4. Critical failures attach to a specific touch</t>
  </si>
  <si>
    <t>A premature RESOLVED, a missed callback window, a compliance violation, or an unescalated complaint fails THAT touch's review regardless of how the journey ends — and regardless of that touch's weighted score.</t>
  </si>
  <si>
    <t>5. The journey rolls up in the Case Tracker</t>
  </si>
  <si>
    <t>Log every touch under the same Case ID with an incrementing Touch #. Per-touch weighted scores sit side by side so you can pinpoint exactly where the support chain broke or recovered. The journey's final outcome classification comes from the last touch; journey-level findings (process, KB, tooling, product) go into Organizational Insights — not into any single agent's score.</t>
  </si>
  <si>
    <t>6. Watch for journey-level failure patterns</t>
  </si>
  <si>
    <t>Repeated premature closures, shifting callback promises, each agent re-starting from zero, escalation ping-pong, and unacknowledged cumulative customer effort are SYSTEMIC findings. Score the touch that caused each one, then raise the pattern as an organizational insight with a named process owner.</t>
  </si>
  <si>
    <t>WORKED JOURNEY — TE00124020 / TE00127492 (Richard &amp; Diana Stell, Linksys WHW03 → MX4200, Apr 1 – May 30, 2026)</t>
  </si>
  <si>
    <t>Sources: Call Analysis Report 2026-05-25 (13 recordings) and Concentrix Case Investigation 2026-05-27. An 80-year-old couple in a 7,000 sq ft home; 7-week journey across 2 tickets, 10+ agents, 15+ hours; ended with CSAT 1/5, an SLA breach (&gt;30 days), a legal threat, and the customer scrapping Linksys for Eero. Per-touch scores are in the Case Tracker; the full scored form for the final touch (Eric Marbella, May 18-19) is on the Example (Filled) sheet.</t>
  </si>
  <si>
    <t>WHERE THE CHAIN BROKE</t>
  </si>
  <si>
    <t>Scored against the touch that caused it</t>
  </si>
  <si>
    <t>Pre-ticket history lost (CRITICAL)</t>
  </si>
  <si>
    <t>Recordings 1-6 (April 1-23: WHW03 failure, $30 paid session, L2 escalation, compatibility advice that drove the MX4200 purchase) never made it into ticket TE00127492. Every later agent treated a months-long pattern as a new case. → Documentation failure on the early touches; organizational insight on ticket-linking process.</t>
  </si>
  <si>
    <t>PCI DSS violation (CRITICAL)</t>
  </si>
  <si>
    <t>Recording 3 (Apr 1, paid support): full card number, CVV, and expiry spoken aloud and captured in plaintext transcript; the $30 charge itself never documented in any ticket. → Critical failure on that touch + immediate compliance escalation.</t>
  </si>
  <si>
    <t>Receipt-gate before troubleshooting</t>
  </si>
  <si>
    <t>May 1 (Riojene Ladera): customer with active 5-min drop cycles was refused troubleshooting until a warranty receipt was emailed; note reads 'No trouble shooting made.' → Resolution &amp; Ownership failure: warranty validation must not replace support on an active issue.</t>
  </si>
  <si>
    <t>Premature RESOLVED ×5</t>
  </si>
  <si>
    <t>Ticket marked RESOLVED on Apr 28, May 1, May 4, May 18, May 19 while the streaming-stability complaint was never confirmed fixed. Final closure had no private-note reason. → Documentation/Ownership failures on each closing touch; masks true case age and breaks SLA monitoring.</t>
  </si>
  <si>
    <t>Callback management collapse</t>
  </si>
  <si>
    <t>Apr 1: promised 2-3h L2 callback vs the 24-48h process. May 18: customer waited 3+ hours through 3 L1 calls. May 19: agreed 4-5 PM window missed by 42-66 min, with conflicting explanations in notes ('in a meeting' vs 'engaged with another task'). → Ownership failures on the promising/missing touches; systemic trend finding.</t>
  </si>
  <si>
    <t>Complaint &amp; legal threat not escalated (CRITICAL)</t>
  </si>
  <si>
    <t>May 19, 3:33 PM: customer email requests management contact 'before I talk to a lawyer.' Response (after TC consult) apologized but never escalated to management; no DSAT/management record until PMO intervened May 27. → Escalation Judgment failure on the final touch.</t>
  </si>
  <si>
    <t>Accessibility never adapted</t>
  </si>
  <si>
    <t>Customer stated hearing aids and age on nearly every call; investigation cites the same 'simplify, slow down, one step at a time' opportunity for 4+ different agents. → Communication finding per touch + training-level organizational insight.</t>
  </si>
  <si>
    <t>WHERE THE CHAIN RECOVERED (recognize these touches)</t>
  </si>
  <si>
    <t>Venn-Emir Calvin (Apr 23)</t>
  </si>
  <si>
    <t>Caught the mis-captured email address in under 2 minutes, corrected it, re-sent the guide — clean continuity fix; investigation found no opportunities.</t>
  </si>
  <si>
    <t>Paolo Ebora (May 4)</t>
  </si>
  <si>
    <t>98-minute deep dive: HomeKit isolation, interference analysis, firmware validation, captured sysinfo/network logs via remote access, identified 2 bad-RSSI nodes (-90/-93 dBm), provided L2 hotline. Best diagnostics of the journey.</t>
  </si>
  <si>
    <t>Eric Marbella (May 18, technical leg)</t>
  </si>
  <si>
    <t>3h26m session after the modem swap: correctly isolated the fault away from the ISP to the MX4200 parent node, restored internet, set up 4 child nodes with documented RSSI. The technical work was strong — the ownership collapse came the next day.</t>
  </si>
  <si>
    <t>JOURNEY-LEVEL ORGANIZATIONAL INSIGHTS (do not assign to any single agent's score)</t>
  </si>
  <si>
    <t>• Callback management is systemic, not individual: promised windows shifted repeatedly across L1 and L2; the post-case survey says technicians 'never call back as promised.' Recommend enforced callback calendaring and a contingency script when a window is at risk.</t>
  </si>
  <si>
    <t>• Case Management &amp; Closure Process needs reinforcement (per investigation): RESOLVED requires customer-confirmed resolution or a documented closure reason; CALLBACK/PENDING states must be used while work is open.</t>
  </si>
  <si>
    <t>• Ticket linking: pre-purchase and pre-ticket history must be attached or cross-referenced when a new ticket is opened for the same customer/issue (TE00124020 → TE00127492 gap).</t>
  </si>
  <si>
    <t>• Compliance: PCI-safe payment flow required for paid support (no card data spoken on a recorded line); audit recordings/transcripts retention for Rec 3.</t>
  </si>
  <si>
    <t>• Product/advice loop: the MX4200 mixed-mesh recommendation for a 7,000 sq ft home with legacy WHW03 nodes drove 6 purchases without a coverage/topology consult — feed back to sales-advice scripts and KB.</t>
  </si>
  <si>
    <t>• Vulnerable-customer handling: a standard for elderly / hard-of-hearing customers (pace, one-step instructions, session-length checkpoints, offer to pause and resume) would have changed this journey's trajectory.</t>
  </si>
  <si>
    <t>THE TEAM / JOURNEY SCORE — SCORING THE CHAIN, NOT JUST THE LINKS</t>
  </si>
  <si>
    <t>Per the incentive philosophy (team improvement first, shared accountability), every multi-touch case also receives one Team Score covering all agents who touched it. It lives at the bottom of the Case Tracker. It drives team-level coaching, process fixes, and recognition — it is never used for individual discipline; individual feedback comes only from each agent's own touch form.</t>
  </si>
  <si>
    <t>Formula</t>
  </si>
  <si>
    <t>Team Score = 50% × Average Touch Weighted Score  +  30% × (Journey Outcome ÷ 5)  +  20% × (Continuity &amp; Handoffs ÷ 5). Execution gets half the weight; the other half belongs to what the customer actually experienced — the end result and how well the chain held together. Same result bands as individual scores (≥85% / 70-84% / &lt;70%). Any journey containing a critical failure carries the automatic-review flag regardless of its Team Score.</t>
  </si>
  <si>
    <t>Journey Outcome anchors (0-5)</t>
  </si>
  <si>
    <t>5 = issue resolved AND confirmed with the customer, positive close · 4 = resolved with minor friction · 3 = partial resolution or accepted workaround with a clear path · 2 = unresolved but customer holds a valid, owned next step · 1 = unresolved and the customer disengaged · 0 = customer harmed, churned, or left with legal/compliance exposure.</t>
  </si>
  <si>
    <t>Continuity &amp; Handoffs anchors (0-5)</t>
  </si>
  <si>
    <t>5 = seamless handoffs; no agent restarted from zero; statuses always truthful · 4 = minor gaps, quickly recovered · 3 = some repeated work, but the thread held · 2 = significant rework caused by thin notes or wrong statuses · 1 = chain repeatedly broke (lost history, premature closures, shifting promises) · 0 = continuity collapse itself drove the complaint.</t>
  </si>
  <si>
    <t>Worked example (Stell journey)</t>
  </si>
  <si>
    <t>Average of the 13 touch scores ≈ 57% — individually, most touches were mediocre-to-fair and two were strong. But Outcome = 0 (churned, CSAT 1/5, legal threat) and Continuity = 1 (history lost, 5 premature closures). Team Score = 50%×57% + 30%×0 + 20%×(1/5) ≈ 33% — Needs Improvement. That 24-point gap between average execution and the Team Score IS the finding: no single agent failed badly enough to explain losing the customer; the chain did. The fixes are therefore process-level (callback management, closure discipline, ticket linking), which is exactly what the investigation concluded.</t>
  </si>
  <si>
    <t>Crediting the team</t>
  </si>
  <si>
    <t>Quality is created collectively (L1, escalation teams, trainers, QA, team leads, operations). When a Team Score is strong, recognize the whole chain — including agents whose touch was a 2-minute continuity save (e.g., Venn-Emir's email fix). When it is weak despite strong individual touches, the coaching target is the handoff process and its owners, not the agents.</t>
  </si>
  <si>
    <t>CONTRIBUTION TYPE &amp; HANDOFF QUALITY — PER-TOUCH IMPACT TAGS</t>
  </si>
  <si>
    <t>Two extra columns on the Case Tracker (Contribution Type, Handoff Quality) tag what each touch actually did for the case, separately from its category scores. They make the Team Score's Continuity component an informed judgment instead of a guess, and they stop the first agent on a hard case from being penalised for complexity while the last agent gets all the credit.</t>
  </si>
  <si>
    <t>Contribution Type (per touch)</t>
  </si>
  <si>
    <t>Resolver = delivered the final fix, correct escalation, or proper closure for that thread · Progress Builder = advanced diagnosis or troubleshooting that moved the case forward, even if not fully fixed · Maintainer = kept momentum, clarified, documented, escalated appropriately without new ground gained · Regression Contributor = reset progress, misdiagnosed, premature closure, or otherwise caused regression. Use 'N/A' only when a touch is purely administrative with no case impact.</t>
  </si>
  <si>
    <t>Handoff Quality (0-5, per touch)</t>
  </si>
  <si>
    <t>Rates the OUTGOING handoff this touch left for whoever (or whatever) came next, across four dimensions: context completeness (did notes explain what was done?), continuity preservation (did it avoid forcing a restart?), expectation alignment (was the customer told something accurate about what happens next?), technical clarity (are logs/findings usable by the next agent?). 5 = clean handoff, nothing to redo · 3-4 = usable with minor gaps · 1-2 = next agent effectively restarts or inherits a broken promise · 0 = handoff itself caused the next failure. Leave blank or mark N/A for a case's final touch.</t>
  </si>
  <si>
    <t>Stell journey pattern</t>
  </si>
  <si>
    <t>Of the 13 touches, 4 carry Handoff Quality of 1 (Dorothy's wrong callback window, Joziel's 10-15 min promise, Charmaigne's mis-captured email, Riojene's receipt-gate refusal, Jerald's third shifting promise) and 2 are Regression Contributor-tagged for premature RESOLVED closures (Nathan, and via Riojene's refusal). Only Paolo Real and Venn-Emir produced clean Resolver handoffs (4-5). This is what a Continuity score of 1/5 looks like in practice — see the Team Scoring sheet for the live breakdown.</t>
  </si>
  <si>
    <t>TEAM SCORING — METHODOLOGY &amp; TEAM OPPORTUNITY ANALYSIS</t>
  </si>
  <si>
    <t>Individual forms answer 'how did this agent do?'. Team Scoring answers 'how did the CHAIN perform for the customer?' and 'what should we coach, fix, or build as a TEAM?'. The scorecard below is live from the Case Tracker.</t>
  </si>
  <si>
    <t>TEAM SCORE</t>
  </si>
  <si>
    <t>RESULT BAND</t>
  </si>
  <si>
    <t>CONTAINS CRITICAL FAILURE?</t>
  </si>
  <si>
    <t>See section 6 of each agent's Scoring Form</t>
  </si>
  <si>
    <t>EXECUTION  (50% weight)</t>
  </si>
  <si>
    <t>JOURNEY OUTCOME  (30% weight)</t>
  </si>
  <si>
    <t>CONTINUITY &amp; HANDOFFS  (20% weight)</t>
  </si>
  <si>
    <t>↑ Updates automatically from the Case Tracker (Team/Journey Scores, row 56). Edit Outcome / Continuity there and this scorecard moves with it. For your own journeys, copy this block and point it at the relevant journey row.</t>
  </si>
  <si>
    <t>1 · WHY A TEAM SCORE EXISTS</t>
  </si>
  <si>
    <t>The rubric's incentive philosophy ranks team improvement FIRST, then individual excellence, then shared accountability. Quality is created collectively — L1, escalation teams, trainers, QA, team leads, operations. A multi-touch case is the truest test: the customer experiences ONE journey, not thirteen separate calls. The Team Score makes the chain itself a scored, coachable unit, so process failures stop hiding between individually 'acceptable' touches. Rule: the Team Score drives team coaching, process fixes, and chain-wide recognition. It is NEVER used for individual discipline — individual feedback comes only from each agent's own touch form.</t>
  </si>
  <si>
    <t>2 · THE FORMULA, COMPONENT BY COMPONENT</t>
  </si>
  <si>
    <t>Component</t>
  </si>
  <si>
    <t>What it measures &amp; why this weight</t>
  </si>
  <si>
    <t>Journey numbers — auto-computed once touches are logged</t>
  </si>
  <si>
    <t>EXECUTION — 50%
Average of all touch weighted scores</t>
  </si>
  <si>
    <t>The team's average quality of work, touch by touch. Auto-computed in the tracker (AVERAGE of the Weighted column for the journey's rows). Gets half the weight because good execution is necessary — but deliberately NOT more than half, because a chain of individually fine touches can still lose a customer.</t>
  </si>
  <si>
    <t>JOURNEY OUTCOME — 30%
Evaluator-judged 0-5</t>
  </si>
  <si>
    <t>What the customer actually got at the end of the whole journey. Anchors: 5 = resolved AND confirmed, positive close · 4 = resolved, minor friction · 3 = partial/accepted workaround with clear path · 2 = unresolved but customer holds a valid, owned next step · 1 = unresolved, customer disengaged · 0 = customer harmed, churned, or left with legal/compliance exposure. Judged once per journey, against the FINAL state.</t>
  </si>
  <si>
    <t>CONTINUITY &amp; HANDOFFS — 20%
Evaluator-judged 0-5</t>
  </si>
  <si>
    <t>How well the chain held together BETWEEN touches: did notes carry forward, were statuses truthful, did promises survive handoffs, did anyone restart from zero? Anchors: 5 = seamless · 4 = minor gaps, quickly recovered · 3 = some repeated work, thread held · 2 = significant rework from thin notes/wrong statuses · 1 = chain repeatedly broke · 0 = the continuity collapse itself drove the complaint.</t>
  </si>
  <si>
    <t>TEAM SCORE  =  50% × Execution  +  30% × (Outcome ÷ 5)  +  20% × (Continuity ÷ 5).   Enter the journey's Outcome &amp; Continuity (0-5) in Case Tracker row 56; Execution auto-computes.</t>
  </si>
  <si>
    <t>3 · READING THE RESULT — THE GAP IS THE DIAGNOSIS</t>
  </si>
  <si>
    <t>Team Score ≈ Execution average</t>
  </si>
  <si>
    <t>The chain neither helped nor hurt. Coach individuals on their own findings; no major process action.</t>
  </si>
  <si>
    <t>Team Score WELL ABOVE Execution average</t>
  </si>
  <si>
    <t>Strong outcome/continuity lifted ordinary touches — the process carried the team. Recognize the chain and the process owners; capture what worked as a standard.</t>
  </si>
  <si>
    <t>Team Score WELL BELOW Execution average</t>
  </si>
  <si>
    <t>Individually 'acceptable' agents, collectively a lost customer. The failure lives BETWEEN touches: handoffs, statuses, callbacks, ticket linking. Coaching individuals harder will NOT fix this — the action plan must target process, with named owners and dates.</t>
  </si>
  <si>
    <t>4 · TEAM CATEGORY HEATMAP — WHERE THE TEAM IS WEAK (live formulas over the Case Tracker touch rows)</t>
  </si>
  <si>
    <t>Averaging each category ACROSS all touches turns the individual reviews into one team profile. Compare each to the 0-5 scale; &lt;2.75 is a team coaching theme.</t>
  </si>
  <si>
    <t>Category (weight)</t>
  </si>
  <si>
    <t>Team avg (0-5)</t>
  </si>
  <si>
    <t>What the journey shows</t>
  </si>
  <si>
    <t>Resolution / Progress (30%)</t>
  </si>
  <si>
    <t>Reading: red (&lt;2.75) = team coaching theme · yellow (2.75-3.49) = monitor &amp; spot-coach · green (≥3.5) = team strength to protect.</t>
  </si>
  <si>
    <t>5 · TEAM OPPORTUNITIES IDENTIFIED (the team action plan)</t>
  </si>
  <si>
    <t>Opportunity (category)</t>
  </si>
  <si>
    <t>Evidence across touches (why it's a TEAM issue, not one agent)</t>
  </si>
  <si>
    <t>Team action &amp; suggested owner</t>
  </si>
  <si>
    <t>6 · HOW TO RUN A TEAM REVIEW FOR YOUR OWN JOURNEYS (~30 min once touches are scored)</t>
  </si>
  <si>
    <t>Step 1</t>
  </si>
  <si>
    <t>Score every touch individually first (Scoring Form per agent) and log all rows in the Case Tracker under the same Case ID.</t>
  </si>
  <si>
    <t>Step 2</t>
  </si>
  <si>
    <t>In the Team/Journey Scores section (Case Tracker, row 53+), enter the Case ID — Touches and Avg Touch % auto-fill. Judge Outcome (0-5) and Continuity (0-5) with the anchors in section 2. The Team Score computes; the hero scorecard at the top of this sheet mirrors it.</t>
  </si>
  <si>
    <t>Step 3</t>
  </si>
  <si>
    <t>Compare Team Score vs Execution average (section 3). A big negative gap = process problem; flag it as such in your report.</t>
  </si>
  <si>
    <t>Step 4</t>
  </si>
  <si>
    <t>Build the category heatmap: average each category column across the journey's tracker rows (copy the section-4 formulas, adjusting the row range). Bottom two categories = your team coaching themes.</t>
  </si>
  <si>
    <t>Step 5</t>
  </si>
  <si>
    <t>Scan for recurring patterns: same coaching note on 3+ agents (training gap) · same broken-promise type on 2+ touches (process gap) · any premature closure, lost history, or unescalated complaint (critical — name it).</t>
  </si>
  <si>
    <t>Step 6</t>
  </si>
  <si>
    <t>Write the team action plan: every opportunity gets an action, a NAMED owner, and a date (section 5 is the model). Recognize the chain's best touches explicitly — including small continuity saves. Deliver individual feedback separately from this team review.</t>
  </si>
  <si>
    <t>Recognition rule: when the Team Score is strong, credit the WHOLE chain — including 2-minute continuity saves like Venn-Emir's email fix. When it is weak despite strong individual touches, the coaching target is the handoff process and its owners, never a hunt for one culprit.</t>
  </si>
  <si>
    <t>7 · CONTRIBUTION TYPE &amp; HANDOFF QUALITY — LIVE PER-TOUCH BREAKDOWN</t>
  </si>
  <si>
    <t>Pulled live from the Case Tracker (columns O &amp; P). Use this to judge the Continuity &amp; Handoffs component above — it shows WHERE the chain held and WHERE it broke, touch by touch, instead of one averaged number.</t>
  </si>
  <si>
    <t>Touch (Agent)</t>
  </si>
  <si>
    <t>Contribution Type</t>
  </si>
  <si>
    <t>Handoff Quality (0-5)</t>
  </si>
  <si>
    <t>Reading this table: a long run of Regression Contributor / low Handoff Quality rows is a process problem (closure discipline, callback management), not an individual one — see Team Opportunities above. A single Regression Contributor surrounded by Resolvers/Progress Builders points at one agent or one moment, and belongs in that agent's individual coaching instead.</t>
  </si>
  <si>
    <t>SUPPORT QA — SCORING FORM  (WORKED EXAMPLE — FINAL TOUCH OF A MULTI-TOUCH CASE)</t>
  </si>
  <si>
    <t>Phone</t>
  </si>
  <si>
    <t>In-Warranty</t>
  </si>
  <si>
    <t>Connectivity</t>
  </si>
  <si>
    <t>Breached</t>
  </si>
  <si>
    <t>Suggested score (auto from indicators — advisory only; evaluator judgment prevails)</t>
  </si>
  <si>
    <t>FINAL CATEGORY SCORE (0–5)</t>
  </si>
  <si>
    <t>Category comments / coaching notes</t>
  </si>
  <si>
    <t>No disconnect on this touch</t>
  </si>
  <si>
    <t>Ownership Gap</t>
  </si>
  <si>
    <t>None achieved</t>
  </si>
  <si>
    <t>7 · COACHING &amp; FEEDBACK  (every review must produce at least one actionable coaching opportunity)</t>
  </si>
  <si>
    <t>WHAT WENT WELL — behaviors to repeat</t>
  </si>
  <si>
    <t>IMPROVEMENT OPPORTUNITIES — behaviors to improve</t>
  </si>
  <si>
    <t>COACHING RECOMMENDATION — specific actions the agent should apply going forward</t>
  </si>
  <si>
    <t>ORGANIZATIONAL INSIGHTS — training / process / KB / chatbot / tooling / product gaps discovered</t>
  </si>
  <si>
    <t>MULTI-TOUCH / JOURNEY NOTES — handoff quality received &amp; passed, continuity, where the chain stands</t>
  </si>
  <si>
    <t>FINAL QA ASSESSMENT — customer outcome, support quality, and coaching value</t>
  </si>
  <si>
    <t>CASE TRACKER — Multi-Case &amp; Multi-Touch Log</t>
  </si>
  <si>
    <t>One row per touch. Reuse a Case ID across rows to track a multi-touch journey. Scores 0-5; Weighted % and Result calculate automatically. Pre-loaded: the TE00124020 / TE00127492 journey (see Multi-Touch Guide).</t>
  </si>
  <si>
    <t>Date</t>
  </si>
  <si>
    <t>Case ID</t>
  </si>
  <si>
    <t>Agent</t>
  </si>
  <si>
    <t>Touch #</t>
  </si>
  <si>
    <t>Res 30%</t>
  </si>
  <si>
    <t>Tech 20%</t>
  </si>
  <si>
    <t>Comm 15%</t>
  </si>
  <si>
    <t>Own 15%</t>
  </si>
  <si>
    <t>Esc 10%</t>
  </si>
  <si>
    <t>CX 5%</t>
  </si>
  <si>
    <t>Doc 5%</t>
  </si>
  <si>
    <t>Result</t>
  </si>
  <si>
    <t>Outcome / Notes</t>
  </si>
  <si>
    <t>TEAM AVERAGE</t>
  </si>
  <si>
    <t>Average of logged touches</t>
  </si>
  <si>
    <t>TEAM / JOURNEY SCORES — MULTI-TOUCH CASES</t>
  </si>
  <si>
    <t>Team Score = 50% × average touch weighted score  +  30% × (Journey Outcome ÷ 5)  +  20% × (Continuity &amp; Handoffs ÷ 5).  Outcome and Continuity are evaluator-judged 0-5 — anchors on the Multi-Touch Guide sheet. The Team Score rates the CHAIN; it feeds team coaching and recognition, never individual discipline.</t>
  </si>
  <si>
    <t>Journey / Case ID(s)</t>
  </si>
  <si>
    <t>Touches</t>
  </si>
  <si>
    <t>Avg Touch %</t>
  </si>
  <si>
    <t>Outcome (0-5)</t>
  </si>
  <si>
    <t>Continuity (0-5)</t>
  </si>
  <si>
    <t>Journey notes (where the chain broke / recovered)</t>
  </si>
  <si>
    <t>Template rows: type a Case ID in the first column — Touches and Avg Touch % auto-fill from the log above, then judge Outcome and Continuity (0-5). For journeys spanning multiple Case IDs (like the pre-loaded one), enter the Avg Touch % formula over the journey's row range manually.</t>
  </si>
  <si>
    <t>Contact iteration</t>
  </si>
  <si>
    <t>Resolution status (detailed)</t>
  </si>
  <si>
    <t>Root-cause domain</t>
  </si>
  <si>
    <t>Process driver</t>
  </si>
  <si>
    <t>Product driver</t>
  </si>
  <si>
    <t>System / tooling driver</t>
  </si>
  <si>
    <t>Dropdown option source for the Scoring Form (Section 8 + Outcome). Unhide to edit options.</t>
  </si>
  <si>
    <t>Random Call</t>
  </si>
  <si>
    <t>1st about the concern</t>
  </si>
  <si>
    <t>Resolved</t>
  </si>
  <si>
    <t>None</t>
  </si>
  <si>
    <t>Scheduled / Side-by-side</t>
  </si>
  <si>
    <t>2nd about the concern</t>
  </si>
  <si>
    <t>Unresolved (properly isolated)</t>
  </si>
  <si>
    <t>People</t>
  </si>
  <si>
    <t>Troubleshooting – Instructions</t>
  </si>
  <si>
    <t>Performance – Specific IRC</t>
  </si>
  <si>
    <t>Public – Website</t>
  </si>
  <si>
    <t>Calibration</t>
  </si>
  <si>
    <t>3rd about the concern</t>
  </si>
  <si>
    <t>Unresolved (with missing steps)</t>
  </si>
  <si>
    <t>Process</t>
  </si>
  <si>
    <t>Troubleshooting – Timeline</t>
  </si>
  <si>
    <t>Performance – Difficult to Install</t>
  </si>
  <si>
    <t>Public – App/Cloud</t>
  </si>
  <si>
    <t>Complaint</t>
  </si>
  <si>
    <t>More than 3x about the concern</t>
  </si>
  <si>
    <t>Unresolved (wrong troubleshooting path)</t>
  </si>
  <si>
    <t>RMA – Logistics</t>
  </si>
  <si>
    <t>Performance – Defective Device</t>
  </si>
  <si>
    <t>Public – IVR</t>
  </si>
  <si>
    <t>Investigation</t>
  </si>
  <si>
    <t>Unresolved (declined sales pitch — valid)</t>
  </si>
  <si>
    <t>System</t>
  </si>
  <si>
    <t>RMA – Timeline</t>
  </si>
  <si>
    <t>Performance – Poor Performance</t>
  </si>
  <si>
    <t>Internal – Salesforce/CRM</t>
  </si>
  <si>
    <t>CSAT</t>
  </si>
  <si>
    <t>Unresolved (declined sales pitch — invalid)</t>
  </si>
  <si>
    <t>RMA – Terms &amp; Conditions</t>
  </si>
  <si>
    <t>Design – Aesthetics</t>
  </si>
  <si>
    <t>Internal – CSC</t>
  </si>
  <si>
    <t>DSAT</t>
  </si>
  <si>
    <t>Unresolved (disconnected / line release)</t>
  </si>
  <si>
    <t>Refund – Logistics</t>
  </si>
  <si>
    <t>Design – Compatibility</t>
  </si>
  <si>
    <t>Internal – Oracle</t>
  </si>
  <si>
    <t>FCR</t>
  </si>
  <si>
    <t>Refund – Timeline</t>
  </si>
  <si>
    <t>Beyond Product Support Scope</t>
  </si>
  <si>
    <t>Internal – Agent Portal</t>
  </si>
  <si>
    <t>Spot Check</t>
  </si>
  <si>
    <t>Refund – Terms &amp; Conditions</t>
  </si>
  <si>
    <t>Internal – SN Look-up</t>
  </si>
  <si>
    <t>ARR</t>
  </si>
  <si>
    <t>Follow-through – Callback</t>
  </si>
  <si>
    <t>Bounceback Spot Check</t>
  </si>
  <si>
    <t>Follow-through – Timeline</t>
  </si>
  <si>
    <t>Ghost / Disconnected Contact</t>
  </si>
  <si>
    <t>Sales – Limited Warranty</t>
  </si>
  <si>
    <t>Misdirected Contact</t>
  </si>
  <si>
    <t>Sales – Charging Process</t>
  </si>
  <si>
    <t>Service Offering Spot Check</t>
  </si>
  <si>
    <t>Beyond Support Scope</t>
  </si>
  <si>
    <t>Refunds Spot Check</t>
  </si>
  <si>
    <t>Newbie Spot Check</t>
  </si>
  <si>
    <t>Vital information discussed during the call were recorded.</t>
  </si>
  <si>
    <t xml:space="preserve">The key findings from the call align well with the case notes provided. </t>
  </si>
  <si>
    <t>Callback agreement noted including the preferred callback date and time.</t>
  </si>
  <si>
    <t>The agent's action to close the case can be considered unjustifiable based on several factors: 
1. The core issue of the customer's inability to set up the new router remained unresolved at the end of the call. Closing the case without addressing the problem contradicts the fundamental goal of customer support, which is to provide resolution. 
2. Our process requires that cases remain open until the issue is fully resolved, the agent's action to close the case would violate this protocol. Adhering to established processes is crucial for maintaining consistency and accountability in customer support.</t>
  </si>
  <si>
    <t>Progress Builder</t>
  </si>
  <si>
    <t>Eppie Lou Lagumbay</t>
  </si>
  <si>
    <t>TE00132365</t>
  </si>
  <si>
    <t>SPNMX56</t>
  </si>
  <si>
    <t>IN WARRANTY</t>
  </si>
  <si>
    <t xml:space="preserve">1 hour(s) 30 minutes 37 seconds (session) </t>
  </si>
  <si>
    <t>1 hr 19 min (ticket)</t>
  </si>
  <si>
    <t>The resolution path was appropriate, as escalating John's malfunctioning Linksys router to a level two technician allowed for advanced troubleshooting, while confirming warranty coverage through Navigator and advising him to consult them for specific inquiries was suitable given the circumstances.</t>
  </si>
  <si>
    <t>Clear, actionable next steps were provided, including a scheduled callback with a level two technician at 9 PM Hong Kong time, confirmation of the contact number, and advice for John to keep his equipment connected for effective assistance.</t>
  </si>
  <si>
    <t>Reasonable troubleshooting was conducted, including checking the Ethernet connection, resetting the router, and verifying IP settings, before the agent escalated the issue due to persistent connection problems and the router's malfunction.</t>
  </si>
  <si>
    <t>The strongest outcome achieved was a valid escalation to a level two technician for advanced troubleshooting of the Linksys router, ensuring John receives specialized support and clarity on the callback time.</t>
  </si>
  <si>
    <t>The strongest technical touch was the agent’s thorough diagnostic approach, including checking IP configurations, connection types, and router settings, which laid a solid foundation for effective troubleshooting and escalation.</t>
  </si>
  <si>
    <t>reasonable troubleshooting was completed before escalating, including connection tests and adjustments to the router settings.</t>
  </si>
  <si>
    <t>Empathy was demonstrated by acknowledging the customer's frustration and fatigue from repeated contacts, validating their efforts in troubleshooting the issue.</t>
  </si>
  <si>
    <t>professionalism was maintained throughout the conversation, with the agent providing clear guidance, active listening, and respectful communication.</t>
  </si>
  <si>
    <t>patience was maintained throughout the call, even under pressure, as the agent calmly assisted the customer through complex troubleshooting steps and acknowledged their concerns.</t>
  </si>
  <si>
    <t>customer effort was reduced where possible by guiding John through troubleshooting steps and handling technical explanations clearly to ease his burden.</t>
  </si>
  <si>
    <t>the customer felt heard, understood the next steps clearly, and remained engaged throughout the call, fostering a collaborative troubleshooting experience.</t>
  </si>
  <si>
    <t>the agent was very detailed with her documentation</t>
  </si>
  <si>
    <t>John Clark Labadan ( L2 )</t>
  </si>
  <si>
    <t>Eppie Lou Lagumbay (L1)</t>
  </si>
  <si>
    <t xml:space="preserve">3 minutes 55 seconds (session) </t>
  </si>
  <si>
    <t>CAT agent John Clark called the customer, John Green, to discuss the router issues. the customer mentioned that his router had been cutting out and not connecting properly, but it is currently working again. He suspects that the modem provided by his ISP may be the cause of the issue. John requested a ticket number for future reference in case the problem recurs, and the agent provided him with the ticket number. John expressed gratitude for the assistance.</t>
  </si>
  <si>
    <t>The agent was informed of Mr. John Green's ongoing router disconnection issues and his suspicion that the modem may be causing the problem.</t>
  </si>
  <si>
    <t>The issue was already resolved by the customer prior callback.</t>
  </si>
  <si>
    <t>Reasonable troubleshooting was no longer necessary because the customer mention at the start of the call that the issue was already resolved.</t>
  </si>
  <si>
    <t xml:space="preserve"> the customer was advised to monitor the router's performance and to reference the provided ticket number if issues persist after the technician's visit.</t>
  </si>
  <si>
    <t>the resolution path was appropriate, considering the customer's ongoing issues and the upcoming technician visit to assess the modem.</t>
  </si>
  <si>
    <t xml:space="preserve"> the customer was moved closer to a solution by receiving a ticket number and scheduling a technician visit to address the suspected modem issue.</t>
  </si>
  <si>
    <t>resolution involved confirming that the customer's router was currently functional, providing a ticket number for future reference, and advising him to monitor the situation until the technician inspects the modem.</t>
  </si>
  <si>
    <t>the symptoms of intermittent connection issues and the need for resets were correctly identified by the customer during the call.</t>
  </si>
  <si>
    <t>the agent asked relevant questions to clarify the customer's issues with the router and its connectivity, ensuring a proper understanding of the problem.</t>
  </si>
  <si>
    <t>a logical troubleshooting methodology was followed, including assessing the router's functionality, discussing the modem's role, and providing a ticket number for tracking future issues.</t>
  </si>
  <si>
    <t>the agent appropriately used the ticketing system to provide a reference number for future calls, which helps streamline any follow-up troubleshooting.</t>
  </si>
  <si>
    <t>The agent did not discuss troubleshooting steps during the call.</t>
  </si>
  <si>
    <t>the agent did not make unsupported conclusions. Instead, they validated the customer's assumptions about the router and modem, ensuring that the discussion remained focused on the reported issues without jumping to conclusions.</t>
  </si>
  <si>
    <t>While the agent did not definitively identify the root cause of the issue, they acknowledged the customer's suspicions about the modem potentially being the problem. This shows an understanding of the situation without making unsupported claims.</t>
  </si>
  <si>
    <t>The agent effectively addressed the customer's issues, provided a correct ticket number, and validated the customer's concerns without making unsupported assumptions. They guided the conversation logically, ensuring clarity and relevance throughout.</t>
  </si>
  <si>
    <t>expectations were set clearly from the start. The agent introduced themselves, mentioned that the call was recorded for quality assurance, and confirmed the customer's identity. They also provided a ticket number for future reference, which helps set clear expectations for follow-up interactions.</t>
  </si>
  <si>
    <t>the agent maintained control of the troubleshooting flow effectively. He guided the conversation by asking relevant questions, acknowledging the customer's inputs, and ensuring that the discussion stayed on track regarding the issues with the router and modem. The agent's responses were structured and logical, which helped in managing the flow of the call.</t>
  </si>
  <si>
    <t xml:space="preserve"> the agent explained things in understandable, jargon-free language. They communicated clearly without using technical jargon that the customer might not understand, making it easier for Mr. Green to follow the conversation and grasp the information provided.</t>
  </si>
  <si>
    <t>the questions asked by the agent were purposeful and not repetitive. Each question aimed to gather specific information related to the customer's issue, ensuring the conversation was focused and efficient. The agent's inquiries helped clarify the situation without unnecessary repetition.</t>
  </si>
  <si>
    <t>The agent confirmed customer understanding by asking the customer to repeat the ticket number, ensuring clarity and accuracy.</t>
  </si>
  <si>
    <t>the agent effectively transitioned between troubleshooting steps and managed time well, keeping the conversation focused and concise while addressing Mr. Green's concerns without unnecessary delays.</t>
  </si>
  <si>
    <t>difficult moments were managed professionally. The agent remained calm and supportive while addressing the customer's connectivity issues, ensuring that the conversation stayed constructive and reassuring despite the customer's frustrations.</t>
  </si>
  <si>
    <t>The communication was adapted to the customer's accessibility needs. The agent used clear, simple language and confirmed understanding by having the customer repeat the ticket number, making it easier for him to follow along, which is especially helpful for customers who may have hearing challenges or may not be tech-savvy.</t>
  </si>
  <si>
    <t>ommunication and call control were effective. The agent maintained a friendly and professional tone, guiding the conversation smoothly while addressing the customer's concerns. Key points were clearly articulated, and the agent ensured the customer understood each step, which facilitated a structured and efficient interaction.</t>
  </si>
  <si>
    <t>the agent demonstrated accountability for the customer's outcome by actively listening to Mr. Green's issues, providing a ticket number for future reference, and assuring him that he could call back if problems persisted. This approach showed a commitment to resolving the customer's concerns thoroughly.</t>
  </si>
  <si>
    <t>The agent addressed the customer's concerns directly and provided the necessary information without escalating the call to another representative, which helped streamline the process and enhance the customer experience.</t>
  </si>
  <si>
    <t xml:space="preserve"> commitments made during the interaction were followed through. The agent provided Mr. Green with a ticket number for future reference, ensuring that he could easily follow up if issues persisted. This demonstrates the agent's intent to support the customer throughout the resolution process.</t>
  </si>
  <si>
    <t xml:space="preserve"> a clear path forward was created for the customer. The agent outlined the next steps, including the scheduled technician visit for the modem and the option to call back if the problem recurred, referencing the provided ticket number. This clarity helped Mr. Green understand how to proceed if issues arose in the future.</t>
  </si>
  <si>
    <t>The next actions were implied through the ticket number provided, which allows for easy reference in future interactions. However, the call did not explicitly document any follow-up actions beyond Mr. Green's plan to wait for the technician's visit. Overall, while the ticket number serves as a record, a more formal documentation of the next steps could enhance clarity.</t>
  </si>
  <si>
    <t xml:space="preserve"> realistic expectations were set during the conversation. The agent acknowledged Mr. Green's current issue and provided a ticket number for future reference, indicating that if the problem recurred, he could easily follow up. This informed Mr. Green about the process and what he could expect moving forward, including the technician's visit and potential future calls.</t>
  </si>
  <si>
    <t xml:space="preserve"> customer ownership was effectively established during the call. The agent took responsibility for addressing Mr. Green's concerns, provided a ticket number for easy reference, and encouraged him to reach out again if the issue persisted. This proactive approach empowered Mr. Green to manage his situation while feeling supported by Linksys, fostering a sense of partnership in resolving the ongoing router issues.</t>
  </si>
  <si>
    <t>Escalation / Callback was no longer needed as the customer confirmed the issue was already resolved.</t>
  </si>
  <si>
    <t>The agent effectively managed escalation by addressing current issues while empowering the customer to monitor the situation and use the ticket number for future reference.</t>
  </si>
  <si>
    <t>EmpathThe agent demonstrated empathy by acknowledging Mr. Green's cumulative effort and fatigue from repeated contacts, ensuring he felt heard and supported in managing his ongoing router issues.</t>
  </si>
  <si>
    <t>professioprofessionalism was maintained throughout the call, as the agent communicated clearly, confirmed understanding, and provided assistance without unnecessary jargon, creating a respectful and supportive interaction.</t>
  </si>
  <si>
    <t>the agent adapted their communication style to the customer by using clear language, confirming understanding, and patiently guiding him through the ticket number process, ensuring an accessible and effective conversation.</t>
  </si>
  <si>
    <t>the agent maintained patience throughout your call, even under pressure, taking the time to ensure you understood each step and addressing your concerns without rushing the conversation.</t>
  </si>
  <si>
    <t>customer effort was reduced where possible, as the agent provided clear instructions and a ticket number for future reference, allowing you to avoid repeating steps if issues arose again.</t>
  </si>
  <si>
    <t>the customer felt heard during the conversation, as the agent actively listened to your concerns, ensured you understood the next steps, and kept you engaged throughout the discussion by confirming details and providing support.</t>
  </si>
  <si>
    <t>customer experience was positive, marked by effective communication, empathy from the agent, clear guidance on next steps, and a reassuring approach that made you feel supported and understood regarding your router issues.</t>
  </si>
  <si>
    <t>RESOLVED status was set because the acutal issue was already fixed.</t>
  </si>
  <si>
    <t>Technical notes excellent; privates notes were detailed</t>
  </si>
  <si>
    <t>Within SLA</t>
  </si>
  <si>
    <t>2 of 2 ( Final )</t>
  </si>
  <si>
    <t>Successful Resolution</t>
  </si>
  <si>
    <t>While the immediate issue with the customer's router was temporarily resolved, a successful long-term resolution will depend on the technician's visit and whether the problem recurs. The agent provided you with a ticket number for future reference, which sets the stage for continued support if needed.</t>
  </si>
  <si>
    <t>1 of 2</t>
  </si>
  <si>
    <t>The customer experienced malfunctioning with his Wi-Fi 6 router, which was unable to detect an Ethernet connection, leading to unstable Internet access. Despite attempts to reset the device and troubleshoot, the issue persisted. **Customer Goal:** John's primary goal was to determine whether the router was defective and to find a service center for repair, while also verifying its warranty status. Additionally, he sought to stabilize his Internet connection.</t>
  </si>
  <si>
    <t>This is the customer's initial contact to deal with the SPNMX56 issue.</t>
  </si>
  <si>
    <t>the customer was moved meaningfully closer to a solution by escalating the issue to a level two technician, ensuring specialized support and a scheduled callback for further assistance.</t>
  </si>
  <si>
    <t>the symptoms were identified correctly, as the agent accurately diagnosed the router's malfunction and persistent connection issues during the call.</t>
  </si>
  <si>
    <t>relevant diagnostic questions were asked, enabling the agent to effectively troubleshoot the router's issues and gather necessary information for escalation.</t>
  </si>
  <si>
    <t>a logical troubleshooting methodology was followed, as the agent systematically checked connections, reset the router, and verified settings before deciding to escalate the issue.</t>
  </si>
  <si>
    <t>the available tools were used appropriately, including the router's settings interface and diagnostic checks, to troubleshoot the connection issues effectively.</t>
  </si>
  <si>
    <t>the information provided was technically accurate, ensuring that both the agent and John understood the router's configuration and troubleshooting steps clearly.</t>
  </si>
  <si>
    <t>assumptions were validated throughout the call, with the agent avoiding unsupported conclusions by relying on diagnostic results and John's input.</t>
  </si>
  <si>
    <t>the likely cause of the issue was identified as a potential problem with the router's Ethernet ports and connection setup, leading to appropriate escalation for further investigation.</t>
  </si>
  <si>
    <t xml:space="preserve"> expectations were set clearly from the start, with the agent outlining the troubleshooting process and the need for further escalation if issues persisted.</t>
  </si>
  <si>
    <t>the agent explained actions in clear, jargon-free language, ensuring John understood each step of the troubleshooting process.</t>
  </si>
  <si>
    <t>the agent's questions were purposeful and focused, avoiding repetition while effectively gathering necessary information for troubleshooting.</t>
  </si>
  <si>
    <t>customer understanding was confirmed at key points through clarifying questions and summarizations of the steps taken during the call.</t>
  </si>
  <si>
    <t>there were clear transitions between troubleshooting steps, demonstrating effective time management throughout the call.</t>
  </si>
  <si>
    <t>difficult moments were managed professionally, with the agent remaining calm and supportive while addressing John's concerns and frustrations.</t>
  </si>
  <si>
    <t>the communication was adapted to John's needs, using clear language and confirming understanding to accommodate any accessibility challenges.</t>
  </si>
  <si>
    <t>communication was clear and effective, with the agent actively listening to John's concerns and providing step-by-step guidance. Call control was well-managed, as the agent maintained focus on troubleshooting while ensuring John felt supported and engaged throughout the conversation.</t>
  </si>
  <si>
    <t>the agent demonstrated accountability for the customer's outcome by actively engaging in troubleshooting, escalating the issue, and ensuring a follow-up for resolution.</t>
  </si>
  <si>
    <t>unnecessary transfers were avoided, as the agent handled the troubleshooting and escalation efficiently within the same call.</t>
  </si>
  <si>
    <t xml:space="preserve"> clear path forward was created for the customer by outlining the next steps and scheduling a follow-up with a level two technician.</t>
  </si>
  <si>
    <t>realistic expectations were set by informing John of the callback timeframe and the need for further troubleshooting with a level two technician.</t>
  </si>
  <si>
    <t>commitments made during the interaction were followed through, with the agent scheduling a callback for further support as promised.</t>
  </si>
  <si>
    <t xml:space="preserve"> callback commitments were met within the agreed window, as the agent confirmed a follow-up call for 9 PM Hong Kong time, ensuring John was informed and comfortable with the arrangement.</t>
  </si>
  <si>
    <t>the customer ownership was effectively demonstrated as the agent took responsibility for resolving the issue, maintained clear communication, and ensured the customer was informed and involved throughout the troubleshooting process.</t>
  </si>
  <si>
    <t>legitimate escalation criteria were identified, including ongoing connectivity issues and the customer's dissatisfaction with previous support from the service provider.</t>
  </si>
  <si>
    <t>the escalation judgment was sound, as the agent recognized the need for advanced troubleshooting after exhausting basic diagnostic steps and ensured the customer was informed and prepared for the next steps.</t>
  </si>
  <si>
    <t>The agent save private notes containing the detailed summary of the call for the Level 2 easy undrersrtanding of the issue.</t>
  </si>
  <si>
    <t>customer expectations regarding the escalation were set appropriately, as the agent clearly explained the need for advanced troubleshooting by a level two technician and confirmed the timeline for the callback.</t>
  </si>
  <si>
    <t>the correct escalation path was chosen. The agent identified that John's issues required advanced troubleshooting beyond their current capabilities and appropriately escalated the case to a level two technician for further assistance.</t>
  </si>
  <si>
    <t xml:space="preserve"> the communication style was adapted to the customer, using clear and simple language while ensuring the customer felt supported and understood throughout the troubleshooting process.</t>
  </si>
  <si>
    <t>the customer experience was positive, characterized by effective communication, thorough troubleshooting, and a supportive approach that left John feeling valued and confident in the resolution process.</t>
  </si>
  <si>
    <t>ESCALATED status was set based on the process.</t>
  </si>
  <si>
    <t>John Clark Labadan</t>
  </si>
  <si>
    <t>The agent confirmed that the Linksys router was communicating with the modem, but the intermittent connection issues suggested a potential fault with the router. - A level two technician will be contacting John for advanced troubleshooting, with a callback scheduled for 9 PM Hong Kong time. - John was informed to keep the equipment connected as is until the technician's call.</t>
  </si>
  <si>
    <t>The customer has confirmed during the call that the router was already functional andhad arrnaged for ISP visit for modem check.</t>
  </si>
  <si>
    <t>Argie Gucor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</si>
</sst>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7" x14ac:knownFonts="1">
    <font>
      <sz val="11"/>
      <color theme="1"/>
      <name val="Calibri"/>
      <family val="2"/>
      <scheme val="minor"/>
    </font>
    <font>
      <b/>
      <sz val="16"/>
      <color rgb="FFFFFFFF"/>
      <name val="Calibri"/>
      <family val="2"/>
    </font>
    <font>
      <i/>
      <sz val="10"/>
      <color rgb="FFFFFFFF"/>
      <name val="Calibri"/>
      <family val="2"/>
    </font>
    <font>
      <b/>
      <sz val="11"/>
      <color rgb="FFFFFFFF"/>
      <name val="Calibri"/>
      <family val="2"/>
    </font>
    <font>
      <b/>
      <sz val="11"/>
      <color rgb="FF1F3864"/>
      <name val="Calibri"/>
      <family val="2"/>
    </font>
    <font>
      <sz val="11"/>
      <color rgb="FF000000"/>
      <name val="Calibri"/>
      <family val="2"/>
    </font>
    <font>
      <i/>
      <sz val="11"/>
      <color rgb="FF1F3864"/>
      <name val="Calibri"/>
      <family val="2"/>
    </font>
    <font>
      <b/>
      <sz val="11"/>
      <color rgb="FF000000"/>
      <name val="Calibri"/>
      <family val="2"/>
    </font>
    <font>
      <i/>
      <sz val="9"/>
      <color rgb="FF595959"/>
      <name val="Calibri"/>
      <family val="2"/>
    </font>
    <font>
      <b/>
      <sz val="12"/>
      <color rgb="FF000000"/>
      <name val="Calibri"/>
      <family val="2"/>
    </font>
    <font>
      <i/>
      <sz val="11"/>
      <color rgb="FF595959"/>
      <name val="Calibri"/>
      <family val="2"/>
    </font>
    <font>
      <b/>
      <sz val="13"/>
      <color rgb="FFFFFFFF"/>
      <name val="Calibri"/>
      <family val="2"/>
    </font>
    <font>
      <b/>
      <sz val="11"/>
      <color rgb="FF006100"/>
      <name val="Calibri"/>
      <family val="2"/>
    </font>
    <font>
      <sz val="11"/>
      <color rgb="FF006100"/>
      <name val="Calibri"/>
      <family val="2"/>
    </font>
    <font>
      <b/>
      <sz val="11"/>
      <color rgb="FF9C6500"/>
      <name val="Calibri"/>
      <family val="2"/>
    </font>
    <font>
      <sz val="11"/>
      <color rgb="FF9C6500"/>
      <name val="Calibri"/>
      <family val="2"/>
    </font>
    <font>
      <b/>
      <sz val="11"/>
      <color rgb="FF9C0006"/>
      <name val="Calibri"/>
      <family val="2"/>
    </font>
    <font>
      <sz val="11"/>
      <color rgb="FF9C0006"/>
      <name val="Calibri"/>
      <family val="2"/>
    </font>
    <font>
      <b/>
      <sz val="12"/>
      <color rgb="FFFFFFFF"/>
      <name val="Calibri"/>
      <family val="2"/>
    </font>
    <font>
      <i/>
      <sz val="11"/>
      <color rgb="FFFFFFFF"/>
      <name val="Calibri"/>
      <family val="2"/>
    </font>
    <font>
      <b/>
      <sz val="11"/>
      <color rgb="FF595959"/>
      <name val="Calibri"/>
      <family val="2"/>
    </font>
    <font>
      <b/>
      <sz val="48"/>
      <color rgb="FF9C0006"/>
      <name val="Calibri"/>
      <family val="2"/>
    </font>
    <font>
      <b/>
      <sz val="22"/>
      <color rgb="FF9C0006"/>
      <name val="Calibri"/>
      <family val="2"/>
    </font>
    <font>
      <b/>
      <sz val="16"/>
      <color rgb="FF9C0006"/>
      <name val="Calibri"/>
      <family val="2"/>
    </font>
    <font>
      <b/>
      <sz val="10"/>
      <color rgb="FFFFFFFF"/>
      <name val="Calibri"/>
      <family val="2"/>
    </font>
    <font>
      <b/>
      <sz val="13"/>
      <color rgb="FF1F3864"/>
      <name val="Calibri"/>
      <family val="2"/>
    </font>
    <font>
      <i/>
      <sz val="11"/>
      <color rgb="FF1F3864"/>
      <name val="Calibri"/>
      <family val="2"/>
    </font>
  </fonts>
  <fills count="13">
    <fill>
      <patternFill patternType="none"/>
    </fill>
    <fill>
      <patternFill patternType="gray125"/>
    </fill>
    <fill>
      <patternFill patternType="solid">
        <fgColor rgb="FF1F3864"/>
      </patternFill>
    </fill>
    <fill>
      <patternFill patternType="solid">
        <fgColor rgb="FF2E5496"/>
      </patternFill>
    </fill>
    <fill>
      <patternFill patternType="solid">
        <fgColor rgb="FFD9E1F2"/>
      </patternFill>
    </fill>
    <fill>
      <patternFill patternType="solid">
        <fgColor rgb="FFFFF2CC"/>
      </patternFill>
    </fill>
    <fill>
      <patternFill patternType="solid">
        <fgColor rgb="FFEAF0FB"/>
      </patternFill>
    </fill>
    <fill>
      <patternFill patternType="solid">
        <fgColor rgb="FFFFFFFF"/>
      </patternFill>
    </fill>
    <fill>
      <patternFill patternType="solid">
        <fgColor rgb="FFF2F2F2"/>
      </patternFill>
    </fill>
    <fill>
      <patternFill patternType="solid">
        <fgColor rgb="FFC00000"/>
      </patternFill>
    </fill>
    <fill>
      <patternFill patternType="solid">
        <fgColor rgb="FFC6EFCE"/>
      </patternFill>
    </fill>
    <fill>
      <patternFill patternType="solid">
        <fgColor rgb="FFFFEB9C"/>
      </patternFill>
    </fill>
    <fill>
      <patternFill patternType="solid">
        <fgColor rgb="FFFFC7CE"/>
      </patternFill>
    </fill>
  </fills>
  <borders count="10">
    <border>
      <left/>
      <right/>
      <top/>
      <bottom/>
      <diagonal/>
    </border>
    <border>
      <left style="medium">
        <color rgb="FF808080"/>
      </left>
      <right style="medium">
        <color rgb="FF808080"/>
      </right>
      <top style="medium">
        <color rgb="FF808080"/>
      </top>
      <bottom style="medium">
        <color rgb="FF808080"/>
      </bottom>
      <diagonal/>
    </border>
    <border>
      <left style="thin">
        <color rgb="FFBFBFBF"/>
      </left>
      <right style="thin">
        <color rgb="FFBFBFBF"/>
      </right>
      <top style="thin">
        <color rgb="FFBFBFBF"/>
      </top>
      <bottom style="thin">
        <color rgb="FFBFBFBF"/>
      </bottom>
      <diagonal/>
    </border>
    <border>
      <left/>
      <right/>
      <top style="medium">
        <color rgb="FF808080"/>
      </top>
      <bottom style="medium">
        <color rgb="FF808080"/>
      </bottom>
      <diagonal/>
    </border>
    <border>
      <left/>
      <right style="medium">
        <color rgb="FF808080"/>
      </right>
      <top style="medium">
        <color rgb="FF808080"/>
      </top>
      <bottom style="medium">
        <color rgb="FF808080"/>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ck">
        <color rgb="FF1F3864"/>
      </left>
      <right style="thick">
        <color rgb="FF1F3864"/>
      </right>
      <top style="thick">
        <color rgb="FF1F3864"/>
      </top>
      <bottom style="thick">
        <color rgb="FF1F3864"/>
      </bottom>
      <diagonal/>
    </border>
    <border>
      <left/>
      <right/>
      <top style="thick">
        <color rgb="FF1F3864"/>
      </top>
      <bottom style="thick">
        <color rgb="FF1F3864"/>
      </bottom>
      <diagonal/>
    </border>
    <border>
      <left/>
      <right style="thick">
        <color rgb="FF1F3864"/>
      </right>
      <top style="thick">
        <color rgb="FF1F3864"/>
      </top>
      <bottom style="thick">
        <color rgb="FF1F3864"/>
      </bottom>
      <diagonal/>
    </border>
  </borders>
  <cellStyleXfs count="1">
    <xf numFmtId="0" fontId="0" fillId="0" borderId="0"/>
  </cellStyleXfs>
  <cellXfs count="123">
    <xf numFmtId="0" fontId="0" fillId="0" borderId="0" xfId="0"/>
    <xf numFmtId="0" fontId="3" fillId="3" borderId="1" xfId="0" applyFont="1" applyFill="1" applyBorder="1" applyAlignment="1">
      <alignment horizontal="left" vertical="center"/>
    </xf>
    <xf numFmtId="0" fontId="4" fillId="4" borderId="2" xfId="0" applyFont="1" applyFill="1" applyBorder="1" applyAlignment="1">
      <alignment horizontal="left" vertical="center"/>
    </xf>
    <xf numFmtId="0" fontId="5" fillId="5" borderId="2" xfId="0" applyFont="1" applyFill="1" applyBorder="1" applyAlignment="1">
      <alignment horizontal="left" vertical="center"/>
    </xf>
    <xf numFmtId="0" fontId="4" fillId="4" borderId="2" xfId="0" applyFont="1" applyFill="1" applyBorder="1" applyAlignment="1">
      <alignment horizontal="left" vertical="center" wrapText="1"/>
    </xf>
    <xf numFmtId="0" fontId="3" fillId="2" borderId="1" xfId="0" applyFont="1" applyFill="1" applyBorder="1" applyAlignment="1">
      <alignment horizontal="left" vertical="center"/>
    </xf>
    <xf numFmtId="0" fontId="3" fillId="3" borderId="1" xfId="0" applyFont="1" applyFill="1" applyBorder="1" applyAlignment="1">
      <alignment horizontal="right" vertical="center"/>
    </xf>
    <xf numFmtId="0" fontId="4" fillId="4" borderId="2" xfId="0" applyFont="1" applyFill="1" applyBorder="1" applyAlignment="1">
      <alignment horizontal="center" vertical="center"/>
    </xf>
    <xf numFmtId="0" fontId="5" fillId="7" borderId="2" xfId="0" applyFont="1" applyFill="1" applyBorder="1" applyAlignment="1">
      <alignment horizontal="left" vertical="center" wrapText="1"/>
    </xf>
    <xf numFmtId="0" fontId="7" fillId="5" borderId="2" xfId="0" applyFont="1" applyFill="1" applyBorder="1" applyAlignment="1">
      <alignment horizontal="center" vertical="center"/>
    </xf>
    <xf numFmtId="0" fontId="5" fillId="8" borderId="2" xfId="0" applyFont="1" applyFill="1" applyBorder="1" applyAlignment="1">
      <alignment horizontal="left" vertical="center" wrapText="1"/>
    </xf>
    <xf numFmtId="0" fontId="8" fillId="6" borderId="2" xfId="0" applyFont="1" applyFill="1" applyBorder="1" applyAlignment="1">
      <alignment horizontal="right" vertical="center" wrapText="1"/>
    </xf>
    <xf numFmtId="164" fontId="6" fillId="6" borderId="2" xfId="0" applyNumberFormat="1" applyFont="1" applyFill="1" applyBorder="1" applyAlignment="1">
      <alignment horizontal="center" vertical="center"/>
    </xf>
    <xf numFmtId="0" fontId="4" fillId="4" borderId="2" xfId="0" applyFont="1" applyFill="1" applyBorder="1" applyAlignment="1">
      <alignment horizontal="right" vertical="center"/>
    </xf>
    <xf numFmtId="0" fontId="9" fillId="5" borderId="2" xfId="0" applyFont="1" applyFill="1" applyBorder="1" applyAlignment="1">
      <alignment horizontal="center" vertical="center"/>
    </xf>
    <xf numFmtId="0" fontId="3" fillId="3" borderId="1" xfId="0" applyFont="1" applyFill="1" applyBorder="1" applyAlignment="1">
      <alignment horizontal="center" vertical="center"/>
    </xf>
    <xf numFmtId="0" fontId="5" fillId="7" borderId="2" xfId="0" applyFont="1" applyFill="1" applyBorder="1" applyAlignment="1">
      <alignment horizontal="left" vertical="center"/>
    </xf>
    <xf numFmtId="9" fontId="4" fillId="7" borderId="2" xfId="0" applyNumberFormat="1" applyFont="1" applyFill="1" applyBorder="1" applyAlignment="1">
      <alignment horizontal="center" vertical="center"/>
    </xf>
    <xf numFmtId="0" fontId="7" fillId="7" borderId="2" xfId="0" applyFont="1" applyFill="1" applyBorder="1" applyAlignment="1">
      <alignment horizontal="center" vertical="center"/>
    </xf>
    <xf numFmtId="165" fontId="5" fillId="7" borderId="2" xfId="0" applyNumberFormat="1" applyFont="1" applyFill="1" applyBorder="1" applyAlignment="1">
      <alignment horizontal="center" vertical="center"/>
    </xf>
    <xf numFmtId="0" fontId="5" fillId="7" borderId="2" xfId="0" applyFont="1" applyFill="1" applyBorder="1" applyAlignment="1">
      <alignment horizontal="center" vertical="center"/>
    </xf>
    <xf numFmtId="0" fontId="5" fillId="8" borderId="2" xfId="0" applyFont="1" applyFill="1" applyBorder="1" applyAlignment="1">
      <alignment horizontal="left" vertical="center"/>
    </xf>
    <xf numFmtId="9" fontId="4" fillId="8" borderId="2" xfId="0" applyNumberFormat="1" applyFont="1" applyFill="1" applyBorder="1" applyAlignment="1">
      <alignment horizontal="center" vertical="center"/>
    </xf>
    <xf numFmtId="0" fontId="7" fillId="8" borderId="2" xfId="0" applyFont="1" applyFill="1" applyBorder="1" applyAlignment="1">
      <alignment horizontal="center" vertical="center"/>
    </xf>
    <xf numFmtId="165" fontId="5" fillId="8" borderId="2" xfId="0" applyNumberFormat="1" applyFont="1" applyFill="1" applyBorder="1" applyAlignment="1">
      <alignment horizontal="center" vertical="center"/>
    </xf>
    <xf numFmtId="0" fontId="5" fillId="8" borderId="2" xfId="0" applyFont="1" applyFill="1" applyBorder="1" applyAlignment="1">
      <alignment horizontal="center" vertical="center"/>
    </xf>
    <xf numFmtId="9" fontId="3" fillId="2" borderId="1" xfId="0" applyNumberFormat="1" applyFont="1" applyFill="1" applyBorder="1" applyAlignment="1">
      <alignment horizontal="center" vertical="center"/>
    </xf>
    <xf numFmtId="0" fontId="0" fillId="2" borderId="1" xfId="0" applyFill="1" applyBorder="1"/>
    <xf numFmtId="165" fontId="11" fillId="2" borderId="1" xfId="0" applyNumberFormat="1" applyFont="1" applyFill="1" applyBorder="1" applyAlignment="1">
      <alignment horizontal="center" vertical="center"/>
    </xf>
    <xf numFmtId="0" fontId="3" fillId="2" borderId="1" xfId="0" applyFont="1" applyFill="1" applyBorder="1" applyAlignment="1">
      <alignment horizontal="center" vertical="center"/>
    </xf>
    <xf numFmtId="0" fontId="3" fillId="9" borderId="1" xfId="0" applyFont="1" applyFill="1" applyBorder="1" applyAlignment="1">
      <alignment horizontal="left" vertical="center"/>
    </xf>
    <xf numFmtId="0" fontId="4" fillId="7" borderId="2" xfId="0" applyFont="1" applyFill="1" applyBorder="1" applyAlignment="1">
      <alignment horizontal="center" vertical="center"/>
    </xf>
    <xf numFmtId="0" fontId="4" fillId="8" borderId="2" xfId="0" applyFont="1" applyFill="1" applyBorder="1" applyAlignment="1">
      <alignment horizontal="center" vertical="center"/>
    </xf>
    <xf numFmtId="0" fontId="4" fillId="7" borderId="2" xfId="0" applyFont="1" applyFill="1" applyBorder="1" applyAlignment="1">
      <alignment horizontal="left" vertical="center" wrapText="1"/>
    </xf>
    <xf numFmtId="0" fontId="4" fillId="6"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12" fillId="10" borderId="2" xfId="0" applyFont="1" applyFill="1" applyBorder="1" applyAlignment="1">
      <alignment horizontal="center" vertical="center"/>
    </xf>
    <xf numFmtId="0" fontId="14" fillId="11" borderId="2" xfId="0" applyFont="1" applyFill="1" applyBorder="1" applyAlignment="1">
      <alignment horizontal="center" vertical="center"/>
    </xf>
    <xf numFmtId="0" fontId="16" fillId="12" borderId="2" xfId="0" applyFont="1" applyFill="1" applyBorder="1" applyAlignment="1">
      <alignment horizontal="center" vertical="center"/>
    </xf>
    <xf numFmtId="0" fontId="16" fillId="7" borderId="2" xfId="0" applyFont="1" applyFill="1" applyBorder="1" applyAlignment="1">
      <alignment horizontal="left" vertical="center" wrapText="1"/>
    </xf>
    <xf numFmtId="0" fontId="16" fillId="8" borderId="2" xfId="0" applyFont="1" applyFill="1" applyBorder="1" applyAlignment="1">
      <alignment horizontal="left" vertical="center" wrapText="1"/>
    </xf>
    <xf numFmtId="0" fontId="12" fillId="7" borderId="2" xfId="0" applyFont="1" applyFill="1" applyBorder="1" applyAlignment="1">
      <alignment horizontal="left" vertical="center" wrapText="1"/>
    </xf>
    <xf numFmtId="0" fontId="12" fillId="6" borderId="2" xfId="0" applyFont="1" applyFill="1" applyBorder="1" applyAlignment="1">
      <alignment horizontal="left" vertical="center" wrapText="1"/>
    </xf>
    <xf numFmtId="0" fontId="3" fillId="3" borderId="1" xfId="0" applyFont="1" applyFill="1" applyBorder="1" applyAlignment="1">
      <alignment horizontal="center" vertical="center" wrapText="1"/>
    </xf>
    <xf numFmtId="0" fontId="5" fillId="5" borderId="2" xfId="0" applyFont="1" applyFill="1" applyBorder="1" applyAlignment="1">
      <alignment horizontal="center" vertical="center"/>
    </xf>
    <xf numFmtId="165" fontId="7" fillId="7" borderId="2" xfId="0" applyNumberFormat="1" applyFont="1" applyFill="1" applyBorder="1" applyAlignment="1">
      <alignment horizontal="center" vertical="center"/>
    </xf>
    <xf numFmtId="165" fontId="7" fillId="8" borderId="2" xfId="0" applyNumberFormat="1" applyFont="1" applyFill="1" applyBorder="1" applyAlignment="1">
      <alignment horizontal="center" vertical="center"/>
    </xf>
    <xf numFmtId="164" fontId="3" fillId="2" borderId="1" xfId="0" applyNumberFormat="1" applyFont="1" applyFill="1" applyBorder="1" applyAlignment="1">
      <alignment horizontal="center" vertical="center"/>
    </xf>
    <xf numFmtId="165" fontId="18" fillId="2" borderId="1" xfId="0" applyNumberFormat="1" applyFont="1" applyFill="1" applyBorder="1" applyAlignment="1">
      <alignment horizontal="center" vertical="center"/>
    </xf>
    <xf numFmtId="0" fontId="19" fillId="2" borderId="1" xfId="0" applyFont="1" applyFill="1" applyBorder="1" applyAlignment="1">
      <alignment horizontal="left" vertical="center"/>
    </xf>
    <xf numFmtId="0" fontId="4" fillId="6" borderId="2" xfId="0" applyFont="1" applyFill="1" applyBorder="1" applyAlignment="1">
      <alignment horizontal="left" vertical="center"/>
    </xf>
    <xf numFmtId="165" fontId="9" fillId="8" borderId="2" xfId="0" applyNumberFormat="1" applyFont="1" applyFill="1" applyBorder="1" applyAlignment="1">
      <alignment horizontal="center" vertical="center"/>
    </xf>
    <xf numFmtId="165" fontId="9" fillId="7" borderId="2" xfId="0" applyNumberFormat="1" applyFont="1" applyFill="1" applyBorder="1" applyAlignment="1">
      <alignment horizontal="center" vertical="center"/>
    </xf>
    <xf numFmtId="0" fontId="4" fillId="7"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5" fillId="8" borderId="2" xfId="0" applyFont="1" applyFill="1" applyBorder="1" applyAlignment="1">
      <alignment horizontal="left" vertical="top" wrapText="1"/>
    </xf>
    <xf numFmtId="0" fontId="4" fillId="7" borderId="2" xfId="0" applyFont="1" applyFill="1" applyBorder="1" applyAlignment="1">
      <alignment horizontal="left" vertical="top"/>
    </xf>
    <xf numFmtId="0" fontId="4" fillId="8" borderId="2" xfId="0" applyFont="1" applyFill="1" applyBorder="1" applyAlignment="1">
      <alignment horizontal="left" vertical="top"/>
    </xf>
    <xf numFmtId="0" fontId="20" fillId="7" borderId="7" xfId="0" applyFont="1" applyFill="1" applyBorder="1" applyAlignment="1">
      <alignment horizontal="center" vertical="top"/>
    </xf>
    <xf numFmtId="9" fontId="21" fillId="7" borderId="7" xfId="0" applyNumberFormat="1" applyFont="1" applyFill="1" applyBorder="1" applyAlignment="1">
      <alignment horizontal="center" vertical="center"/>
    </xf>
    <xf numFmtId="0" fontId="22" fillId="7" borderId="7" xfId="0" applyFont="1" applyFill="1" applyBorder="1" applyAlignment="1">
      <alignment horizontal="center" vertical="center"/>
    </xf>
    <xf numFmtId="0" fontId="23" fillId="7" borderId="7" xfId="0" applyFont="1" applyFill="1" applyBorder="1" applyAlignment="1">
      <alignment horizontal="center" vertical="center" wrapText="1"/>
    </xf>
    <xf numFmtId="0" fontId="24" fillId="3" borderId="7" xfId="0" applyFont="1" applyFill="1" applyBorder="1" applyAlignment="1">
      <alignment horizontal="center" vertical="center" wrapText="1"/>
    </xf>
    <xf numFmtId="0" fontId="25" fillId="6" borderId="7" xfId="0" applyFont="1" applyFill="1" applyBorder="1" applyAlignment="1">
      <alignment horizontal="center" vertical="center" wrapText="1"/>
    </xf>
    <xf numFmtId="0" fontId="25" fillId="6" borderId="7" xfId="0" applyFont="1" applyFill="1" applyBorder="1" applyAlignment="1">
      <alignment horizontal="center" vertical="center"/>
    </xf>
    <xf numFmtId="2" fontId="9" fillId="7" borderId="2" xfId="0" applyNumberFormat="1" applyFont="1" applyFill="1" applyBorder="1" applyAlignment="1">
      <alignment horizontal="center" vertical="center"/>
    </xf>
    <xf numFmtId="2" fontId="9" fillId="8" borderId="2" xfId="0" applyNumberFormat="1" applyFont="1" applyFill="1" applyBorder="1" applyAlignment="1">
      <alignment horizontal="center" vertical="center"/>
    </xf>
    <xf numFmtId="0" fontId="3" fillId="3" borderId="2" xfId="0" applyFont="1" applyFill="1" applyBorder="1" applyAlignment="1">
      <alignment horizontal="left" vertical="center" wrapText="1"/>
    </xf>
    <xf numFmtId="0" fontId="3" fillId="3" borderId="2" xfId="0" applyFont="1" applyFill="1" applyBorder="1" applyAlignment="1">
      <alignment horizontal="center" vertical="center" wrapText="1"/>
    </xf>
    <xf numFmtId="14" fontId="5" fillId="5" borderId="2" xfId="0" applyNumberFormat="1" applyFont="1" applyFill="1" applyBorder="1" applyAlignment="1">
      <alignment horizontal="center" vertical="center"/>
    </xf>
    <xf numFmtId="0" fontId="8" fillId="7" borderId="2" xfId="0" applyFont="1" applyFill="1" applyBorder="1" applyAlignment="1">
      <alignment horizontal="left" vertical="center" wrapText="1"/>
    </xf>
    <xf numFmtId="0" fontId="0" fillId="0" borderId="5" xfId="0" applyBorder="1"/>
    <xf numFmtId="0" fontId="0" fillId="0" borderId="6" xfId="0" applyBorder="1"/>
    <xf numFmtId="0" fontId="18" fillId="9" borderId="1" xfId="0" applyFont="1" applyFill="1" applyBorder="1" applyAlignment="1">
      <alignment horizontal="center" vertical="center"/>
    </xf>
    <xf numFmtId="0" fontId="0" fillId="0" borderId="3" xfId="0" applyBorder="1"/>
    <xf numFmtId="0" fontId="0" fillId="0" borderId="4" xfId="0" applyBorder="1"/>
    <xf numFmtId="0" fontId="3" fillId="2" borderId="1" xfId="0" applyFont="1" applyFill="1" applyBorder="1" applyAlignment="1">
      <alignment horizontal="left" vertical="center"/>
    </xf>
    <xf numFmtId="0" fontId="5" fillId="5" borderId="2" xfId="0" applyFont="1" applyFill="1" applyBorder="1" applyAlignment="1">
      <alignment horizontal="left" vertical="center" wrapText="1"/>
    </xf>
    <xf numFmtId="0" fontId="5" fillId="5" borderId="2" xfId="0" applyFont="1" applyFill="1" applyBorder="1" applyAlignment="1">
      <alignment horizontal="left" vertical="center"/>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1" fillId="2" borderId="1" xfId="0" applyFont="1" applyFill="1" applyBorder="1" applyAlignment="1">
      <alignment horizontal="center" vertical="center"/>
    </xf>
    <xf numFmtId="0" fontId="4" fillId="8" borderId="2" xfId="0" applyFont="1" applyFill="1" applyBorder="1" applyAlignment="1">
      <alignment horizontal="left" vertical="center" wrapText="1"/>
    </xf>
    <xf numFmtId="0" fontId="6" fillId="6" borderId="1" xfId="0" applyFont="1" applyFill="1" applyBorder="1" applyAlignment="1">
      <alignment horizontal="left" vertical="center" wrapText="1"/>
    </xf>
    <xf numFmtId="0" fontId="11" fillId="2" borderId="1" xfId="0" applyFont="1" applyFill="1" applyBorder="1" applyAlignment="1">
      <alignment horizontal="center" vertical="center"/>
    </xf>
    <xf numFmtId="0" fontId="5" fillId="8" borderId="2" xfId="0" applyFont="1" applyFill="1" applyBorder="1" applyAlignment="1">
      <alignment horizontal="left" vertical="center" wrapText="1"/>
    </xf>
    <xf numFmtId="0" fontId="2" fillId="3" borderId="1" xfId="0" applyFont="1" applyFill="1" applyBorder="1" applyAlignment="1">
      <alignment horizontal="left" vertical="center"/>
    </xf>
    <xf numFmtId="0" fontId="1" fillId="2" borderId="1" xfId="0" applyFont="1" applyFill="1" applyBorder="1" applyAlignment="1">
      <alignment horizontal="center" vertical="top"/>
    </xf>
    <xf numFmtId="0" fontId="3" fillId="9" borderId="1" xfId="0" applyFont="1" applyFill="1" applyBorder="1" applyAlignment="1">
      <alignment horizontal="left" vertical="top"/>
    </xf>
    <xf numFmtId="0" fontId="3" fillId="3" borderId="1" xfId="0" applyFont="1" applyFill="1" applyBorder="1" applyAlignment="1">
      <alignment horizontal="left" vertical="top"/>
    </xf>
    <xf numFmtId="0" fontId="5" fillId="8" borderId="2" xfId="0" applyFont="1" applyFill="1" applyBorder="1" applyAlignment="1">
      <alignment horizontal="left" vertical="top" wrapText="1"/>
    </xf>
    <xf numFmtId="0" fontId="5" fillId="7" borderId="2" xfId="0" applyFont="1" applyFill="1" applyBorder="1" applyAlignment="1">
      <alignment horizontal="left" vertical="top" wrapText="1"/>
    </xf>
    <xf numFmtId="0" fontId="2" fillId="2" borderId="1" xfId="0" applyFont="1" applyFill="1" applyBorder="1" applyAlignment="1">
      <alignment horizontal="center" vertical="top" wrapText="1"/>
    </xf>
    <xf numFmtId="0" fontId="6" fillId="6" borderId="1" xfId="0" applyFont="1" applyFill="1" applyBorder="1" applyAlignment="1">
      <alignment horizontal="left" vertical="top" wrapText="1"/>
    </xf>
    <xf numFmtId="0" fontId="5" fillId="7" borderId="2" xfId="0" applyFont="1" applyFill="1" applyBorder="1" applyAlignment="1">
      <alignment horizontal="left" vertical="center" wrapText="1"/>
    </xf>
    <xf numFmtId="0" fontId="0" fillId="6" borderId="2" xfId="0" applyFill="1" applyBorder="1"/>
    <xf numFmtId="0" fontId="6" fillId="6" borderId="2" xfId="0" applyFont="1" applyFill="1" applyBorder="1" applyAlignment="1">
      <alignment horizontal="left" vertical="center" wrapText="1"/>
    </xf>
    <xf numFmtId="0" fontId="4" fillId="4" borderId="2" xfId="0" applyFont="1" applyFill="1" applyBorder="1" applyAlignment="1">
      <alignment horizontal="left" vertical="center"/>
    </xf>
    <xf numFmtId="0" fontId="4" fillId="4" borderId="2" xfId="0" applyFont="1" applyFill="1" applyBorder="1" applyAlignment="1">
      <alignment horizontal="left" vertical="center" wrapText="1"/>
    </xf>
    <xf numFmtId="0" fontId="3" fillId="3" borderId="1" xfId="0" applyFont="1" applyFill="1" applyBorder="1" applyAlignment="1">
      <alignment horizontal="left" vertical="center" wrapText="1"/>
    </xf>
    <xf numFmtId="0" fontId="10" fillId="6" borderId="2" xfId="0" applyFont="1" applyFill="1" applyBorder="1" applyAlignment="1">
      <alignment horizontal="left" vertical="center" wrapText="1"/>
    </xf>
    <xf numFmtId="0" fontId="3" fillId="9" borderId="1" xfId="0" applyFont="1" applyFill="1" applyBorder="1" applyAlignment="1">
      <alignment horizontal="left" vertical="center"/>
    </xf>
    <xf numFmtId="0" fontId="7" fillId="8" borderId="1" xfId="0" applyFont="1" applyFill="1" applyBorder="1" applyAlignment="1">
      <alignment horizontal="left" vertical="center"/>
    </xf>
    <xf numFmtId="0" fontId="7" fillId="5" borderId="2" xfId="0" applyFont="1" applyFill="1" applyBorder="1" applyAlignment="1">
      <alignment horizontal="left" vertical="center"/>
    </xf>
    <xf numFmtId="0" fontId="2" fillId="2" borderId="1" xfId="0" applyFont="1" applyFill="1" applyBorder="1" applyAlignment="1">
      <alignment horizontal="center" vertical="center"/>
    </xf>
    <xf numFmtId="0" fontId="7" fillId="8" borderId="2" xfId="0" applyFont="1" applyFill="1" applyBorder="1" applyAlignment="1">
      <alignment horizontal="left" vertical="center" wrapText="1"/>
    </xf>
    <xf numFmtId="0" fontId="5" fillId="6" borderId="2" xfId="0" applyFont="1" applyFill="1" applyBorder="1" applyAlignment="1">
      <alignment horizontal="left" vertical="center" wrapText="1"/>
    </xf>
    <xf numFmtId="0" fontId="13" fillId="10" borderId="2" xfId="0" applyFont="1" applyFill="1" applyBorder="1" applyAlignment="1">
      <alignment horizontal="left" vertical="center" wrapText="1"/>
    </xf>
    <xf numFmtId="0" fontId="6" fillId="8" borderId="1" xfId="0" applyFont="1" applyFill="1" applyBorder="1" applyAlignment="1">
      <alignment horizontal="left" vertical="center" wrapText="1"/>
    </xf>
    <xf numFmtId="0" fontId="17" fillId="12" borderId="2" xfId="0" applyFont="1" applyFill="1" applyBorder="1" applyAlignment="1">
      <alignment horizontal="left" vertical="center" wrapText="1"/>
    </xf>
    <xf numFmtId="0" fontId="15" fillId="11" borderId="2" xfId="0" applyFont="1" applyFill="1" applyBorder="1" applyAlignment="1">
      <alignment horizontal="left" vertical="center" wrapText="1"/>
    </xf>
    <xf numFmtId="0" fontId="6" fillId="8" borderId="2" xfId="0" applyFont="1" applyFill="1" applyBorder="1" applyAlignment="1">
      <alignment horizontal="left" vertical="center" wrapText="1"/>
    </xf>
    <xf numFmtId="0" fontId="4" fillId="6" borderId="1" xfId="0" applyFont="1" applyFill="1" applyBorder="1" applyAlignment="1">
      <alignment horizontal="left" vertical="center" wrapText="1"/>
    </xf>
    <xf numFmtId="0" fontId="26" fillId="7" borderId="7" xfId="0" applyFont="1" applyFill="1" applyBorder="1" applyAlignment="1">
      <alignment horizontal="center" vertical="center" wrapText="1"/>
    </xf>
    <xf numFmtId="0" fontId="0" fillId="0" borderId="8" xfId="0" applyBorder="1"/>
    <xf numFmtId="0" fontId="0" fillId="0" borderId="9" xfId="0" applyBorder="1"/>
    <xf numFmtId="0" fontId="8" fillId="8" borderId="2" xfId="0" applyFont="1" applyFill="1" applyBorder="1" applyAlignment="1">
      <alignment horizontal="center" vertical="center" wrapText="1"/>
    </xf>
    <xf numFmtId="0" fontId="6" fillId="6" borderId="2" xfId="0" applyFont="1" applyFill="1" applyBorder="1" applyAlignment="1">
      <alignment horizontal="left" vertical="top" wrapText="1"/>
    </xf>
    <xf numFmtId="0" fontId="2" fillId="2" borderId="1" xfId="0" applyFont="1" applyFill="1" applyBorder="1" applyAlignment="1">
      <alignment horizontal="center" vertical="center" wrapText="1"/>
    </xf>
    <xf numFmtId="0" fontId="18" fillId="2" borderId="7" xfId="0" applyFont="1" applyFill="1" applyBorder="1" applyAlignment="1">
      <alignment horizontal="center" vertical="center"/>
    </xf>
    <xf numFmtId="0" fontId="16" fillId="12" borderId="1" xfId="0" applyFont="1" applyFill="1" applyBorder="1" applyAlignment="1">
      <alignment horizontal="left" vertical="center" wrapText="1"/>
    </xf>
    <xf numFmtId="14" fontId="5" fillId="5" borderId="2" xfId="0" applyNumberFormat="1" applyFont="1" applyFill="1" applyBorder="1" applyAlignment="1">
      <alignment horizontal="left" vertical="center"/>
    </xf>
  </cellXfs>
  <cellStyles count="1">
    <cellStyle name="Normal" xfId="0" builtinId="0"/>
  </cellStyles>
  <dxfs count="197">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9C0006"/>
      </font>
      <fill>
        <patternFill patternType="solid">
          <fgColor rgb="FFFFC7CE"/>
        </patternFill>
      </fill>
    </dxf>
    <dxf>
      <font>
        <b/>
        <color rgb="FF1F3864"/>
      </font>
      <fill>
        <patternFill patternType="solid">
          <fgColor rgb="FFD9E1F2"/>
        </patternFill>
      </fill>
    </dxf>
    <dxf>
      <font>
        <b/>
        <color rgb="FF006100"/>
      </font>
      <fill>
        <patternFill patternType="solid">
          <fgColor rgb="FFC6EFCE"/>
        </patternFill>
      </fill>
    </dxf>
    <dxf>
      <font>
        <b/>
        <color rgb="FF006100"/>
      </font>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color rgb="FF9C0006"/>
      </font>
      <fill>
        <patternFill patternType="solid">
          <fgColor rgb="FFFFC7CE"/>
        </patternFill>
      </fill>
    </dxf>
    <dxf>
      <font>
        <color rgb="FF9C6500"/>
      </font>
      <fill>
        <patternFill patternType="solid">
          <fgColor rgb="FFFFEB9C"/>
        </patternFill>
      </fill>
    </dxf>
    <dxf>
      <font>
        <color rgb="FF006100"/>
      </font>
      <fill>
        <patternFill patternType="solid">
          <fgColor rgb="FFC6EF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sz val="12"/>
        <color rgb="FFFFFFFF"/>
      </font>
      <fill>
        <patternFill patternType="solid">
          <fgColor rgb="FFC00000"/>
        </patternFill>
      </fill>
    </dxf>
    <dxf>
      <font>
        <b/>
        <sz val="12"/>
        <color rgb="FFFFFFFF"/>
      </font>
      <fill>
        <patternFill patternType="solid">
          <fgColor rgb="FFB7950B"/>
        </patternFill>
      </fill>
    </dxf>
    <dxf>
      <font>
        <b/>
        <sz val="12"/>
        <color rgb="FFFFFFFF"/>
      </font>
      <fill>
        <patternFill patternType="solid">
          <fgColor rgb="FF2E7D32"/>
        </patternFill>
      </fill>
    </dxf>
    <dxf>
      <font>
        <b/>
        <sz val="12"/>
        <color rgb="FFFFFFFF"/>
      </font>
      <fill>
        <patternFill patternType="solid">
          <fgColor rgb="FF006100"/>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color rgb="FF006100"/>
      </font>
      <fill>
        <patternFill patternType="solid">
          <fgColor rgb="FFC6EFCE"/>
        </patternFill>
      </fill>
    </dxf>
    <dxf>
      <font>
        <b/>
        <color rgb="FF9C0006"/>
      </font>
      <fill>
        <patternFill patternType="solid">
          <fgColor rgb="FFFFC7CE"/>
        </patternFill>
      </fill>
    </dxf>
    <dxf>
      <font>
        <b/>
        <sz val="13"/>
        <color rgb="FF9C0006"/>
      </font>
      <fill>
        <patternFill patternType="solid">
          <fgColor rgb="FFFFC7CE"/>
        </patternFill>
      </fill>
    </dxf>
    <dxf>
      <font>
        <b/>
        <sz val="13"/>
        <color rgb="FF9C6500"/>
      </font>
      <fill>
        <patternFill patternType="solid">
          <fgColor rgb="FFFFEB9C"/>
        </patternFill>
      </fill>
    </dxf>
    <dxf>
      <font>
        <b/>
        <sz val="13"/>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color rgb="FF006100"/>
      </font>
      <fill>
        <patternFill patternType="solid">
          <fgColor rgb="FFC6EFCE"/>
        </patternFill>
      </fill>
    </dxf>
    <dxf>
      <font>
        <b/>
        <color rgb="FF9C0006"/>
      </font>
      <fill>
        <patternFill patternType="solid">
          <fgColor rgb="FFFFC7CE"/>
        </patternFill>
      </fill>
    </dxf>
    <dxf>
      <font>
        <b/>
        <sz val="13"/>
        <color rgb="FF9C0006"/>
      </font>
      <fill>
        <patternFill patternType="solid">
          <fgColor rgb="FFFFC7CE"/>
        </patternFill>
      </fill>
    </dxf>
    <dxf>
      <font>
        <b/>
        <sz val="13"/>
        <color rgb="FF9C6500"/>
      </font>
      <fill>
        <patternFill patternType="solid">
          <fgColor rgb="FFFFEB9C"/>
        </patternFill>
      </fill>
    </dxf>
    <dxf>
      <font>
        <b/>
        <sz val="13"/>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9C0006"/>
      </font>
      <fill>
        <patternFill patternType="solid">
          <fgColor rgb="FFFFC7CE"/>
        </patternFill>
      </fill>
    </dxf>
    <dxf>
      <font>
        <b/>
        <color rgb="FF1F3864"/>
      </font>
      <fill>
        <patternFill patternType="solid">
          <fgColor rgb="FFD9E1F2"/>
        </patternFill>
      </fill>
    </dxf>
    <dxf>
      <font>
        <b/>
        <color rgb="FF006100"/>
      </font>
      <fill>
        <patternFill patternType="solid">
          <fgColor rgb="FFC6EFCE"/>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sz val="22"/>
        <color rgb="FF006100"/>
      </font>
      <fill>
        <patternFill patternType="solid">
          <fgColor rgb="FFC6EFCE"/>
        </patternFill>
      </fill>
    </dxf>
    <dxf>
      <font>
        <b/>
        <sz val="48"/>
        <color rgb="FF9C0006"/>
      </font>
      <fill>
        <patternFill patternType="solid">
          <fgColor rgb="FFFFC7CE"/>
        </patternFill>
      </fill>
    </dxf>
    <dxf>
      <font>
        <b/>
        <sz val="48"/>
        <color rgb="FF9C6500"/>
      </font>
      <fill>
        <patternFill patternType="solid">
          <fgColor rgb="FFFFEB9C"/>
        </patternFill>
      </fill>
    </dxf>
    <dxf>
      <font>
        <b/>
        <sz val="48"/>
        <color rgb="FF006100"/>
      </font>
      <fill>
        <patternFill patternType="solid">
          <fgColor rgb="FFC6EFCE"/>
        </patternFill>
      </fill>
    </dxf>
    <dxf>
      <font>
        <b/>
        <sz val="48"/>
        <color rgb="FF006100"/>
      </font>
      <fill>
        <patternFill patternType="solid">
          <fgColor rgb="FFC6EFCE"/>
        </patternFill>
      </fill>
    </dxf>
    <dxf>
      <font>
        <color rgb="FF9C6500"/>
      </font>
      <fill>
        <patternFill patternType="solid">
          <fgColor rgb="FFFFEB9C"/>
        </patternFill>
      </fill>
    </dxf>
    <dxf>
      <font>
        <color rgb="FF9C0006"/>
      </font>
      <fill>
        <patternFill patternType="solid">
          <fgColor rgb="FFFFC7CE"/>
        </patternFill>
      </fill>
    </dxf>
    <dxf>
      <font>
        <color rgb="FF006100"/>
      </font>
      <fill>
        <patternFill patternType="solid">
          <fgColor rgb="FFC6EFCE"/>
        </patternFill>
      </fill>
    </dxf>
    <dxf>
      <font>
        <b/>
        <color rgb="FF006100"/>
      </font>
      <fill>
        <patternFill patternType="solid">
          <fgColor rgb="FFC6EFCE"/>
        </patternFill>
      </fill>
    </dxf>
    <dxf>
      <font>
        <b/>
        <color rgb="FF9C0006"/>
      </font>
      <fill>
        <patternFill patternType="solid">
          <fgColor rgb="FFFFC7CE"/>
        </patternFill>
      </fill>
    </dxf>
    <dxf>
      <font>
        <b/>
        <sz val="13"/>
        <color rgb="FF9C0006"/>
      </font>
      <fill>
        <patternFill patternType="solid">
          <fgColor rgb="FFFFC7CE"/>
        </patternFill>
      </fill>
    </dxf>
    <dxf>
      <font>
        <b/>
        <sz val="13"/>
        <color rgb="FF9C6500"/>
      </font>
      <fill>
        <patternFill patternType="solid">
          <fgColor rgb="FFFFEB9C"/>
        </patternFill>
      </fill>
    </dxf>
    <dxf>
      <font>
        <b/>
        <sz val="13"/>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0006"/>
      </font>
      <fill>
        <patternFill patternType="solid">
          <fgColor rgb="FFFFC7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
      <font>
        <b/>
        <color rgb="FF006100"/>
      </font>
      <fill>
        <patternFill patternType="solid">
          <fgColor rgb="FFC6EFCE"/>
        </patternFill>
      </fill>
    </dxf>
    <dxf>
      <font>
        <b/>
        <color rgb="FF9C6500"/>
      </font>
      <fill>
        <patternFill patternType="solid">
          <fgColor rgb="FFFFEB9C"/>
        </patternFill>
      </fill>
    </dxf>
    <dxf>
      <font>
        <b/>
        <color rgb="FF9C0006"/>
      </font>
      <fill>
        <patternFill patternType="solid">
          <fgColor rgb="FFFFC7CE"/>
        </patternFill>
      </fill>
    </dxf>
    <dxf>
      <font>
        <b/>
        <color rgb="FF9C0006"/>
      </font>
      <fill>
        <patternFill patternType="solid">
          <fgColor rgb="FFFFC7CE"/>
        </patternFill>
      </fill>
    </dxf>
    <dxf>
      <font>
        <b/>
        <color rgb="FF9C6500"/>
      </font>
      <fill>
        <patternFill patternType="solid">
          <fgColor rgb="FFFFEB9C"/>
        </patternFill>
      </fill>
    </dxf>
    <dxf>
      <font>
        <b/>
        <color rgb="FF006100"/>
      </font>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45"/>
  <sheetViews>
    <sheetView showGridLines="0" workbookViewId="0">
      <pane ySplit="2" topLeftCell="A3" activePane="bottomLeft" state="frozen"/>
      <selection pane="bottomLeft" activeCell="C7" sqref="C7"/>
    </sheetView>
  </sheetViews>
  <sheetFormatPr defaultRowHeight="14.5" x14ac:dyDescent="0.35"/>
  <cols>
    <col min="1" max="1" width="3" customWidth="1"/>
    <col min="2" max="2" width="30" customWidth="1"/>
    <col min="3" max="3" width="105" customWidth="1"/>
  </cols>
  <sheetData>
    <row r="1" spans="2:3" ht="28" customHeight="1" x14ac:dyDescent="0.35">
      <c r="B1" s="88" t="s">
        <v>0</v>
      </c>
      <c r="C1" s="76"/>
    </row>
    <row r="2" spans="2:3" ht="30" customHeight="1" x14ac:dyDescent="0.35">
      <c r="B2" s="93" t="s">
        <v>1</v>
      </c>
      <c r="C2" s="76"/>
    </row>
    <row r="4" spans="2:3" x14ac:dyDescent="0.35">
      <c r="B4" s="90" t="s">
        <v>2</v>
      </c>
      <c r="C4" s="76"/>
    </row>
    <row r="5" spans="2:3" ht="44.15" customHeight="1" x14ac:dyDescent="0.35">
      <c r="B5" s="53" t="s">
        <v>3</v>
      </c>
      <c r="C5" s="54" t="s">
        <v>4</v>
      </c>
    </row>
    <row r="6" spans="2:3" ht="44.15" customHeight="1" x14ac:dyDescent="0.35">
      <c r="B6" s="55" t="s">
        <v>5</v>
      </c>
      <c r="C6" s="56" t="s">
        <v>6</v>
      </c>
    </row>
    <row r="7" spans="2:3" ht="44.15" customHeight="1" x14ac:dyDescent="0.35">
      <c r="B7" s="53" t="s">
        <v>7</v>
      </c>
      <c r="C7" s="54" t="s">
        <v>8</v>
      </c>
    </row>
    <row r="8" spans="2:3" ht="44.15" customHeight="1" x14ac:dyDescent="0.35">
      <c r="B8" s="55" t="s">
        <v>9</v>
      </c>
      <c r="C8" s="56" t="s">
        <v>10</v>
      </c>
    </row>
    <row r="9" spans="2:3" ht="44.15" customHeight="1" x14ac:dyDescent="0.35">
      <c r="B9" s="53" t="s">
        <v>11</v>
      </c>
      <c r="C9" s="54" t="s">
        <v>12</v>
      </c>
    </row>
    <row r="10" spans="2:3" ht="44.15" customHeight="1" x14ac:dyDescent="0.35">
      <c r="B10" s="55" t="s">
        <v>13</v>
      </c>
      <c r="C10" s="56" t="s">
        <v>14</v>
      </c>
    </row>
    <row r="12" spans="2:3" x14ac:dyDescent="0.35">
      <c r="B12" s="90" t="s">
        <v>15</v>
      </c>
      <c r="C12" s="76"/>
    </row>
    <row r="13" spans="2:3" ht="46" customHeight="1" x14ac:dyDescent="0.35">
      <c r="B13" s="53" t="s">
        <v>16</v>
      </c>
      <c r="C13" s="54" t="s">
        <v>17</v>
      </c>
    </row>
    <row r="14" spans="2:3" ht="46" customHeight="1" x14ac:dyDescent="0.35">
      <c r="B14" s="55" t="s">
        <v>18</v>
      </c>
      <c r="C14" s="56" t="s">
        <v>19</v>
      </c>
    </row>
    <row r="15" spans="2:3" ht="46" customHeight="1" x14ac:dyDescent="0.35">
      <c r="B15" s="53" t="s">
        <v>20</v>
      </c>
      <c r="C15" s="54" t="s">
        <v>21</v>
      </c>
    </row>
    <row r="16" spans="2:3" ht="46" customHeight="1" x14ac:dyDescent="0.35">
      <c r="B16" s="55" t="s">
        <v>22</v>
      </c>
      <c r="C16" s="56" t="s">
        <v>23</v>
      </c>
    </row>
    <row r="17" spans="2:3" ht="46" customHeight="1" x14ac:dyDescent="0.35">
      <c r="B17" s="53" t="s">
        <v>24</v>
      </c>
      <c r="C17" s="54" t="s">
        <v>25</v>
      </c>
    </row>
    <row r="18" spans="2:3" ht="46" customHeight="1" x14ac:dyDescent="0.35">
      <c r="B18" s="55" t="s">
        <v>26</v>
      </c>
      <c r="C18" s="56" t="s">
        <v>27</v>
      </c>
    </row>
    <row r="19" spans="2:3" ht="46" customHeight="1" x14ac:dyDescent="0.35">
      <c r="B19" s="53" t="s">
        <v>28</v>
      </c>
      <c r="C19" s="54" t="s">
        <v>29</v>
      </c>
    </row>
    <row r="20" spans="2:3" ht="46" customHeight="1" x14ac:dyDescent="0.35">
      <c r="B20" s="55" t="s">
        <v>30</v>
      </c>
      <c r="C20" s="56" t="s">
        <v>31</v>
      </c>
    </row>
    <row r="22" spans="2:3" x14ac:dyDescent="0.35">
      <c r="B22" s="90" t="s">
        <v>32</v>
      </c>
      <c r="C22" s="76"/>
    </row>
    <row r="23" spans="2:3" ht="54" customHeight="1" x14ac:dyDescent="0.35">
      <c r="B23" s="53" t="s">
        <v>33</v>
      </c>
      <c r="C23" s="54" t="s">
        <v>34</v>
      </c>
    </row>
    <row r="24" spans="2:3" ht="54" customHeight="1" x14ac:dyDescent="0.35">
      <c r="B24" s="55" t="s">
        <v>35</v>
      </c>
      <c r="C24" s="56" t="s">
        <v>36</v>
      </c>
    </row>
    <row r="25" spans="2:3" ht="54" customHeight="1" x14ac:dyDescent="0.35">
      <c r="B25" s="53" t="s">
        <v>37</v>
      </c>
      <c r="C25" s="54" t="s">
        <v>38</v>
      </c>
    </row>
    <row r="27" spans="2:3" x14ac:dyDescent="0.35">
      <c r="B27" s="90" t="s">
        <v>39</v>
      </c>
      <c r="C27" s="76"/>
    </row>
    <row r="28" spans="2:3" ht="40" customHeight="1" x14ac:dyDescent="0.35">
      <c r="B28" s="53" t="s">
        <v>40</v>
      </c>
      <c r="C28" s="54" t="s">
        <v>41</v>
      </c>
    </row>
    <row r="29" spans="2:3" ht="40" customHeight="1" x14ac:dyDescent="0.35">
      <c r="B29" s="55" t="s">
        <v>42</v>
      </c>
      <c r="C29" s="56" t="s">
        <v>43</v>
      </c>
    </row>
    <row r="30" spans="2:3" ht="40" customHeight="1" x14ac:dyDescent="0.35">
      <c r="B30" s="53" t="s">
        <v>44</v>
      </c>
      <c r="C30" s="54" t="s">
        <v>45</v>
      </c>
    </row>
    <row r="31" spans="2:3" ht="40" customHeight="1" x14ac:dyDescent="0.35">
      <c r="B31" s="55" t="s">
        <v>46</v>
      </c>
      <c r="C31" s="56" t="s">
        <v>47</v>
      </c>
    </row>
    <row r="32" spans="2:3" ht="40" customHeight="1" x14ac:dyDescent="0.35">
      <c r="B32" s="53" t="s">
        <v>48</v>
      </c>
      <c r="C32" s="54" t="s">
        <v>49</v>
      </c>
    </row>
    <row r="33" spans="2:3" ht="40" customHeight="1" x14ac:dyDescent="0.35">
      <c r="B33" s="55" t="s">
        <v>50</v>
      </c>
      <c r="C33" s="56" t="s">
        <v>51</v>
      </c>
    </row>
    <row r="35" spans="2:3" x14ac:dyDescent="0.35">
      <c r="B35" s="89" t="s">
        <v>52</v>
      </c>
      <c r="C35" s="76"/>
    </row>
    <row r="36" spans="2:3" ht="26.15" customHeight="1" x14ac:dyDescent="0.35">
      <c r="B36" s="92" t="s">
        <v>53</v>
      </c>
      <c r="C36" s="73"/>
    </row>
    <row r="37" spans="2:3" ht="26.15" customHeight="1" x14ac:dyDescent="0.35">
      <c r="B37" s="91" t="s">
        <v>54</v>
      </c>
      <c r="C37" s="73"/>
    </row>
    <row r="38" spans="2:3" ht="26.15" customHeight="1" x14ac:dyDescent="0.35">
      <c r="B38" s="92" t="s">
        <v>55</v>
      </c>
      <c r="C38" s="73"/>
    </row>
    <row r="39" spans="2:3" ht="26.15" customHeight="1" x14ac:dyDescent="0.35">
      <c r="B39" s="91" t="s">
        <v>56</v>
      </c>
      <c r="C39" s="73"/>
    </row>
    <row r="40" spans="2:3" ht="26.15" customHeight="1" x14ac:dyDescent="0.35">
      <c r="B40" s="92" t="s">
        <v>57</v>
      </c>
      <c r="C40" s="73"/>
    </row>
    <row r="41" spans="2:3" ht="26.15" customHeight="1" x14ac:dyDescent="0.35">
      <c r="B41" s="91" t="s">
        <v>58</v>
      </c>
      <c r="C41" s="73"/>
    </row>
    <row r="42" spans="2:3" ht="26.15" customHeight="1" x14ac:dyDescent="0.35">
      <c r="B42" s="92" t="s">
        <v>59</v>
      </c>
      <c r="C42" s="73"/>
    </row>
    <row r="43" spans="2:3" ht="26.15" customHeight="1" x14ac:dyDescent="0.35">
      <c r="B43" s="91" t="s">
        <v>60</v>
      </c>
      <c r="C43" s="73"/>
    </row>
    <row r="45" spans="2:3" ht="30" customHeight="1" x14ac:dyDescent="0.35">
      <c r="B45" s="94" t="s">
        <v>61</v>
      </c>
      <c r="C45" s="76"/>
    </row>
  </sheetData>
  <mergeCells count="16">
    <mergeCell ref="B45:C45"/>
    <mergeCell ref="B22:C22"/>
    <mergeCell ref="B36:C36"/>
    <mergeCell ref="B40:C40"/>
    <mergeCell ref="B27:C27"/>
    <mergeCell ref="B39:C39"/>
    <mergeCell ref="B38:C38"/>
    <mergeCell ref="B37:C37"/>
    <mergeCell ref="B41:C41"/>
    <mergeCell ref="B1:C1"/>
    <mergeCell ref="B35:C35"/>
    <mergeCell ref="B4:C4"/>
    <mergeCell ref="B43:C43"/>
    <mergeCell ref="B12:C12"/>
    <mergeCell ref="B42:C42"/>
    <mergeCell ref="B2:C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F207"/>
  <sheetViews>
    <sheetView showGridLines="0" workbookViewId="0">
      <pane ySplit="2" topLeftCell="A46" activePane="bottomLeft" state="frozen"/>
      <selection pane="bottomLeft" activeCell="C211" sqref="C211"/>
    </sheetView>
  </sheetViews>
  <sheetFormatPr defaultRowHeight="14.5" x14ac:dyDescent="0.35"/>
  <cols>
    <col min="1" max="1" width="4" customWidth="1"/>
    <col min="2" max="2" width="58" customWidth="1"/>
    <col min="3" max="3" width="14" customWidth="1"/>
    <col min="4" max="4" width="13" customWidth="1"/>
    <col min="5" max="5" width="15" customWidth="1"/>
    <col min="6" max="6" width="46" customWidth="1"/>
    <col min="7" max="7" width="3" customWidth="1"/>
  </cols>
  <sheetData>
    <row r="1" spans="2:6" ht="28" customHeight="1" x14ac:dyDescent="0.35">
      <c r="B1" s="82" t="s">
        <v>62</v>
      </c>
      <c r="C1" s="75"/>
      <c r="D1" s="75"/>
      <c r="E1" s="75"/>
      <c r="F1" s="76"/>
    </row>
    <row r="2" spans="2:6" ht="18" customHeight="1" x14ac:dyDescent="0.35">
      <c r="B2" s="105" t="s">
        <v>63</v>
      </c>
      <c r="C2" s="75"/>
      <c r="D2" s="75"/>
      <c r="E2" s="75"/>
      <c r="F2" s="76"/>
    </row>
    <row r="4" spans="2:6" x14ac:dyDescent="0.35">
      <c r="B4" s="81" t="s">
        <v>64</v>
      </c>
      <c r="C4" s="75"/>
      <c r="D4" s="75"/>
      <c r="E4" s="75"/>
      <c r="F4" s="76"/>
    </row>
    <row r="5" spans="2:6" ht="29" x14ac:dyDescent="0.35">
      <c r="B5" s="2" t="s">
        <v>65</v>
      </c>
      <c r="C5" s="3"/>
      <c r="D5" s="4" t="s">
        <v>66</v>
      </c>
      <c r="E5" s="79"/>
      <c r="F5" s="73"/>
    </row>
    <row r="6" spans="2:6" ht="29" x14ac:dyDescent="0.35">
      <c r="B6" s="2" t="s">
        <v>67</v>
      </c>
      <c r="C6" s="3"/>
      <c r="D6" s="4" t="s">
        <v>68</v>
      </c>
      <c r="E6" s="79"/>
      <c r="F6" s="73"/>
    </row>
    <row r="7" spans="2:6" x14ac:dyDescent="0.35">
      <c r="B7" s="2" t="s">
        <v>69</v>
      </c>
      <c r="C7" s="3"/>
      <c r="D7" s="4" t="s">
        <v>70</v>
      </c>
      <c r="E7" s="79"/>
      <c r="F7" s="73"/>
    </row>
    <row r="8" spans="2:6" x14ac:dyDescent="0.35">
      <c r="B8" s="2" t="s">
        <v>71</v>
      </c>
      <c r="C8" s="3"/>
      <c r="D8" s="4" t="s">
        <v>72</v>
      </c>
      <c r="E8" s="79"/>
      <c r="F8" s="73"/>
    </row>
    <row r="9" spans="2:6" ht="29" x14ac:dyDescent="0.35">
      <c r="B9" s="2" t="s">
        <v>73</v>
      </c>
      <c r="C9" s="3"/>
      <c r="D9" s="4" t="s">
        <v>74</v>
      </c>
      <c r="E9" s="79"/>
      <c r="F9" s="73"/>
    </row>
    <row r="10" spans="2:6" ht="29" x14ac:dyDescent="0.35">
      <c r="B10" s="2" t="s">
        <v>75</v>
      </c>
      <c r="C10" s="3"/>
      <c r="D10" s="4" t="s">
        <v>76</v>
      </c>
      <c r="E10" s="79"/>
      <c r="F10" s="73"/>
    </row>
    <row r="11" spans="2:6" ht="29" x14ac:dyDescent="0.35">
      <c r="B11" s="2" t="s">
        <v>77</v>
      </c>
      <c r="C11" s="3"/>
      <c r="D11" s="4" t="s">
        <v>78</v>
      </c>
      <c r="E11" s="79"/>
      <c r="F11" s="73"/>
    </row>
    <row r="12" spans="2:6" x14ac:dyDescent="0.35">
      <c r="B12" s="2" t="s">
        <v>79</v>
      </c>
      <c r="C12" s="3"/>
      <c r="D12" s="4" t="s">
        <v>80</v>
      </c>
      <c r="E12" s="79"/>
      <c r="F12" s="73"/>
    </row>
    <row r="13" spans="2:6" ht="58" customHeight="1" x14ac:dyDescent="0.35">
      <c r="B13" s="4" t="s">
        <v>81</v>
      </c>
      <c r="C13" s="78"/>
      <c r="D13" s="72"/>
      <c r="E13" s="72"/>
      <c r="F13" s="73"/>
    </row>
    <row r="14" spans="2:6" ht="46" customHeight="1" x14ac:dyDescent="0.35">
      <c r="B14" s="4" t="s">
        <v>82</v>
      </c>
      <c r="C14" s="78"/>
      <c r="D14" s="72"/>
      <c r="E14" s="72"/>
      <c r="F14" s="73"/>
    </row>
    <row r="15" spans="2:6" x14ac:dyDescent="0.35">
      <c r="B15" s="81" t="s">
        <v>83</v>
      </c>
      <c r="C15" s="75"/>
      <c r="D15" s="75"/>
      <c r="E15" s="75"/>
      <c r="F15" s="76"/>
    </row>
    <row r="16" spans="2:6" ht="58" x14ac:dyDescent="0.35">
      <c r="B16" s="2" t="s">
        <v>84</v>
      </c>
      <c r="C16" s="3"/>
      <c r="D16" s="4" t="s">
        <v>85</v>
      </c>
      <c r="E16" s="79"/>
      <c r="F16" s="73"/>
    </row>
    <row r="17" spans="2:6" ht="29" x14ac:dyDescent="0.35">
      <c r="B17" s="2" t="s">
        <v>86</v>
      </c>
      <c r="C17" s="3"/>
      <c r="D17" s="4" t="s">
        <v>87</v>
      </c>
      <c r="E17" s="79"/>
      <c r="F17" s="73"/>
    </row>
    <row r="18" spans="2:6" x14ac:dyDescent="0.35">
      <c r="B18" s="2" t="s">
        <v>88</v>
      </c>
      <c r="C18" s="79"/>
      <c r="D18" s="72"/>
      <c r="E18" s="72"/>
      <c r="F18" s="73"/>
    </row>
    <row r="19" spans="2:6" x14ac:dyDescent="0.35">
      <c r="B19" s="2" t="s">
        <v>89</v>
      </c>
      <c r="C19" s="79"/>
      <c r="D19" s="72"/>
      <c r="E19" s="72"/>
      <c r="F19" s="73"/>
    </row>
    <row r="20" spans="2:6" x14ac:dyDescent="0.35">
      <c r="B20" s="2" t="s">
        <v>90</v>
      </c>
      <c r="C20" s="79"/>
      <c r="D20" s="72"/>
      <c r="E20" s="72"/>
      <c r="F20" s="73"/>
    </row>
    <row r="21" spans="2:6" x14ac:dyDescent="0.35">
      <c r="B21" s="98" t="s">
        <v>91</v>
      </c>
      <c r="C21" s="72"/>
      <c r="D21" s="72"/>
      <c r="E21" s="72"/>
      <c r="F21" s="73"/>
    </row>
    <row r="22" spans="2:6" ht="58" customHeight="1" x14ac:dyDescent="0.35">
      <c r="B22" s="79"/>
      <c r="C22" s="72"/>
      <c r="D22" s="72"/>
      <c r="E22" s="72"/>
      <c r="F22" s="73"/>
    </row>
    <row r="24" spans="2:6" x14ac:dyDescent="0.35">
      <c r="B24" s="77" t="s">
        <v>92</v>
      </c>
      <c r="C24" s="75"/>
      <c r="D24" s="75"/>
      <c r="E24" s="75"/>
      <c r="F24" s="76"/>
    </row>
    <row r="25" spans="2:6" ht="18" customHeight="1" x14ac:dyDescent="0.35">
      <c r="B25" s="81" t="s">
        <v>93</v>
      </c>
      <c r="C25" s="75"/>
      <c r="D25" s="75"/>
      <c r="E25" s="76"/>
      <c r="F25" s="6" t="s">
        <v>94</v>
      </c>
    </row>
    <row r="26" spans="2:6" ht="28" customHeight="1" x14ac:dyDescent="0.35">
      <c r="B26" s="97" t="s">
        <v>95</v>
      </c>
      <c r="C26" s="72"/>
      <c r="D26" s="72"/>
      <c r="E26" s="72"/>
      <c r="F26" s="73"/>
    </row>
    <row r="27" spans="2:6" x14ac:dyDescent="0.35">
      <c r="B27" s="2" t="s">
        <v>96</v>
      </c>
      <c r="C27" s="7" t="s">
        <v>97</v>
      </c>
      <c r="D27" s="98" t="s">
        <v>98</v>
      </c>
      <c r="E27" s="72"/>
      <c r="F27" s="73"/>
    </row>
    <row r="28" spans="2:6" ht="28" customHeight="1" x14ac:dyDescent="0.35">
      <c r="B28" s="8" t="s">
        <v>99</v>
      </c>
      <c r="C28" s="9"/>
      <c r="D28" s="95"/>
      <c r="E28" s="72"/>
      <c r="F28" s="73"/>
    </row>
    <row r="29" spans="2:6" ht="28" customHeight="1" x14ac:dyDescent="0.35">
      <c r="B29" s="10" t="s">
        <v>100</v>
      </c>
      <c r="C29" s="9"/>
      <c r="D29" s="86"/>
      <c r="E29" s="72"/>
      <c r="F29" s="73"/>
    </row>
    <row r="30" spans="2:6" ht="28" customHeight="1" x14ac:dyDescent="0.35">
      <c r="B30" s="8" t="s">
        <v>101</v>
      </c>
      <c r="C30" s="9"/>
      <c r="D30" s="95"/>
      <c r="E30" s="72"/>
      <c r="F30" s="73"/>
    </row>
    <row r="31" spans="2:6" ht="28" customHeight="1" x14ac:dyDescent="0.35">
      <c r="B31" s="10" t="s">
        <v>102</v>
      </c>
      <c r="C31" s="9"/>
      <c r="D31" s="86"/>
      <c r="E31" s="72"/>
      <c r="F31" s="73"/>
    </row>
    <row r="32" spans="2:6" ht="28" customHeight="1" x14ac:dyDescent="0.35">
      <c r="B32" s="8" t="s">
        <v>103</v>
      </c>
      <c r="C32" s="9"/>
      <c r="D32" s="95"/>
      <c r="E32" s="72"/>
      <c r="F32" s="73"/>
    </row>
    <row r="33" spans="2:6" ht="28" customHeight="1" x14ac:dyDescent="0.35">
      <c r="B33" s="71" t="s">
        <v>104</v>
      </c>
      <c r="C33" s="72"/>
      <c r="D33" s="72"/>
      <c r="E33" s="72"/>
      <c r="F33" s="73"/>
    </row>
    <row r="34" spans="2:6" x14ac:dyDescent="0.35">
      <c r="B34" s="11" t="s">
        <v>105</v>
      </c>
      <c r="C34" s="12" t="str">
        <f>IF((COUNTIF(C28:C32,"Met")+COUNTIF(C28:C32,"Partial")+COUNTIF(C28:C32,"Missed"))=0,"",ROUND((COUNTIF(C28:C32,"Met")*5+COUNTIF(C28:C32,"Partial")*2.5)/(COUNTIF(C28:C32,"Met")+COUNTIF(C28:C32,"Partial")+COUNTIF(C28:C32,"Missed")),0))</f>
        <v/>
      </c>
      <c r="D34" s="96"/>
      <c r="E34" s="72"/>
      <c r="F34" s="73"/>
    </row>
    <row r="35" spans="2:6" ht="24" customHeight="1" x14ac:dyDescent="0.35">
      <c r="B35" s="13" t="s">
        <v>106</v>
      </c>
      <c r="C35" s="14"/>
      <c r="D35" s="101" t="str">
        <f>IF(IF(C35="",C34,C35)="","← rate the indicators above (auto-scores), or type an override",CHOOSE(IF(C35="",C34,C35)+1,"Agent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35" s="72"/>
      <c r="F35" s="73"/>
    </row>
    <row r="36" spans="2:6" ht="36" customHeight="1" x14ac:dyDescent="0.35">
      <c r="B36" s="13" t="s">
        <v>107</v>
      </c>
      <c r="C36" s="78"/>
      <c r="D36" s="72"/>
      <c r="E36" s="72"/>
      <c r="F36" s="73"/>
    </row>
    <row r="38" spans="2:6" ht="18" customHeight="1" x14ac:dyDescent="0.35">
      <c r="B38" s="81" t="s">
        <v>108</v>
      </c>
      <c r="C38" s="75"/>
      <c r="D38" s="75"/>
      <c r="E38" s="76"/>
      <c r="F38" s="6" t="s">
        <v>109</v>
      </c>
    </row>
    <row r="39" spans="2:6" ht="28" customHeight="1" x14ac:dyDescent="0.35">
      <c r="B39" s="97" t="s">
        <v>110</v>
      </c>
      <c r="C39" s="72"/>
      <c r="D39" s="72"/>
      <c r="E39" s="72"/>
      <c r="F39" s="73"/>
    </row>
    <row r="40" spans="2:6" x14ac:dyDescent="0.35">
      <c r="B40" s="2" t="s">
        <v>96</v>
      </c>
      <c r="C40" s="7" t="s">
        <v>97</v>
      </c>
      <c r="D40" s="98" t="s">
        <v>98</v>
      </c>
      <c r="E40" s="72"/>
      <c r="F40" s="73"/>
    </row>
    <row r="41" spans="2:6" ht="28" customHeight="1" x14ac:dyDescent="0.35">
      <c r="B41" s="8" t="s">
        <v>111</v>
      </c>
      <c r="C41" s="9"/>
      <c r="D41" s="95"/>
      <c r="E41" s="72"/>
      <c r="F41" s="73"/>
    </row>
    <row r="42" spans="2:6" ht="28" customHeight="1" x14ac:dyDescent="0.35">
      <c r="B42" s="10" t="s">
        <v>112</v>
      </c>
      <c r="C42" s="9"/>
      <c r="D42" s="86"/>
      <c r="E42" s="72"/>
      <c r="F42" s="73"/>
    </row>
    <row r="43" spans="2:6" ht="28" customHeight="1" x14ac:dyDescent="0.35">
      <c r="B43" s="8" t="s">
        <v>113</v>
      </c>
      <c r="C43" s="9"/>
      <c r="D43" s="95"/>
      <c r="E43" s="72"/>
      <c r="F43" s="73"/>
    </row>
    <row r="44" spans="2:6" ht="28" customHeight="1" x14ac:dyDescent="0.35">
      <c r="B44" s="10" t="s">
        <v>114</v>
      </c>
      <c r="C44" s="9"/>
      <c r="D44" s="86"/>
      <c r="E44" s="72"/>
      <c r="F44" s="73"/>
    </row>
    <row r="45" spans="2:6" ht="28" customHeight="1" x14ac:dyDescent="0.35">
      <c r="B45" s="8" t="s">
        <v>115</v>
      </c>
      <c r="C45" s="9"/>
      <c r="D45" s="95"/>
      <c r="E45" s="72"/>
      <c r="F45" s="73"/>
    </row>
    <row r="46" spans="2:6" ht="28" customHeight="1" x14ac:dyDescent="0.35">
      <c r="B46" s="10" t="s">
        <v>116</v>
      </c>
      <c r="C46" s="9"/>
      <c r="D46" s="86"/>
      <c r="E46" s="72"/>
      <c r="F46" s="73"/>
    </row>
    <row r="47" spans="2:6" ht="28" customHeight="1" x14ac:dyDescent="0.35">
      <c r="B47" s="8" t="s">
        <v>117</v>
      </c>
      <c r="C47" s="9"/>
      <c r="D47" s="95"/>
      <c r="E47" s="72"/>
      <c r="F47" s="73"/>
    </row>
    <row r="48" spans="2:6" ht="28" customHeight="1" x14ac:dyDescent="0.35">
      <c r="B48" s="71" t="s">
        <v>118</v>
      </c>
      <c r="C48" s="72"/>
      <c r="D48" s="72"/>
      <c r="E48" s="72"/>
      <c r="F48" s="73"/>
    </row>
    <row r="49" spans="2:6" x14ac:dyDescent="0.35">
      <c r="B49" s="11" t="s">
        <v>105</v>
      </c>
      <c r="C49" s="12" t="str">
        <f>IF((COUNTIF(C41:C47,"Met")+COUNTIF(C41:C47,"Partial")+COUNTIF(C41:C47,"Missed"))=0,"",ROUND((COUNTIF(C41:C47,"Met")*5+COUNTIF(C41:C47,"Partial")*2.5)/(COUNTIF(C41:C47,"Met")+COUNTIF(C41:C47,"Partial")+COUNTIF(C41:C47,"Missed")),0))</f>
        <v/>
      </c>
      <c r="D49" s="96"/>
      <c r="E49" s="72"/>
      <c r="F49" s="73"/>
    </row>
    <row r="50" spans="2:6" ht="24" customHeight="1" x14ac:dyDescent="0.35">
      <c r="B50" s="13" t="s">
        <v>106</v>
      </c>
      <c r="C50" s="14"/>
      <c r="D50" s="101" t="str">
        <f>IF(IF(C50="",C49,C50)="","← rate the indicators above (auto-scores), or type an override",CHOOSE(IF(C50="",C49,C50)+1,"Agent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50" s="72"/>
      <c r="F50" s="73"/>
    </row>
    <row r="51" spans="2:6" ht="36" customHeight="1" x14ac:dyDescent="0.35">
      <c r="B51" s="13" t="s">
        <v>119</v>
      </c>
      <c r="C51" s="78"/>
      <c r="D51" s="72"/>
      <c r="E51" s="72"/>
      <c r="F51" s="73"/>
    </row>
    <row r="53" spans="2:6" ht="18" customHeight="1" x14ac:dyDescent="0.35">
      <c r="B53" s="81" t="s">
        <v>120</v>
      </c>
      <c r="C53" s="75"/>
      <c r="D53" s="75"/>
      <c r="E53" s="76"/>
      <c r="F53" s="6" t="s">
        <v>121</v>
      </c>
    </row>
    <row r="54" spans="2:6" ht="28" customHeight="1" x14ac:dyDescent="0.35">
      <c r="B54" s="97" t="s">
        <v>122</v>
      </c>
      <c r="C54" s="72"/>
      <c r="D54" s="72"/>
      <c r="E54" s="72"/>
      <c r="F54" s="73"/>
    </row>
    <row r="55" spans="2:6" x14ac:dyDescent="0.35">
      <c r="B55" s="2" t="s">
        <v>96</v>
      </c>
      <c r="C55" s="7" t="s">
        <v>97</v>
      </c>
      <c r="D55" s="98" t="s">
        <v>98</v>
      </c>
      <c r="E55" s="72"/>
      <c r="F55" s="73"/>
    </row>
    <row r="56" spans="2:6" ht="28" customHeight="1" x14ac:dyDescent="0.35">
      <c r="B56" s="8" t="s">
        <v>123</v>
      </c>
      <c r="C56" s="9"/>
      <c r="D56" s="95"/>
      <c r="E56" s="72"/>
      <c r="F56" s="73"/>
    </row>
    <row r="57" spans="2:6" ht="28" customHeight="1" x14ac:dyDescent="0.35">
      <c r="B57" s="10" t="s">
        <v>124</v>
      </c>
      <c r="C57" s="9"/>
      <c r="D57" s="86"/>
      <c r="E57" s="72"/>
      <c r="F57" s="73"/>
    </row>
    <row r="58" spans="2:6" ht="28" customHeight="1" x14ac:dyDescent="0.35">
      <c r="B58" s="8" t="s">
        <v>125</v>
      </c>
      <c r="C58" s="9"/>
      <c r="D58" s="95"/>
      <c r="E58" s="72"/>
      <c r="F58" s="73"/>
    </row>
    <row r="59" spans="2:6" ht="28" customHeight="1" x14ac:dyDescent="0.35">
      <c r="B59" s="10" t="s">
        <v>126</v>
      </c>
      <c r="C59" s="9"/>
      <c r="D59" s="86"/>
      <c r="E59" s="72"/>
      <c r="F59" s="73"/>
    </row>
    <row r="60" spans="2:6" ht="28" customHeight="1" x14ac:dyDescent="0.35">
      <c r="B60" s="8" t="s">
        <v>127</v>
      </c>
      <c r="C60" s="9"/>
      <c r="D60" s="95"/>
      <c r="E60" s="72"/>
      <c r="F60" s="73"/>
    </row>
    <row r="61" spans="2:6" ht="28" customHeight="1" x14ac:dyDescent="0.35">
      <c r="B61" s="10" t="s">
        <v>128</v>
      </c>
      <c r="C61" s="9"/>
      <c r="D61" s="86"/>
      <c r="E61" s="72"/>
      <c r="F61" s="73"/>
    </row>
    <row r="62" spans="2:6" ht="28" customHeight="1" x14ac:dyDescent="0.35">
      <c r="B62" s="8" t="s">
        <v>129</v>
      </c>
      <c r="C62" s="9"/>
      <c r="D62" s="95"/>
      <c r="E62" s="72"/>
      <c r="F62" s="73"/>
    </row>
    <row r="63" spans="2:6" ht="28" customHeight="1" x14ac:dyDescent="0.35">
      <c r="B63" s="10" t="s">
        <v>130</v>
      </c>
      <c r="C63" s="9"/>
      <c r="D63" s="86"/>
      <c r="E63" s="72"/>
      <c r="F63" s="73"/>
    </row>
    <row r="64" spans="2:6" ht="28" customHeight="1" x14ac:dyDescent="0.35">
      <c r="B64" s="71" t="s">
        <v>131</v>
      </c>
      <c r="C64" s="72"/>
      <c r="D64" s="72"/>
      <c r="E64" s="72"/>
      <c r="F64" s="73"/>
    </row>
    <row r="65" spans="2:6" x14ac:dyDescent="0.35">
      <c r="B65" s="11" t="s">
        <v>105</v>
      </c>
      <c r="C65" s="12" t="str">
        <f>IF((COUNTIF(C56:C63,"Met")+COUNTIF(C56:C63,"Partial")+COUNTIF(C56:C63,"Missed"))=0,"",ROUND((COUNTIF(C56:C63,"Met")*5+COUNTIF(C56:C63,"Partial")*2.5)/(COUNTIF(C56:C63,"Met")+COUNTIF(C56:C63,"Partial")+COUNTIF(C56:C63,"Missed")),0))</f>
        <v/>
      </c>
      <c r="D65" s="96"/>
      <c r="E65" s="72"/>
      <c r="F65" s="73"/>
    </row>
    <row r="66" spans="2:6" ht="24" customHeight="1" x14ac:dyDescent="0.35">
      <c r="B66" s="13" t="s">
        <v>106</v>
      </c>
      <c r="C66" s="14"/>
      <c r="D66" s="101" t="str">
        <f>IF(IF(C66="",C65,C66)="","← rate the indicators above (auto-scores), or type an override",CHOOSE(IF(C66="",C65,C66)+1,"Agent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66" s="72"/>
      <c r="F66" s="73"/>
    </row>
    <row r="67" spans="2:6" ht="36" customHeight="1" x14ac:dyDescent="0.35">
      <c r="B67" s="13" t="s">
        <v>132</v>
      </c>
      <c r="C67" s="78"/>
      <c r="D67" s="72"/>
      <c r="E67" s="72"/>
      <c r="F67" s="73"/>
    </row>
    <row r="69" spans="2:6" ht="18" customHeight="1" x14ac:dyDescent="0.35">
      <c r="B69" s="81" t="s">
        <v>133</v>
      </c>
      <c r="C69" s="75"/>
      <c r="D69" s="75"/>
      <c r="E69" s="76"/>
      <c r="F69" s="6" t="s">
        <v>121</v>
      </c>
    </row>
    <row r="70" spans="2:6" ht="28" customHeight="1" x14ac:dyDescent="0.35">
      <c r="B70" s="97" t="s">
        <v>134</v>
      </c>
      <c r="C70" s="72"/>
      <c r="D70" s="72"/>
      <c r="E70" s="72"/>
      <c r="F70" s="73"/>
    </row>
    <row r="71" spans="2:6" x14ac:dyDescent="0.35">
      <c r="B71" s="2" t="s">
        <v>96</v>
      </c>
      <c r="C71" s="7" t="s">
        <v>97</v>
      </c>
      <c r="D71" s="98" t="s">
        <v>98</v>
      </c>
      <c r="E71" s="72"/>
      <c r="F71" s="73"/>
    </row>
    <row r="72" spans="2:6" ht="28" customHeight="1" x14ac:dyDescent="0.35">
      <c r="B72" s="8" t="s">
        <v>135</v>
      </c>
      <c r="C72" s="9"/>
      <c r="D72" s="95"/>
      <c r="E72" s="72"/>
      <c r="F72" s="73"/>
    </row>
    <row r="73" spans="2:6" ht="28" customHeight="1" x14ac:dyDescent="0.35">
      <c r="B73" s="10" t="s">
        <v>136</v>
      </c>
      <c r="C73" s="9"/>
      <c r="D73" s="86"/>
      <c r="E73" s="72"/>
      <c r="F73" s="73"/>
    </row>
    <row r="74" spans="2:6" ht="28" customHeight="1" x14ac:dyDescent="0.35">
      <c r="B74" s="8" t="s">
        <v>137</v>
      </c>
      <c r="C74" s="9"/>
      <c r="D74" s="95"/>
      <c r="E74" s="72"/>
      <c r="F74" s="73"/>
    </row>
    <row r="75" spans="2:6" ht="28" customHeight="1" x14ac:dyDescent="0.35">
      <c r="B75" s="10" t="s">
        <v>138</v>
      </c>
      <c r="C75" s="9"/>
      <c r="D75" s="86"/>
      <c r="E75" s="72"/>
      <c r="F75" s="73"/>
    </row>
    <row r="76" spans="2:6" ht="28" customHeight="1" x14ac:dyDescent="0.35">
      <c r="B76" s="8" t="s">
        <v>139</v>
      </c>
      <c r="C76" s="9"/>
      <c r="D76" s="95"/>
      <c r="E76" s="72"/>
      <c r="F76" s="73"/>
    </row>
    <row r="77" spans="2:6" ht="28" customHeight="1" x14ac:dyDescent="0.35">
      <c r="B77" s="10" t="s">
        <v>140</v>
      </c>
      <c r="C77" s="9"/>
      <c r="D77" s="86"/>
      <c r="E77" s="72"/>
      <c r="F77" s="73"/>
    </row>
    <row r="78" spans="2:6" ht="28" customHeight="1" x14ac:dyDescent="0.35">
      <c r="B78" s="8" t="s">
        <v>141</v>
      </c>
      <c r="C78" s="9"/>
      <c r="D78" s="95"/>
      <c r="E78" s="72"/>
      <c r="F78" s="73"/>
    </row>
    <row r="79" spans="2:6" ht="28" customHeight="1" x14ac:dyDescent="0.35">
      <c r="B79" s="10" t="s">
        <v>142</v>
      </c>
      <c r="C79" s="9"/>
      <c r="D79" s="86"/>
      <c r="E79" s="72"/>
      <c r="F79" s="73"/>
    </row>
    <row r="80" spans="2:6" ht="28" customHeight="1" x14ac:dyDescent="0.35">
      <c r="B80" s="71" t="s">
        <v>143</v>
      </c>
      <c r="C80" s="72"/>
      <c r="D80" s="72"/>
      <c r="E80" s="72"/>
      <c r="F80" s="73"/>
    </row>
    <row r="81" spans="2:6" x14ac:dyDescent="0.35">
      <c r="B81" s="11" t="s">
        <v>105</v>
      </c>
      <c r="C81" s="12" t="str">
        <f>IF((COUNTIF(C72:C79,"Met")+COUNTIF(C72:C79,"Partial")+COUNTIF(C72:C79,"Missed"))=0,"",ROUND((COUNTIF(C72:C79,"Met")*5+COUNTIF(C72:C79,"Partial")*2.5)/(COUNTIF(C72:C79,"Met")+COUNTIF(C72:C79,"Partial")+COUNTIF(C72:C79,"Missed")),0))</f>
        <v/>
      </c>
      <c r="D81" s="96"/>
      <c r="E81" s="72"/>
      <c r="F81" s="73"/>
    </row>
    <row r="82" spans="2:6" ht="24" customHeight="1" x14ac:dyDescent="0.35">
      <c r="B82" s="13" t="s">
        <v>106</v>
      </c>
      <c r="C82" s="14"/>
      <c r="D82" s="101" t="str">
        <f>IF(IF(C82="",C81,C82)="","← rate the indicators above (auto-scores), or type an override",CHOOSE(IF(C82="",C81,C82)+1,"Agent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82" s="72"/>
      <c r="F82" s="73"/>
    </row>
    <row r="83" spans="2:6" ht="36" customHeight="1" x14ac:dyDescent="0.35">
      <c r="B83" s="13" t="s">
        <v>144</v>
      </c>
      <c r="C83" s="78"/>
      <c r="D83" s="72"/>
      <c r="E83" s="72"/>
      <c r="F83" s="73"/>
    </row>
    <row r="85" spans="2:6" ht="18" customHeight="1" x14ac:dyDescent="0.35">
      <c r="B85" s="81" t="s">
        <v>145</v>
      </c>
      <c r="C85" s="75"/>
      <c r="D85" s="75"/>
      <c r="E85" s="76"/>
      <c r="F85" s="6" t="s">
        <v>146</v>
      </c>
    </row>
    <row r="86" spans="2:6" ht="28" customHeight="1" x14ac:dyDescent="0.35">
      <c r="B86" s="97" t="s">
        <v>147</v>
      </c>
      <c r="C86" s="72"/>
      <c r="D86" s="72"/>
      <c r="E86" s="72"/>
      <c r="F86" s="73"/>
    </row>
    <row r="87" spans="2:6" x14ac:dyDescent="0.35">
      <c r="B87" s="2" t="s">
        <v>96</v>
      </c>
      <c r="C87" s="7" t="s">
        <v>97</v>
      </c>
      <c r="D87" s="98" t="s">
        <v>98</v>
      </c>
      <c r="E87" s="72"/>
      <c r="F87" s="73"/>
    </row>
    <row r="88" spans="2:6" ht="28" customHeight="1" x14ac:dyDescent="0.35">
      <c r="B88" s="8" t="s">
        <v>148</v>
      </c>
      <c r="C88" s="9"/>
      <c r="D88" s="95"/>
      <c r="E88" s="72"/>
      <c r="F88" s="73"/>
    </row>
    <row r="89" spans="2:6" ht="28" customHeight="1" x14ac:dyDescent="0.35">
      <c r="B89" s="10" t="s">
        <v>149</v>
      </c>
      <c r="C89" s="9"/>
      <c r="D89" s="86"/>
      <c r="E89" s="72"/>
      <c r="F89" s="73"/>
    </row>
    <row r="90" spans="2:6" ht="28" customHeight="1" x14ac:dyDescent="0.35">
      <c r="B90" s="8" t="s">
        <v>150</v>
      </c>
      <c r="C90" s="9"/>
      <c r="D90" s="95"/>
      <c r="E90" s="72"/>
      <c r="F90" s="73"/>
    </row>
    <row r="91" spans="2:6" ht="28" customHeight="1" x14ac:dyDescent="0.35">
      <c r="B91" s="10" t="s">
        <v>151</v>
      </c>
      <c r="C91" s="9"/>
      <c r="D91" s="86"/>
      <c r="E91" s="72"/>
      <c r="F91" s="73"/>
    </row>
    <row r="92" spans="2:6" ht="28" customHeight="1" x14ac:dyDescent="0.35">
      <c r="B92" s="8" t="s">
        <v>152</v>
      </c>
      <c r="C92" s="9"/>
      <c r="D92" s="95"/>
      <c r="E92" s="72"/>
      <c r="F92" s="73"/>
    </row>
    <row r="93" spans="2:6" ht="28" customHeight="1" x14ac:dyDescent="0.35">
      <c r="B93" s="71" t="s">
        <v>153</v>
      </c>
      <c r="C93" s="72"/>
      <c r="D93" s="72"/>
      <c r="E93" s="72"/>
      <c r="F93" s="73"/>
    </row>
    <row r="94" spans="2:6" x14ac:dyDescent="0.35">
      <c r="B94" s="11" t="s">
        <v>105</v>
      </c>
      <c r="C94" s="12" t="str">
        <f>IF((COUNTIF(C88:C92,"Met")+COUNTIF(C88:C92,"Partial")+COUNTIF(C88:C92,"Missed"))=0,"",ROUND((COUNTIF(C88:C92,"Met")*5+COUNTIF(C88:C92,"Partial")*2.5)/(COUNTIF(C88:C92,"Met")+COUNTIF(C88:C92,"Partial")+COUNTIF(C88:C92,"Missed")),0))</f>
        <v/>
      </c>
      <c r="D94" s="96"/>
      <c r="E94" s="72"/>
      <c r="F94" s="73"/>
    </row>
    <row r="95" spans="2:6" ht="24" customHeight="1" x14ac:dyDescent="0.35">
      <c r="B95" s="13" t="s">
        <v>106</v>
      </c>
      <c r="C95" s="14"/>
      <c r="D95" s="101" t="str">
        <f>IF(IF(C95="",C94,C95)="","← rate the indicators above (auto-scores), or type an override",CHOOSE(IF(C95="",C94,C95)+1,"Agent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95" s="72"/>
      <c r="F95" s="73"/>
    </row>
    <row r="96" spans="2:6" ht="36" customHeight="1" x14ac:dyDescent="0.35">
      <c r="B96" s="13" t="s">
        <v>154</v>
      </c>
      <c r="C96" s="78"/>
      <c r="D96" s="72"/>
      <c r="E96" s="72"/>
      <c r="F96" s="73"/>
    </row>
    <row r="98" spans="2:6" ht="18" customHeight="1" x14ac:dyDescent="0.35">
      <c r="B98" s="81" t="s">
        <v>155</v>
      </c>
      <c r="C98" s="75"/>
      <c r="D98" s="75"/>
      <c r="E98" s="76"/>
      <c r="F98" s="6" t="s">
        <v>156</v>
      </c>
    </row>
    <row r="99" spans="2:6" ht="28" customHeight="1" x14ac:dyDescent="0.35">
      <c r="B99" s="97" t="s">
        <v>157</v>
      </c>
      <c r="C99" s="72"/>
      <c r="D99" s="72"/>
      <c r="E99" s="72"/>
      <c r="F99" s="73"/>
    </row>
    <row r="100" spans="2:6" x14ac:dyDescent="0.35">
      <c r="B100" s="2" t="s">
        <v>96</v>
      </c>
      <c r="C100" s="7" t="s">
        <v>97</v>
      </c>
      <c r="D100" s="98" t="s">
        <v>98</v>
      </c>
      <c r="E100" s="72"/>
      <c r="F100" s="73"/>
    </row>
    <row r="101" spans="2:6" ht="28" customHeight="1" x14ac:dyDescent="0.35">
      <c r="B101" s="8" t="s">
        <v>158</v>
      </c>
      <c r="C101" s="9"/>
      <c r="D101" s="95"/>
      <c r="E101" s="72"/>
      <c r="F101" s="73"/>
    </row>
    <row r="102" spans="2:6" ht="28" customHeight="1" x14ac:dyDescent="0.35">
      <c r="B102" s="10" t="s">
        <v>159</v>
      </c>
      <c r="C102" s="9"/>
      <c r="D102" s="86"/>
      <c r="E102" s="72"/>
      <c r="F102" s="73"/>
    </row>
    <row r="103" spans="2:6" ht="28" customHeight="1" x14ac:dyDescent="0.35">
      <c r="B103" s="8" t="s">
        <v>160</v>
      </c>
      <c r="C103" s="9"/>
      <c r="D103" s="95"/>
      <c r="E103" s="72"/>
      <c r="F103" s="73"/>
    </row>
    <row r="104" spans="2:6" ht="28" customHeight="1" x14ac:dyDescent="0.35">
      <c r="B104" s="10" t="s">
        <v>161</v>
      </c>
      <c r="C104" s="9"/>
      <c r="D104" s="86"/>
      <c r="E104" s="72"/>
      <c r="F104" s="73"/>
    </row>
    <row r="105" spans="2:6" ht="28" customHeight="1" x14ac:dyDescent="0.35">
      <c r="B105" s="8" t="s">
        <v>162</v>
      </c>
      <c r="C105" s="9"/>
      <c r="D105" s="95"/>
      <c r="E105" s="72"/>
      <c r="F105" s="73"/>
    </row>
    <row r="106" spans="2:6" ht="28" customHeight="1" x14ac:dyDescent="0.35">
      <c r="B106" s="10" t="s">
        <v>163</v>
      </c>
      <c r="C106" s="9"/>
      <c r="D106" s="86"/>
      <c r="E106" s="72"/>
      <c r="F106" s="73"/>
    </row>
    <row r="107" spans="2:6" ht="28" customHeight="1" x14ac:dyDescent="0.35">
      <c r="B107" s="71" t="s">
        <v>164</v>
      </c>
      <c r="C107" s="72"/>
      <c r="D107" s="72"/>
      <c r="E107" s="72"/>
      <c r="F107" s="73"/>
    </row>
    <row r="108" spans="2:6" x14ac:dyDescent="0.35">
      <c r="B108" s="11" t="s">
        <v>105</v>
      </c>
      <c r="C108" s="12" t="str">
        <f>IF((COUNTIF(C101:C106,"Met")+COUNTIF(C101:C106,"Partial")+COUNTIF(C101:C106,"Missed"))=0,"",ROUND((COUNTIF(C101:C106,"Met")*5+COUNTIF(C101:C106,"Partial")*2.5)/(COUNTIF(C101:C106,"Met")+COUNTIF(C101:C106,"Partial")+COUNTIF(C101:C106,"Missed")),0))</f>
        <v/>
      </c>
      <c r="D108" s="96"/>
      <c r="E108" s="72"/>
      <c r="F108" s="73"/>
    </row>
    <row r="109" spans="2:6" ht="24" customHeight="1" x14ac:dyDescent="0.35">
      <c r="B109" s="13" t="s">
        <v>106</v>
      </c>
      <c r="C109" s="14"/>
      <c r="D109" s="101" t="str">
        <f>IF(IF(C109="",C108,C109)="","← rate the indicators above (auto-scores), or type an override",CHOOSE(IF(C109="",C108,C109)+1,"Agent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109" s="72"/>
      <c r="F109" s="73"/>
    </row>
    <row r="110" spans="2:6" ht="36" customHeight="1" x14ac:dyDescent="0.35">
      <c r="B110" s="13" t="s">
        <v>165</v>
      </c>
      <c r="C110" s="78"/>
      <c r="D110" s="72"/>
      <c r="E110" s="72"/>
      <c r="F110" s="73"/>
    </row>
    <row r="112" spans="2:6" ht="18" customHeight="1" x14ac:dyDescent="0.35">
      <c r="B112" s="81" t="s">
        <v>166</v>
      </c>
      <c r="C112" s="75"/>
      <c r="D112" s="75"/>
      <c r="E112" s="76"/>
      <c r="F112" s="6" t="s">
        <v>156</v>
      </c>
    </row>
    <row r="113" spans="2:6" ht="28" customHeight="1" x14ac:dyDescent="0.35">
      <c r="B113" s="97" t="s">
        <v>167</v>
      </c>
      <c r="C113" s="72"/>
      <c r="D113" s="72"/>
      <c r="E113" s="72"/>
      <c r="F113" s="73"/>
    </row>
    <row r="114" spans="2:6" x14ac:dyDescent="0.35">
      <c r="B114" s="2" t="s">
        <v>96</v>
      </c>
      <c r="C114" s="7" t="s">
        <v>97</v>
      </c>
      <c r="D114" s="98" t="s">
        <v>98</v>
      </c>
      <c r="E114" s="72"/>
      <c r="F114" s="73"/>
    </row>
    <row r="115" spans="2:6" ht="28" customHeight="1" x14ac:dyDescent="0.35">
      <c r="B115" s="8" t="s">
        <v>168</v>
      </c>
      <c r="C115" s="9"/>
      <c r="D115" s="95"/>
      <c r="E115" s="72"/>
      <c r="F115" s="73"/>
    </row>
    <row r="116" spans="2:6" ht="28" customHeight="1" x14ac:dyDescent="0.35">
      <c r="B116" s="10" t="s">
        <v>169</v>
      </c>
      <c r="C116" s="9"/>
      <c r="D116" s="86"/>
      <c r="E116" s="72"/>
      <c r="F116" s="73"/>
    </row>
    <row r="117" spans="2:6" ht="28" customHeight="1" x14ac:dyDescent="0.35">
      <c r="B117" s="8" t="s">
        <v>170</v>
      </c>
      <c r="C117" s="9"/>
      <c r="D117" s="95"/>
      <c r="E117" s="72"/>
      <c r="F117" s="73"/>
    </row>
    <row r="118" spans="2:6" ht="28" customHeight="1" x14ac:dyDescent="0.35">
      <c r="B118" s="10" t="s">
        <v>171</v>
      </c>
      <c r="C118" s="9"/>
      <c r="D118" s="86"/>
      <c r="E118" s="72"/>
      <c r="F118" s="73"/>
    </row>
    <row r="119" spans="2:6" ht="28" customHeight="1" x14ac:dyDescent="0.35">
      <c r="B119" s="8" t="s">
        <v>172</v>
      </c>
      <c r="C119" s="9"/>
      <c r="D119" s="95"/>
      <c r="E119" s="72"/>
      <c r="F119" s="73"/>
    </row>
    <row r="120" spans="2:6" ht="28" customHeight="1" x14ac:dyDescent="0.35">
      <c r="B120" s="10" t="s">
        <v>173</v>
      </c>
      <c r="C120" s="9"/>
      <c r="D120" s="86"/>
      <c r="E120" s="72"/>
      <c r="F120" s="73"/>
    </row>
    <row r="121" spans="2:6" ht="28" customHeight="1" x14ac:dyDescent="0.35">
      <c r="B121" s="8" t="s">
        <v>174</v>
      </c>
      <c r="C121" s="9"/>
      <c r="D121" s="95"/>
      <c r="E121" s="72"/>
      <c r="F121" s="73"/>
    </row>
    <row r="122" spans="2:6" ht="28" customHeight="1" x14ac:dyDescent="0.35">
      <c r="B122" s="71" t="s">
        <v>175</v>
      </c>
      <c r="C122" s="72"/>
      <c r="D122" s="72"/>
      <c r="E122" s="72"/>
      <c r="F122" s="73"/>
    </row>
    <row r="123" spans="2:6" x14ac:dyDescent="0.35">
      <c r="B123" s="11" t="s">
        <v>105</v>
      </c>
      <c r="C123" s="12" t="str">
        <f>IF((COUNTIF(C115:C121,"Met")+COUNTIF(C115:C121,"Partial")+COUNTIF(C115:C121,"Missed"))=0,"",ROUND((COUNTIF(C115:C121,"Met")*5+COUNTIF(C115:C121,"Partial")*2.5)/(COUNTIF(C115:C121,"Met")+COUNTIF(C115:C121,"Partial")+COUNTIF(C115:C121,"Missed")),0))</f>
        <v/>
      </c>
      <c r="D123" s="96"/>
      <c r="E123" s="72"/>
      <c r="F123" s="73"/>
    </row>
    <row r="124" spans="2:6" ht="24" customHeight="1" x14ac:dyDescent="0.35">
      <c r="B124" s="13" t="s">
        <v>106</v>
      </c>
      <c r="C124" s="14"/>
      <c r="D124" s="101" t="str">
        <f>IF(IF(C124="",C123,C124)="","← rate the indicators above (auto-scores), or type an override",CHOOSE(IF(C124="",C123,C124)+1,"Agent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 rate the indicators above (auto-scores), or type an override</v>
      </c>
      <c r="E124" s="72"/>
      <c r="F124" s="73"/>
    </row>
    <row r="125" spans="2:6" ht="36" customHeight="1" x14ac:dyDescent="0.35">
      <c r="B125" s="13" t="s">
        <v>176</v>
      </c>
      <c r="C125" s="78"/>
      <c r="D125" s="72"/>
      <c r="E125" s="72"/>
      <c r="F125" s="73"/>
    </row>
    <row r="127" spans="2:6" x14ac:dyDescent="0.35">
      <c r="B127" s="77" t="s">
        <v>177</v>
      </c>
      <c r="C127" s="75"/>
      <c r="D127" s="75"/>
      <c r="E127" s="75"/>
      <c r="F127" s="76"/>
    </row>
    <row r="128" spans="2:6" x14ac:dyDescent="0.35">
      <c r="B128" s="15" t="s">
        <v>178</v>
      </c>
      <c r="C128" s="15" t="s">
        <v>179</v>
      </c>
      <c r="D128" s="15" t="s">
        <v>180</v>
      </c>
      <c r="E128" s="15" t="s">
        <v>181</v>
      </c>
      <c r="F128" s="15" t="s">
        <v>182</v>
      </c>
    </row>
    <row r="129" spans="2:6" x14ac:dyDescent="0.35">
      <c r="B129" s="16" t="s">
        <v>183</v>
      </c>
      <c r="C129" s="17">
        <v>0.3</v>
      </c>
      <c r="D129" s="18" t="str">
        <f>IF(C35="",C34,C35)</f>
        <v/>
      </c>
      <c r="E129" s="19" t="str">
        <f t="shared" ref="E129:E135" si="0">IF(D129="","",(D129/5)*C129)</f>
        <v/>
      </c>
      <c r="F129" s="20" t="str">
        <f t="shared" ref="F129:F135" si="1">IF(D129="","",IF(D129&gt;=4,"Strong",IF(D129=3,"Developing","Needs Focus")))</f>
        <v/>
      </c>
    </row>
    <row r="130" spans="2:6" x14ac:dyDescent="0.35">
      <c r="B130" s="21" t="s">
        <v>184</v>
      </c>
      <c r="C130" s="22">
        <v>0.2</v>
      </c>
      <c r="D130" s="23" t="str">
        <f>IF(C50="",C49,C50)</f>
        <v/>
      </c>
      <c r="E130" s="24" t="str">
        <f t="shared" si="0"/>
        <v/>
      </c>
      <c r="F130" s="25" t="str">
        <f t="shared" si="1"/>
        <v/>
      </c>
    </row>
    <row r="131" spans="2:6" x14ac:dyDescent="0.35">
      <c r="B131" s="16" t="s">
        <v>185</v>
      </c>
      <c r="C131" s="17">
        <v>0.15</v>
      </c>
      <c r="D131" s="18" t="str">
        <f>IF(C66="",C65,C66)</f>
        <v/>
      </c>
      <c r="E131" s="19" t="str">
        <f t="shared" si="0"/>
        <v/>
      </c>
      <c r="F131" s="20" t="str">
        <f t="shared" si="1"/>
        <v/>
      </c>
    </row>
    <row r="132" spans="2:6" x14ac:dyDescent="0.35">
      <c r="B132" s="21" t="s">
        <v>186</v>
      </c>
      <c r="C132" s="22">
        <v>0.15</v>
      </c>
      <c r="D132" s="23" t="str">
        <f>IF(C82="",C81,C82)</f>
        <v/>
      </c>
      <c r="E132" s="24" t="str">
        <f t="shared" si="0"/>
        <v/>
      </c>
      <c r="F132" s="25" t="str">
        <f t="shared" si="1"/>
        <v/>
      </c>
    </row>
    <row r="133" spans="2:6" x14ac:dyDescent="0.35">
      <c r="B133" s="16" t="s">
        <v>187</v>
      </c>
      <c r="C133" s="17">
        <v>0.1</v>
      </c>
      <c r="D133" s="18" t="str">
        <f>IF(C95="",C94,C95)</f>
        <v/>
      </c>
      <c r="E133" s="19" t="str">
        <f t="shared" si="0"/>
        <v/>
      </c>
      <c r="F133" s="20" t="str">
        <f t="shared" si="1"/>
        <v/>
      </c>
    </row>
    <row r="134" spans="2:6" x14ac:dyDescent="0.35">
      <c r="B134" s="21" t="s">
        <v>188</v>
      </c>
      <c r="C134" s="22">
        <v>0.05</v>
      </c>
      <c r="D134" s="23" t="str">
        <f>IF(C109="",C108,C109)</f>
        <v/>
      </c>
      <c r="E134" s="24" t="str">
        <f t="shared" si="0"/>
        <v/>
      </c>
      <c r="F134" s="25" t="str">
        <f t="shared" si="1"/>
        <v/>
      </c>
    </row>
    <row r="135" spans="2:6" x14ac:dyDescent="0.35">
      <c r="B135" s="16" t="s">
        <v>189</v>
      </c>
      <c r="C135" s="17">
        <v>0.05</v>
      </c>
      <c r="D135" s="18" t="str">
        <f>IF(C124="",C123,C124)</f>
        <v/>
      </c>
      <c r="E135" s="19" t="str">
        <f t="shared" si="0"/>
        <v/>
      </c>
      <c r="F135" s="20" t="str">
        <f t="shared" si="1"/>
        <v/>
      </c>
    </row>
    <row r="136" spans="2:6" ht="24" customHeight="1" x14ac:dyDescent="0.35">
      <c r="B136" s="5" t="s">
        <v>190</v>
      </c>
      <c r="C136" s="26">
        <f>SUM(C129:C135)</f>
        <v>1</v>
      </c>
      <c r="D136" s="27"/>
      <c r="E136" s="28">
        <f>IF(OR(C192="No",C193="No",C194="No",COUNTIF(C196:C206,"Yes")&gt;0,COUNTIF(C149:C164,"Yes")&gt;0),0,SUM(E129:E135))</f>
        <v>0</v>
      </c>
      <c r="F136" s="29" t="str">
        <f>IF(E136="","",IF(OR(C192="No",C193="No",C194="No",COUNTIF(C196:C206,"Yes")&gt;0,COUNTIF(C149:C164,"Yes")&gt;0),"AUTO-ZERO (0%)",IF(E136&gt;=0.85,"MEETS / EXCEEDS",IF(E136&gt;=0.7,"DEVELOPING","NEEDS IMPROVEMENT"))))</f>
        <v>NEEDS IMPROVEMENT</v>
      </c>
    </row>
    <row r="138" spans="2:6" x14ac:dyDescent="0.35">
      <c r="B138" s="81" t="s">
        <v>191</v>
      </c>
      <c r="C138" s="75"/>
      <c r="D138" s="75"/>
      <c r="E138" s="75"/>
      <c r="F138" s="76"/>
    </row>
    <row r="139" spans="2:6" x14ac:dyDescent="0.35">
      <c r="B139" s="2" t="s">
        <v>192</v>
      </c>
      <c r="C139" s="104"/>
      <c r="D139" s="72"/>
      <c r="E139" s="72"/>
      <c r="F139" s="73"/>
    </row>
    <row r="140" spans="2:6" x14ac:dyDescent="0.35">
      <c r="B140" s="4" t="s">
        <v>193</v>
      </c>
      <c r="C140" s="79"/>
      <c r="D140" s="72"/>
      <c r="E140" s="72"/>
      <c r="F140" s="73"/>
    </row>
    <row r="141" spans="2:6" ht="52" customHeight="1" x14ac:dyDescent="0.35">
      <c r="B141" s="2" t="s">
        <v>194</v>
      </c>
      <c r="C141" s="78"/>
      <c r="D141" s="72"/>
      <c r="E141" s="72"/>
      <c r="F141" s="73"/>
    </row>
    <row r="143" spans="2:6" x14ac:dyDescent="0.35">
      <c r="B143" s="81" t="s">
        <v>195</v>
      </c>
      <c r="C143" s="75"/>
      <c r="D143" s="75"/>
      <c r="E143" s="75"/>
      <c r="F143" s="76"/>
    </row>
    <row r="144" spans="2:6" x14ac:dyDescent="0.35">
      <c r="B144" s="4" t="s">
        <v>196</v>
      </c>
      <c r="C144" s="9" t="s">
        <v>197</v>
      </c>
      <c r="D144" s="71" t="s">
        <v>198</v>
      </c>
      <c r="E144" s="72"/>
      <c r="F144" s="73"/>
    </row>
    <row r="145" spans="2:6" ht="30" customHeight="1" x14ac:dyDescent="0.35">
      <c r="B145" s="2" t="s">
        <v>199</v>
      </c>
      <c r="C145" s="79" t="s">
        <v>200</v>
      </c>
      <c r="D145" s="73"/>
      <c r="E145" s="106" t="str">
        <f>IF(AND(C144="Yes",OR(C145="None",C145="N.A. — no disconnect")),"⚠ MISSED OWNERSHIP OPPORTUNITY — flag in Customer Ownership and Critical Failures","OK")</f>
        <v>OK</v>
      </c>
      <c r="F145" s="73"/>
    </row>
    <row r="147" spans="2:6" x14ac:dyDescent="0.35">
      <c r="B147" s="102" t="s">
        <v>201</v>
      </c>
      <c r="C147" s="75"/>
      <c r="D147" s="75"/>
      <c r="E147" s="75"/>
      <c r="F147" s="76"/>
    </row>
    <row r="148" spans="2:6" x14ac:dyDescent="0.35">
      <c r="B148" s="1" t="s">
        <v>202</v>
      </c>
      <c r="C148" s="15" t="s">
        <v>203</v>
      </c>
      <c r="D148" s="81" t="s">
        <v>204</v>
      </c>
      <c r="E148" s="75"/>
      <c r="F148" s="76"/>
    </row>
    <row r="149" spans="2:6" ht="26.15" customHeight="1" x14ac:dyDescent="0.35">
      <c r="B149" s="8" t="s">
        <v>205</v>
      </c>
      <c r="C149" s="9" t="s">
        <v>197</v>
      </c>
      <c r="D149" s="95"/>
      <c r="E149" s="72"/>
      <c r="F149" s="73"/>
    </row>
    <row r="150" spans="2:6" ht="26.15" customHeight="1" x14ac:dyDescent="0.35">
      <c r="B150" s="10" t="s">
        <v>206</v>
      </c>
      <c r="C150" s="9" t="s">
        <v>197</v>
      </c>
      <c r="D150" s="86"/>
      <c r="E150" s="72"/>
      <c r="F150" s="73"/>
    </row>
    <row r="151" spans="2:6" ht="26.15" customHeight="1" x14ac:dyDescent="0.35">
      <c r="B151" s="8" t="s">
        <v>207</v>
      </c>
      <c r="C151" s="9" t="s">
        <v>197</v>
      </c>
      <c r="D151" s="95"/>
      <c r="E151" s="72"/>
      <c r="F151" s="73"/>
    </row>
    <row r="152" spans="2:6" ht="26.15" customHeight="1" x14ac:dyDescent="0.35">
      <c r="B152" s="10" t="s">
        <v>208</v>
      </c>
      <c r="C152" s="9" t="s">
        <v>197</v>
      </c>
      <c r="D152" s="86"/>
      <c r="E152" s="72"/>
      <c r="F152" s="73"/>
    </row>
    <row r="153" spans="2:6" ht="26.15" customHeight="1" x14ac:dyDescent="0.35">
      <c r="B153" s="8" t="s">
        <v>209</v>
      </c>
      <c r="C153" s="9" t="s">
        <v>197</v>
      </c>
      <c r="D153" s="95"/>
      <c r="E153" s="72"/>
      <c r="F153" s="73"/>
    </row>
    <row r="154" spans="2:6" ht="26.15" customHeight="1" x14ac:dyDescent="0.35">
      <c r="B154" s="10" t="s">
        <v>210</v>
      </c>
      <c r="C154" s="9" t="s">
        <v>197</v>
      </c>
      <c r="D154" s="86"/>
      <c r="E154" s="72"/>
      <c r="F154" s="73"/>
    </row>
    <row r="155" spans="2:6" ht="26.15" customHeight="1" x14ac:dyDescent="0.35">
      <c r="B155" s="8" t="s">
        <v>211</v>
      </c>
      <c r="C155" s="9" t="s">
        <v>197</v>
      </c>
      <c r="D155" s="95"/>
      <c r="E155" s="72"/>
      <c r="F155" s="73"/>
    </row>
    <row r="156" spans="2:6" ht="26.15" customHeight="1" x14ac:dyDescent="0.35">
      <c r="B156" s="10" t="s">
        <v>212</v>
      </c>
      <c r="C156" s="9" t="s">
        <v>197</v>
      </c>
      <c r="D156" s="86"/>
      <c r="E156" s="72"/>
      <c r="F156" s="73"/>
    </row>
    <row r="157" spans="2:6" ht="26.15" customHeight="1" x14ac:dyDescent="0.35">
      <c r="B157" s="8" t="s">
        <v>213</v>
      </c>
      <c r="C157" s="9" t="s">
        <v>197</v>
      </c>
      <c r="D157" s="95"/>
      <c r="E157" s="72"/>
      <c r="F157" s="73"/>
    </row>
    <row r="158" spans="2:6" ht="26.15" customHeight="1" x14ac:dyDescent="0.35">
      <c r="B158" s="10" t="s">
        <v>214</v>
      </c>
      <c r="C158" s="9" t="s">
        <v>197</v>
      </c>
      <c r="D158" s="86"/>
      <c r="E158" s="72"/>
      <c r="F158" s="73"/>
    </row>
    <row r="159" spans="2:6" ht="26.15" customHeight="1" x14ac:dyDescent="0.35">
      <c r="B159" s="8" t="s">
        <v>215</v>
      </c>
      <c r="C159" s="9" t="s">
        <v>197</v>
      </c>
      <c r="D159" s="95"/>
      <c r="E159" s="72"/>
      <c r="F159" s="73"/>
    </row>
    <row r="160" spans="2:6" ht="26.15" customHeight="1" x14ac:dyDescent="0.35">
      <c r="B160" s="8" t="s">
        <v>216</v>
      </c>
      <c r="C160" s="9" t="s">
        <v>197</v>
      </c>
      <c r="D160" s="95"/>
      <c r="E160" s="72"/>
      <c r="F160" s="73"/>
    </row>
    <row r="161" spans="2:6" ht="26.15" customHeight="1" x14ac:dyDescent="0.35">
      <c r="B161" s="8" t="s">
        <v>217</v>
      </c>
      <c r="C161" s="9" t="s">
        <v>197</v>
      </c>
      <c r="D161" s="95"/>
      <c r="E161" s="72"/>
      <c r="F161" s="73"/>
    </row>
    <row r="162" spans="2:6" ht="26.15" customHeight="1" x14ac:dyDescent="0.35">
      <c r="B162" s="8" t="s">
        <v>218</v>
      </c>
      <c r="C162" s="9" t="s">
        <v>197</v>
      </c>
      <c r="D162" s="95"/>
      <c r="E162" s="72"/>
      <c r="F162" s="73"/>
    </row>
    <row r="163" spans="2:6" ht="26.15" customHeight="1" x14ac:dyDescent="0.35">
      <c r="B163" s="8" t="s">
        <v>219</v>
      </c>
      <c r="C163" s="9" t="s">
        <v>197</v>
      </c>
      <c r="D163" s="95"/>
      <c r="E163" s="72"/>
      <c r="F163" s="73"/>
    </row>
    <row r="164" spans="2:6" ht="26.15" customHeight="1" x14ac:dyDescent="0.35">
      <c r="B164" s="8" t="s">
        <v>220</v>
      </c>
      <c r="C164" s="9" t="s">
        <v>197</v>
      </c>
      <c r="D164" s="95"/>
      <c r="E164" s="72"/>
      <c r="F164" s="73"/>
    </row>
    <row r="165" spans="2:6" x14ac:dyDescent="0.35">
      <c r="B165" s="30" t="s">
        <v>221</v>
      </c>
      <c r="C165" s="103" t="str">
        <f>IF(COUNTIF(C149:C164,"Yes")&gt;0,"YES — "&amp;COUNTIF(C149:C164,"Yes")&amp;" condition(s) flagged — automatic review required regardless of weighted score","No critical failures")</f>
        <v>No critical failures</v>
      </c>
      <c r="D165" s="75"/>
      <c r="E165" s="75"/>
      <c r="F165" s="76"/>
    </row>
    <row r="167" spans="2:6" ht="20.149999999999999" customHeight="1" x14ac:dyDescent="0.35">
      <c r="B167" s="77" t="s">
        <v>222</v>
      </c>
      <c r="C167" s="75"/>
      <c r="D167" s="75"/>
      <c r="E167" s="75"/>
      <c r="F167" s="76"/>
    </row>
    <row r="168" spans="2:6" ht="30" customHeight="1" x14ac:dyDescent="0.35">
      <c r="B168" s="100" t="s">
        <v>223</v>
      </c>
      <c r="C168" s="75"/>
      <c r="D168" s="75"/>
      <c r="E168" s="75"/>
      <c r="F168" s="76"/>
    </row>
    <row r="169" spans="2:6" ht="58" customHeight="1" x14ac:dyDescent="0.35">
      <c r="B169" s="78"/>
      <c r="C169" s="72"/>
      <c r="D169" s="72"/>
      <c r="E169" s="72"/>
      <c r="F169" s="73"/>
    </row>
    <row r="170" spans="2:6" ht="30" customHeight="1" x14ac:dyDescent="0.35">
      <c r="B170" s="100" t="s">
        <v>224</v>
      </c>
      <c r="C170" s="75"/>
      <c r="D170" s="75"/>
      <c r="E170" s="75"/>
      <c r="F170" s="76"/>
    </row>
    <row r="171" spans="2:6" ht="24" customHeight="1" x14ac:dyDescent="0.35">
      <c r="B171" s="99" t="s">
        <v>225</v>
      </c>
      <c r="C171" s="72"/>
      <c r="D171" s="72"/>
      <c r="E171" s="72"/>
      <c r="F171" s="73"/>
    </row>
    <row r="172" spans="2:6" ht="32.15" customHeight="1" x14ac:dyDescent="0.35">
      <c r="B172" s="7" t="s">
        <v>226</v>
      </c>
      <c r="C172" s="78"/>
      <c r="D172" s="72"/>
      <c r="E172" s="72"/>
      <c r="F172" s="73"/>
    </row>
    <row r="173" spans="2:6" ht="32.15" customHeight="1" x14ac:dyDescent="0.35">
      <c r="B173" s="7" t="s">
        <v>227</v>
      </c>
      <c r="C173" s="78"/>
      <c r="D173" s="72"/>
      <c r="E173" s="72"/>
      <c r="F173" s="73"/>
    </row>
    <row r="174" spans="2:6" ht="32.15" customHeight="1" x14ac:dyDescent="0.35">
      <c r="B174" s="7" t="s">
        <v>228</v>
      </c>
      <c r="C174" s="78"/>
      <c r="D174" s="72"/>
      <c r="E174" s="72"/>
      <c r="F174" s="73"/>
    </row>
    <row r="175" spans="2:6" ht="24" customHeight="1" x14ac:dyDescent="0.35">
      <c r="B175" s="99" t="s">
        <v>229</v>
      </c>
      <c r="C175" s="72"/>
      <c r="D175" s="72"/>
      <c r="E175" s="72"/>
      <c r="F175" s="73"/>
    </row>
    <row r="176" spans="2:6" ht="32.15" customHeight="1" x14ac:dyDescent="0.35">
      <c r="B176" s="7" t="s">
        <v>226</v>
      </c>
      <c r="C176" s="78"/>
      <c r="D176" s="72"/>
      <c r="E176" s="72"/>
      <c r="F176" s="73"/>
    </row>
    <row r="177" spans="2:6" ht="32.15" customHeight="1" x14ac:dyDescent="0.35">
      <c r="B177" s="7" t="s">
        <v>227</v>
      </c>
      <c r="C177" s="78"/>
      <c r="D177" s="72"/>
      <c r="E177" s="72"/>
      <c r="F177" s="73"/>
    </row>
    <row r="178" spans="2:6" ht="32.15" customHeight="1" x14ac:dyDescent="0.35">
      <c r="B178" s="7" t="s">
        <v>228</v>
      </c>
      <c r="C178" s="78"/>
      <c r="D178" s="72"/>
      <c r="E178" s="72"/>
      <c r="F178" s="73"/>
    </row>
    <row r="179" spans="2:6" ht="24" customHeight="1" x14ac:dyDescent="0.35">
      <c r="B179" s="99" t="s">
        <v>230</v>
      </c>
      <c r="C179" s="72"/>
      <c r="D179" s="72"/>
      <c r="E179" s="72"/>
      <c r="F179" s="73"/>
    </row>
    <row r="180" spans="2:6" ht="58" customHeight="1" x14ac:dyDescent="0.35">
      <c r="B180" s="78"/>
      <c r="C180" s="72"/>
      <c r="D180" s="72"/>
      <c r="E180" s="72"/>
      <c r="F180" s="73"/>
    </row>
    <row r="181" spans="2:6" ht="32.15" customHeight="1" x14ac:dyDescent="0.35">
      <c r="B181" s="100" t="s">
        <v>231</v>
      </c>
      <c r="C181" s="75"/>
      <c r="D181" s="75"/>
      <c r="E181" s="75"/>
      <c r="F181" s="76"/>
    </row>
    <row r="182" spans="2:6" ht="24" customHeight="1" x14ac:dyDescent="0.35">
      <c r="B182" s="99" t="s">
        <v>232</v>
      </c>
      <c r="C182" s="72"/>
      <c r="D182" s="72"/>
      <c r="E182" s="72"/>
      <c r="F182" s="73"/>
    </row>
    <row r="183" spans="2:6" ht="58" customHeight="1" x14ac:dyDescent="0.35">
      <c r="B183" s="78"/>
      <c r="C183" s="72"/>
      <c r="D183" s="72"/>
      <c r="E183" s="72"/>
      <c r="F183" s="73"/>
    </row>
    <row r="184" spans="2:6" ht="24" customHeight="1" x14ac:dyDescent="0.35">
      <c r="B184" s="99" t="s">
        <v>233</v>
      </c>
      <c r="C184" s="72"/>
      <c r="D184" s="72"/>
      <c r="E184" s="72"/>
      <c r="F184" s="73"/>
    </row>
    <row r="185" spans="2:6" ht="58" customHeight="1" x14ac:dyDescent="0.35">
      <c r="B185" s="78"/>
      <c r="C185" s="72"/>
      <c r="D185" s="72"/>
      <c r="E185" s="72"/>
      <c r="F185" s="73"/>
    </row>
    <row r="186" spans="2:6" ht="24" customHeight="1" x14ac:dyDescent="0.35">
      <c r="B186" s="99" t="s">
        <v>234</v>
      </c>
      <c r="C186" s="72"/>
      <c r="D186" s="72"/>
      <c r="E186" s="72"/>
      <c r="F186" s="73"/>
    </row>
    <row r="187" spans="2:6" ht="58" customHeight="1" x14ac:dyDescent="0.35">
      <c r="B187" s="78"/>
      <c r="C187" s="72"/>
      <c r="D187" s="72"/>
      <c r="E187" s="72"/>
      <c r="F187" s="73"/>
    </row>
    <row r="189" spans="2:6" ht="22" customHeight="1" x14ac:dyDescent="0.35">
      <c r="B189" s="102" t="s">
        <v>235</v>
      </c>
      <c r="C189" s="75"/>
      <c r="D189" s="75"/>
      <c r="E189" s="75"/>
      <c r="F189" s="76"/>
    </row>
    <row r="190" spans="2:6" ht="30" customHeight="1" x14ac:dyDescent="0.35">
      <c r="B190" s="71" t="s">
        <v>236</v>
      </c>
      <c r="C190" s="72"/>
      <c r="D190" s="72"/>
      <c r="E190" s="72"/>
      <c r="F190" s="73"/>
    </row>
    <row r="191" spans="2:6" x14ac:dyDescent="0.35">
      <c r="B191" s="1" t="s">
        <v>237</v>
      </c>
      <c r="C191" s="15" t="s">
        <v>238</v>
      </c>
      <c r="D191" s="81" t="s">
        <v>204</v>
      </c>
      <c r="E191" s="81"/>
      <c r="F191" s="81"/>
    </row>
    <row r="192" spans="2:6" ht="26.15" customHeight="1" x14ac:dyDescent="0.35">
      <c r="B192" s="8" t="s">
        <v>239</v>
      </c>
      <c r="C192" s="9" t="s">
        <v>240</v>
      </c>
      <c r="D192" s="95"/>
      <c r="E192" s="95"/>
      <c r="F192" s="95"/>
    </row>
    <row r="193" spans="2:6" ht="26.15" customHeight="1" x14ac:dyDescent="0.35">
      <c r="B193" s="8" t="s">
        <v>241</v>
      </c>
      <c r="C193" s="9" t="s">
        <v>240</v>
      </c>
      <c r="D193" s="95"/>
      <c r="E193" s="95"/>
      <c r="F193" s="95"/>
    </row>
    <row r="194" spans="2:6" ht="26.15" customHeight="1" x14ac:dyDescent="0.35">
      <c r="B194" s="8" t="s">
        <v>242</v>
      </c>
      <c r="C194" s="9" t="s">
        <v>240</v>
      </c>
      <c r="D194" s="95"/>
      <c r="E194" s="95"/>
      <c r="F194" s="95"/>
    </row>
    <row r="195" spans="2:6" x14ac:dyDescent="0.35">
      <c r="B195" s="1" t="s">
        <v>243</v>
      </c>
      <c r="C195" s="15" t="s">
        <v>244</v>
      </c>
      <c r="D195" s="81" t="s">
        <v>204</v>
      </c>
      <c r="E195" s="81"/>
      <c r="F195" s="81"/>
    </row>
    <row r="196" spans="2:6" ht="26.15" customHeight="1" x14ac:dyDescent="0.35">
      <c r="B196" s="8" t="s">
        <v>245</v>
      </c>
      <c r="C196" s="9" t="s">
        <v>197</v>
      </c>
      <c r="D196" s="95"/>
      <c r="E196" s="95"/>
      <c r="F196" s="95"/>
    </row>
    <row r="197" spans="2:6" ht="26.15" customHeight="1" x14ac:dyDescent="0.35">
      <c r="B197" s="8" t="s">
        <v>246</v>
      </c>
      <c r="C197" s="9" t="s">
        <v>197</v>
      </c>
      <c r="D197" s="95"/>
      <c r="E197" s="95"/>
      <c r="F197" s="95"/>
    </row>
    <row r="198" spans="2:6" ht="26.15" customHeight="1" x14ac:dyDescent="0.35">
      <c r="B198" s="8" t="s">
        <v>247</v>
      </c>
      <c r="C198" s="9" t="s">
        <v>197</v>
      </c>
      <c r="D198" s="95"/>
      <c r="E198" s="95"/>
      <c r="F198" s="95"/>
    </row>
    <row r="199" spans="2:6" ht="26.15" customHeight="1" x14ac:dyDescent="0.35">
      <c r="B199" s="8" t="s">
        <v>248</v>
      </c>
      <c r="C199" s="9" t="s">
        <v>197</v>
      </c>
      <c r="D199" s="95"/>
      <c r="E199" s="95"/>
      <c r="F199" s="95"/>
    </row>
    <row r="200" spans="2:6" ht="26.15" customHeight="1" x14ac:dyDescent="0.35">
      <c r="B200" s="8" t="s">
        <v>249</v>
      </c>
      <c r="C200" s="9" t="s">
        <v>197</v>
      </c>
      <c r="D200" s="95"/>
      <c r="E200" s="95"/>
      <c r="F200" s="95"/>
    </row>
    <row r="201" spans="2:6" ht="26.15" customHeight="1" x14ac:dyDescent="0.35">
      <c r="B201" s="8" t="s">
        <v>250</v>
      </c>
      <c r="C201" s="9" t="s">
        <v>197</v>
      </c>
      <c r="D201" s="95"/>
      <c r="E201" s="95"/>
      <c r="F201" s="95"/>
    </row>
    <row r="202" spans="2:6" ht="26.15" customHeight="1" x14ac:dyDescent="0.35">
      <c r="B202" s="8" t="s">
        <v>251</v>
      </c>
      <c r="C202" s="9" t="s">
        <v>197</v>
      </c>
      <c r="D202" s="95"/>
      <c r="E202" s="95"/>
      <c r="F202" s="95"/>
    </row>
    <row r="203" spans="2:6" ht="26.15" customHeight="1" x14ac:dyDescent="0.35">
      <c r="B203" s="8" t="s">
        <v>252</v>
      </c>
      <c r="C203" s="9" t="s">
        <v>197</v>
      </c>
      <c r="D203" s="95"/>
      <c r="E203" s="95"/>
      <c r="F203" s="95"/>
    </row>
    <row r="204" spans="2:6" ht="26.15" customHeight="1" x14ac:dyDescent="0.35">
      <c r="B204" s="8" t="s">
        <v>253</v>
      </c>
      <c r="C204" s="9" t="s">
        <v>197</v>
      </c>
      <c r="D204" s="95"/>
      <c r="E204" s="95"/>
      <c r="F204" s="95"/>
    </row>
    <row r="205" spans="2:6" ht="26.15" customHeight="1" x14ac:dyDescent="0.35">
      <c r="B205" s="8" t="s">
        <v>254</v>
      </c>
      <c r="C205" s="9" t="s">
        <v>197</v>
      </c>
      <c r="D205" s="95"/>
      <c r="E205" s="95"/>
      <c r="F205" s="95"/>
    </row>
    <row r="206" spans="2:6" ht="26.15" customHeight="1" x14ac:dyDescent="0.35">
      <c r="B206" s="8" t="s">
        <v>255</v>
      </c>
      <c r="C206" s="9" t="s">
        <v>197</v>
      </c>
      <c r="D206" s="95"/>
      <c r="E206" s="95"/>
      <c r="F206" s="95"/>
    </row>
    <row r="207" spans="2:6" x14ac:dyDescent="0.35">
      <c r="B207" s="30" t="s">
        <v>256</v>
      </c>
      <c r="C207" s="103" t="str">
        <f>IF(OR(C192="No",C193="No",C194="No",COUNTIF(C196:C206,"Yes")&gt;0,COUNTIF(C149:C164,"Yes")&gt;0),"YES — Quality Score forced to 0%","No")</f>
        <v>No</v>
      </c>
      <c r="D207" s="103"/>
      <c r="E207" s="103"/>
      <c r="F207" s="103"/>
    </row>
  </sheetData>
  <mergeCells count="185">
    <mergeCell ref="E8:F8"/>
    <mergeCell ref="C13:F13"/>
    <mergeCell ref="B180:F180"/>
    <mergeCell ref="D28:F28"/>
    <mergeCell ref="B2:F2"/>
    <mergeCell ref="D102:F102"/>
    <mergeCell ref="D196:F196"/>
    <mergeCell ref="D92:F92"/>
    <mergeCell ref="B170:F170"/>
    <mergeCell ref="D152:F152"/>
    <mergeCell ref="D30:F30"/>
    <mergeCell ref="B179:F179"/>
    <mergeCell ref="C172:F172"/>
    <mergeCell ref="D29:F29"/>
    <mergeCell ref="D94:F94"/>
    <mergeCell ref="B186:F186"/>
    <mergeCell ref="B168:F168"/>
    <mergeCell ref="D191:F191"/>
    <mergeCell ref="D144:F144"/>
    <mergeCell ref="B143:F143"/>
    <mergeCell ref="D119:F119"/>
    <mergeCell ref="C173:F173"/>
    <mergeCell ref="E145:F145"/>
    <mergeCell ref="D195:F195"/>
    <mergeCell ref="E12:F12"/>
    <mergeCell ref="D27:F27"/>
    <mergeCell ref="D120:F120"/>
    <mergeCell ref="B54:F54"/>
    <mergeCell ref="D154:F154"/>
    <mergeCell ref="D41:F41"/>
    <mergeCell ref="D194:F194"/>
    <mergeCell ref="B185:F185"/>
    <mergeCell ref="D163:F163"/>
    <mergeCell ref="B175:F175"/>
    <mergeCell ref="B171:F171"/>
    <mergeCell ref="C177:F177"/>
    <mergeCell ref="B187:F187"/>
    <mergeCell ref="B53:E53"/>
    <mergeCell ref="D31:F31"/>
    <mergeCell ref="D46:F46"/>
    <mergeCell ref="D158:F158"/>
    <mergeCell ref="D40:F40"/>
    <mergeCell ref="C139:F139"/>
    <mergeCell ref="B189:F189"/>
    <mergeCell ref="D108:F108"/>
    <mergeCell ref="D95:F95"/>
    <mergeCell ref="B15:F15"/>
    <mergeCell ref="B69:E69"/>
    <mergeCell ref="C14:F14"/>
    <mergeCell ref="D55:F55"/>
    <mergeCell ref="D157:F157"/>
    <mergeCell ref="B99:F99"/>
    <mergeCell ref="D60:F60"/>
    <mergeCell ref="D100:F100"/>
    <mergeCell ref="D109:F109"/>
    <mergeCell ref="E16:F16"/>
    <mergeCell ref="C207:F207"/>
    <mergeCell ref="D201:F201"/>
    <mergeCell ref="D199:F199"/>
    <mergeCell ref="B38:E38"/>
    <mergeCell ref="B80:F80"/>
    <mergeCell ref="B112:E112"/>
    <mergeCell ref="D105:F105"/>
    <mergeCell ref="C36:F36"/>
    <mergeCell ref="D57:F57"/>
    <mergeCell ref="D197:F197"/>
    <mergeCell ref="D47:F47"/>
    <mergeCell ref="D76:F76"/>
    <mergeCell ref="D116:F116"/>
    <mergeCell ref="D66:F66"/>
    <mergeCell ref="B122:F122"/>
    <mergeCell ref="D75:F75"/>
    <mergeCell ref="B4:F4"/>
    <mergeCell ref="D104:F104"/>
    <mergeCell ref="C110:F110"/>
    <mergeCell ref="D160:F160"/>
    <mergeCell ref="D150:F150"/>
    <mergeCell ref="D32:F32"/>
    <mergeCell ref="B190:F190"/>
    <mergeCell ref="C165:F165"/>
    <mergeCell ref="C174:F174"/>
    <mergeCell ref="D78:F78"/>
    <mergeCell ref="E17:F17"/>
    <mergeCell ref="E10:F10"/>
    <mergeCell ref="E9:F9"/>
    <mergeCell ref="E11:F11"/>
    <mergeCell ref="E5:F5"/>
    <mergeCell ref="C67:F67"/>
    <mergeCell ref="D91:F91"/>
    <mergeCell ref="C19:F19"/>
    <mergeCell ref="D162:F162"/>
    <mergeCell ref="D43:F43"/>
    <mergeCell ref="D156:F156"/>
    <mergeCell ref="B70:F70"/>
    <mergeCell ref="B167:F167"/>
    <mergeCell ref="D106:F106"/>
    <mergeCell ref="B21:F21"/>
    <mergeCell ref="C18:F18"/>
    <mergeCell ref="B39:F39"/>
    <mergeCell ref="B48:F48"/>
    <mergeCell ref="D71:F71"/>
    <mergeCell ref="D193:F193"/>
    <mergeCell ref="D202:F202"/>
    <mergeCell ref="D58:F58"/>
    <mergeCell ref="D149:F149"/>
    <mergeCell ref="D45:F45"/>
    <mergeCell ref="C51:F51"/>
    <mergeCell ref="D101:F101"/>
    <mergeCell ref="D124:F124"/>
    <mergeCell ref="C178:F178"/>
    <mergeCell ref="D77:F77"/>
    <mergeCell ref="D153:F153"/>
    <mergeCell ref="B127:F127"/>
    <mergeCell ref="D63:F63"/>
    <mergeCell ref="B98:E98"/>
    <mergeCell ref="D81:F81"/>
    <mergeCell ref="D90:F90"/>
    <mergeCell ref="C96:F96"/>
    <mergeCell ref="C83:F83"/>
    <mergeCell ref="B25:E25"/>
    <mergeCell ref="B1:F1"/>
    <mergeCell ref="D121:F121"/>
    <mergeCell ref="B181:F181"/>
    <mergeCell ref="D192:F192"/>
    <mergeCell ref="C141:F141"/>
    <mergeCell ref="D73:F73"/>
    <mergeCell ref="D164:F164"/>
    <mergeCell ref="D42:F42"/>
    <mergeCell ref="D82:F82"/>
    <mergeCell ref="E6:F6"/>
    <mergeCell ref="B147:F147"/>
    <mergeCell ref="D148:F148"/>
    <mergeCell ref="D123:F123"/>
    <mergeCell ref="C20:F20"/>
    <mergeCell ref="D35:F35"/>
    <mergeCell ref="D50:F50"/>
    <mergeCell ref="D44:F44"/>
    <mergeCell ref="D59:F59"/>
    <mergeCell ref="D115:F115"/>
    <mergeCell ref="D34:F34"/>
    <mergeCell ref="B183:F183"/>
    <mergeCell ref="C176:F176"/>
    <mergeCell ref="E7:F7"/>
    <mergeCell ref="D155:F155"/>
    <mergeCell ref="D204:F204"/>
    <mergeCell ref="B138:F138"/>
    <mergeCell ref="B113:F113"/>
    <mergeCell ref="D198:F198"/>
    <mergeCell ref="D151:F151"/>
    <mergeCell ref="D61:F61"/>
    <mergeCell ref="D206:F206"/>
    <mergeCell ref="B22:F22"/>
    <mergeCell ref="B93:F93"/>
    <mergeCell ref="B85:E85"/>
    <mergeCell ref="D103:F103"/>
    <mergeCell ref="D72:F72"/>
    <mergeCell ref="C140:F140"/>
    <mergeCell ref="D205:F205"/>
    <mergeCell ref="B86:F86"/>
    <mergeCell ref="D62:F62"/>
    <mergeCell ref="D118:F118"/>
    <mergeCell ref="D56:F56"/>
    <mergeCell ref="D161:F161"/>
    <mergeCell ref="D114:F114"/>
    <mergeCell ref="D89:F89"/>
    <mergeCell ref="B182:F182"/>
    <mergeCell ref="D79:F79"/>
    <mergeCell ref="D88:F88"/>
    <mergeCell ref="D203:F203"/>
    <mergeCell ref="B24:F24"/>
    <mergeCell ref="B64:F64"/>
    <mergeCell ref="B33:F33"/>
    <mergeCell ref="D65:F65"/>
    <mergeCell ref="B169:F169"/>
    <mergeCell ref="B26:F26"/>
    <mergeCell ref="D49:F49"/>
    <mergeCell ref="C145:D145"/>
    <mergeCell ref="D200:F200"/>
    <mergeCell ref="D87:F87"/>
    <mergeCell ref="B107:F107"/>
    <mergeCell ref="D74:F74"/>
    <mergeCell ref="D117:F117"/>
    <mergeCell ref="C125:F125"/>
    <mergeCell ref="B184:F184"/>
    <mergeCell ref="D159:F159"/>
  </mergeCells>
  <conditionalFormatting sqref="C20:C24">
    <cfRule type="cellIs" dxfId="196" priority="1" operator="equal">
      <formula>"Met"</formula>
    </cfRule>
    <cfRule type="cellIs" dxfId="195" priority="2" operator="equal">
      <formula>"Partial"</formula>
    </cfRule>
    <cfRule type="cellIs" dxfId="194" priority="3" operator="equal">
      <formula>"Missed"</formula>
    </cfRule>
  </conditionalFormatting>
  <conditionalFormatting sqref="C27">
    <cfRule type="cellIs" dxfId="193" priority="4" operator="lessThanOrEqual">
      <formula>2</formula>
    </cfRule>
    <cfRule type="cellIs" dxfId="192" priority="5" operator="equal">
      <formula>3</formula>
    </cfRule>
    <cfRule type="cellIs" dxfId="191" priority="6" operator="greaterThanOrEqual">
      <formula>4</formula>
    </cfRule>
  </conditionalFormatting>
  <conditionalFormatting sqref="C33:C39">
    <cfRule type="cellIs" dxfId="190" priority="7" operator="equal">
      <formula>"Met"</formula>
    </cfRule>
    <cfRule type="cellIs" dxfId="189" priority="8" operator="equal">
      <formula>"Partial"</formula>
    </cfRule>
    <cfRule type="cellIs" dxfId="188" priority="9" operator="equal">
      <formula>"Missed"</formula>
    </cfRule>
  </conditionalFormatting>
  <conditionalFormatting sqref="C42">
    <cfRule type="cellIs" dxfId="187" priority="10" operator="lessThanOrEqual">
      <formula>2</formula>
    </cfRule>
    <cfRule type="cellIs" dxfId="186" priority="11" operator="equal">
      <formula>3</formula>
    </cfRule>
    <cfRule type="cellIs" dxfId="185" priority="12" operator="greaterThanOrEqual">
      <formula>4</formula>
    </cfRule>
  </conditionalFormatting>
  <conditionalFormatting sqref="C48:C55">
    <cfRule type="cellIs" dxfId="184" priority="13" operator="equal">
      <formula>"Met"</formula>
    </cfRule>
    <cfRule type="cellIs" dxfId="183" priority="14" operator="equal">
      <formula>"Partial"</formula>
    </cfRule>
    <cfRule type="cellIs" dxfId="182" priority="15" operator="equal">
      <formula>"Missed"</formula>
    </cfRule>
  </conditionalFormatting>
  <conditionalFormatting sqref="C58">
    <cfRule type="cellIs" dxfId="181" priority="16" operator="lessThanOrEqual">
      <formula>2</formula>
    </cfRule>
    <cfRule type="cellIs" dxfId="180" priority="17" operator="equal">
      <formula>3</formula>
    </cfRule>
    <cfRule type="cellIs" dxfId="179" priority="18" operator="greaterThanOrEqual">
      <formula>4</formula>
    </cfRule>
  </conditionalFormatting>
  <conditionalFormatting sqref="C64:C71">
    <cfRule type="cellIs" dxfId="178" priority="19" operator="equal">
      <formula>"Met"</formula>
    </cfRule>
    <cfRule type="cellIs" dxfId="177" priority="20" operator="equal">
      <formula>"Partial"</formula>
    </cfRule>
    <cfRule type="cellIs" dxfId="176" priority="21" operator="equal">
      <formula>"Missed"</formula>
    </cfRule>
  </conditionalFormatting>
  <conditionalFormatting sqref="C74">
    <cfRule type="cellIs" dxfId="175" priority="22" operator="lessThanOrEqual">
      <formula>2</formula>
    </cfRule>
    <cfRule type="cellIs" dxfId="174" priority="23" operator="equal">
      <formula>3</formula>
    </cfRule>
    <cfRule type="cellIs" dxfId="173" priority="24" operator="greaterThanOrEqual">
      <formula>4</formula>
    </cfRule>
  </conditionalFormatting>
  <conditionalFormatting sqref="C80:C84">
    <cfRule type="cellIs" dxfId="172" priority="25" operator="equal">
      <formula>"Met"</formula>
    </cfRule>
    <cfRule type="cellIs" dxfId="171" priority="26" operator="equal">
      <formula>"Partial"</formula>
    </cfRule>
    <cfRule type="cellIs" dxfId="170" priority="27" operator="equal">
      <formula>"Missed"</formula>
    </cfRule>
  </conditionalFormatting>
  <conditionalFormatting sqref="C87">
    <cfRule type="cellIs" dxfId="169" priority="28" operator="lessThanOrEqual">
      <formula>2</formula>
    </cfRule>
    <cfRule type="cellIs" dxfId="168" priority="29" operator="equal">
      <formula>3</formula>
    </cfRule>
    <cfRule type="cellIs" dxfId="167" priority="30" operator="greaterThanOrEqual">
      <formula>4</formula>
    </cfRule>
  </conditionalFormatting>
  <conditionalFormatting sqref="C93:C98">
    <cfRule type="cellIs" dxfId="166" priority="31" operator="equal">
      <formula>"Met"</formula>
    </cfRule>
    <cfRule type="cellIs" dxfId="165" priority="32" operator="equal">
      <formula>"Partial"</formula>
    </cfRule>
    <cfRule type="cellIs" dxfId="164" priority="33" operator="equal">
      <formula>"Missed"</formula>
    </cfRule>
  </conditionalFormatting>
  <conditionalFormatting sqref="C101">
    <cfRule type="cellIs" dxfId="163" priority="34" operator="lessThanOrEqual">
      <formula>2</formula>
    </cfRule>
    <cfRule type="cellIs" dxfId="162" priority="35" operator="equal">
      <formula>3</formula>
    </cfRule>
    <cfRule type="cellIs" dxfId="161" priority="36" operator="greaterThanOrEqual">
      <formula>4</formula>
    </cfRule>
  </conditionalFormatting>
  <conditionalFormatting sqref="C107:C113">
    <cfRule type="cellIs" dxfId="160" priority="37" operator="equal">
      <formula>"Met"</formula>
    </cfRule>
    <cfRule type="cellIs" dxfId="159" priority="38" operator="equal">
      <formula>"Partial"</formula>
    </cfRule>
    <cfRule type="cellIs" dxfId="158" priority="39" operator="equal">
      <formula>"Missed"</formula>
    </cfRule>
  </conditionalFormatting>
  <conditionalFormatting sqref="C116">
    <cfRule type="cellIs" dxfId="157" priority="40" operator="lessThanOrEqual">
      <formula>2</formula>
    </cfRule>
    <cfRule type="cellIs" dxfId="156" priority="41" operator="equal">
      <formula>3</formula>
    </cfRule>
    <cfRule type="cellIs" dxfId="155" priority="42" operator="greaterThanOrEqual">
      <formula>4</formula>
    </cfRule>
  </conditionalFormatting>
  <conditionalFormatting sqref="C141:C151">
    <cfRule type="cellIs" dxfId="154" priority="51" operator="equal">
      <formula>"Yes"</formula>
    </cfRule>
  </conditionalFormatting>
  <conditionalFormatting sqref="C152">
    <cfRule type="expression" dxfId="153" priority="53">
      <formula>NOT(ISNUMBER(SEARCH("YES",C152)))</formula>
    </cfRule>
    <cfRule type="expression" dxfId="152" priority="52">
      <formula>ISNUMBER(SEARCH("YES",C152))</formula>
    </cfRule>
  </conditionalFormatting>
  <conditionalFormatting sqref="E128">
    <cfRule type="cellIs" dxfId="151" priority="43" operator="greaterThanOrEqual">
      <formula>0.85</formula>
    </cfRule>
    <cfRule type="cellIs" dxfId="150" priority="44" operator="between">
      <formula>0.7</formula>
      <formula>0.8499</formula>
    </cfRule>
    <cfRule type="cellIs" dxfId="149" priority="45" operator="lessThan">
      <formula>0.7</formula>
    </cfRule>
  </conditionalFormatting>
  <conditionalFormatting sqref="E137">
    <cfRule type="expression" dxfId="148" priority="49">
      <formula>E137&lt;&gt;"OK"</formula>
    </cfRule>
    <cfRule type="expression" dxfId="147" priority="50">
      <formula>E137="OK"</formula>
    </cfRule>
  </conditionalFormatting>
  <conditionalFormatting sqref="F121:F127">
    <cfRule type="cellIs" dxfId="146" priority="46" operator="equal">
      <formula>"Strong"</formula>
    </cfRule>
    <cfRule type="cellIs" dxfId="145" priority="48" operator="equal">
      <formula>"Needs Focus"</formula>
    </cfRule>
    <cfRule type="cellIs" dxfId="144" priority="47" operator="equal">
      <formula>"Developing"</formula>
    </cfRule>
  </conditionalFormatting>
  <dataValidations count="11">
    <dataValidation type="list" allowBlank="1" sqref="C28 C29 C30 C31 C32 C41 C42 C43 C44 C45 C46 C47 C56 C57 C58 C59 C60 C61 C62 C63 C72 C73 C74 C75 C76 C77 C78 C79 C88 C89 C90 C91 C92 C101 C102 C103 C104 C105 C106 C115 C116 C117 C118 C119 C120 C121" xr:uid="{00000000-0002-0000-0100-000000000000}">
      <formula1>"Met,Partial,Missed,N.A."</formula1>
    </dataValidation>
    <dataValidation type="whole" allowBlank="1" sqref="C35 C50 C66 C82 C95 C109 C124" xr:uid="{00000000-0002-0000-0100-000001000000}">
      <formula1>0</formula1>
    </dataValidation>
    <dataValidation type="list" allowBlank="1" sqref="C144 E10 C196:C206 C149:C164" xr:uid="{00000000-0002-0000-0100-000002000000}">
      <formula1>"No,Yes"</formula1>
    </dataValidation>
    <dataValidation type="list" allowBlank="1" sqref="C8" xr:uid="{00000000-0002-0000-0100-000003000000}">
      <formula1>"In-Warranty,Out-of-Warranty,Unknown"</formula1>
    </dataValidation>
    <dataValidation type="list" allowBlank="1" sqref="E7" xr:uid="{00000000-0002-0000-0100-000004000000}">
      <formula1>"Phone,Chat,Email,Social,Other"</formula1>
    </dataValidation>
    <dataValidation type="list" allowBlank="1" sqref="C9" xr:uid="{00000000-0002-0000-0100-000005000000}">
      <formula1>"Technical Issue,Setup/How-To,RMA/Replacement,Billing/Account,Connectivity,Other"</formula1>
    </dataValidation>
    <dataValidation type="list" allowBlank="1" sqref="E12" xr:uid="{00000000-0002-0000-0100-000006000000}">
      <formula1>"Within SLA,Breached,N.A."</formula1>
    </dataValidation>
    <dataValidation type="list" allowBlank="1" sqref="C139" xr:uid="{00000000-0002-0000-0100-000007000000}">
      <formula1>"Successful Resolution,Partial Resolution,Appropriate Escalation,Ownership Gap,Unresolved"</formula1>
    </dataValidation>
    <dataValidation type="list" allowBlank="1" sqref="C140" xr:uid="{00000000-0002-0000-0100-000008000000}">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type="list" allowBlank="1" sqref="C145" xr:uid="{00000000-0002-0000-0100-000009000000}">
      <formula1>"Callback attempt,Follow-up email,Private note documenting actions,Documented why follow-up not possible,None,N.A. — no disconnect"</formula1>
    </dataValidation>
    <dataValidation type="list" allowBlank="1" sqref="C192:C194" xr:uid="{00000000-0002-0000-0100-000012000000}">
      <formula1>"Yes,No,N.A."</formula1>
    </dataValidation>
  </dataValidations>
  <pageMargins left="0.75" right="0.75" top="1" bottom="1" header="0.5" footer="0.5"/>
  <extLst>
    <ext xmlns:x14="http://schemas.microsoft.com/office/spreadsheetml/2009/9/main" uri="{CCE6A557-97BC-4b89-ADB6-D9C93CAAB3DF}">
      <x14:dataValidations xmlns:xm="http://schemas.microsoft.com/office/excel/2006/main" count="7">
        <x14:dataValidation type="list" allowBlank="1" xr:uid="{00000000-0002-0000-0100-00000A000000}">
          <x14:formula1>
            <xm:f>Lists!$A$2:$A$17</xm:f>
          </x14:formula1>
          <xm:sqref>C16</xm:sqref>
        </x14:dataValidation>
        <x14:dataValidation type="list" allowBlank="1" xr:uid="{00000000-0002-0000-0100-00000B000000}">
          <x14:formula1>
            <xm:f>Lists!$B$2:$B$5</xm:f>
          </x14:formula1>
          <xm:sqref>E16</xm:sqref>
        </x14:dataValidation>
        <x14:dataValidation type="list" allowBlank="1" xr:uid="{00000000-0002-0000-0100-00000C000000}">
          <x14:formula1>
            <xm:f>Lists!$C$2:$C$8</xm:f>
          </x14:formula1>
          <xm:sqref>C17</xm:sqref>
        </x14:dataValidation>
        <x14:dataValidation type="list" allowBlank="1" xr:uid="{00000000-0002-0000-0100-00000D000000}">
          <x14:formula1>
            <xm:f>Lists!$D$2:$D$6</xm:f>
          </x14:formula1>
          <xm:sqref>E17</xm:sqref>
        </x14:dataValidation>
        <x14:dataValidation type="list" allowBlank="1" xr:uid="{00000000-0002-0000-0100-00000E000000}">
          <x14:formula1>
            <xm:f>Lists!$E$2:$E$15</xm:f>
          </x14:formula1>
          <xm:sqref>C18</xm:sqref>
        </x14:dataValidation>
        <x14:dataValidation type="list" allowBlank="1" xr:uid="{00000000-0002-0000-0100-00000F000000}">
          <x14:formula1>
            <xm:f>Lists!$F$2:$F$9</xm:f>
          </x14:formula1>
          <xm:sqref>C19</xm:sqref>
        </x14:dataValidation>
        <x14:dataValidation type="list" allowBlank="1" xr:uid="{00000000-0002-0000-0100-000010000000}">
          <x14:formula1>
            <xm:f>Lists!$G$2:$G$10</xm:f>
          </x14:formula1>
          <xm:sqref>C20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42"/>
  <sheetViews>
    <sheetView showGridLines="0" workbookViewId="0"/>
  </sheetViews>
  <sheetFormatPr defaultRowHeight="14.5" x14ac:dyDescent="0.35"/>
  <cols>
    <col min="1" max="1" width="4" customWidth="1"/>
    <col min="2" max="2" width="30" customWidth="1"/>
    <col min="3" max="3" width="10" customWidth="1"/>
    <col min="4" max="4" width="80" customWidth="1"/>
  </cols>
  <sheetData>
    <row r="1" spans="2:4" ht="26.15" customHeight="1" x14ac:dyDescent="0.35">
      <c r="B1" s="82" t="s">
        <v>257</v>
      </c>
      <c r="C1" s="75"/>
      <c r="D1" s="76"/>
    </row>
    <row r="3" spans="2:4" x14ac:dyDescent="0.35">
      <c r="B3" s="81" t="s">
        <v>258</v>
      </c>
      <c r="C3" s="75"/>
      <c r="D3" s="76"/>
    </row>
    <row r="4" spans="2:4" x14ac:dyDescent="0.35">
      <c r="B4" s="95" t="s">
        <v>259</v>
      </c>
      <c r="C4" s="72"/>
      <c r="D4" s="73"/>
    </row>
    <row r="5" spans="2:4" x14ac:dyDescent="0.35">
      <c r="B5" s="86" t="s">
        <v>260</v>
      </c>
      <c r="C5" s="72"/>
      <c r="D5" s="73"/>
    </row>
    <row r="6" spans="2:4" x14ac:dyDescent="0.35">
      <c r="B6" s="95" t="s">
        <v>261</v>
      </c>
      <c r="C6" s="72"/>
      <c r="D6" s="73"/>
    </row>
    <row r="7" spans="2:4" x14ac:dyDescent="0.35">
      <c r="B7" s="86" t="s">
        <v>262</v>
      </c>
      <c r="C7" s="72"/>
      <c r="D7" s="73"/>
    </row>
    <row r="8" spans="2:4" x14ac:dyDescent="0.35">
      <c r="B8" s="95" t="s">
        <v>263</v>
      </c>
      <c r="C8" s="72"/>
      <c r="D8" s="73"/>
    </row>
    <row r="9" spans="2:4" x14ac:dyDescent="0.35">
      <c r="B9" s="86" t="s">
        <v>264</v>
      </c>
      <c r="C9" s="72"/>
      <c r="D9" s="73"/>
    </row>
    <row r="10" spans="2:4" x14ac:dyDescent="0.35">
      <c r="B10" s="95" t="s">
        <v>265</v>
      </c>
      <c r="C10" s="72"/>
      <c r="D10" s="73"/>
    </row>
    <row r="11" spans="2:4" x14ac:dyDescent="0.35">
      <c r="B11" s="86" t="s">
        <v>266</v>
      </c>
      <c r="C11" s="72"/>
      <c r="D11" s="73"/>
    </row>
    <row r="13" spans="2:4" x14ac:dyDescent="0.35">
      <c r="B13" s="81" t="s">
        <v>267</v>
      </c>
      <c r="C13" s="75"/>
      <c r="D13" s="76"/>
    </row>
    <row r="14" spans="2:4" x14ac:dyDescent="0.35">
      <c r="B14" s="15" t="s">
        <v>268</v>
      </c>
      <c r="C14" s="81" t="s">
        <v>269</v>
      </c>
      <c r="D14" s="76"/>
    </row>
    <row r="15" spans="2:4" x14ac:dyDescent="0.35">
      <c r="B15" s="31" t="s">
        <v>270</v>
      </c>
      <c r="C15" s="95" t="s">
        <v>271</v>
      </c>
      <c r="D15" s="73"/>
    </row>
    <row r="16" spans="2:4" x14ac:dyDescent="0.35">
      <c r="B16" s="32" t="s">
        <v>272</v>
      </c>
      <c r="C16" s="86" t="s">
        <v>273</v>
      </c>
      <c r="D16" s="73"/>
    </row>
    <row r="17" spans="2:4" x14ac:dyDescent="0.35">
      <c r="B17" s="31" t="s">
        <v>274</v>
      </c>
      <c r="C17" s="95" t="s">
        <v>275</v>
      </c>
      <c r="D17" s="73"/>
    </row>
    <row r="18" spans="2:4" x14ac:dyDescent="0.35">
      <c r="B18" s="32" t="s">
        <v>276</v>
      </c>
      <c r="C18" s="86" t="s">
        <v>277</v>
      </c>
      <c r="D18" s="73"/>
    </row>
    <row r="19" spans="2:4" x14ac:dyDescent="0.35">
      <c r="B19" s="31" t="s">
        <v>278</v>
      </c>
      <c r="C19" s="95" t="s">
        <v>279</v>
      </c>
      <c r="D19" s="73"/>
    </row>
    <row r="20" spans="2:4" x14ac:dyDescent="0.35">
      <c r="B20" s="32" t="s">
        <v>280</v>
      </c>
      <c r="C20" s="86" t="s">
        <v>281</v>
      </c>
      <c r="D20" s="73"/>
    </row>
    <row r="22" spans="2:4" x14ac:dyDescent="0.35">
      <c r="B22" s="81" t="s">
        <v>282</v>
      </c>
      <c r="C22" s="75"/>
      <c r="D22" s="76"/>
    </row>
    <row r="23" spans="2:4" x14ac:dyDescent="0.35">
      <c r="B23" s="31" t="s">
        <v>283</v>
      </c>
      <c r="C23" s="95" t="s">
        <v>284</v>
      </c>
      <c r="D23" s="73"/>
    </row>
    <row r="24" spans="2:4" x14ac:dyDescent="0.35">
      <c r="B24" s="32" t="s">
        <v>285</v>
      </c>
      <c r="C24" s="86" t="s">
        <v>286</v>
      </c>
      <c r="D24" s="73"/>
    </row>
    <row r="25" spans="2:4" x14ac:dyDescent="0.35">
      <c r="B25" s="31" t="s">
        <v>287</v>
      </c>
      <c r="C25" s="95" t="s">
        <v>288</v>
      </c>
      <c r="D25" s="73"/>
    </row>
    <row r="26" spans="2:4" x14ac:dyDescent="0.35">
      <c r="B26" s="32" t="s">
        <v>289</v>
      </c>
      <c r="C26" s="86" t="s">
        <v>290</v>
      </c>
      <c r="D26" s="73"/>
    </row>
    <row r="28" spans="2:4" x14ac:dyDescent="0.35">
      <c r="B28" s="81" t="s">
        <v>291</v>
      </c>
      <c r="C28" s="75"/>
      <c r="D28" s="76"/>
    </row>
    <row r="29" spans="2:4" ht="60" customHeight="1" x14ac:dyDescent="0.35">
      <c r="B29" s="33" t="s">
        <v>292</v>
      </c>
      <c r="C29" s="95" t="s">
        <v>293</v>
      </c>
      <c r="D29" s="73"/>
    </row>
    <row r="30" spans="2:4" ht="60" customHeight="1" x14ac:dyDescent="0.35">
      <c r="B30" s="34" t="s">
        <v>294</v>
      </c>
      <c r="C30" s="107" t="s">
        <v>295</v>
      </c>
      <c r="D30" s="73"/>
    </row>
    <row r="31" spans="2:4" ht="60" customHeight="1" x14ac:dyDescent="0.35">
      <c r="B31" s="33" t="s">
        <v>296</v>
      </c>
      <c r="C31" s="95" t="s">
        <v>297</v>
      </c>
      <c r="D31" s="73"/>
    </row>
    <row r="32" spans="2:4" ht="60" customHeight="1" x14ac:dyDescent="0.35">
      <c r="B32" s="34" t="s">
        <v>298</v>
      </c>
      <c r="C32" s="107" t="s">
        <v>299</v>
      </c>
      <c r="D32" s="73"/>
    </row>
    <row r="33" spans="2:4" ht="60" customHeight="1" x14ac:dyDescent="0.35">
      <c r="B33" s="33" t="s">
        <v>300</v>
      </c>
      <c r="C33" s="95" t="s">
        <v>301</v>
      </c>
      <c r="D33" s="73"/>
    </row>
    <row r="34" spans="2:4" ht="60" customHeight="1" x14ac:dyDescent="0.35">
      <c r="B34" s="34" t="s">
        <v>302</v>
      </c>
      <c r="C34" s="107" t="s">
        <v>303</v>
      </c>
      <c r="D34" s="73"/>
    </row>
    <row r="35" spans="2:4" ht="60" customHeight="1" x14ac:dyDescent="0.35">
      <c r="B35" s="33" t="s">
        <v>304</v>
      </c>
      <c r="C35" s="95" t="s">
        <v>305</v>
      </c>
      <c r="D35" s="73"/>
    </row>
    <row r="37" spans="2:4" x14ac:dyDescent="0.35">
      <c r="B37" s="81" t="s">
        <v>306</v>
      </c>
      <c r="C37" s="75"/>
      <c r="D37" s="76"/>
    </row>
    <row r="38" spans="2:4" x14ac:dyDescent="0.35">
      <c r="B38" s="36" t="s">
        <v>307</v>
      </c>
      <c r="C38" s="108" t="s">
        <v>308</v>
      </c>
      <c r="D38" s="73"/>
    </row>
    <row r="39" spans="2:4" x14ac:dyDescent="0.35">
      <c r="B39" s="37" t="s">
        <v>309</v>
      </c>
      <c r="C39" s="111" t="s">
        <v>310</v>
      </c>
      <c r="D39" s="73"/>
    </row>
    <row r="40" spans="2:4" x14ac:dyDescent="0.35">
      <c r="B40" s="38" t="s">
        <v>311</v>
      </c>
      <c r="C40" s="110" t="s">
        <v>312</v>
      </c>
      <c r="D40" s="73"/>
    </row>
    <row r="42" spans="2:4" ht="40" customHeight="1" x14ac:dyDescent="0.35">
      <c r="B42" s="109" t="s">
        <v>313</v>
      </c>
      <c r="C42" s="75"/>
      <c r="D42" s="76"/>
    </row>
  </sheetData>
  <mergeCells count="36">
    <mergeCell ref="B42:D42"/>
    <mergeCell ref="C24:D24"/>
    <mergeCell ref="C30:D30"/>
    <mergeCell ref="C15:D15"/>
    <mergeCell ref="C33:D33"/>
    <mergeCell ref="C35:D35"/>
    <mergeCell ref="B28:D28"/>
    <mergeCell ref="C29:D29"/>
    <mergeCell ref="B37:D37"/>
    <mergeCell ref="C40:D40"/>
    <mergeCell ref="C31:D31"/>
    <mergeCell ref="C39:D39"/>
    <mergeCell ref="B1:D1"/>
    <mergeCell ref="B8:D8"/>
    <mergeCell ref="B13:D13"/>
    <mergeCell ref="C14:D14"/>
    <mergeCell ref="C26:D26"/>
    <mergeCell ref="B10:D10"/>
    <mergeCell ref="C20:D20"/>
    <mergeCell ref="C16:D16"/>
    <mergeCell ref="C25:D25"/>
    <mergeCell ref="B9:D9"/>
    <mergeCell ref="B6:D6"/>
    <mergeCell ref="B5:D5"/>
    <mergeCell ref="B4:D4"/>
    <mergeCell ref="B7:D7"/>
    <mergeCell ref="C17:D17"/>
    <mergeCell ref="C23:D23"/>
    <mergeCell ref="B3:D3"/>
    <mergeCell ref="C32:D32"/>
    <mergeCell ref="C38:D38"/>
    <mergeCell ref="B22:D22"/>
    <mergeCell ref="C19:D19"/>
    <mergeCell ref="C18:D18"/>
    <mergeCell ref="B11:D11"/>
    <mergeCell ref="C34:D3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47"/>
  <sheetViews>
    <sheetView showGridLines="0" workbookViewId="0">
      <pane ySplit="2" topLeftCell="A3" activePane="bottomLeft" state="frozen"/>
      <selection pane="bottomLeft"/>
    </sheetView>
  </sheetViews>
  <sheetFormatPr defaultRowHeight="14.5" x14ac:dyDescent="0.35"/>
  <cols>
    <col min="1" max="1" width="4" customWidth="1"/>
    <col min="2" max="2" width="34" customWidth="1"/>
    <col min="3" max="3" width="110" customWidth="1"/>
  </cols>
  <sheetData>
    <row r="1" spans="2:3" ht="26.15" customHeight="1" x14ac:dyDescent="0.35">
      <c r="B1" s="82" t="s">
        <v>314</v>
      </c>
      <c r="C1" s="76"/>
    </row>
    <row r="3" spans="2:3" x14ac:dyDescent="0.35">
      <c r="B3" s="81" t="s">
        <v>315</v>
      </c>
      <c r="C3" s="76"/>
    </row>
    <row r="4" spans="2:3" ht="72" customHeight="1" x14ac:dyDescent="0.35">
      <c r="B4" s="33" t="s">
        <v>316</v>
      </c>
      <c r="C4" s="8" t="s">
        <v>317</v>
      </c>
    </row>
    <row r="5" spans="2:3" ht="72" customHeight="1" x14ac:dyDescent="0.35">
      <c r="B5" s="34" t="s">
        <v>318</v>
      </c>
      <c r="C5" s="35" t="s">
        <v>319</v>
      </c>
    </row>
    <row r="6" spans="2:3" ht="72" customHeight="1" x14ac:dyDescent="0.35">
      <c r="B6" s="33" t="s">
        <v>320</v>
      </c>
      <c r="C6" s="8" t="s">
        <v>321</v>
      </c>
    </row>
    <row r="7" spans="2:3" ht="72" customHeight="1" x14ac:dyDescent="0.35">
      <c r="B7" s="34" t="s">
        <v>322</v>
      </c>
      <c r="C7" s="35" t="s">
        <v>323</v>
      </c>
    </row>
    <row r="8" spans="2:3" ht="72" customHeight="1" x14ac:dyDescent="0.35">
      <c r="B8" s="33" t="s">
        <v>324</v>
      </c>
      <c r="C8" s="8" t="s">
        <v>325</v>
      </c>
    </row>
    <row r="9" spans="2:3" ht="72" customHeight="1" x14ac:dyDescent="0.35">
      <c r="B9" s="34" t="s">
        <v>326</v>
      </c>
      <c r="C9" s="35" t="s">
        <v>327</v>
      </c>
    </row>
    <row r="11" spans="2:3" x14ac:dyDescent="0.35">
      <c r="B11" s="81" t="s">
        <v>328</v>
      </c>
      <c r="C11" s="76"/>
    </row>
    <row r="12" spans="2:3" ht="58" customHeight="1" x14ac:dyDescent="0.35">
      <c r="B12" s="112" t="s">
        <v>329</v>
      </c>
      <c r="C12" s="73"/>
    </row>
    <row r="13" spans="2:3" x14ac:dyDescent="0.35">
      <c r="B13" s="30" t="s">
        <v>330</v>
      </c>
      <c r="C13" s="30" t="s">
        <v>331</v>
      </c>
    </row>
    <row r="14" spans="2:3" ht="66" customHeight="1" x14ac:dyDescent="0.35">
      <c r="B14" s="39" t="s">
        <v>332</v>
      </c>
      <c r="C14" s="8" t="s">
        <v>333</v>
      </c>
    </row>
    <row r="15" spans="2:3" ht="66" customHeight="1" x14ac:dyDescent="0.35">
      <c r="B15" s="40" t="s">
        <v>334</v>
      </c>
      <c r="C15" s="10" t="s">
        <v>335</v>
      </c>
    </row>
    <row r="16" spans="2:3" ht="66" customHeight="1" x14ac:dyDescent="0.35">
      <c r="B16" s="39" t="s">
        <v>336</v>
      </c>
      <c r="C16" s="8" t="s">
        <v>337</v>
      </c>
    </row>
    <row r="17" spans="2:3" ht="66" customHeight="1" x14ac:dyDescent="0.35">
      <c r="B17" s="40" t="s">
        <v>338</v>
      </c>
      <c r="C17" s="10" t="s">
        <v>339</v>
      </c>
    </row>
    <row r="18" spans="2:3" ht="66" customHeight="1" x14ac:dyDescent="0.35">
      <c r="B18" s="39" t="s">
        <v>340</v>
      </c>
      <c r="C18" s="8" t="s">
        <v>341</v>
      </c>
    </row>
    <row r="19" spans="2:3" ht="66" customHeight="1" x14ac:dyDescent="0.35">
      <c r="B19" s="40" t="s">
        <v>342</v>
      </c>
      <c r="C19" s="10" t="s">
        <v>343</v>
      </c>
    </row>
    <row r="20" spans="2:3" ht="66" customHeight="1" x14ac:dyDescent="0.35">
      <c r="B20" s="39" t="s">
        <v>344</v>
      </c>
      <c r="C20" s="8" t="s">
        <v>345</v>
      </c>
    </row>
    <row r="22" spans="2:3" x14ac:dyDescent="0.35">
      <c r="B22" s="81" t="s">
        <v>346</v>
      </c>
      <c r="C22" s="76"/>
    </row>
    <row r="23" spans="2:3" ht="50.15" customHeight="1" x14ac:dyDescent="0.35">
      <c r="B23" s="41" t="s">
        <v>347</v>
      </c>
      <c r="C23" s="8" t="s">
        <v>348</v>
      </c>
    </row>
    <row r="24" spans="2:3" ht="50.15" customHeight="1" x14ac:dyDescent="0.35">
      <c r="B24" s="42" t="s">
        <v>349</v>
      </c>
      <c r="C24" s="35" t="s">
        <v>350</v>
      </c>
    </row>
    <row r="25" spans="2:3" ht="50.15" customHeight="1" x14ac:dyDescent="0.35">
      <c r="B25" s="41" t="s">
        <v>351</v>
      </c>
      <c r="C25" s="8" t="s">
        <v>352</v>
      </c>
    </row>
    <row r="27" spans="2:3" x14ac:dyDescent="0.35">
      <c r="B27" s="81" t="s">
        <v>353</v>
      </c>
      <c r="C27" s="76"/>
    </row>
    <row r="28" spans="2:3" ht="40" customHeight="1" x14ac:dyDescent="0.35">
      <c r="B28" s="95" t="s">
        <v>354</v>
      </c>
      <c r="C28" s="73"/>
    </row>
    <row r="29" spans="2:3" ht="40" customHeight="1" x14ac:dyDescent="0.35">
      <c r="B29" s="86" t="s">
        <v>355</v>
      </c>
      <c r="C29" s="73"/>
    </row>
    <row r="30" spans="2:3" ht="40" customHeight="1" x14ac:dyDescent="0.35">
      <c r="B30" s="95" t="s">
        <v>356</v>
      </c>
      <c r="C30" s="73"/>
    </row>
    <row r="31" spans="2:3" ht="40" customHeight="1" x14ac:dyDescent="0.35">
      <c r="B31" s="86" t="s">
        <v>357</v>
      </c>
      <c r="C31" s="73"/>
    </row>
    <row r="32" spans="2:3" ht="40" customHeight="1" x14ac:dyDescent="0.35">
      <c r="B32" s="95" t="s">
        <v>358</v>
      </c>
      <c r="C32" s="73"/>
    </row>
    <row r="33" spans="2:3" ht="40" customHeight="1" x14ac:dyDescent="0.35">
      <c r="B33" s="86" t="s">
        <v>359</v>
      </c>
      <c r="C33" s="73"/>
    </row>
    <row r="35" spans="2:3" x14ac:dyDescent="0.35">
      <c r="B35" s="81" t="s">
        <v>360</v>
      </c>
      <c r="C35" s="76"/>
    </row>
    <row r="36" spans="2:3" ht="46" customHeight="1" x14ac:dyDescent="0.35">
      <c r="B36" s="109" t="s">
        <v>361</v>
      </c>
      <c r="C36" s="76"/>
    </row>
    <row r="37" spans="2:3" ht="58" customHeight="1" x14ac:dyDescent="0.35">
      <c r="B37" s="50" t="s">
        <v>362</v>
      </c>
      <c r="C37" s="8" t="s">
        <v>363</v>
      </c>
    </row>
    <row r="38" spans="2:3" ht="52" customHeight="1" x14ac:dyDescent="0.35">
      <c r="B38" s="34" t="s">
        <v>364</v>
      </c>
      <c r="C38" s="10" t="s">
        <v>365</v>
      </c>
    </row>
    <row r="39" spans="2:3" ht="52" customHeight="1" x14ac:dyDescent="0.35">
      <c r="B39" s="34" t="s">
        <v>366</v>
      </c>
      <c r="C39" s="8" t="s">
        <v>367</v>
      </c>
    </row>
    <row r="40" spans="2:3" ht="84" customHeight="1" x14ac:dyDescent="0.35">
      <c r="B40" s="34" t="s">
        <v>368</v>
      </c>
      <c r="C40" s="10" t="s">
        <v>369</v>
      </c>
    </row>
    <row r="41" spans="2:3" ht="52" customHeight="1" x14ac:dyDescent="0.35">
      <c r="B41" s="34" t="s">
        <v>370</v>
      </c>
      <c r="C41" s="8" t="s">
        <v>371</v>
      </c>
    </row>
    <row r="43" spans="2:3" x14ac:dyDescent="0.35">
      <c r="B43" s="81" t="s">
        <v>372</v>
      </c>
      <c r="C43" s="76"/>
    </row>
    <row r="44" spans="2:3" ht="46" customHeight="1" x14ac:dyDescent="0.35">
      <c r="B44" s="109" t="s">
        <v>373</v>
      </c>
      <c r="C44" s="76"/>
    </row>
    <row r="45" spans="2:3" ht="66" customHeight="1" x14ac:dyDescent="0.35">
      <c r="B45" s="34" t="s">
        <v>374</v>
      </c>
      <c r="C45" s="8" t="s">
        <v>375</v>
      </c>
    </row>
    <row r="46" spans="2:3" ht="78" customHeight="1" x14ac:dyDescent="0.35">
      <c r="B46" s="34" t="s">
        <v>376</v>
      </c>
      <c r="C46" s="10" t="s">
        <v>377</v>
      </c>
    </row>
    <row r="47" spans="2:3" ht="70" customHeight="1" x14ac:dyDescent="0.35">
      <c r="B47" s="34" t="s">
        <v>378</v>
      </c>
      <c r="C47" s="8" t="s">
        <v>379</v>
      </c>
    </row>
  </sheetData>
  <mergeCells count="16">
    <mergeCell ref="B44:C44"/>
    <mergeCell ref="B29:C29"/>
    <mergeCell ref="B33:C33"/>
    <mergeCell ref="B11:C11"/>
    <mergeCell ref="B1:C1"/>
    <mergeCell ref="B35:C35"/>
    <mergeCell ref="B43:C43"/>
    <mergeCell ref="B12:C12"/>
    <mergeCell ref="B3:C3"/>
    <mergeCell ref="B28:C28"/>
    <mergeCell ref="B22:C22"/>
    <mergeCell ref="B36:C36"/>
    <mergeCell ref="B32:C32"/>
    <mergeCell ref="B31:C31"/>
    <mergeCell ref="B27:C27"/>
    <mergeCell ref="B30:C3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D77"/>
  <sheetViews>
    <sheetView showGridLines="0" tabSelected="1" workbookViewId="0">
      <selection activeCell="G6" sqref="G6"/>
    </sheetView>
  </sheetViews>
  <sheetFormatPr defaultRowHeight="14.5" x14ac:dyDescent="0.35"/>
  <cols>
    <col min="1" max="1" width="3" customWidth="1"/>
    <col min="2" max="2" width="36" customWidth="1"/>
    <col min="3" max="3" width="52" customWidth="1"/>
    <col min="4" max="4" width="58" customWidth="1"/>
  </cols>
  <sheetData>
    <row r="1" spans="2:4" ht="28" customHeight="1" x14ac:dyDescent="0.35">
      <c r="B1" s="82" t="s">
        <v>380</v>
      </c>
      <c r="C1" s="75"/>
      <c r="D1" s="76"/>
    </row>
    <row r="2" spans="2:4" ht="32.15" customHeight="1" x14ac:dyDescent="0.35">
      <c r="B2" s="119" t="s">
        <v>381</v>
      </c>
      <c r="C2" s="75"/>
      <c r="D2" s="76"/>
    </row>
    <row r="4" spans="2:4" ht="24" customHeight="1" x14ac:dyDescent="0.35">
      <c r="B4" s="120" t="str">
        <f>"◆  LIVE TEAM SCORECARD  ·  "&amp;IF('Case Tracker'!A56="","(enter a Case ID + journey scores in Case Tracker row 56)",'Case Tracker'!A56)&amp;"  ◆"</f>
        <v>◆  LIVE TEAM SCORECARD  ·  TE00132365  ◆</v>
      </c>
      <c r="C4" s="115"/>
      <c r="D4" s="116"/>
    </row>
    <row r="5" spans="2:4" ht="16" customHeight="1" x14ac:dyDescent="0.35">
      <c r="B5" s="59" t="s">
        <v>382</v>
      </c>
      <c r="C5" s="59" t="s">
        <v>383</v>
      </c>
      <c r="D5" s="59" t="s">
        <v>384</v>
      </c>
    </row>
    <row r="6" spans="2:4" ht="64" customHeight="1" x14ac:dyDescent="0.35">
      <c r="B6" s="60">
        <f>'Case Tracker'!G56</f>
        <v>1</v>
      </c>
      <c r="C6" s="61" t="str">
        <f>UPPER('Case Tracker'!H56)</f>
        <v>MEETS/EXCEEDS</v>
      </c>
      <c r="D6" s="62" t="s">
        <v>385</v>
      </c>
    </row>
    <row r="7" spans="2:4" ht="16" customHeight="1" x14ac:dyDescent="0.35">
      <c r="B7" s="63" t="s">
        <v>386</v>
      </c>
      <c r="C7" s="63" t="s">
        <v>387</v>
      </c>
      <c r="D7" s="63" t="s">
        <v>388</v>
      </c>
    </row>
    <row r="8" spans="2:4" ht="28" customHeight="1" x14ac:dyDescent="0.35">
      <c r="B8" s="64" t="str">
        <f>IF('Case Tracker'!D56="","—",TEXT('Case Tracker'!D56,"0.0%")&amp;"  avg of "&amp;'Case Tracker'!C56&amp;" touches")</f>
        <v>100.0%  avg of 2 touches</v>
      </c>
      <c r="C8" s="65" t="str">
        <f>IF('Case Tracker'!E56="","—",'Case Tracker'!E56&amp;" / 5")</f>
        <v>5 / 5</v>
      </c>
      <c r="D8" s="65" t="str">
        <f>IF('Case Tracker'!F56="","—",'Case Tracker'!F56&amp;" / 5")</f>
        <v>5 / 5</v>
      </c>
    </row>
    <row r="9" spans="2:4" ht="22" customHeight="1" x14ac:dyDescent="0.35">
      <c r="B9" s="114" t="str">
        <f>IF('Case Tracker'!D56="","Team Score computes once the journey row (Case Tracker row 56) is filled."," = 50% × "&amp;TEXT('Case Tracker'!D56,"0.0%")&amp;"  +  30% × ("&amp;'Case Tracker'!E56&amp;"÷5)  +  20% × ("&amp;'Case Tracker'!F56&amp;"÷5)")</f>
        <v xml:space="preserve"> = 50% × 100.0%  +  30% × (5÷5)  +  20% × (5÷5)</v>
      </c>
      <c r="C9" s="115"/>
      <c r="D9" s="116"/>
    </row>
    <row r="10" spans="2:4" ht="28" customHeight="1" x14ac:dyDescent="0.35">
      <c r="B10" s="117" t="s">
        <v>389</v>
      </c>
      <c r="C10" s="72"/>
      <c r="D10" s="73"/>
    </row>
    <row r="12" spans="2:4" x14ac:dyDescent="0.35">
      <c r="B12" s="81" t="s">
        <v>390</v>
      </c>
      <c r="C12" s="75"/>
      <c r="D12" s="76"/>
    </row>
    <row r="13" spans="2:4" ht="72" customHeight="1" x14ac:dyDescent="0.35">
      <c r="B13" s="92" t="s">
        <v>391</v>
      </c>
      <c r="C13" s="72"/>
      <c r="D13" s="73"/>
    </row>
    <row r="15" spans="2:4" x14ac:dyDescent="0.35">
      <c r="B15" s="81" t="s">
        <v>392</v>
      </c>
      <c r="C15" s="75"/>
      <c r="D15" s="76"/>
    </row>
    <row r="16" spans="2:4" x14ac:dyDescent="0.35">
      <c r="B16" s="1" t="s">
        <v>393</v>
      </c>
      <c r="C16" s="1" t="s">
        <v>394</v>
      </c>
      <c r="D16" s="1" t="s">
        <v>395</v>
      </c>
    </row>
    <row r="17" spans="2:4" ht="104.15" customHeight="1" x14ac:dyDescent="0.35">
      <c r="B17" s="53" t="s">
        <v>396</v>
      </c>
      <c r="C17" s="54" t="s">
        <v>397</v>
      </c>
      <c r="D17" s="54"/>
    </row>
    <row r="18" spans="2:4" ht="104.15" customHeight="1" x14ac:dyDescent="0.35">
      <c r="B18" s="55" t="s">
        <v>398</v>
      </c>
      <c r="C18" s="56" t="s">
        <v>399</v>
      </c>
      <c r="D18" s="56"/>
    </row>
    <row r="19" spans="2:4" ht="104.15" customHeight="1" x14ac:dyDescent="0.35">
      <c r="B19" s="53" t="s">
        <v>400</v>
      </c>
      <c r="C19" s="54" t="s">
        <v>401</v>
      </c>
      <c r="D19" s="54"/>
    </row>
    <row r="20" spans="2:4" ht="30" customHeight="1" x14ac:dyDescent="0.35">
      <c r="B20" s="121" t="s">
        <v>402</v>
      </c>
      <c r="C20" s="75"/>
      <c r="D20" s="76"/>
    </row>
    <row r="22" spans="2:4" x14ac:dyDescent="0.35">
      <c r="B22" s="81" t="s">
        <v>403</v>
      </c>
      <c r="C22" s="75"/>
      <c r="D22" s="76"/>
    </row>
    <row r="23" spans="2:4" ht="46" customHeight="1" x14ac:dyDescent="0.35">
      <c r="B23" s="53" t="s">
        <v>404</v>
      </c>
      <c r="C23" s="92" t="s">
        <v>405</v>
      </c>
      <c r="D23" s="73"/>
    </row>
    <row r="24" spans="2:4" ht="46" customHeight="1" x14ac:dyDescent="0.35">
      <c r="B24" s="55" t="s">
        <v>406</v>
      </c>
      <c r="C24" s="91" t="s">
        <v>407</v>
      </c>
      <c r="D24" s="73"/>
    </row>
    <row r="25" spans="2:4" ht="46" customHeight="1" x14ac:dyDescent="0.35">
      <c r="B25" s="53" t="s">
        <v>408</v>
      </c>
      <c r="C25" s="92" t="s">
        <v>409</v>
      </c>
      <c r="D25" s="73"/>
    </row>
    <row r="27" spans="2:4" x14ac:dyDescent="0.35">
      <c r="B27" s="81" t="s">
        <v>410</v>
      </c>
      <c r="C27" s="75"/>
      <c r="D27" s="76"/>
    </row>
    <row r="28" spans="2:4" ht="40" customHeight="1" x14ac:dyDescent="0.35">
      <c r="B28" s="118" t="s">
        <v>411</v>
      </c>
      <c r="C28" s="72"/>
      <c r="D28" s="73"/>
    </row>
    <row r="29" spans="2:4" x14ac:dyDescent="0.35">
      <c r="B29" s="1" t="s">
        <v>412</v>
      </c>
      <c r="C29" s="15" t="s">
        <v>413</v>
      </c>
      <c r="D29" s="1" t="s">
        <v>414</v>
      </c>
    </row>
    <row r="30" spans="2:4" ht="44.15" customHeight="1" x14ac:dyDescent="0.35">
      <c r="B30" s="53" t="s">
        <v>415</v>
      </c>
      <c r="C30" s="66">
        <f>IFERROR(ROUND(AVERAGE('Case Tracker'!E5:E49),2),"")</f>
        <v>5</v>
      </c>
      <c r="D30" s="54"/>
    </row>
    <row r="31" spans="2:4" ht="44.15" customHeight="1" x14ac:dyDescent="0.35">
      <c r="B31" s="55" t="s">
        <v>294</v>
      </c>
      <c r="C31" s="67">
        <f>IFERROR(ROUND(AVERAGE('Case Tracker'!F5:F49),2),"")</f>
        <v>5</v>
      </c>
      <c r="D31" s="56"/>
    </row>
    <row r="32" spans="2:4" ht="44.15" customHeight="1" x14ac:dyDescent="0.35">
      <c r="B32" s="53" t="s">
        <v>296</v>
      </c>
      <c r="C32" s="66">
        <f>IFERROR(ROUND(AVERAGE('Case Tracker'!G5:G49),2),"")</f>
        <v>5</v>
      </c>
      <c r="D32" s="54"/>
    </row>
    <row r="33" spans="2:4" ht="44.15" customHeight="1" x14ac:dyDescent="0.35">
      <c r="B33" s="55" t="s">
        <v>298</v>
      </c>
      <c r="C33" s="67">
        <f>IFERROR(ROUND(AVERAGE('Case Tracker'!H5:H49),2),"")</f>
        <v>5</v>
      </c>
      <c r="D33" s="56"/>
    </row>
    <row r="34" spans="2:4" ht="44.15" customHeight="1" x14ac:dyDescent="0.35">
      <c r="B34" s="53" t="s">
        <v>300</v>
      </c>
      <c r="C34" s="66">
        <f>IFERROR(ROUND(AVERAGE('Case Tracker'!I5:I49),2),"")</f>
        <v>5</v>
      </c>
      <c r="D34" s="54"/>
    </row>
    <row r="35" spans="2:4" ht="44.15" customHeight="1" x14ac:dyDescent="0.35">
      <c r="B35" s="55" t="s">
        <v>302</v>
      </c>
      <c r="C35" s="67">
        <f>IFERROR(ROUND(AVERAGE('Case Tracker'!J5:J49),2),"")</f>
        <v>5</v>
      </c>
      <c r="D35" s="56"/>
    </row>
    <row r="36" spans="2:4" ht="44.15" customHeight="1" x14ac:dyDescent="0.35">
      <c r="B36" s="53" t="s">
        <v>304</v>
      </c>
      <c r="C36" s="66">
        <f>IFERROR(ROUND(AVERAGE('Case Tracker'!K5:K49),2),"")</f>
        <v>5</v>
      </c>
      <c r="D36" s="54"/>
    </row>
    <row r="37" spans="2:4" ht="44.15" customHeight="1" x14ac:dyDescent="0.35">
      <c r="B37" s="94" t="s">
        <v>416</v>
      </c>
      <c r="C37" s="75"/>
      <c r="D37" s="76"/>
    </row>
    <row r="39" spans="2:4" x14ac:dyDescent="0.35">
      <c r="B39" s="102" t="s">
        <v>417</v>
      </c>
      <c r="C39" s="75"/>
      <c r="D39" s="76"/>
    </row>
    <row r="40" spans="2:4" x14ac:dyDescent="0.35">
      <c r="B40" s="1" t="s">
        <v>418</v>
      </c>
      <c r="C40" s="1" t="s">
        <v>419</v>
      </c>
      <c r="D40" s="1" t="s">
        <v>420</v>
      </c>
    </row>
    <row r="41" spans="2:4" ht="88" customHeight="1" x14ac:dyDescent="0.35">
      <c r="B41" s="53"/>
      <c r="C41" s="54"/>
      <c r="D41" s="54"/>
    </row>
    <row r="42" spans="2:4" ht="88" customHeight="1" x14ac:dyDescent="0.35">
      <c r="B42" s="55"/>
      <c r="C42" s="56"/>
      <c r="D42" s="56"/>
    </row>
    <row r="43" spans="2:4" ht="88" customHeight="1" x14ac:dyDescent="0.35">
      <c r="B43" s="53"/>
      <c r="C43" s="54"/>
      <c r="D43" s="54"/>
    </row>
    <row r="44" spans="2:4" ht="88" customHeight="1" x14ac:dyDescent="0.35">
      <c r="B44" s="55"/>
      <c r="C44" s="56"/>
      <c r="D44" s="56"/>
    </row>
    <row r="45" spans="2:4" ht="88" customHeight="1" x14ac:dyDescent="0.35">
      <c r="B45" s="53"/>
      <c r="C45" s="54"/>
      <c r="D45" s="54"/>
    </row>
    <row r="46" spans="2:4" ht="88" customHeight="1" x14ac:dyDescent="0.35">
      <c r="B46" s="55"/>
      <c r="C46" s="56"/>
      <c r="D46" s="56"/>
    </row>
    <row r="47" spans="2:4" ht="88" customHeight="1" x14ac:dyDescent="0.35">
      <c r="B47" s="53"/>
      <c r="C47" s="54"/>
      <c r="D47" s="54"/>
    </row>
    <row r="48" spans="2:4" ht="88" customHeight="1" x14ac:dyDescent="0.35">
      <c r="B48" s="55"/>
      <c r="C48" s="56"/>
      <c r="D48" s="56"/>
    </row>
    <row r="50" spans="2:4" x14ac:dyDescent="0.35">
      <c r="B50" s="81" t="s">
        <v>421</v>
      </c>
      <c r="C50" s="75"/>
      <c r="D50" s="76"/>
    </row>
    <row r="51" spans="2:4" ht="40" customHeight="1" x14ac:dyDescent="0.35">
      <c r="B51" s="57" t="s">
        <v>422</v>
      </c>
      <c r="C51" s="92" t="s">
        <v>423</v>
      </c>
      <c r="D51" s="73"/>
    </row>
    <row r="52" spans="2:4" ht="40" customHeight="1" x14ac:dyDescent="0.35">
      <c r="B52" s="58" t="s">
        <v>424</v>
      </c>
      <c r="C52" s="91" t="s">
        <v>425</v>
      </c>
      <c r="D52" s="73"/>
    </row>
    <row r="53" spans="2:4" ht="40" customHeight="1" x14ac:dyDescent="0.35">
      <c r="B53" s="57" t="s">
        <v>426</v>
      </c>
      <c r="C53" s="92" t="s">
        <v>427</v>
      </c>
      <c r="D53" s="73"/>
    </row>
    <row r="54" spans="2:4" ht="40" customHeight="1" x14ac:dyDescent="0.35">
      <c r="B54" s="58" t="s">
        <v>428</v>
      </c>
      <c r="C54" s="91" t="s">
        <v>429</v>
      </c>
      <c r="D54" s="73"/>
    </row>
    <row r="55" spans="2:4" ht="40" customHeight="1" x14ac:dyDescent="0.35">
      <c r="B55" s="57" t="s">
        <v>430</v>
      </c>
      <c r="C55" s="92" t="s">
        <v>431</v>
      </c>
      <c r="D55" s="73"/>
    </row>
    <row r="56" spans="2:4" ht="40" customHeight="1" x14ac:dyDescent="0.35">
      <c r="B56" s="58" t="s">
        <v>432</v>
      </c>
      <c r="C56" s="91" t="s">
        <v>433</v>
      </c>
      <c r="D56" s="73"/>
    </row>
    <row r="58" spans="2:4" ht="36" customHeight="1" x14ac:dyDescent="0.35">
      <c r="B58" s="94" t="s">
        <v>434</v>
      </c>
      <c r="C58" s="75"/>
      <c r="D58" s="76"/>
    </row>
    <row r="60" spans="2:4" ht="22" customHeight="1" x14ac:dyDescent="0.35">
      <c r="B60" s="81" t="s">
        <v>435</v>
      </c>
      <c r="C60" s="75"/>
      <c r="D60" s="76"/>
    </row>
    <row r="61" spans="2:4" ht="32.15" customHeight="1" x14ac:dyDescent="0.35">
      <c r="B61" s="109" t="s">
        <v>436</v>
      </c>
      <c r="C61" s="75"/>
      <c r="D61" s="76"/>
    </row>
    <row r="62" spans="2:4" ht="34" customHeight="1" x14ac:dyDescent="0.35">
      <c r="B62" s="113" t="str">
        <f>"Contribution mix across "&amp;COUNTA('Case Tracker'!C5:C49)&amp;" touches:  "&amp;COUNTIF('Case Tracker'!O5:O49,"Resolver")&amp;" Resolver · "&amp;COUNTIF('Case Tracker'!O5:O49,"Progress Builder")&amp;" Progress Builder · "&amp;COUNTIF('Case Tracker'!O5:O49,"Maintainer")&amp;" Maintainer · "&amp;COUNTIF('Case Tracker'!O5:O49,"Regression Contributor")&amp;" Regression Contributor"</f>
        <v>Contribution mix across 2 touches:  0 Resolver · 2 Progress Builder · 0 Maintainer · 0 Regression Contributor</v>
      </c>
      <c r="C62" s="75"/>
      <c r="D62" s="76"/>
    </row>
    <row r="63" spans="2:4" ht="24" customHeight="1" x14ac:dyDescent="0.35">
      <c r="B63" s="68" t="s">
        <v>437</v>
      </c>
      <c r="C63" s="69" t="s">
        <v>438</v>
      </c>
      <c r="D63" s="69" t="s">
        <v>439</v>
      </c>
    </row>
    <row r="64" spans="2:4" x14ac:dyDescent="0.35">
      <c r="B64" s="10" t="str">
        <f>IF('Case Tracker'!C5="","",'Case Tracker'!D5&amp;" - "&amp;'Case Tracker'!C5)</f>
        <v>1 - Eppie Lou Lagumbay</v>
      </c>
      <c r="C64" s="25" t="str">
        <f>IF('Case Tracker'!C5="","",'Case Tracker'!O5)</f>
        <v>Progress Builder</v>
      </c>
      <c r="D64" s="25">
        <f>IF('Case Tracker'!C5="","",'Case Tracker'!P5)</f>
        <v>5</v>
      </c>
    </row>
    <row r="65" spans="2:4" x14ac:dyDescent="0.35">
      <c r="B65" s="8" t="str">
        <f>IF('Case Tracker'!C6="","",'Case Tracker'!E6&amp;" - "&amp;'Case Tracker'!C6)</f>
        <v>5 - John Clark Labadan</v>
      </c>
      <c r="C65" s="20" t="str">
        <f>IF('Case Tracker'!C6="","",'Case Tracker'!O6)</f>
        <v>Progress Builder</v>
      </c>
      <c r="D65" s="20">
        <f>IF('Case Tracker'!C6="","",'Case Tracker'!P6)</f>
        <v>5</v>
      </c>
    </row>
    <row r="66" spans="2:4" x14ac:dyDescent="0.35">
      <c r="B66" s="10" t="str">
        <f>IF('Case Tracker'!C7="","",'Case Tracker'!D7&amp;" - "&amp;'Case Tracker'!C7)</f>
        <v/>
      </c>
      <c r="C66" s="25" t="str">
        <f>IF('Case Tracker'!C7="","",'Case Tracker'!O7)</f>
        <v/>
      </c>
      <c r="D66" s="25" t="str">
        <f>IF('Case Tracker'!C7="","",'Case Tracker'!P7)</f>
        <v/>
      </c>
    </row>
    <row r="67" spans="2:4" x14ac:dyDescent="0.35">
      <c r="B67" s="8" t="str">
        <f>IF('Case Tracker'!C8="","",'Case Tracker'!D8&amp;" - "&amp;'Case Tracker'!C8)</f>
        <v/>
      </c>
      <c r="C67" s="20" t="str">
        <f>IF('Case Tracker'!C8="","",'Case Tracker'!O8)</f>
        <v/>
      </c>
      <c r="D67" s="20" t="str">
        <f>IF('Case Tracker'!C8="","",'Case Tracker'!P8)</f>
        <v/>
      </c>
    </row>
    <row r="68" spans="2:4" x14ac:dyDescent="0.35">
      <c r="B68" s="10" t="str">
        <f>IF('Case Tracker'!C9="","",'Case Tracker'!D9&amp;" - "&amp;'Case Tracker'!C9)</f>
        <v/>
      </c>
      <c r="C68" s="25" t="str">
        <f>IF('Case Tracker'!C9="","",'Case Tracker'!O9)</f>
        <v/>
      </c>
      <c r="D68" s="25" t="str">
        <f>IF('Case Tracker'!C9="","",'Case Tracker'!P9)</f>
        <v/>
      </c>
    </row>
    <row r="69" spans="2:4" x14ac:dyDescent="0.35">
      <c r="B69" s="8" t="str">
        <f>IF('Case Tracker'!C10="","",'Case Tracker'!D10&amp;" - "&amp;'Case Tracker'!C10)</f>
        <v/>
      </c>
      <c r="C69" s="20" t="str">
        <f>IF('Case Tracker'!C10="","",'Case Tracker'!O10)</f>
        <v/>
      </c>
      <c r="D69" s="20" t="str">
        <f>IF('Case Tracker'!C10="","",'Case Tracker'!P10)</f>
        <v/>
      </c>
    </row>
    <row r="70" spans="2:4" x14ac:dyDescent="0.35">
      <c r="B70" s="10" t="str">
        <f>IF('Case Tracker'!C11="","",'Case Tracker'!D11&amp;" - "&amp;'Case Tracker'!C11)</f>
        <v/>
      </c>
      <c r="C70" s="25" t="str">
        <f>IF('Case Tracker'!C11="","",'Case Tracker'!O11)</f>
        <v/>
      </c>
      <c r="D70" s="25" t="str">
        <f>IF('Case Tracker'!C11="","",'Case Tracker'!P11)</f>
        <v/>
      </c>
    </row>
    <row r="71" spans="2:4" x14ac:dyDescent="0.35">
      <c r="B71" s="8" t="str">
        <f>IF('Case Tracker'!C12="","",'Case Tracker'!D12&amp;" - "&amp;'Case Tracker'!C12)</f>
        <v/>
      </c>
      <c r="C71" s="20" t="str">
        <f>IF('Case Tracker'!C12="","",'Case Tracker'!O12)</f>
        <v/>
      </c>
      <c r="D71" s="20" t="str">
        <f>IF('Case Tracker'!C12="","",'Case Tracker'!P12)</f>
        <v/>
      </c>
    </row>
    <row r="72" spans="2:4" x14ac:dyDescent="0.35">
      <c r="B72" s="10" t="str">
        <f>IF('Case Tracker'!C13="","",'Case Tracker'!D13&amp;" - "&amp;'Case Tracker'!C13)</f>
        <v/>
      </c>
      <c r="C72" s="25" t="str">
        <f>IF('Case Tracker'!C13="","",'Case Tracker'!O13)</f>
        <v/>
      </c>
      <c r="D72" s="25" t="str">
        <f>IF('Case Tracker'!C13="","",'Case Tracker'!P13)</f>
        <v/>
      </c>
    </row>
    <row r="73" spans="2:4" x14ac:dyDescent="0.35">
      <c r="B73" s="8" t="str">
        <f>IF('Case Tracker'!C14="","",'Case Tracker'!D14&amp;" - "&amp;'Case Tracker'!C14)</f>
        <v/>
      </c>
      <c r="C73" s="20" t="str">
        <f>IF('Case Tracker'!C14="","",'Case Tracker'!O14)</f>
        <v/>
      </c>
      <c r="D73" s="20" t="str">
        <f>IF('Case Tracker'!C14="","",'Case Tracker'!P14)</f>
        <v/>
      </c>
    </row>
    <row r="74" spans="2:4" x14ac:dyDescent="0.35">
      <c r="B74" s="10" t="str">
        <f>IF('Case Tracker'!C15="","",'Case Tracker'!D15&amp;" - "&amp;'Case Tracker'!C15)</f>
        <v/>
      </c>
      <c r="C74" s="25" t="str">
        <f>IF('Case Tracker'!C15="","",'Case Tracker'!O15)</f>
        <v/>
      </c>
      <c r="D74" s="25" t="str">
        <f>IF('Case Tracker'!C15="","",'Case Tracker'!P15)</f>
        <v/>
      </c>
    </row>
    <row r="75" spans="2:4" x14ac:dyDescent="0.35">
      <c r="B75" s="8" t="str">
        <f>IF('Case Tracker'!C16="","",'Case Tracker'!D16&amp;" - "&amp;'Case Tracker'!C16)</f>
        <v/>
      </c>
      <c r="C75" s="20" t="str">
        <f>IF('Case Tracker'!C16="","",'Case Tracker'!O16)</f>
        <v/>
      </c>
      <c r="D75" s="20" t="str">
        <f>IF('Case Tracker'!C16="","",'Case Tracker'!P16)</f>
        <v/>
      </c>
    </row>
    <row r="76" spans="2:4" x14ac:dyDescent="0.35">
      <c r="B76" s="10" t="str">
        <f>IF('Case Tracker'!C17="","",'Case Tracker'!D17&amp;" - "&amp;'Case Tracker'!C17)</f>
        <v/>
      </c>
      <c r="C76" s="25" t="str">
        <f>IF('Case Tracker'!C17="","",'Case Tracker'!O17)</f>
        <v/>
      </c>
      <c r="D76" s="25" t="str">
        <f>IF('Case Tracker'!C17="","",'Case Tracker'!P17)</f>
        <v/>
      </c>
    </row>
    <row r="77" spans="2:4" ht="40" customHeight="1" x14ac:dyDescent="0.35">
      <c r="B77" s="71" t="s">
        <v>440</v>
      </c>
      <c r="C77" s="72"/>
      <c r="D77" s="73"/>
    </row>
  </sheetData>
  <mergeCells count="29">
    <mergeCell ref="C55:D55"/>
    <mergeCell ref="B9:D9"/>
    <mergeCell ref="C53:D53"/>
    <mergeCell ref="B15:D15"/>
    <mergeCell ref="B1:D1"/>
    <mergeCell ref="B13:D13"/>
    <mergeCell ref="B10:D10"/>
    <mergeCell ref="B28:D28"/>
    <mergeCell ref="B37:D37"/>
    <mergeCell ref="B2:D2"/>
    <mergeCell ref="B4:D4"/>
    <mergeCell ref="B20:D20"/>
    <mergeCell ref="C25:D25"/>
    <mergeCell ref="B77:D77"/>
    <mergeCell ref="B22:D22"/>
    <mergeCell ref="B27:D27"/>
    <mergeCell ref="B58:D58"/>
    <mergeCell ref="B12:D12"/>
    <mergeCell ref="B39:D39"/>
    <mergeCell ref="C51:D51"/>
    <mergeCell ref="B50:D50"/>
    <mergeCell ref="C52:D52"/>
    <mergeCell ref="B62:D62"/>
    <mergeCell ref="C23:D23"/>
    <mergeCell ref="B60:D60"/>
    <mergeCell ref="C24:D24"/>
    <mergeCell ref="B61:D61"/>
    <mergeCell ref="C56:D56"/>
    <mergeCell ref="C54:D54"/>
  </mergeCells>
  <conditionalFormatting sqref="B6">
    <cfRule type="cellIs" dxfId="142" priority="3" operator="greaterThanOrEqual">
      <formula>0.85</formula>
    </cfRule>
    <cfRule type="cellIs" dxfId="141" priority="4" operator="between">
      <formula>0.7</formula>
      <formula>0.8499</formula>
    </cfRule>
    <cfRule type="cellIs" dxfId="140" priority="5" operator="lessThan">
      <formula>0.7</formula>
    </cfRule>
  </conditionalFormatting>
  <conditionalFormatting sqref="C30:C36">
    <cfRule type="cellIs" dxfId="138" priority="6" operator="lessThan">
      <formula>2.75</formula>
    </cfRule>
    <cfRule type="cellIs" dxfId="137" priority="7" operator="between">
      <formula>2.75</formula>
      <formula>3.49</formula>
    </cfRule>
    <cfRule type="cellIs" dxfId="136" priority="8" operator="greaterThanOrEqual">
      <formula>3.5</formula>
    </cfRule>
  </conditionalFormatting>
  <conditionalFormatting sqref="C64:C76">
    <cfRule type="cellIs" dxfId="135" priority="9" operator="equal">
      <formula>"Resolver"</formula>
    </cfRule>
    <cfRule type="cellIs" dxfId="134" priority="10" operator="equal">
      <formula>"Progress Builder"</formula>
    </cfRule>
    <cfRule type="cellIs" dxfId="133" priority="11" operator="equal">
      <formula>"Maintainer"</formula>
    </cfRule>
    <cfRule type="cellIs" dxfId="132" priority="12" operator="equal">
      <formula>"Regression Contributor"</formula>
    </cfRule>
  </conditionalFormatting>
  <conditionalFormatting sqref="D64:D76">
    <cfRule type="cellIs" dxfId="131" priority="13" operator="greaterThanOrEqual">
      <formula>4</formula>
    </cfRule>
    <cfRule type="cellIs" dxfId="130" priority="14" operator="between">
      <formula>2</formula>
      <formula>3</formula>
    </cfRule>
    <cfRule type="cellIs" dxfId="129" priority="15" operator="lessThanOrEqual">
      <formula>1</formula>
    </cfRule>
  </conditionalFormatting>
  <pageMargins left="0.75" right="0.75" top="1" bottom="1" header="0.5" footer="0.5"/>
  <extLst>
    <ext xmlns:x14="http://schemas.microsoft.com/office/spreadsheetml/2009/9/main" uri="{78C0D931-6437-407d-A8EE-F0AAD7539E65}">
      <x14:conditionalFormattings>
        <x14:conditionalFormatting xmlns:xm="http://schemas.microsoft.com/office/excel/2006/main">
          <x14:cfRule type="cellIs" priority="1" operator="greaterThanOrEqual" id="{00000000-000E-0000-0400-000001000000}">
            <xm:f>'Case Tracker'!G56&gt;=0.85</xm:f>
            <x14:dxf>
              <font>
                <b/>
                <sz val="48"/>
                <color rgb="FF006100"/>
              </font>
              <fill>
                <patternFill patternType="solid">
                  <fgColor rgb="FFC6EFCE"/>
                </patternFill>
              </fill>
            </x14:dxf>
          </x14:cfRule>
          <xm:sqref>B6</xm:sqref>
        </x14:conditionalFormatting>
        <x14:conditionalFormatting xmlns:xm="http://schemas.microsoft.com/office/excel/2006/main">
          <x14:cfRule type="cellIs" priority="2" operator="greaterThanOrEqual" id="{00000000-000E-0000-0400-000002000000}">
            <xm:f>'Case Tracker'!G56&gt;=0.85</xm:f>
            <x14:dxf>
              <font>
                <b/>
                <sz val="22"/>
                <color rgb="FF006100"/>
              </font>
              <fill>
                <patternFill patternType="solid">
                  <fgColor rgb="FFC6EFCE"/>
                </patternFill>
              </fill>
            </x14:dxf>
          </x14:cfRule>
          <xm:sqref>C6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AC18-1F11-47EC-AF0C-30E65B714D6D}">
  <dimension ref="B1:F170"/>
  <sheetViews>
    <sheetView showGridLines="0" workbookViewId="0">
      <pane ySplit="2" topLeftCell="A126" activePane="bottomLeft" state="frozen"/>
      <selection pane="bottomLeft" activeCell="C28" sqref="C28:F28"/>
    </sheetView>
  </sheetViews>
  <sheetFormatPr defaultRowHeight="14.5" x14ac:dyDescent="0.35"/>
  <cols>
    <col min="1" max="1" width="4" customWidth="1"/>
    <col min="2" max="2" width="58" customWidth="1"/>
    <col min="3" max="3" width="14" customWidth="1"/>
    <col min="4" max="4" width="13" customWidth="1"/>
    <col min="5" max="5" width="15" customWidth="1"/>
    <col min="6" max="6" width="46" customWidth="1"/>
    <col min="7" max="7" width="3" customWidth="1"/>
  </cols>
  <sheetData>
    <row r="1" spans="2:6" ht="28" customHeight="1" thickBot="1" x14ac:dyDescent="0.4">
      <c r="B1" s="85" t="s">
        <v>441</v>
      </c>
      <c r="C1" s="75"/>
      <c r="D1" s="75"/>
      <c r="E1" s="75"/>
      <c r="F1" s="76"/>
    </row>
    <row r="2" spans="2:6" ht="18" customHeight="1" thickBot="1" x14ac:dyDescent="0.4">
      <c r="B2" s="105" t="s">
        <v>63</v>
      </c>
      <c r="C2" s="75"/>
      <c r="D2" s="75"/>
      <c r="E2" s="75"/>
      <c r="F2" s="76"/>
    </row>
    <row r="4" spans="2:6" ht="15" thickBot="1" x14ac:dyDescent="0.4">
      <c r="B4" s="81" t="s">
        <v>64</v>
      </c>
      <c r="C4" s="75"/>
      <c r="D4" s="75"/>
      <c r="E4" s="75"/>
      <c r="F4" s="76"/>
    </row>
    <row r="5" spans="2:6" ht="29" x14ac:dyDescent="0.35">
      <c r="B5" s="2" t="s">
        <v>65</v>
      </c>
      <c r="C5" s="3" t="s">
        <v>575</v>
      </c>
      <c r="D5" s="4" t="s">
        <v>66</v>
      </c>
      <c r="E5" s="79" t="s">
        <v>557</v>
      </c>
      <c r="F5" s="73"/>
    </row>
    <row r="6" spans="2:6" ht="29" x14ac:dyDescent="0.35">
      <c r="B6" s="2" t="s">
        <v>67</v>
      </c>
      <c r="C6" s="3" t="s">
        <v>661</v>
      </c>
      <c r="D6" s="4" t="s">
        <v>68</v>
      </c>
      <c r="E6" s="122">
        <v>46178</v>
      </c>
      <c r="F6" s="73"/>
    </row>
    <row r="7" spans="2:6" x14ac:dyDescent="0.35">
      <c r="B7" s="2" t="s">
        <v>69</v>
      </c>
      <c r="C7" s="3" t="s">
        <v>558</v>
      </c>
      <c r="D7" s="4" t="s">
        <v>70</v>
      </c>
      <c r="E7" s="79" t="s">
        <v>442</v>
      </c>
      <c r="F7" s="73"/>
    </row>
    <row r="8" spans="2:6" x14ac:dyDescent="0.35">
      <c r="B8" s="2" t="s">
        <v>71</v>
      </c>
      <c r="C8" s="3" t="s">
        <v>559</v>
      </c>
      <c r="D8" s="4" t="s">
        <v>72</v>
      </c>
      <c r="E8" s="122">
        <v>46189</v>
      </c>
      <c r="F8" s="73"/>
    </row>
    <row r="9" spans="2:6" ht="29" x14ac:dyDescent="0.35">
      <c r="B9" s="2" t="s">
        <v>73</v>
      </c>
      <c r="C9" s="3" t="s">
        <v>444</v>
      </c>
      <c r="D9" s="4" t="s">
        <v>74</v>
      </c>
      <c r="E9" s="79" t="s">
        <v>560</v>
      </c>
      <c r="F9" s="73"/>
    </row>
    <row r="10" spans="2:6" ht="29" x14ac:dyDescent="0.35">
      <c r="B10" s="2" t="s">
        <v>75</v>
      </c>
      <c r="C10" s="3" t="s">
        <v>624</v>
      </c>
      <c r="D10" s="4" t="s">
        <v>76</v>
      </c>
      <c r="E10" s="79" t="s">
        <v>240</v>
      </c>
      <c r="F10" s="73"/>
    </row>
    <row r="11" spans="2:6" ht="29" x14ac:dyDescent="0.35">
      <c r="B11" s="2" t="s">
        <v>77</v>
      </c>
      <c r="C11" s="3"/>
      <c r="D11" s="4" t="s">
        <v>78</v>
      </c>
      <c r="E11" s="79"/>
      <c r="F11" s="73"/>
    </row>
    <row r="12" spans="2:6" x14ac:dyDescent="0.35">
      <c r="B12" s="2" t="s">
        <v>79</v>
      </c>
      <c r="C12" s="3" t="s">
        <v>561</v>
      </c>
      <c r="D12" s="4" t="s">
        <v>80</v>
      </c>
      <c r="E12" s="79" t="s">
        <v>620</v>
      </c>
      <c r="F12" s="73"/>
    </row>
    <row r="13" spans="2:6" ht="58" customHeight="1" x14ac:dyDescent="0.35">
      <c r="B13" s="4" t="s">
        <v>81</v>
      </c>
      <c r="C13" s="78" t="s">
        <v>625</v>
      </c>
      <c r="D13" s="72"/>
      <c r="E13" s="72"/>
      <c r="F13" s="73"/>
    </row>
    <row r="14" spans="2:6" ht="46" customHeight="1" x14ac:dyDescent="0.35">
      <c r="B14" s="4" t="s">
        <v>82</v>
      </c>
      <c r="C14" s="78" t="s">
        <v>626</v>
      </c>
      <c r="D14" s="72"/>
      <c r="E14" s="72"/>
      <c r="F14" s="73"/>
    </row>
    <row r="16" spans="2:6" ht="15" thickBot="1" x14ac:dyDescent="0.4">
      <c r="B16" s="77" t="s">
        <v>92</v>
      </c>
      <c r="C16" s="75"/>
      <c r="D16" s="75"/>
      <c r="E16" s="75"/>
      <c r="F16" s="76"/>
    </row>
    <row r="17" spans="2:6" ht="18" customHeight="1" thickBot="1" x14ac:dyDescent="0.4">
      <c r="B17" s="81" t="s">
        <v>93</v>
      </c>
      <c r="C17" s="75"/>
      <c r="D17" s="75"/>
      <c r="E17" s="76"/>
      <c r="F17" s="6" t="s">
        <v>94</v>
      </c>
    </row>
    <row r="18" spans="2:6" ht="28" customHeight="1" x14ac:dyDescent="0.35">
      <c r="B18" s="97" t="s">
        <v>95</v>
      </c>
      <c r="C18" s="72"/>
      <c r="D18" s="72"/>
      <c r="E18" s="72"/>
      <c r="F18" s="73"/>
    </row>
    <row r="19" spans="2:6" x14ac:dyDescent="0.35">
      <c r="B19" s="2" t="s">
        <v>96</v>
      </c>
      <c r="C19" s="7" t="s">
        <v>97</v>
      </c>
      <c r="D19" s="98" t="s">
        <v>98</v>
      </c>
      <c r="E19" s="72"/>
      <c r="F19" s="73"/>
    </row>
    <row r="20" spans="2:6" ht="28" customHeight="1" x14ac:dyDescent="0.35">
      <c r="B20" s="8" t="s">
        <v>99</v>
      </c>
      <c r="C20" s="9" t="s">
        <v>283</v>
      </c>
      <c r="D20" s="95" t="s">
        <v>565</v>
      </c>
      <c r="E20" s="72"/>
      <c r="F20" s="73"/>
    </row>
    <row r="21" spans="2:6" ht="28" customHeight="1" x14ac:dyDescent="0.35">
      <c r="B21" s="10" t="s">
        <v>100</v>
      </c>
      <c r="C21" s="9" t="s">
        <v>283</v>
      </c>
      <c r="D21" s="86" t="s">
        <v>564</v>
      </c>
      <c r="E21" s="72"/>
      <c r="F21" s="73"/>
    </row>
    <row r="22" spans="2:6" ht="28" customHeight="1" x14ac:dyDescent="0.35">
      <c r="B22" s="8" t="s">
        <v>101</v>
      </c>
      <c r="C22" s="9" t="s">
        <v>283</v>
      </c>
      <c r="D22" s="95" t="s">
        <v>563</v>
      </c>
      <c r="E22" s="72"/>
      <c r="F22" s="73"/>
    </row>
    <row r="23" spans="2:6" ht="28" customHeight="1" x14ac:dyDescent="0.35">
      <c r="B23" s="10" t="s">
        <v>102</v>
      </c>
      <c r="C23" s="9" t="s">
        <v>283</v>
      </c>
      <c r="D23" s="86" t="s">
        <v>562</v>
      </c>
      <c r="E23" s="72"/>
      <c r="F23" s="73"/>
    </row>
    <row r="24" spans="2:6" ht="28" customHeight="1" x14ac:dyDescent="0.35">
      <c r="B24" s="8" t="s">
        <v>103</v>
      </c>
      <c r="C24" s="9" t="s">
        <v>283</v>
      </c>
      <c r="D24" s="95" t="s">
        <v>627</v>
      </c>
      <c r="E24" s="72"/>
      <c r="F24" s="73"/>
    </row>
    <row r="25" spans="2:6" ht="28" customHeight="1" x14ac:dyDescent="0.35">
      <c r="B25" s="71" t="s">
        <v>104</v>
      </c>
      <c r="C25" s="72"/>
      <c r="D25" s="72"/>
      <c r="E25" s="72"/>
      <c r="F25" s="73"/>
    </row>
    <row r="26" spans="2:6" x14ac:dyDescent="0.35">
      <c r="B26" s="11" t="s">
        <v>446</v>
      </c>
      <c r="C26" s="12">
        <f>IF((COUNTIF(C20:C24,"Met")+COUNTIF(C20:C24,"Partial")+COUNTIF(C20:C24,"Missed"))=0,"",ROUND((COUNTIF(C20:C24,"Met")*5+COUNTIF(C20:C24,"Partial")*2.5)/(COUNTIF(C20:C24,"Met")+COUNTIF(C20:C24,"Partial")+COUNTIF(C20:C24,"Missed")),1))</f>
        <v>5</v>
      </c>
      <c r="D26" s="96"/>
      <c r="E26" s="72"/>
      <c r="F26" s="73"/>
    </row>
    <row r="27" spans="2:6" ht="24" customHeight="1" x14ac:dyDescent="0.35">
      <c r="B27" s="13" t="s">
        <v>447</v>
      </c>
      <c r="C27" s="14">
        <v>5</v>
      </c>
      <c r="D27" s="101" t="str">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27" s="72"/>
      <c r="F27" s="73"/>
    </row>
    <row r="28" spans="2:6" ht="36" customHeight="1" x14ac:dyDescent="0.35">
      <c r="B28" s="13" t="s">
        <v>448</v>
      </c>
      <c r="C28" s="78" t="s">
        <v>584</v>
      </c>
      <c r="D28" s="72"/>
      <c r="E28" s="72"/>
      <c r="F28" s="73"/>
    </row>
    <row r="30" spans="2:6" ht="18" customHeight="1" thickBot="1" x14ac:dyDescent="0.4">
      <c r="B30" s="81" t="s">
        <v>108</v>
      </c>
      <c r="C30" s="75"/>
      <c r="D30" s="75"/>
      <c r="E30" s="76"/>
      <c r="F30" s="6" t="s">
        <v>109</v>
      </c>
    </row>
    <row r="31" spans="2:6" ht="28" customHeight="1" x14ac:dyDescent="0.35">
      <c r="B31" s="97" t="s">
        <v>110</v>
      </c>
      <c r="C31" s="72"/>
      <c r="D31" s="72"/>
      <c r="E31" s="72"/>
      <c r="F31" s="73"/>
    </row>
    <row r="32" spans="2:6" x14ac:dyDescent="0.35">
      <c r="B32" s="2" t="s">
        <v>96</v>
      </c>
      <c r="C32" s="7" t="s">
        <v>97</v>
      </c>
      <c r="D32" s="98" t="s">
        <v>98</v>
      </c>
      <c r="E32" s="72"/>
      <c r="F32" s="73"/>
    </row>
    <row r="33" spans="2:6" ht="28" customHeight="1" x14ac:dyDescent="0.35">
      <c r="B33" s="8" t="s">
        <v>111</v>
      </c>
      <c r="C33" s="9" t="s">
        <v>283</v>
      </c>
      <c r="D33" s="95" t="s">
        <v>628</v>
      </c>
      <c r="E33" s="72"/>
      <c r="F33" s="73"/>
    </row>
    <row r="34" spans="2:6" ht="28" customHeight="1" x14ac:dyDescent="0.35">
      <c r="B34" s="10" t="s">
        <v>112</v>
      </c>
      <c r="C34" s="9" t="s">
        <v>283</v>
      </c>
      <c r="D34" s="86" t="s">
        <v>629</v>
      </c>
      <c r="E34" s="72"/>
      <c r="F34" s="73"/>
    </row>
    <row r="35" spans="2:6" ht="28" customHeight="1" x14ac:dyDescent="0.35">
      <c r="B35" s="8" t="s">
        <v>113</v>
      </c>
      <c r="C35" s="9" t="s">
        <v>283</v>
      </c>
      <c r="D35" s="95" t="s">
        <v>630</v>
      </c>
      <c r="E35" s="72"/>
      <c r="F35" s="73"/>
    </row>
    <row r="36" spans="2:6" ht="28" customHeight="1" x14ac:dyDescent="0.35">
      <c r="B36" s="10" t="s">
        <v>114</v>
      </c>
      <c r="C36" s="9" t="s">
        <v>283</v>
      </c>
      <c r="D36" s="86" t="s">
        <v>631</v>
      </c>
      <c r="E36" s="72"/>
      <c r="F36" s="73"/>
    </row>
    <row r="37" spans="2:6" ht="28" customHeight="1" x14ac:dyDescent="0.35">
      <c r="B37" s="8" t="s">
        <v>115</v>
      </c>
      <c r="C37" s="9" t="s">
        <v>283</v>
      </c>
      <c r="D37" s="95" t="s">
        <v>632</v>
      </c>
      <c r="E37" s="72"/>
      <c r="F37" s="73"/>
    </row>
    <row r="38" spans="2:6" ht="28" customHeight="1" x14ac:dyDescent="0.35">
      <c r="B38" s="10" t="s">
        <v>116</v>
      </c>
      <c r="C38" s="9" t="s">
        <v>283</v>
      </c>
      <c r="D38" s="86" t="s">
        <v>633</v>
      </c>
      <c r="E38" s="72"/>
      <c r="F38" s="73"/>
    </row>
    <row r="39" spans="2:6" ht="28" customHeight="1" x14ac:dyDescent="0.35">
      <c r="B39" s="8" t="s">
        <v>117</v>
      </c>
      <c r="C39" s="9" t="s">
        <v>283</v>
      </c>
      <c r="D39" s="95" t="s">
        <v>634</v>
      </c>
      <c r="E39" s="72"/>
      <c r="F39" s="73"/>
    </row>
    <row r="40" spans="2:6" ht="28" customHeight="1" x14ac:dyDescent="0.35">
      <c r="B40" s="71" t="s">
        <v>118</v>
      </c>
      <c r="C40" s="72"/>
      <c r="D40" s="72"/>
      <c r="E40" s="72"/>
      <c r="F40" s="73"/>
    </row>
    <row r="41" spans="2:6" x14ac:dyDescent="0.35">
      <c r="B41" s="11" t="s">
        <v>446</v>
      </c>
      <c r="C41" s="12">
        <f>IF((COUNTIF(C33:C39,"Met")+COUNTIF(C33:C39,"Partial")+COUNTIF(C33:C39,"Missed"))=0,"",ROUND((COUNTIF(C33:C39,"Met")*5+COUNTIF(C33:C39,"Partial")*2.5)/(COUNTIF(C33:C39,"Met")+COUNTIF(C33:C39,"Partial")+COUNTIF(C33:C39,"Missed")),1))</f>
        <v>5</v>
      </c>
      <c r="D41" s="96"/>
      <c r="E41" s="72"/>
      <c r="F41" s="73"/>
    </row>
    <row r="42" spans="2:6" ht="24" customHeight="1" x14ac:dyDescent="0.35">
      <c r="B42" s="13" t="s">
        <v>447</v>
      </c>
      <c r="C42" s="14">
        <v>5</v>
      </c>
      <c r="D42" s="101" t="str">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42" s="72"/>
      <c r="F42" s="73"/>
    </row>
    <row r="43" spans="2:6" ht="36" customHeight="1" x14ac:dyDescent="0.35">
      <c r="B43" s="13" t="s">
        <v>448</v>
      </c>
      <c r="C43" s="78" t="s">
        <v>566</v>
      </c>
      <c r="D43" s="72"/>
      <c r="E43" s="72"/>
      <c r="F43" s="73"/>
    </row>
    <row r="45" spans="2:6" ht="18" customHeight="1" thickBot="1" x14ac:dyDescent="0.4">
      <c r="B45" s="81" t="s">
        <v>120</v>
      </c>
      <c r="C45" s="75"/>
      <c r="D45" s="75"/>
      <c r="E45" s="76"/>
      <c r="F45" s="6" t="s">
        <v>121</v>
      </c>
    </row>
    <row r="46" spans="2:6" ht="28" customHeight="1" x14ac:dyDescent="0.35">
      <c r="B46" s="97" t="s">
        <v>122</v>
      </c>
      <c r="C46" s="72"/>
      <c r="D46" s="72"/>
      <c r="E46" s="72"/>
      <c r="F46" s="73"/>
    </row>
    <row r="47" spans="2:6" x14ac:dyDescent="0.35">
      <c r="B47" s="2" t="s">
        <v>96</v>
      </c>
      <c r="C47" s="7" t="s">
        <v>97</v>
      </c>
      <c r="D47" s="98" t="s">
        <v>98</v>
      </c>
      <c r="E47" s="72"/>
      <c r="F47" s="73"/>
    </row>
    <row r="48" spans="2:6" ht="28" customHeight="1" x14ac:dyDescent="0.35">
      <c r="B48" s="8" t="s">
        <v>123</v>
      </c>
      <c r="C48" s="9" t="s">
        <v>283</v>
      </c>
      <c r="D48" s="95" t="s">
        <v>635</v>
      </c>
      <c r="E48" s="72"/>
      <c r="F48" s="73"/>
    </row>
    <row r="49" spans="2:6" ht="28" customHeight="1" x14ac:dyDescent="0.35">
      <c r="B49" s="10" t="s">
        <v>124</v>
      </c>
      <c r="C49" s="9" t="s">
        <v>283</v>
      </c>
      <c r="D49" s="86" t="s">
        <v>594</v>
      </c>
      <c r="E49" s="72"/>
      <c r="F49" s="73"/>
    </row>
    <row r="50" spans="2:6" ht="28" customHeight="1" x14ac:dyDescent="0.35">
      <c r="B50" s="8" t="s">
        <v>125</v>
      </c>
      <c r="C50" s="9" t="s">
        <v>283</v>
      </c>
      <c r="D50" s="95" t="s">
        <v>636</v>
      </c>
      <c r="E50" s="72"/>
      <c r="F50" s="73"/>
    </row>
    <row r="51" spans="2:6" ht="28" customHeight="1" x14ac:dyDescent="0.35">
      <c r="B51" s="10" t="s">
        <v>126</v>
      </c>
      <c r="C51" s="9" t="s">
        <v>283</v>
      </c>
      <c r="D51" s="86" t="s">
        <v>637</v>
      </c>
      <c r="E51" s="72"/>
      <c r="F51" s="73"/>
    </row>
    <row r="52" spans="2:6" ht="28" customHeight="1" x14ac:dyDescent="0.35">
      <c r="B52" s="8" t="s">
        <v>127</v>
      </c>
      <c r="C52" s="9" t="s">
        <v>283</v>
      </c>
      <c r="D52" s="95" t="s">
        <v>638</v>
      </c>
      <c r="E52" s="72"/>
      <c r="F52" s="73"/>
    </row>
    <row r="53" spans="2:6" ht="28" customHeight="1" x14ac:dyDescent="0.35">
      <c r="B53" s="10" t="s">
        <v>128</v>
      </c>
      <c r="C53" s="9" t="s">
        <v>283</v>
      </c>
      <c r="D53" s="86" t="s">
        <v>639</v>
      </c>
      <c r="E53" s="72"/>
      <c r="F53" s="73"/>
    </row>
    <row r="54" spans="2:6" ht="28" customHeight="1" x14ac:dyDescent="0.35">
      <c r="B54" s="8" t="s">
        <v>129</v>
      </c>
      <c r="C54" s="9" t="s">
        <v>283</v>
      </c>
      <c r="D54" s="95" t="s">
        <v>640</v>
      </c>
      <c r="E54" s="72"/>
      <c r="F54" s="73"/>
    </row>
    <row r="55" spans="2:6" ht="28" customHeight="1" x14ac:dyDescent="0.35">
      <c r="B55" s="10" t="s">
        <v>130</v>
      </c>
      <c r="C55" s="9" t="s">
        <v>283</v>
      </c>
      <c r="D55" s="86" t="s">
        <v>641</v>
      </c>
      <c r="E55" s="72"/>
      <c r="F55" s="73"/>
    </row>
    <row r="56" spans="2:6" ht="28" customHeight="1" x14ac:dyDescent="0.35">
      <c r="B56" s="71" t="s">
        <v>131</v>
      </c>
      <c r="C56" s="72"/>
      <c r="D56" s="72"/>
      <c r="E56" s="72"/>
      <c r="F56" s="73"/>
    </row>
    <row r="57" spans="2:6" x14ac:dyDescent="0.35">
      <c r="B57" s="11" t="s">
        <v>446</v>
      </c>
      <c r="C57" s="12">
        <f>IF((COUNTIF(C48:C55,"Met")+COUNTIF(C48:C55,"Partial")+COUNTIF(C48:C55,"Missed"))=0,"",ROUND((COUNTIF(C48:C55,"Met")*5+COUNTIF(C48:C55,"Partial")*2.5)/(COUNTIF(C48:C55,"Met")+COUNTIF(C48:C55,"Partial")+COUNTIF(C48:C55,"Missed")),1))</f>
        <v>5</v>
      </c>
      <c r="D57" s="96"/>
      <c r="E57" s="72"/>
      <c r="F57" s="73"/>
    </row>
    <row r="58" spans="2:6" ht="24" customHeight="1" x14ac:dyDescent="0.35">
      <c r="B58" s="13" t="s">
        <v>447</v>
      </c>
      <c r="C58" s="14">
        <v>5</v>
      </c>
      <c r="D58" s="101" t="str">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58" s="72"/>
      <c r="F58" s="73"/>
    </row>
    <row r="59" spans="2:6" ht="36" customHeight="1" x14ac:dyDescent="0.35">
      <c r="B59" s="13" t="s">
        <v>448</v>
      </c>
      <c r="C59" s="78" t="s">
        <v>642</v>
      </c>
      <c r="D59" s="72"/>
      <c r="E59" s="72"/>
      <c r="F59" s="73"/>
    </row>
    <row r="61" spans="2:6" ht="18" customHeight="1" thickBot="1" x14ac:dyDescent="0.4">
      <c r="B61" s="81" t="s">
        <v>133</v>
      </c>
      <c r="C61" s="75"/>
      <c r="D61" s="75"/>
      <c r="E61" s="76"/>
      <c r="F61" s="6" t="s">
        <v>121</v>
      </c>
    </row>
    <row r="62" spans="2:6" ht="28" customHeight="1" x14ac:dyDescent="0.35">
      <c r="B62" s="97" t="s">
        <v>134</v>
      </c>
      <c r="C62" s="72"/>
      <c r="D62" s="72"/>
      <c r="E62" s="72"/>
      <c r="F62" s="73"/>
    </row>
    <row r="63" spans="2:6" x14ac:dyDescent="0.35">
      <c r="B63" s="2" t="s">
        <v>96</v>
      </c>
      <c r="C63" s="7" t="s">
        <v>97</v>
      </c>
      <c r="D63" s="98" t="s">
        <v>98</v>
      </c>
      <c r="E63" s="72"/>
      <c r="F63" s="73"/>
    </row>
    <row r="64" spans="2:6" ht="28" customHeight="1" x14ac:dyDescent="0.35">
      <c r="B64" s="8" t="s">
        <v>135</v>
      </c>
      <c r="C64" s="9" t="s">
        <v>283</v>
      </c>
      <c r="D64" s="95" t="s">
        <v>643</v>
      </c>
      <c r="E64" s="72"/>
      <c r="F64" s="73"/>
    </row>
    <row r="65" spans="2:6" ht="28" customHeight="1" x14ac:dyDescent="0.35">
      <c r="B65" s="10" t="s">
        <v>136</v>
      </c>
      <c r="C65" s="9" t="s">
        <v>283</v>
      </c>
      <c r="D65" s="86" t="s">
        <v>644</v>
      </c>
      <c r="E65" s="72"/>
      <c r="F65" s="73"/>
    </row>
    <row r="66" spans="2:6" ht="28" customHeight="1" x14ac:dyDescent="0.35">
      <c r="B66" s="8" t="s">
        <v>137</v>
      </c>
      <c r="C66" s="9" t="s">
        <v>283</v>
      </c>
      <c r="D66" s="95" t="s">
        <v>647</v>
      </c>
      <c r="E66" s="72"/>
      <c r="F66" s="73"/>
    </row>
    <row r="67" spans="2:6" ht="28" customHeight="1" x14ac:dyDescent="0.35">
      <c r="B67" s="10" t="s">
        <v>138</v>
      </c>
      <c r="C67" s="9" t="s">
        <v>283</v>
      </c>
      <c r="D67" s="86" t="s">
        <v>605</v>
      </c>
      <c r="E67" s="72"/>
      <c r="F67" s="73"/>
    </row>
    <row r="68" spans="2:6" ht="28" customHeight="1" x14ac:dyDescent="0.35">
      <c r="B68" s="8" t="s">
        <v>139</v>
      </c>
      <c r="C68" s="9" t="s">
        <v>283</v>
      </c>
      <c r="D68" s="95" t="s">
        <v>645</v>
      </c>
      <c r="E68" s="72"/>
      <c r="F68" s="73"/>
    </row>
    <row r="69" spans="2:6" ht="28" customHeight="1" x14ac:dyDescent="0.35">
      <c r="B69" s="10" t="s">
        <v>140</v>
      </c>
      <c r="C69" s="9" t="s">
        <v>283</v>
      </c>
      <c r="D69" s="86" t="s">
        <v>646</v>
      </c>
      <c r="E69" s="72"/>
      <c r="F69" s="73"/>
    </row>
    <row r="70" spans="2:6" ht="28" customHeight="1" x14ac:dyDescent="0.35">
      <c r="B70" s="8" t="s">
        <v>141</v>
      </c>
      <c r="C70" s="9" t="s">
        <v>289</v>
      </c>
      <c r="D70" s="95" t="s">
        <v>449</v>
      </c>
      <c r="E70" s="72"/>
      <c r="F70" s="73"/>
    </row>
    <row r="71" spans="2:6" ht="28" customHeight="1" x14ac:dyDescent="0.35">
      <c r="B71" s="10" t="s">
        <v>142</v>
      </c>
      <c r="C71" s="9" t="s">
        <v>283</v>
      </c>
      <c r="D71" s="86" t="s">
        <v>648</v>
      </c>
      <c r="E71" s="72"/>
      <c r="F71" s="73"/>
    </row>
    <row r="72" spans="2:6" ht="28" customHeight="1" x14ac:dyDescent="0.35">
      <c r="B72" s="71" t="s">
        <v>143</v>
      </c>
      <c r="C72" s="72"/>
      <c r="D72" s="72"/>
      <c r="E72" s="72"/>
      <c r="F72" s="73"/>
    </row>
    <row r="73" spans="2:6" x14ac:dyDescent="0.35">
      <c r="B73" s="11" t="s">
        <v>446</v>
      </c>
      <c r="C73" s="12">
        <f>IF((COUNTIF(C64:C71,"Met")+COUNTIF(C64:C71,"Partial")+COUNTIF(C64:C71,"Missed"))=0,"",ROUND((COUNTIF(C64:C71,"Met")*5+COUNTIF(C64:C71,"Partial")*2.5)/(COUNTIF(C64:C71,"Met")+COUNTIF(C64:C71,"Partial")+COUNTIF(C64:C71,"Missed")),1))</f>
        <v>5</v>
      </c>
      <c r="D73" s="96"/>
      <c r="E73" s="72"/>
      <c r="F73" s="73"/>
    </row>
    <row r="74" spans="2:6" ht="24" customHeight="1" x14ac:dyDescent="0.35">
      <c r="B74" s="13" t="s">
        <v>447</v>
      </c>
      <c r="C74" s="14">
        <v>5</v>
      </c>
      <c r="D74" s="101" t="str">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74" s="72"/>
      <c r="F74" s="73"/>
    </row>
    <row r="75" spans="2:6" ht="36" customHeight="1" x14ac:dyDescent="0.35">
      <c r="B75" s="13" t="s">
        <v>448</v>
      </c>
      <c r="C75" s="78" t="s">
        <v>649</v>
      </c>
      <c r="D75" s="72"/>
      <c r="E75" s="72"/>
      <c r="F75" s="73"/>
    </row>
    <row r="77" spans="2:6" ht="18" customHeight="1" thickBot="1" x14ac:dyDescent="0.4">
      <c r="B77" s="81" t="s">
        <v>145</v>
      </c>
      <c r="C77" s="75"/>
      <c r="D77" s="75"/>
      <c r="E77" s="76"/>
      <c r="F77" s="6" t="s">
        <v>146</v>
      </c>
    </row>
    <row r="78" spans="2:6" ht="28" customHeight="1" x14ac:dyDescent="0.35">
      <c r="B78" s="97" t="s">
        <v>147</v>
      </c>
      <c r="C78" s="72"/>
      <c r="D78" s="72"/>
      <c r="E78" s="72"/>
      <c r="F78" s="73"/>
    </row>
    <row r="79" spans="2:6" x14ac:dyDescent="0.35">
      <c r="B79" s="2" t="s">
        <v>96</v>
      </c>
      <c r="C79" s="7" t="s">
        <v>97</v>
      </c>
      <c r="D79" s="98" t="s">
        <v>98</v>
      </c>
      <c r="E79" s="72"/>
      <c r="F79" s="73"/>
    </row>
    <row r="80" spans="2:6" ht="28" customHeight="1" x14ac:dyDescent="0.35">
      <c r="B80" s="8" t="s">
        <v>148</v>
      </c>
      <c r="C80" s="9" t="s">
        <v>283</v>
      </c>
      <c r="D80" s="95" t="s">
        <v>567</v>
      </c>
      <c r="E80" s="72"/>
      <c r="F80" s="73"/>
    </row>
    <row r="81" spans="2:6" ht="28" customHeight="1" x14ac:dyDescent="0.35">
      <c r="B81" s="10" t="s">
        <v>149</v>
      </c>
      <c r="C81" s="9" t="s">
        <v>283</v>
      </c>
      <c r="D81" s="86" t="s">
        <v>650</v>
      </c>
      <c r="E81" s="72"/>
      <c r="F81" s="73"/>
    </row>
    <row r="82" spans="2:6" ht="28" customHeight="1" x14ac:dyDescent="0.35">
      <c r="B82" s="8" t="s">
        <v>150</v>
      </c>
      <c r="C82" s="9" t="s">
        <v>283</v>
      </c>
      <c r="D82" s="95" t="s">
        <v>652</v>
      </c>
      <c r="E82" s="72"/>
      <c r="F82" s="73"/>
    </row>
    <row r="83" spans="2:6" ht="28" customHeight="1" x14ac:dyDescent="0.35">
      <c r="B83" s="10" t="s">
        <v>151</v>
      </c>
      <c r="C83" s="9" t="s">
        <v>283</v>
      </c>
      <c r="D83" s="86" t="s">
        <v>654</v>
      </c>
      <c r="E83" s="72"/>
      <c r="F83" s="73"/>
    </row>
    <row r="84" spans="2:6" ht="28" customHeight="1" x14ac:dyDescent="0.35">
      <c r="B84" s="8" t="s">
        <v>152</v>
      </c>
      <c r="C84" s="9" t="s">
        <v>283</v>
      </c>
      <c r="D84" s="86" t="s">
        <v>653</v>
      </c>
      <c r="E84" s="72"/>
      <c r="F84" s="73"/>
    </row>
    <row r="85" spans="2:6" ht="28" customHeight="1" x14ac:dyDescent="0.35">
      <c r="B85" s="71" t="s">
        <v>153</v>
      </c>
      <c r="C85" s="72"/>
      <c r="D85" s="72"/>
      <c r="E85" s="72"/>
      <c r="F85" s="73"/>
    </row>
    <row r="86" spans="2:6" x14ac:dyDescent="0.35">
      <c r="B86" s="11" t="s">
        <v>446</v>
      </c>
      <c r="C86" s="12">
        <f>IF((COUNTIF(C80:C84,"Met")+COUNTIF(C80:C84,"Partial")+COUNTIF(C80:C84,"Missed"))=0,"",ROUND((COUNTIF(C80:C84,"Met")*5+COUNTIF(C80:C84,"Partial")*2.5)/(COUNTIF(C80:C84,"Met")+COUNTIF(C80:C84,"Partial")+COUNTIF(C80:C84,"Missed")),1))</f>
        <v>5</v>
      </c>
      <c r="D86" s="96"/>
      <c r="E86" s="72"/>
      <c r="F86" s="73"/>
    </row>
    <row r="87" spans="2:6" ht="24" customHeight="1" x14ac:dyDescent="0.35">
      <c r="B87" s="13" t="s">
        <v>447</v>
      </c>
      <c r="C87" s="14">
        <v>5</v>
      </c>
      <c r="D87" s="101" t="str">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87" s="72"/>
      <c r="F87" s="73"/>
    </row>
    <row r="88" spans="2:6" ht="36" customHeight="1" x14ac:dyDescent="0.35">
      <c r="B88" s="13" t="s">
        <v>448</v>
      </c>
      <c r="C88" s="78" t="s">
        <v>651</v>
      </c>
      <c r="D88" s="72"/>
      <c r="E88" s="72"/>
      <c r="F88" s="73"/>
    </row>
    <row r="90" spans="2:6" ht="18" customHeight="1" thickBot="1" x14ac:dyDescent="0.4">
      <c r="B90" s="81" t="s">
        <v>155</v>
      </c>
      <c r="C90" s="75"/>
      <c r="D90" s="75"/>
      <c r="E90" s="76"/>
      <c r="F90" s="6" t="s">
        <v>156</v>
      </c>
    </row>
    <row r="91" spans="2:6" ht="28" customHeight="1" x14ac:dyDescent="0.35">
      <c r="B91" s="97" t="s">
        <v>157</v>
      </c>
      <c r="C91" s="72"/>
      <c r="D91" s="72"/>
      <c r="E91" s="72"/>
      <c r="F91" s="73"/>
    </row>
    <row r="92" spans="2:6" x14ac:dyDescent="0.35">
      <c r="B92" s="2" t="s">
        <v>96</v>
      </c>
      <c r="C92" s="7" t="s">
        <v>97</v>
      </c>
      <c r="D92" s="98" t="s">
        <v>98</v>
      </c>
      <c r="E92" s="72"/>
      <c r="F92" s="73"/>
    </row>
    <row r="93" spans="2:6" ht="28" customHeight="1" x14ac:dyDescent="0.35">
      <c r="B93" s="8" t="s">
        <v>158</v>
      </c>
      <c r="C93" s="9" t="s">
        <v>283</v>
      </c>
      <c r="D93" s="95" t="s">
        <v>568</v>
      </c>
      <c r="E93" s="72"/>
      <c r="F93" s="73"/>
    </row>
    <row r="94" spans="2:6" ht="28" customHeight="1" x14ac:dyDescent="0.35">
      <c r="B94" s="10" t="s">
        <v>159</v>
      </c>
      <c r="C94" s="9" t="s">
        <v>283</v>
      </c>
      <c r="D94" s="86" t="s">
        <v>569</v>
      </c>
      <c r="E94" s="72"/>
      <c r="F94" s="73"/>
    </row>
    <row r="95" spans="2:6" ht="28" customHeight="1" x14ac:dyDescent="0.35">
      <c r="B95" s="8" t="s">
        <v>160</v>
      </c>
      <c r="C95" s="9" t="s">
        <v>283</v>
      </c>
      <c r="D95" s="95" t="s">
        <v>655</v>
      </c>
      <c r="E95" s="72"/>
      <c r="F95" s="73"/>
    </row>
    <row r="96" spans="2:6" ht="28" customHeight="1" x14ac:dyDescent="0.35">
      <c r="B96" s="10" t="s">
        <v>161</v>
      </c>
      <c r="C96" s="9" t="s">
        <v>283</v>
      </c>
      <c r="D96" s="86" t="s">
        <v>570</v>
      </c>
      <c r="E96" s="72"/>
      <c r="F96" s="73"/>
    </row>
    <row r="97" spans="2:6" ht="28" customHeight="1" x14ac:dyDescent="0.35">
      <c r="B97" s="8" t="s">
        <v>162</v>
      </c>
      <c r="C97" s="9" t="s">
        <v>283</v>
      </c>
      <c r="D97" s="95" t="s">
        <v>571</v>
      </c>
      <c r="E97" s="72"/>
      <c r="F97" s="73"/>
    </row>
    <row r="98" spans="2:6" ht="28" customHeight="1" x14ac:dyDescent="0.35">
      <c r="B98" s="10" t="s">
        <v>163</v>
      </c>
      <c r="C98" s="9" t="s">
        <v>283</v>
      </c>
      <c r="D98" s="86" t="s">
        <v>572</v>
      </c>
      <c r="E98" s="72"/>
      <c r="F98" s="73"/>
    </row>
    <row r="99" spans="2:6" ht="28" customHeight="1" x14ac:dyDescent="0.35">
      <c r="B99" s="71" t="s">
        <v>164</v>
      </c>
      <c r="C99" s="72"/>
      <c r="D99" s="72"/>
      <c r="E99" s="72"/>
      <c r="F99" s="73"/>
    </row>
    <row r="100" spans="2:6" x14ac:dyDescent="0.35">
      <c r="B100" s="11" t="s">
        <v>446</v>
      </c>
      <c r="C100" s="12">
        <f>IF((COUNTIF(C93:C98,"Met")+COUNTIF(C93:C98,"Partial")+COUNTIF(C93:C98,"Missed"))=0,"",ROUND((COUNTIF(C93:C98,"Met")*5+COUNTIF(C93:C98,"Partial")*2.5)/(COUNTIF(C93:C98,"Met")+COUNTIF(C93:C98,"Partial")+COUNTIF(C93:C98,"Missed")),1))</f>
        <v>5</v>
      </c>
      <c r="D100" s="96"/>
      <c r="E100" s="72"/>
      <c r="F100" s="73"/>
    </row>
    <row r="101" spans="2:6" ht="24" customHeight="1" x14ac:dyDescent="0.35">
      <c r="B101" s="13" t="s">
        <v>447</v>
      </c>
      <c r="C101" s="14">
        <v>5</v>
      </c>
      <c r="D101" s="101" t="str">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101" s="72"/>
      <c r="F101" s="73"/>
    </row>
    <row r="102" spans="2:6" ht="36" customHeight="1" x14ac:dyDescent="0.35">
      <c r="B102" s="13" t="s">
        <v>448</v>
      </c>
      <c r="C102" s="78" t="s">
        <v>656</v>
      </c>
      <c r="D102" s="72"/>
      <c r="E102" s="72"/>
      <c r="F102" s="73"/>
    </row>
    <row r="104" spans="2:6" ht="18" customHeight="1" thickBot="1" x14ac:dyDescent="0.4">
      <c r="B104" s="81" t="s">
        <v>166</v>
      </c>
      <c r="C104" s="75"/>
      <c r="D104" s="75"/>
      <c r="E104" s="76"/>
      <c r="F104" s="6" t="s">
        <v>156</v>
      </c>
    </row>
    <row r="105" spans="2:6" ht="28" customHeight="1" x14ac:dyDescent="0.35">
      <c r="B105" s="97" t="s">
        <v>167</v>
      </c>
      <c r="C105" s="72"/>
      <c r="D105" s="72"/>
      <c r="E105" s="72"/>
      <c r="F105" s="73"/>
    </row>
    <row r="106" spans="2:6" x14ac:dyDescent="0.35">
      <c r="B106" s="2" t="s">
        <v>96</v>
      </c>
      <c r="C106" s="7" t="s">
        <v>97</v>
      </c>
      <c r="D106" s="98" t="s">
        <v>98</v>
      </c>
      <c r="E106" s="72"/>
      <c r="F106" s="73"/>
    </row>
    <row r="107" spans="2:6" ht="28" customHeight="1" x14ac:dyDescent="0.35">
      <c r="B107" s="8" t="s">
        <v>168</v>
      </c>
      <c r="C107" s="9" t="s">
        <v>283</v>
      </c>
      <c r="D107" s="95" t="s">
        <v>551</v>
      </c>
      <c r="E107" s="72"/>
      <c r="F107" s="73"/>
    </row>
    <row r="108" spans="2:6" ht="28" customHeight="1" x14ac:dyDescent="0.35">
      <c r="B108" s="10" t="s">
        <v>169</v>
      </c>
      <c r="C108" s="9" t="s">
        <v>283</v>
      </c>
      <c r="D108" s="86" t="s">
        <v>169</v>
      </c>
      <c r="E108" s="72"/>
      <c r="F108" s="73"/>
    </row>
    <row r="109" spans="2:6" ht="28" customHeight="1" x14ac:dyDescent="0.35">
      <c r="B109" s="8" t="s">
        <v>170</v>
      </c>
      <c r="C109" s="9" t="s">
        <v>283</v>
      </c>
      <c r="D109" s="95" t="s">
        <v>552</v>
      </c>
      <c r="E109" s="72"/>
      <c r="F109" s="73"/>
    </row>
    <row r="110" spans="2:6" ht="28" customHeight="1" x14ac:dyDescent="0.35">
      <c r="B110" s="10" t="s">
        <v>171</v>
      </c>
      <c r="C110" s="9" t="s">
        <v>283</v>
      </c>
      <c r="D110" s="86" t="s">
        <v>573</v>
      </c>
      <c r="E110" s="72"/>
      <c r="F110" s="73"/>
    </row>
    <row r="111" spans="2:6" ht="28" customHeight="1" x14ac:dyDescent="0.35">
      <c r="B111" s="8" t="s">
        <v>172</v>
      </c>
      <c r="C111" s="9" t="s">
        <v>283</v>
      </c>
      <c r="D111" s="95" t="s">
        <v>551</v>
      </c>
      <c r="E111" s="72"/>
      <c r="F111" s="73"/>
    </row>
    <row r="112" spans="2:6" ht="28" customHeight="1" x14ac:dyDescent="0.35">
      <c r="B112" s="10" t="s">
        <v>173</v>
      </c>
      <c r="C112" s="9" t="s">
        <v>283</v>
      </c>
      <c r="D112" s="86" t="s">
        <v>553</v>
      </c>
      <c r="E112" s="72"/>
      <c r="F112" s="73"/>
    </row>
    <row r="113" spans="2:6" ht="28" customHeight="1" x14ac:dyDescent="0.35">
      <c r="B113" s="8" t="s">
        <v>174</v>
      </c>
      <c r="C113" s="9" t="s">
        <v>283</v>
      </c>
      <c r="D113" s="95" t="s">
        <v>657</v>
      </c>
      <c r="E113" s="72"/>
      <c r="F113" s="73"/>
    </row>
    <row r="114" spans="2:6" ht="28" customHeight="1" x14ac:dyDescent="0.35">
      <c r="B114" s="71" t="s">
        <v>175</v>
      </c>
      <c r="C114" s="72"/>
      <c r="D114" s="72"/>
      <c r="E114" s="72"/>
      <c r="F114" s="73"/>
    </row>
    <row r="115" spans="2:6" x14ac:dyDescent="0.35">
      <c r="B115" s="11" t="s">
        <v>446</v>
      </c>
      <c r="C115" s="12">
        <f>IF((COUNTIF(C107:C113,"Met")+COUNTIF(C107:C113,"Partial")+COUNTIF(C107:C113,"Missed"))=0,"",ROUND((COUNTIF(C107:C113,"Met")*5+COUNTIF(C107:C113,"Partial")*2.5)/(COUNTIF(C107:C113,"Met")+COUNTIF(C107:C113,"Partial")+COUNTIF(C107:C113,"Missed")),1))</f>
        <v>5</v>
      </c>
      <c r="D115" s="96"/>
      <c r="E115" s="72"/>
      <c r="F115" s="73"/>
    </row>
    <row r="116" spans="2:6" ht="24" customHeight="1" x14ac:dyDescent="0.35">
      <c r="B116" s="13" t="s">
        <v>447</v>
      </c>
      <c r="C116" s="14">
        <v>5</v>
      </c>
      <c r="D116" s="101" t="str">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116" s="72"/>
      <c r="F116" s="73"/>
    </row>
    <row r="117" spans="2:6" ht="36" customHeight="1" x14ac:dyDescent="0.35">
      <c r="B117" s="13" t="s">
        <v>448</v>
      </c>
      <c r="C117" s="78" t="s">
        <v>619</v>
      </c>
      <c r="D117" s="72"/>
      <c r="E117" s="72"/>
      <c r="F117" s="73"/>
    </row>
    <row r="119" spans="2:6" ht="15" thickBot="1" x14ac:dyDescent="0.4">
      <c r="B119" s="77" t="s">
        <v>177</v>
      </c>
      <c r="C119" s="75"/>
      <c r="D119" s="75"/>
      <c r="E119" s="75"/>
      <c r="F119" s="76"/>
    </row>
    <row r="120" spans="2:6" ht="15" thickBot="1" x14ac:dyDescent="0.4">
      <c r="B120" s="15" t="s">
        <v>178</v>
      </c>
      <c r="C120" s="15" t="s">
        <v>179</v>
      </c>
      <c r="D120" s="15" t="s">
        <v>180</v>
      </c>
      <c r="E120" s="15" t="s">
        <v>181</v>
      </c>
      <c r="F120" s="15" t="s">
        <v>182</v>
      </c>
    </row>
    <row r="121" spans="2:6" x14ac:dyDescent="0.35">
      <c r="B121" s="16" t="s">
        <v>183</v>
      </c>
      <c r="C121" s="17">
        <v>0.3</v>
      </c>
      <c r="D121" s="18">
        <f>C27</f>
        <v>5</v>
      </c>
      <c r="E121" s="19">
        <f t="shared" ref="E121:E127" si="0">IF(D121="","",(D121/5)*C121)</f>
        <v>0.3</v>
      </c>
      <c r="F121" s="20" t="str">
        <f t="shared" ref="F121:F127" si="1">IF(D121="","",IF(D121&gt;=4,"Strong",IF(D121=3,"Developing","Needs Focus")))</f>
        <v>Strong</v>
      </c>
    </row>
    <row r="122" spans="2:6" x14ac:dyDescent="0.35">
      <c r="B122" s="21" t="s">
        <v>184</v>
      </c>
      <c r="C122" s="22">
        <v>0.2</v>
      </c>
      <c r="D122" s="23">
        <f>C42</f>
        <v>5</v>
      </c>
      <c r="E122" s="24">
        <f t="shared" si="0"/>
        <v>0.2</v>
      </c>
      <c r="F122" s="25" t="str">
        <f t="shared" si="1"/>
        <v>Strong</v>
      </c>
    </row>
    <row r="123" spans="2:6" x14ac:dyDescent="0.35">
      <c r="B123" s="16" t="s">
        <v>185</v>
      </c>
      <c r="C123" s="17">
        <v>0.15</v>
      </c>
      <c r="D123" s="18">
        <f>C58</f>
        <v>5</v>
      </c>
      <c r="E123" s="19">
        <f t="shared" si="0"/>
        <v>0.15</v>
      </c>
      <c r="F123" s="20" t="str">
        <f t="shared" si="1"/>
        <v>Strong</v>
      </c>
    </row>
    <row r="124" spans="2:6" x14ac:dyDescent="0.35">
      <c r="B124" s="21" t="s">
        <v>186</v>
      </c>
      <c r="C124" s="22">
        <v>0.15</v>
      </c>
      <c r="D124" s="23">
        <f>C74</f>
        <v>5</v>
      </c>
      <c r="E124" s="24">
        <f t="shared" si="0"/>
        <v>0.15</v>
      </c>
      <c r="F124" s="25" t="str">
        <f t="shared" si="1"/>
        <v>Strong</v>
      </c>
    </row>
    <row r="125" spans="2:6" x14ac:dyDescent="0.35">
      <c r="B125" s="16" t="s">
        <v>187</v>
      </c>
      <c r="C125" s="17">
        <v>0.1</v>
      </c>
      <c r="D125" s="18">
        <f>C87</f>
        <v>5</v>
      </c>
      <c r="E125" s="19">
        <f t="shared" si="0"/>
        <v>0.1</v>
      </c>
      <c r="F125" s="20" t="str">
        <f t="shared" si="1"/>
        <v>Strong</v>
      </c>
    </row>
    <row r="126" spans="2:6" x14ac:dyDescent="0.35">
      <c r="B126" s="21" t="s">
        <v>188</v>
      </c>
      <c r="C126" s="22">
        <v>0.05</v>
      </c>
      <c r="D126" s="23">
        <f>C101</f>
        <v>5</v>
      </c>
      <c r="E126" s="24">
        <f t="shared" si="0"/>
        <v>0.05</v>
      </c>
      <c r="F126" s="25" t="str">
        <f t="shared" si="1"/>
        <v>Strong</v>
      </c>
    </row>
    <row r="127" spans="2:6" ht="15" thickBot="1" x14ac:dyDescent="0.4">
      <c r="B127" s="16" t="s">
        <v>189</v>
      </c>
      <c r="C127" s="17">
        <v>0.05</v>
      </c>
      <c r="D127" s="18">
        <f>C116</f>
        <v>5</v>
      </c>
      <c r="E127" s="19">
        <f t="shared" si="0"/>
        <v>0.05</v>
      </c>
      <c r="F127" s="20" t="str">
        <f t="shared" si="1"/>
        <v>Strong</v>
      </c>
    </row>
    <row r="128" spans="2:6" ht="24" customHeight="1" thickBot="1" x14ac:dyDescent="0.4">
      <c r="B128" s="5" t="s">
        <v>190</v>
      </c>
      <c r="C128" s="26">
        <f>SUM(C121:C127)</f>
        <v>1</v>
      </c>
      <c r="D128" s="27"/>
      <c r="E128" s="28">
        <f>SUM(E121:E127)</f>
        <v>1</v>
      </c>
      <c r="F128" s="29" t="str">
        <f>IF(E128="","",IF(E128&gt;=0.85,"MEETS / EXCEEDS",IF(E128&gt;=0.7,"DEVELOPING","NEEDS IMPROVEMENT")))</f>
        <v>MEETS / EXCEEDS</v>
      </c>
    </row>
    <row r="130" spans="2:6" ht="15" thickBot="1" x14ac:dyDescent="0.4">
      <c r="B130" s="81" t="s">
        <v>191</v>
      </c>
      <c r="C130" s="75"/>
      <c r="D130" s="75"/>
      <c r="E130" s="75"/>
      <c r="F130" s="76"/>
    </row>
    <row r="131" spans="2:6" x14ac:dyDescent="0.35">
      <c r="B131" s="2" t="s">
        <v>192</v>
      </c>
      <c r="C131" s="104" t="s">
        <v>450</v>
      </c>
      <c r="D131" s="72"/>
      <c r="E131" s="72"/>
      <c r="F131" s="73"/>
    </row>
    <row r="132" spans="2:6" x14ac:dyDescent="0.35">
      <c r="B132" s="4" t="s">
        <v>193</v>
      </c>
      <c r="C132" s="79" t="s">
        <v>451</v>
      </c>
      <c r="D132" s="72"/>
      <c r="E132" s="72"/>
      <c r="F132" s="73"/>
    </row>
    <row r="133" spans="2:6" ht="52" customHeight="1" x14ac:dyDescent="0.35">
      <c r="B133" s="2" t="s">
        <v>194</v>
      </c>
      <c r="C133" s="78" t="s">
        <v>554</v>
      </c>
      <c r="D133" s="72"/>
      <c r="E133" s="72"/>
      <c r="F133" s="73"/>
    </row>
    <row r="135" spans="2:6" ht="15" thickBot="1" x14ac:dyDescent="0.4">
      <c r="B135" s="81" t="s">
        <v>195</v>
      </c>
      <c r="C135" s="75"/>
      <c r="D135" s="75"/>
      <c r="E135" s="75"/>
      <c r="F135" s="76"/>
    </row>
    <row r="136" spans="2:6" x14ac:dyDescent="0.35">
      <c r="B136" s="4" t="s">
        <v>196</v>
      </c>
      <c r="C136" s="9" t="s">
        <v>197</v>
      </c>
      <c r="D136" s="71" t="s">
        <v>198</v>
      </c>
      <c r="E136" s="72"/>
      <c r="F136" s="73"/>
    </row>
    <row r="137" spans="2:6" ht="30" customHeight="1" x14ac:dyDescent="0.35">
      <c r="B137" s="2" t="s">
        <v>199</v>
      </c>
      <c r="C137" s="79" t="s">
        <v>200</v>
      </c>
      <c r="D137" s="73"/>
      <c r="E137" s="106" t="str">
        <f>IF(AND(C136="Yes",OR(C137="None",C137="N.A. — no disconnect")),"⚠ MISSED OWNERSHIP OPPORTUNITY — flag in Customer Ownership and Critical Failures","OK")</f>
        <v>OK</v>
      </c>
      <c r="F137" s="73"/>
    </row>
    <row r="139" spans="2:6" ht="15" thickBot="1" x14ac:dyDescent="0.4">
      <c r="B139" s="102" t="s">
        <v>201</v>
      </c>
      <c r="C139" s="75"/>
      <c r="D139" s="75"/>
      <c r="E139" s="75"/>
      <c r="F139" s="76"/>
    </row>
    <row r="140" spans="2:6" ht="15" thickBot="1" x14ac:dyDescent="0.4">
      <c r="B140" s="1" t="s">
        <v>202</v>
      </c>
      <c r="C140" s="15" t="s">
        <v>203</v>
      </c>
      <c r="D140" s="81" t="s">
        <v>204</v>
      </c>
      <c r="E140" s="75"/>
      <c r="F140" s="76"/>
    </row>
    <row r="141" spans="2:6" ht="26.15" customHeight="1" x14ac:dyDescent="0.35">
      <c r="B141" s="8" t="s">
        <v>205</v>
      </c>
      <c r="C141" s="9" t="s">
        <v>197</v>
      </c>
      <c r="D141" s="95"/>
      <c r="E141" s="72"/>
      <c r="F141" s="73"/>
    </row>
    <row r="142" spans="2:6" ht="26.15" customHeight="1" x14ac:dyDescent="0.35">
      <c r="B142" s="10" t="s">
        <v>206</v>
      </c>
      <c r="C142" s="9" t="s">
        <v>197</v>
      </c>
      <c r="D142" s="86"/>
      <c r="E142" s="72"/>
      <c r="F142" s="73"/>
    </row>
    <row r="143" spans="2:6" ht="26.15" customHeight="1" x14ac:dyDescent="0.35">
      <c r="B143" s="8" t="s">
        <v>207</v>
      </c>
      <c r="C143" s="9" t="s">
        <v>197</v>
      </c>
      <c r="D143" s="95"/>
      <c r="E143" s="72"/>
      <c r="F143" s="73"/>
    </row>
    <row r="144" spans="2:6" ht="26.15" customHeight="1" x14ac:dyDescent="0.35">
      <c r="B144" s="10" t="s">
        <v>208</v>
      </c>
      <c r="C144" s="9" t="s">
        <v>197</v>
      </c>
      <c r="D144" s="86"/>
      <c r="E144" s="72"/>
      <c r="F144" s="73"/>
    </row>
    <row r="145" spans="2:6" ht="26.15" customHeight="1" x14ac:dyDescent="0.35">
      <c r="B145" s="8" t="s">
        <v>209</v>
      </c>
      <c r="C145" s="9" t="s">
        <v>197</v>
      </c>
      <c r="D145" s="95"/>
      <c r="E145" s="72"/>
      <c r="F145" s="73"/>
    </row>
    <row r="146" spans="2:6" ht="26.15" customHeight="1" x14ac:dyDescent="0.35">
      <c r="B146" s="10" t="s">
        <v>210</v>
      </c>
      <c r="C146" s="9" t="s">
        <v>197</v>
      </c>
      <c r="D146" s="86"/>
      <c r="E146" s="72"/>
      <c r="F146" s="73"/>
    </row>
    <row r="147" spans="2:6" ht="26.15" customHeight="1" x14ac:dyDescent="0.35">
      <c r="B147" s="8" t="s">
        <v>211</v>
      </c>
      <c r="C147" s="9" t="s">
        <v>197</v>
      </c>
      <c r="D147" s="95"/>
      <c r="E147" s="72"/>
      <c r="F147" s="73"/>
    </row>
    <row r="148" spans="2:6" ht="26.15" customHeight="1" x14ac:dyDescent="0.35">
      <c r="B148" s="10" t="s">
        <v>212</v>
      </c>
      <c r="C148" s="9" t="s">
        <v>197</v>
      </c>
      <c r="D148" s="86"/>
      <c r="E148" s="72"/>
      <c r="F148" s="73"/>
    </row>
    <row r="149" spans="2:6" ht="26.15" customHeight="1" x14ac:dyDescent="0.35">
      <c r="B149" s="8" t="s">
        <v>213</v>
      </c>
      <c r="C149" s="9" t="s">
        <v>197</v>
      </c>
      <c r="D149" s="95"/>
      <c r="E149" s="72"/>
      <c r="F149" s="73"/>
    </row>
    <row r="150" spans="2:6" ht="26.15" customHeight="1" x14ac:dyDescent="0.35">
      <c r="B150" s="10" t="s">
        <v>214</v>
      </c>
      <c r="C150" s="9" t="s">
        <v>197</v>
      </c>
      <c r="D150" s="86"/>
      <c r="E150" s="72"/>
      <c r="F150" s="73"/>
    </row>
    <row r="151" spans="2:6" ht="26.15" customHeight="1" thickBot="1" x14ac:dyDescent="0.4">
      <c r="B151" s="8" t="s">
        <v>215</v>
      </c>
      <c r="C151" s="9" t="s">
        <v>197</v>
      </c>
      <c r="D151" s="95"/>
      <c r="E151" s="72"/>
      <c r="F151" s="73"/>
    </row>
    <row r="152" spans="2:6" ht="15" thickBot="1" x14ac:dyDescent="0.4">
      <c r="B152" s="30" t="s">
        <v>221</v>
      </c>
      <c r="C152" s="103" t="str">
        <f>IF(COUNTIF(C141:C151,"Yes")&gt;0,"YES — "&amp;COUNTIF(C141:C151,"Yes")&amp;" condition(s) flagged — automatic review required regardless of weighted score","No critical failures")</f>
        <v>No critical failures</v>
      </c>
      <c r="D152" s="75"/>
      <c r="E152" s="75"/>
      <c r="F152" s="76"/>
    </row>
    <row r="154" spans="2:6" ht="15" thickBot="1" x14ac:dyDescent="0.4">
      <c r="B154" s="77" t="s">
        <v>452</v>
      </c>
      <c r="C154" s="75"/>
      <c r="D154" s="75"/>
      <c r="E154" s="75"/>
      <c r="F154" s="76"/>
    </row>
    <row r="155" spans="2:6" ht="15" thickBot="1" x14ac:dyDescent="0.4">
      <c r="B155" s="81" t="s">
        <v>453</v>
      </c>
      <c r="C155" s="75"/>
      <c r="D155" s="75"/>
      <c r="E155" s="75"/>
      <c r="F155" s="76"/>
    </row>
    <row r="156" spans="2:6" ht="32.15" customHeight="1" x14ac:dyDescent="0.35">
      <c r="B156" s="7" t="s">
        <v>226</v>
      </c>
      <c r="C156" s="78"/>
      <c r="D156" s="72"/>
      <c r="E156" s="72"/>
      <c r="F156" s="73"/>
    </row>
    <row r="157" spans="2:6" ht="32.15" customHeight="1" x14ac:dyDescent="0.35">
      <c r="B157" s="7" t="s">
        <v>227</v>
      </c>
      <c r="C157" s="78"/>
      <c r="D157" s="72"/>
      <c r="E157" s="72"/>
      <c r="F157" s="73"/>
    </row>
    <row r="158" spans="2:6" ht="32.15" customHeight="1" thickBot="1" x14ac:dyDescent="0.4">
      <c r="B158" s="7" t="s">
        <v>228</v>
      </c>
      <c r="C158" s="78"/>
      <c r="D158" s="72"/>
      <c r="E158" s="72"/>
      <c r="F158" s="73"/>
    </row>
    <row r="159" spans="2:6" ht="15" thickBot="1" x14ac:dyDescent="0.4">
      <c r="B159" s="81" t="s">
        <v>454</v>
      </c>
      <c r="C159" s="75"/>
      <c r="D159" s="75"/>
      <c r="E159" s="75"/>
      <c r="F159" s="76"/>
    </row>
    <row r="160" spans="2:6" ht="32.15" customHeight="1" x14ac:dyDescent="0.35">
      <c r="B160" s="7" t="s">
        <v>226</v>
      </c>
      <c r="C160" s="78"/>
      <c r="D160" s="72"/>
      <c r="E160" s="72"/>
      <c r="F160" s="73"/>
    </row>
    <row r="161" spans="2:6" ht="32.15" customHeight="1" x14ac:dyDescent="0.35">
      <c r="B161" s="7" t="s">
        <v>227</v>
      </c>
      <c r="C161" s="78"/>
      <c r="D161" s="72"/>
      <c r="E161" s="72"/>
      <c r="F161" s="73"/>
    </row>
    <row r="162" spans="2:6" ht="32.15" customHeight="1" thickBot="1" x14ac:dyDescent="0.4">
      <c r="B162" s="7" t="s">
        <v>228</v>
      </c>
      <c r="C162" s="78"/>
      <c r="D162" s="72"/>
      <c r="E162" s="72"/>
      <c r="F162" s="73"/>
    </row>
    <row r="163" spans="2:6" ht="15" thickBot="1" x14ac:dyDescent="0.4">
      <c r="B163" s="81" t="s">
        <v>455</v>
      </c>
      <c r="C163" s="75"/>
      <c r="D163" s="75"/>
      <c r="E163" s="75"/>
      <c r="F163" s="76"/>
    </row>
    <row r="164" spans="2:6" ht="58" customHeight="1" thickBot="1" x14ac:dyDescent="0.4">
      <c r="B164" s="78"/>
      <c r="C164" s="72"/>
      <c r="D164" s="72"/>
      <c r="E164" s="72"/>
      <c r="F164" s="73"/>
    </row>
    <row r="165" spans="2:6" ht="15" thickBot="1" x14ac:dyDescent="0.4">
      <c r="B165" s="81" t="s">
        <v>456</v>
      </c>
      <c r="C165" s="75"/>
      <c r="D165" s="75"/>
      <c r="E165" s="75"/>
      <c r="F165" s="76"/>
    </row>
    <row r="166" spans="2:6" ht="70" customHeight="1" thickBot="1" x14ac:dyDescent="0.4">
      <c r="B166" s="78"/>
      <c r="C166" s="72"/>
      <c r="D166" s="72"/>
      <c r="E166" s="72"/>
      <c r="F166" s="73"/>
    </row>
    <row r="167" spans="2:6" ht="15" thickBot="1" x14ac:dyDescent="0.4">
      <c r="B167" s="81" t="s">
        <v>457</v>
      </c>
      <c r="C167" s="75"/>
      <c r="D167" s="75"/>
      <c r="E167" s="75"/>
      <c r="F167" s="76"/>
    </row>
    <row r="168" spans="2:6" ht="58" customHeight="1" thickBot="1" x14ac:dyDescent="0.4">
      <c r="B168" s="78"/>
      <c r="C168" s="72"/>
      <c r="D168" s="72"/>
      <c r="E168" s="72"/>
      <c r="F168" s="73"/>
    </row>
    <row r="169" spans="2:6" ht="15" thickBot="1" x14ac:dyDescent="0.4">
      <c r="B169" s="81" t="s">
        <v>458</v>
      </c>
      <c r="C169" s="75"/>
      <c r="D169" s="75"/>
      <c r="E169" s="75"/>
      <c r="F169" s="76"/>
    </row>
    <row r="170" spans="2:6" ht="58" customHeight="1" x14ac:dyDescent="0.35">
      <c r="B170" s="78"/>
      <c r="C170" s="72"/>
      <c r="D170" s="72"/>
      <c r="E170" s="72"/>
      <c r="F170" s="73"/>
    </row>
  </sheetData>
  <mergeCells count="149">
    <mergeCell ref="B1:F1"/>
    <mergeCell ref="B2:F2"/>
    <mergeCell ref="B4:F4"/>
    <mergeCell ref="E5:F5"/>
    <mergeCell ref="E6:F6"/>
    <mergeCell ref="E7:F7"/>
    <mergeCell ref="C14:F14"/>
    <mergeCell ref="B16:F16"/>
    <mergeCell ref="B17:E17"/>
    <mergeCell ref="B18:F18"/>
    <mergeCell ref="D19:F19"/>
    <mergeCell ref="D20:F20"/>
    <mergeCell ref="E8:F8"/>
    <mergeCell ref="E9:F9"/>
    <mergeCell ref="E10:F10"/>
    <mergeCell ref="E11:F11"/>
    <mergeCell ref="E12:F12"/>
    <mergeCell ref="C13:F13"/>
    <mergeCell ref="D27:F27"/>
    <mergeCell ref="C28:F28"/>
    <mergeCell ref="B30:E30"/>
    <mergeCell ref="B31:F31"/>
    <mergeCell ref="D32:F32"/>
    <mergeCell ref="D33:F33"/>
    <mergeCell ref="D21:F21"/>
    <mergeCell ref="D22:F22"/>
    <mergeCell ref="D23:F23"/>
    <mergeCell ref="D24:F24"/>
    <mergeCell ref="B25:F25"/>
    <mergeCell ref="D26:F26"/>
    <mergeCell ref="B40:F40"/>
    <mergeCell ref="D41:F41"/>
    <mergeCell ref="D42:F42"/>
    <mergeCell ref="C43:F43"/>
    <mergeCell ref="B45:E45"/>
    <mergeCell ref="B46:F46"/>
    <mergeCell ref="D34:F34"/>
    <mergeCell ref="D35:F35"/>
    <mergeCell ref="D36:F36"/>
    <mergeCell ref="D37:F37"/>
    <mergeCell ref="D38:F38"/>
    <mergeCell ref="D39:F39"/>
    <mergeCell ref="D53:F53"/>
    <mergeCell ref="D54:F54"/>
    <mergeCell ref="D55:F55"/>
    <mergeCell ref="B56:F56"/>
    <mergeCell ref="D57:F57"/>
    <mergeCell ref="D58:F58"/>
    <mergeCell ref="D47:F47"/>
    <mergeCell ref="D48:F48"/>
    <mergeCell ref="D49:F49"/>
    <mergeCell ref="D50:F50"/>
    <mergeCell ref="D51:F51"/>
    <mergeCell ref="D52:F52"/>
    <mergeCell ref="D66:F66"/>
    <mergeCell ref="D67:F67"/>
    <mergeCell ref="D68:F68"/>
    <mergeCell ref="D69:F69"/>
    <mergeCell ref="D70:F70"/>
    <mergeCell ref="D71:F71"/>
    <mergeCell ref="C59:F59"/>
    <mergeCell ref="B61:E61"/>
    <mergeCell ref="B62:F62"/>
    <mergeCell ref="D63:F63"/>
    <mergeCell ref="D64:F64"/>
    <mergeCell ref="D65:F65"/>
    <mergeCell ref="D79:F79"/>
    <mergeCell ref="D80:F80"/>
    <mergeCell ref="D81:F81"/>
    <mergeCell ref="D82:F82"/>
    <mergeCell ref="D83:F83"/>
    <mergeCell ref="D84:F84"/>
    <mergeCell ref="B72:F72"/>
    <mergeCell ref="D73:F73"/>
    <mergeCell ref="D74:F74"/>
    <mergeCell ref="C75:F75"/>
    <mergeCell ref="B77:E77"/>
    <mergeCell ref="B78:F78"/>
    <mergeCell ref="D92:F92"/>
    <mergeCell ref="D93:F93"/>
    <mergeCell ref="D94:F94"/>
    <mergeCell ref="D95:F95"/>
    <mergeCell ref="D96:F96"/>
    <mergeCell ref="D97:F97"/>
    <mergeCell ref="B85:F85"/>
    <mergeCell ref="D86:F86"/>
    <mergeCell ref="D87:F87"/>
    <mergeCell ref="C88:F88"/>
    <mergeCell ref="B90:E90"/>
    <mergeCell ref="B91:F91"/>
    <mergeCell ref="B105:F105"/>
    <mergeCell ref="D106:F106"/>
    <mergeCell ref="D107:F107"/>
    <mergeCell ref="D108:F108"/>
    <mergeCell ref="D109:F109"/>
    <mergeCell ref="D110:F110"/>
    <mergeCell ref="D98:F98"/>
    <mergeCell ref="B99:F99"/>
    <mergeCell ref="D100:F100"/>
    <mergeCell ref="D101:F101"/>
    <mergeCell ref="C102:F102"/>
    <mergeCell ref="B104:E104"/>
    <mergeCell ref="C117:F117"/>
    <mergeCell ref="B119:F119"/>
    <mergeCell ref="B130:F130"/>
    <mergeCell ref="C131:F131"/>
    <mergeCell ref="C132:F132"/>
    <mergeCell ref="C133:F133"/>
    <mergeCell ref="D111:F111"/>
    <mergeCell ref="D112:F112"/>
    <mergeCell ref="D113:F113"/>
    <mergeCell ref="B114:F114"/>
    <mergeCell ref="D115:F115"/>
    <mergeCell ref="D116:F116"/>
    <mergeCell ref="D141:F141"/>
    <mergeCell ref="D142:F142"/>
    <mergeCell ref="D143:F143"/>
    <mergeCell ref="D144:F144"/>
    <mergeCell ref="D145:F145"/>
    <mergeCell ref="D146:F146"/>
    <mergeCell ref="B135:F135"/>
    <mergeCell ref="D136:F136"/>
    <mergeCell ref="C137:D137"/>
    <mergeCell ref="E137:F137"/>
    <mergeCell ref="B139:F139"/>
    <mergeCell ref="D140:F140"/>
    <mergeCell ref="B154:F154"/>
    <mergeCell ref="B155:F155"/>
    <mergeCell ref="C156:F156"/>
    <mergeCell ref="C157:F157"/>
    <mergeCell ref="C158:F158"/>
    <mergeCell ref="B159:F159"/>
    <mergeCell ref="D147:F147"/>
    <mergeCell ref="D148:F148"/>
    <mergeCell ref="D149:F149"/>
    <mergeCell ref="D150:F150"/>
    <mergeCell ref="D151:F151"/>
    <mergeCell ref="C152:F152"/>
    <mergeCell ref="B166:F166"/>
    <mergeCell ref="B167:F167"/>
    <mergeCell ref="B168:F168"/>
    <mergeCell ref="B169:F169"/>
    <mergeCell ref="B170:F170"/>
    <mergeCell ref="C160:F160"/>
    <mergeCell ref="C161:F161"/>
    <mergeCell ref="C162:F162"/>
    <mergeCell ref="B163:F163"/>
    <mergeCell ref="B164:F164"/>
    <mergeCell ref="B165:F165"/>
  </mergeCells>
  <conditionalFormatting sqref="C20:C24">
    <cfRule type="cellIs" dxfId="128" priority="1" operator="equal">
      <formula>"Met"</formula>
    </cfRule>
    <cfRule type="cellIs" dxfId="127" priority="2" operator="equal">
      <formula>"Partial"</formula>
    </cfRule>
    <cfRule type="cellIs" dxfId="126" priority="3" operator="equal">
      <formula>"Missed"</formula>
    </cfRule>
  </conditionalFormatting>
  <conditionalFormatting sqref="C27">
    <cfRule type="cellIs" dxfId="125" priority="4" operator="lessThanOrEqual">
      <formula>2</formula>
    </cfRule>
    <cfRule type="cellIs" dxfId="124" priority="5" operator="equal">
      <formula>3</formula>
    </cfRule>
    <cfRule type="cellIs" dxfId="123" priority="6" operator="greaterThanOrEqual">
      <formula>4</formula>
    </cfRule>
  </conditionalFormatting>
  <conditionalFormatting sqref="C33:C39">
    <cfRule type="cellIs" dxfId="122" priority="7" operator="equal">
      <formula>"Met"</formula>
    </cfRule>
    <cfRule type="cellIs" dxfId="121" priority="8" operator="equal">
      <formula>"Partial"</formula>
    </cfRule>
    <cfRule type="cellIs" dxfId="120" priority="9" operator="equal">
      <formula>"Missed"</formula>
    </cfRule>
  </conditionalFormatting>
  <conditionalFormatting sqref="C42">
    <cfRule type="cellIs" dxfId="119" priority="10" operator="lessThanOrEqual">
      <formula>2</formula>
    </cfRule>
    <cfRule type="cellIs" dxfId="118" priority="11" operator="equal">
      <formula>3</formula>
    </cfRule>
    <cfRule type="cellIs" dxfId="117" priority="12" operator="greaterThanOrEqual">
      <formula>4</formula>
    </cfRule>
  </conditionalFormatting>
  <conditionalFormatting sqref="C48:C55">
    <cfRule type="cellIs" dxfId="116" priority="13" operator="equal">
      <formula>"Met"</formula>
    </cfRule>
    <cfRule type="cellIs" dxfId="115" priority="14" operator="equal">
      <formula>"Partial"</formula>
    </cfRule>
    <cfRule type="cellIs" dxfId="114" priority="15" operator="equal">
      <formula>"Missed"</formula>
    </cfRule>
  </conditionalFormatting>
  <conditionalFormatting sqref="C58">
    <cfRule type="cellIs" dxfId="113" priority="16" operator="lessThanOrEqual">
      <formula>2</formula>
    </cfRule>
    <cfRule type="cellIs" dxfId="112" priority="17" operator="equal">
      <formula>3</formula>
    </cfRule>
    <cfRule type="cellIs" dxfId="111" priority="18" operator="greaterThanOrEqual">
      <formula>4</formula>
    </cfRule>
  </conditionalFormatting>
  <conditionalFormatting sqref="C64:C71">
    <cfRule type="cellIs" dxfId="110" priority="19" operator="equal">
      <formula>"Met"</formula>
    </cfRule>
    <cfRule type="cellIs" dxfId="109" priority="20" operator="equal">
      <formula>"Partial"</formula>
    </cfRule>
    <cfRule type="cellIs" dxfId="108" priority="21" operator="equal">
      <formula>"Missed"</formula>
    </cfRule>
  </conditionalFormatting>
  <conditionalFormatting sqref="C74">
    <cfRule type="cellIs" dxfId="107" priority="22" operator="lessThanOrEqual">
      <formula>2</formula>
    </cfRule>
    <cfRule type="cellIs" dxfId="106" priority="23" operator="equal">
      <formula>3</formula>
    </cfRule>
    <cfRule type="cellIs" dxfId="105" priority="24" operator="greaterThanOrEqual">
      <formula>4</formula>
    </cfRule>
  </conditionalFormatting>
  <conditionalFormatting sqref="C80:C84">
    <cfRule type="cellIs" dxfId="104" priority="25" operator="equal">
      <formula>"Met"</formula>
    </cfRule>
    <cfRule type="cellIs" dxfId="103" priority="26" operator="equal">
      <formula>"Partial"</formula>
    </cfRule>
    <cfRule type="cellIs" dxfId="102" priority="27" operator="equal">
      <formula>"Missed"</formula>
    </cfRule>
  </conditionalFormatting>
  <conditionalFormatting sqref="C87">
    <cfRule type="cellIs" dxfId="101" priority="28" operator="lessThanOrEqual">
      <formula>2</formula>
    </cfRule>
    <cfRule type="cellIs" dxfId="100" priority="29" operator="equal">
      <formula>3</formula>
    </cfRule>
    <cfRule type="cellIs" dxfId="99" priority="30" operator="greaterThanOrEqual">
      <formula>4</formula>
    </cfRule>
  </conditionalFormatting>
  <conditionalFormatting sqref="C93:C98">
    <cfRule type="cellIs" dxfId="98" priority="31" operator="equal">
      <formula>"Met"</formula>
    </cfRule>
    <cfRule type="cellIs" dxfId="97" priority="32" operator="equal">
      <formula>"Partial"</formula>
    </cfRule>
    <cfRule type="cellIs" dxfId="96" priority="33" operator="equal">
      <formula>"Missed"</formula>
    </cfRule>
  </conditionalFormatting>
  <conditionalFormatting sqref="C101">
    <cfRule type="cellIs" dxfId="95" priority="34" operator="lessThanOrEqual">
      <formula>2</formula>
    </cfRule>
    <cfRule type="cellIs" dxfId="94" priority="35" operator="equal">
      <formula>3</formula>
    </cfRule>
    <cfRule type="cellIs" dxfId="93" priority="36" operator="greaterThanOrEqual">
      <formula>4</formula>
    </cfRule>
  </conditionalFormatting>
  <conditionalFormatting sqref="C107:C113">
    <cfRule type="cellIs" dxfId="92" priority="37" operator="equal">
      <formula>"Met"</formula>
    </cfRule>
    <cfRule type="cellIs" dxfId="91" priority="38" operator="equal">
      <formula>"Partial"</formula>
    </cfRule>
    <cfRule type="cellIs" dxfId="90" priority="39" operator="equal">
      <formula>"Missed"</formula>
    </cfRule>
  </conditionalFormatting>
  <conditionalFormatting sqref="C116">
    <cfRule type="cellIs" dxfId="89" priority="40" operator="lessThanOrEqual">
      <formula>2</formula>
    </cfRule>
    <cfRule type="cellIs" dxfId="88" priority="41" operator="equal">
      <formula>3</formula>
    </cfRule>
    <cfRule type="cellIs" dxfId="87" priority="42" operator="greaterThanOrEqual">
      <formula>4</formula>
    </cfRule>
  </conditionalFormatting>
  <conditionalFormatting sqref="C141:C151">
    <cfRule type="cellIs" dxfId="86" priority="51" operator="equal">
      <formula>"Yes"</formula>
    </cfRule>
  </conditionalFormatting>
  <conditionalFormatting sqref="C152">
    <cfRule type="expression" dxfId="85" priority="53">
      <formula>NOT(ISNUMBER(SEARCH("YES",C152)))</formula>
    </cfRule>
    <cfRule type="expression" dxfId="84" priority="52">
      <formula>ISNUMBER(SEARCH("YES",C152))</formula>
    </cfRule>
  </conditionalFormatting>
  <conditionalFormatting sqref="E128">
    <cfRule type="cellIs" dxfId="83" priority="43" operator="greaterThanOrEqual">
      <formula>0.85</formula>
    </cfRule>
    <cfRule type="cellIs" dxfId="82" priority="44" operator="between">
      <formula>0.7</formula>
      <formula>0.8499</formula>
    </cfRule>
    <cfRule type="cellIs" dxfId="81" priority="45" operator="lessThan">
      <formula>0.7</formula>
    </cfRule>
  </conditionalFormatting>
  <conditionalFormatting sqref="E137">
    <cfRule type="expression" dxfId="80" priority="49">
      <formula>E137&lt;&gt;"OK"</formula>
    </cfRule>
    <cfRule type="expression" dxfId="79" priority="50">
      <formula>E137="OK"</formula>
    </cfRule>
  </conditionalFormatting>
  <conditionalFormatting sqref="F121:F127">
    <cfRule type="cellIs" dxfId="78" priority="46" operator="equal">
      <formula>"Strong"</formula>
    </cfRule>
    <cfRule type="cellIs" dxfId="77" priority="48" operator="equal">
      <formula>"Needs Focus"</formula>
    </cfRule>
    <cfRule type="cellIs" dxfId="76" priority="47" operator="equal">
      <formula>"Developing"</formula>
    </cfRule>
  </conditionalFormatting>
  <dataValidations count="10">
    <dataValidation type="list" allowBlank="1" sqref="C137" xr:uid="{65657B9E-245F-40E7-BC29-4CB18738668C}">
      <formula1>"Callback attempt,Follow-up email,Private note documenting actions,Documented why follow-up not possible,None,N.A. — no disconnect"</formula1>
    </dataValidation>
    <dataValidation type="list" allowBlank="1" sqref="C132" xr:uid="{FF2D6C02-D057-45F7-9AA0-2A069E3245F1}">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type="list" allowBlank="1" sqref="C131" xr:uid="{5151E61D-749A-4419-8D18-55A98F0F84D0}">
      <formula1>"Successful Resolution,Partial Resolution,Appropriate Escalation,Ownership Gap,Unresolved"</formula1>
    </dataValidation>
    <dataValidation type="list" allowBlank="1" sqref="E12" xr:uid="{8E384BF7-3A21-4C0E-8346-180A07864651}">
      <formula1>"Within SLA,Breached,N.A."</formula1>
    </dataValidation>
    <dataValidation type="list" allowBlank="1" sqref="C9" xr:uid="{3AA94FA0-E6A3-47D9-A28F-1B53D660D10A}">
      <formula1>"Technical Issue,Setup/How-To,RMA/Replacement,Billing/Account,Connectivity,Other"</formula1>
    </dataValidation>
    <dataValidation type="list" allowBlank="1" sqref="E7" xr:uid="{60D50056-F3F1-4FF4-843B-60CC4FE34205}">
      <formula1>"Phone,Chat,Email,Social,Other"</formula1>
    </dataValidation>
    <dataValidation type="list" allowBlank="1" sqref="C8" xr:uid="{2D47538B-976A-464B-B639-46B426AFF4CD}">
      <formula1>"In-Warranty,Out-of-Warranty,Unknown"</formula1>
    </dataValidation>
    <dataValidation type="list" allowBlank="1" sqref="C136 C141:C151 E10" xr:uid="{8B7F3A27-46DA-42D4-B7AC-F4097DD1EA29}">
      <formula1>"No,Yes"</formula1>
    </dataValidation>
    <dataValidation type="whole" allowBlank="1" showErrorMessage="1" errorTitle="Invalid score" error="Enter a whole number from 0 to 5." sqref="C27 C42 C58 C74 C87 C101 C116" xr:uid="{F9708AD1-E8D1-495A-91AB-BDF89829BE28}">
      <formula1>0</formula1>
      <formula2>5</formula2>
    </dataValidation>
    <dataValidation type="list" allowBlank="1" sqref="C20:C24 C33:C39 C48:C55 C64:C71 C80:C84 C93:C98 C107:C113" xr:uid="{110576C1-473B-4E8B-99AE-08ADA2B9A93B}">
      <formula1>"Met,Partial,Missed,N.A."</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F170"/>
  <sheetViews>
    <sheetView showGridLines="0" workbookViewId="0">
      <pane ySplit="2" topLeftCell="A84" activePane="bottomLeft" state="frozen"/>
      <selection pane="bottomLeft" activeCell="C10" sqref="C10"/>
    </sheetView>
  </sheetViews>
  <sheetFormatPr defaultRowHeight="14.5" x14ac:dyDescent="0.35"/>
  <cols>
    <col min="1" max="1" width="4" customWidth="1"/>
    <col min="2" max="2" width="58" customWidth="1"/>
    <col min="3" max="3" width="14" customWidth="1"/>
    <col min="4" max="4" width="13" customWidth="1"/>
    <col min="5" max="5" width="15" customWidth="1"/>
    <col min="6" max="6" width="46" customWidth="1"/>
    <col min="7" max="7" width="3" customWidth="1"/>
  </cols>
  <sheetData>
    <row r="1" spans="2:6" ht="28" customHeight="1" x14ac:dyDescent="0.35">
      <c r="B1" s="85" t="s">
        <v>441</v>
      </c>
      <c r="C1" s="75"/>
      <c r="D1" s="75"/>
      <c r="E1" s="75"/>
      <c r="F1" s="76"/>
    </row>
    <row r="2" spans="2:6" ht="18" customHeight="1" x14ac:dyDescent="0.35">
      <c r="B2" s="105" t="s">
        <v>63</v>
      </c>
      <c r="C2" s="75"/>
      <c r="D2" s="75"/>
      <c r="E2" s="75"/>
      <c r="F2" s="76"/>
    </row>
    <row r="4" spans="2:6" x14ac:dyDescent="0.35">
      <c r="B4" s="81" t="s">
        <v>64</v>
      </c>
      <c r="C4" s="75"/>
      <c r="D4" s="75"/>
      <c r="E4" s="75"/>
      <c r="F4" s="76"/>
    </row>
    <row r="5" spans="2:6" ht="29" x14ac:dyDescent="0.35">
      <c r="B5" s="2" t="s">
        <v>65</v>
      </c>
      <c r="C5" s="3" t="s">
        <v>574</v>
      </c>
      <c r="D5" s="4" t="s">
        <v>66</v>
      </c>
      <c r="E5" s="79" t="s">
        <v>557</v>
      </c>
      <c r="F5" s="73"/>
    </row>
    <row r="6" spans="2:6" ht="29" x14ac:dyDescent="0.35">
      <c r="B6" s="2" t="s">
        <v>67</v>
      </c>
      <c r="C6" s="3" t="s">
        <v>661</v>
      </c>
      <c r="D6" s="4" t="s">
        <v>68</v>
      </c>
      <c r="E6" s="122">
        <v>46178</v>
      </c>
      <c r="F6" s="73"/>
    </row>
    <row r="7" spans="2:6" x14ac:dyDescent="0.35">
      <c r="B7" s="2" t="s">
        <v>69</v>
      </c>
      <c r="C7" s="3" t="s">
        <v>558</v>
      </c>
      <c r="D7" s="4" t="s">
        <v>70</v>
      </c>
      <c r="E7" s="79" t="s">
        <v>442</v>
      </c>
      <c r="F7" s="73"/>
    </row>
    <row r="8" spans="2:6" x14ac:dyDescent="0.35">
      <c r="B8" s="2" t="s">
        <v>71</v>
      </c>
      <c r="C8" s="3" t="s">
        <v>443</v>
      </c>
      <c r="D8" s="4" t="s">
        <v>72</v>
      </c>
      <c r="E8" s="122">
        <v>46189</v>
      </c>
      <c r="F8" s="73"/>
    </row>
    <row r="9" spans="2:6" ht="29" x14ac:dyDescent="0.35">
      <c r="B9" s="2" t="s">
        <v>73</v>
      </c>
      <c r="C9" s="3" t="s">
        <v>444</v>
      </c>
      <c r="D9" s="4" t="s">
        <v>74</v>
      </c>
      <c r="E9" s="79" t="s">
        <v>576</v>
      </c>
      <c r="F9" s="73"/>
    </row>
    <row r="10" spans="2:6" ht="29" x14ac:dyDescent="0.35">
      <c r="B10" s="2" t="s">
        <v>75</v>
      </c>
      <c r="C10" s="3" t="s">
        <v>621</v>
      </c>
      <c r="D10" s="4" t="s">
        <v>76</v>
      </c>
      <c r="E10" s="79" t="s">
        <v>240</v>
      </c>
      <c r="F10" s="73"/>
    </row>
    <row r="11" spans="2:6" ht="29" x14ac:dyDescent="0.35">
      <c r="B11" s="2" t="s">
        <v>77</v>
      </c>
      <c r="C11" s="3"/>
      <c r="D11" s="4" t="s">
        <v>78</v>
      </c>
      <c r="E11" s="79"/>
      <c r="F11" s="73"/>
    </row>
    <row r="12" spans="2:6" x14ac:dyDescent="0.35">
      <c r="B12" s="2" t="s">
        <v>79</v>
      </c>
      <c r="C12" s="3" t="s">
        <v>561</v>
      </c>
      <c r="D12" s="4" t="s">
        <v>80</v>
      </c>
      <c r="E12" s="79" t="s">
        <v>445</v>
      </c>
      <c r="F12" s="73"/>
    </row>
    <row r="13" spans="2:6" ht="58" customHeight="1" x14ac:dyDescent="0.35">
      <c r="B13" s="4" t="s">
        <v>81</v>
      </c>
      <c r="C13" s="78" t="s">
        <v>577</v>
      </c>
      <c r="D13" s="72"/>
      <c r="E13" s="72"/>
      <c r="F13" s="73"/>
    </row>
    <row r="14" spans="2:6" ht="46" customHeight="1" x14ac:dyDescent="0.35">
      <c r="B14" s="4" t="s">
        <v>82</v>
      </c>
      <c r="C14" s="78" t="s">
        <v>578</v>
      </c>
      <c r="D14" s="72"/>
      <c r="E14" s="72"/>
      <c r="F14" s="73"/>
    </row>
    <row r="16" spans="2:6" x14ac:dyDescent="0.35">
      <c r="B16" s="77" t="s">
        <v>92</v>
      </c>
      <c r="C16" s="75"/>
      <c r="D16" s="75"/>
      <c r="E16" s="75"/>
      <c r="F16" s="76"/>
    </row>
    <row r="17" spans="2:6" ht="18" customHeight="1" x14ac:dyDescent="0.35">
      <c r="B17" s="81" t="s">
        <v>93</v>
      </c>
      <c r="C17" s="75"/>
      <c r="D17" s="75"/>
      <c r="E17" s="76"/>
      <c r="F17" s="6" t="s">
        <v>94</v>
      </c>
    </row>
    <row r="18" spans="2:6" ht="28" customHeight="1" x14ac:dyDescent="0.35">
      <c r="B18" s="97" t="s">
        <v>95</v>
      </c>
      <c r="C18" s="72"/>
      <c r="D18" s="72"/>
      <c r="E18" s="72"/>
      <c r="F18" s="73"/>
    </row>
    <row r="19" spans="2:6" x14ac:dyDescent="0.35">
      <c r="B19" s="2" t="s">
        <v>96</v>
      </c>
      <c r="C19" s="7" t="s">
        <v>97</v>
      </c>
      <c r="D19" s="98" t="s">
        <v>98</v>
      </c>
      <c r="E19" s="72"/>
      <c r="F19" s="73"/>
    </row>
    <row r="20" spans="2:6" ht="28" customHeight="1" x14ac:dyDescent="0.35">
      <c r="B20" s="8" t="s">
        <v>99</v>
      </c>
      <c r="C20" s="9" t="s">
        <v>283</v>
      </c>
      <c r="D20" s="95" t="s">
        <v>579</v>
      </c>
      <c r="E20" s="72"/>
      <c r="F20" s="73"/>
    </row>
    <row r="21" spans="2:6" ht="28" customHeight="1" x14ac:dyDescent="0.35">
      <c r="B21" s="10" t="s">
        <v>100</v>
      </c>
      <c r="C21" s="9" t="s">
        <v>283</v>
      </c>
      <c r="D21" s="86" t="s">
        <v>580</v>
      </c>
      <c r="E21" s="72"/>
      <c r="F21" s="73"/>
    </row>
    <row r="22" spans="2:6" ht="28" customHeight="1" x14ac:dyDescent="0.35">
      <c r="B22" s="8" t="s">
        <v>101</v>
      </c>
      <c r="C22" s="9" t="s">
        <v>283</v>
      </c>
      <c r="D22" s="95" t="s">
        <v>581</v>
      </c>
      <c r="E22" s="72"/>
      <c r="F22" s="73"/>
    </row>
    <row r="23" spans="2:6" ht="28" customHeight="1" x14ac:dyDescent="0.35">
      <c r="B23" s="10" t="s">
        <v>102</v>
      </c>
      <c r="C23" s="9" t="s">
        <v>283</v>
      </c>
      <c r="D23" s="86" t="s">
        <v>582</v>
      </c>
      <c r="E23" s="72"/>
      <c r="F23" s="73"/>
    </row>
    <row r="24" spans="2:6" ht="28" customHeight="1" x14ac:dyDescent="0.35">
      <c r="B24" s="8" t="s">
        <v>103</v>
      </c>
      <c r="C24" s="9" t="s">
        <v>283</v>
      </c>
      <c r="D24" s="95" t="s">
        <v>583</v>
      </c>
      <c r="E24" s="72"/>
      <c r="F24" s="73"/>
    </row>
    <row r="25" spans="2:6" ht="28" customHeight="1" x14ac:dyDescent="0.35">
      <c r="B25" s="71" t="s">
        <v>104</v>
      </c>
      <c r="C25" s="72"/>
      <c r="D25" s="72"/>
      <c r="E25" s="72"/>
      <c r="F25" s="73"/>
    </row>
    <row r="26" spans="2:6" x14ac:dyDescent="0.35">
      <c r="B26" s="11" t="s">
        <v>446</v>
      </c>
      <c r="C26" s="12">
        <f>IF((COUNTIF(C20:C24,"Met")+COUNTIF(C20:C24,"Partial")+COUNTIF(C20:C24,"Missed"))=0,"",ROUND((COUNTIF(C20:C24,"Met")*5+COUNTIF(C20:C24,"Partial")*2.5)/(COUNTIF(C20:C24,"Met")+COUNTIF(C20:C24,"Partial")+COUNTIF(C20:C24,"Missed")),1))</f>
        <v>5</v>
      </c>
      <c r="D26" s="96"/>
      <c r="E26" s="72"/>
      <c r="F26" s="73"/>
    </row>
    <row r="27" spans="2:6" ht="24" customHeight="1" x14ac:dyDescent="0.35">
      <c r="B27" s="13" t="s">
        <v>447</v>
      </c>
      <c r="C27" s="14">
        <v>5</v>
      </c>
      <c r="D27" s="101" t="str">
        <f>IF(C27="","← enter score; anchor description appears here",CHOOSE(C27+1,"Agent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27" s="72"/>
      <c r="F27" s="73"/>
    </row>
    <row r="28" spans="2:6" ht="36" customHeight="1" x14ac:dyDescent="0.35">
      <c r="B28" s="13" t="s">
        <v>448</v>
      </c>
      <c r="C28" s="78" t="s">
        <v>584</v>
      </c>
      <c r="D28" s="72"/>
      <c r="E28" s="72"/>
      <c r="F28" s="73"/>
    </row>
    <row r="30" spans="2:6" ht="18" customHeight="1" x14ac:dyDescent="0.35">
      <c r="B30" s="81" t="s">
        <v>108</v>
      </c>
      <c r="C30" s="75"/>
      <c r="D30" s="75"/>
      <c r="E30" s="76"/>
      <c r="F30" s="6" t="s">
        <v>109</v>
      </c>
    </row>
    <row r="31" spans="2:6" ht="28" customHeight="1" x14ac:dyDescent="0.35">
      <c r="B31" s="97" t="s">
        <v>110</v>
      </c>
      <c r="C31" s="72"/>
      <c r="D31" s="72"/>
      <c r="E31" s="72"/>
      <c r="F31" s="73"/>
    </row>
    <row r="32" spans="2:6" x14ac:dyDescent="0.35">
      <c r="B32" s="2" t="s">
        <v>96</v>
      </c>
      <c r="C32" s="7" t="s">
        <v>97</v>
      </c>
      <c r="D32" s="98" t="s">
        <v>98</v>
      </c>
      <c r="E32" s="72"/>
      <c r="F32" s="73"/>
    </row>
    <row r="33" spans="2:6" ht="28" customHeight="1" x14ac:dyDescent="0.35">
      <c r="B33" s="8" t="s">
        <v>111</v>
      </c>
      <c r="C33" s="9" t="s">
        <v>283</v>
      </c>
      <c r="D33" s="95" t="s">
        <v>585</v>
      </c>
      <c r="E33" s="72"/>
      <c r="F33" s="73"/>
    </row>
    <row r="34" spans="2:6" ht="28" customHeight="1" x14ac:dyDescent="0.35">
      <c r="B34" s="10" t="s">
        <v>112</v>
      </c>
      <c r="C34" s="9" t="s">
        <v>283</v>
      </c>
      <c r="D34" s="86" t="s">
        <v>586</v>
      </c>
      <c r="E34" s="72"/>
      <c r="F34" s="73"/>
    </row>
    <row r="35" spans="2:6" ht="28" customHeight="1" x14ac:dyDescent="0.35">
      <c r="B35" s="8" t="s">
        <v>113</v>
      </c>
      <c r="C35" s="9" t="s">
        <v>283</v>
      </c>
      <c r="D35" s="95" t="s">
        <v>587</v>
      </c>
      <c r="E35" s="72"/>
      <c r="F35" s="73"/>
    </row>
    <row r="36" spans="2:6" ht="28" customHeight="1" x14ac:dyDescent="0.35">
      <c r="B36" s="10" t="s">
        <v>114</v>
      </c>
      <c r="C36" s="9" t="s">
        <v>283</v>
      </c>
      <c r="D36" s="86" t="s">
        <v>588</v>
      </c>
      <c r="E36" s="72"/>
      <c r="F36" s="73"/>
    </row>
    <row r="37" spans="2:6" ht="28" customHeight="1" x14ac:dyDescent="0.35">
      <c r="B37" s="8" t="s">
        <v>115</v>
      </c>
      <c r="C37" s="9" t="s">
        <v>289</v>
      </c>
      <c r="D37" s="95" t="s">
        <v>589</v>
      </c>
      <c r="E37" s="72"/>
      <c r="F37" s="73"/>
    </row>
    <row r="38" spans="2:6" ht="28" customHeight="1" x14ac:dyDescent="0.35">
      <c r="B38" s="10" t="s">
        <v>116</v>
      </c>
      <c r="C38" s="9" t="s">
        <v>283</v>
      </c>
      <c r="D38" s="86" t="s">
        <v>590</v>
      </c>
      <c r="E38" s="72"/>
      <c r="F38" s="73"/>
    </row>
    <row r="39" spans="2:6" ht="28" customHeight="1" x14ac:dyDescent="0.35">
      <c r="B39" s="8" t="s">
        <v>117</v>
      </c>
      <c r="C39" s="9" t="s">
        <v>283</v>
      </c>
      <c r="D39" s="95" t="s">
        <v>591</v>
      </c>
      <c r="E39" s="72"/>
      <c r="F39" s="73"/>
    </row>
    <row r="40" spans="2:6" ht="28" customHeight="1" x14ac:dyDescent="0.35">
      <c r="B40" s="71" t="s">
        <v>118</v>
      </c>
      <c r="C40" s="72"/>
      <c r="D40" s="72"/>
      <c r="E40" s="72"/>
      <c r="F40" s="73"/>
    </row>
    <row r="41" spans="2:6" x14ac:dyDescent="0.35">
      <c r="B41" s="11" t="s">
        <v>446</v>
      </c>
      <c r="C41" s="12">
        <f>IF((COUNTIF(C33:C39,"Met")+COUNTIF(C33:C39,"Partial")+COUNTIF(C33:C39,"Missed"))=0,"",ROUND((COUNTIF(C33:C39,"Met")*5+COUNTIF(C33:C39,"Partial")*2.5)/(COUNTIF(C33:C39,"Met")+COUNTIF(C33:C39,"Partial")+COUNTIF(C33:C39,"Missed")),1))</f>
        <v>5</v>
      </c>
      <c r="D41" s="96"/>
      <c r="E41" s="72"/>
      <c r="F41" s="73"/>
    </row>
    <row r="42" spans="2:6" ht="24" customHeight="1" x14ac:dyDescent="0.35">
      <c r="B42" s="13" t="s">
        <v>447</v>
      </c>
      <c r="C42" s="14">
        <v>5</v>
      </c>
      <c r="D42" s="101" t="str">
        <f>IF(C42="","← enter score; anchor description appears here",CHOOSE(C42+1,"Agent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42" s="72"/>
      <c r="F42" s="73"/>
    </row>
    <row r="43" spans="2:6" ht="36" customHeight="1" x14ac:dyDescent="0.35">
      <c r="B43" s="13" t="s">
        <v>448</v>
      </c>
      <c r="C43" s="78" t="s">
        <v>592</v>
      </c>
      <c r="D43" s="72"/>
      <c r="E43" s="72"/>
      <c r="F43" s="73"/>
    </row>
    <row r="45" spans="2:6" ht="18" customHeight="1" x14ac:dyDescent="0.35">
      <c r="B45" s="81" t="s">
        <v>120</v>
      </c>
      <c r="C45" s="75"/>
      <c r="D45" s="75"/>
      <c r="E45" s="76"/>
      <c r="F45" s="6" t="s">
        <v>121</v>
      </c>
    </row>
    <row r="46" spans="2:6" ht="28" customHeight="1" x14ac:dyDescent="0.35">
      <c r="B46" s="97" t="s">
        <v>122</v>
      </c>
      <c r="C46" s="72"/>
      <c r="D46" s="72"/>
      <c r="E46" s="72"/>
      <c r="F46" s="73"/>
    </row>
    <row r="47" spans="2:6" x14ac:dyDescent="0.35">
      <c r="B47" s="2" t="s">
        <v>96</v>
      </c>
      <c r="C47" s="7" t="s">
        <v>97</v>
      </c>
      <c r="D47" s="98" t="s">
        <v>98</v>
      </c>
      <c r="E47" s="72"/>
      <c r="F47" s="73"/>
    </row>
    <row r="48" spans="2:6" ht="28" customHeight="1" x14ac:dyDescent="0.35">
      <c r="B48" s="8" t="s">
        <v>123</v>
      </c>
      <c r="C48" s="9" t="s">
        <v>283</v>
      </c>
      <c r="D48" s="95" t="s">
        <v>593</v>
      </c>
      <c r="E48" s="72"/>
      <c r="F48" s="73"/>
    </row>
    <row r="49" spans="2:6" ht="28" customHeight="1" x14ac:dyDescent="0.35">
      <c r="B49" s="10" t="s">
        <v>124</v>
      </c>
      <c r="C49" s="9" t="s">
        <v>283</v>
      </c>
      <c r="D49" s="86" t="s">
        <v>594</v>
      </c>
      <c r="E49" s="72"/>
      <c r="F49" s="73"/>
    </row>
    <row r="50" spans="2:6" ht="28" customHeight="1" x14ac:dyDescent="0.35">
      <c r="B50" s="8" t="s">
        <v>125</v>
      </c>
      <c r="C50" s="9" t="s">
        <v>283</v>
      </c>
      <c r="D50" s="95" t="s">
        <v>595</v>
      </c>
      <c r="E50" s="72"/>
      <c r="F50" s="73"/>
    </row>
    <row r="51" spans="2:6" ht="28" customHeight="1" x14ac:dyDescent="0.35">
      <c r="B51" s="10" t="s">
        <v>126</v>
      </c>
      <c r="C51" s="9" t="s">
        <v>283</v>
      </c>
      <c r="D51" s="86" t="s">
        <v>596</v>
      </c>
      <c r="E51" s="72"/>
      <c r="F51" s="73"/>
    </row>
    <row r="52" spans="2:6" ht="28" customHeight="1" x14ac:dyDescent="0.35">
      <c r="B52" s="8" t="s">
        <v>127</v>
      </c>
      <c r="C52" s="9" t="s">
        <v>283</v>
      </c>
      <c r="D52" s="95" t="s">
        <v>597</v>
      </c>
      <c r="E52" s="72"/>
      <c r="F52" s="73"/>
    </row>
    <row r="53" spans="2:6" ht="28" customHeight="1" x14ac:dyDescent="0.35">
      <c r="B53" s="10" t="s">
        <v>128</v>
      </c>
      <c r="C53" s="9" t="s">
        <v>283</v>
      </c>
      <c r="D53" s="86" t="s">
        <v>598</v>
      </c>
      <c r="E53" s="72"/>
      <c r="F53" s="73"/>
    </row>
    <row r="54" spans="2:6" ht="28" customHeight="1" x14ac:dyDescent="0.35">
      <c r="B54" s="8" t="s">
        <v>129</v>
      </c>
      <c r="C54" s="9" t="s">
        <v>283</v>
      </c>
      <c r="D54" s="95" t="s">
        <v>599</v>
      </c>
      <c r="E54" s="72"/>
      <c r="F54" s="73"/>
    </row>
    <row r="55" spans="2:6" ht="28" customHeight="1" x14ac:dyDescent="0.35">
      <c r="B55" s="10" t="s">
        <v>130</v>
      </c>
      <c r="C55" s="9" t="s">
        <v>283</v>
      </c>
      <c r="D55" s="86" t="s">
        <v>600</v>
      </c>
      <c r="E55" s="72"/>
      <c r="F55" s="73"/>
    </row>
    <row r="56" spans="2:6" ht="28" customHeight="1" x14ac:dyDescent="0.35">
      <c r="B56" s="71" t="s">
        <v>131</v>
      </c>
      <c r="C56" s="72"/>
      <c r="D56" s="72"/>
      <c r="E56" s="72"/>
      <c r="F56" s="73"/>
    </row>
    <row r="57" spans="2:6" x14ac:dyDescent="0.35">
      <c r="B57" s="11" t="s">
        <v>446</v>
      </c>
      <c r="C57" s="12">
        <f>IF((COUNTIF(C48:C55,"Met")+COUNTIF(C48:C55,"Partial")+COUNTIF(C48:C55,"Missed"))=0,"",ROUND((COUNTIF(C48:C55,"Met")*5+COUNTIF(C48:C55,"Partial")*2.5)/(COUNTIF(C48:C55,"Met")+COUNTIF(C48:C55,"Partial")+COUNTIF(C48:C55,"Missed")),1))</f>
        <v>5</v>
      </c>
      <c r="D57" s="96"/>
      <c r="E57" s="72"/>
      <c r="F57" s="73"/>
    </row>
    <row r="58" spans="2:6" ht="24" customHeight="1" x14ac:dyDescent="0.35">
      <c r="B58" s="13" t="s">
        <v>447</v>
      </c>
      <c r="C58" s="14">
        <v>5</v>
      </c>
      <c r="D58" s="101" t="str">
        <f>IF(C58="","← enter score; anchor description appears here",CHOOSE(C58+1,"Agent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58" s="72"/>
      <c r="F58" s="73"/>
    </row>
    <row r="59" spans="2:6" ht="36" customHeight="1" x14ac:dyDescent="0.35">
      <c r="B59" s="13" t="s">
        <v>448</v>
      </c>
      <c r="C59" s="78" t="s">
        <v>601</v>
      </c>
      <c r="D59" s="72"/>
      <c r="E59" s="72"/>
      <c r="F59" s="73"/>
    </row>
    <row r="61" spans="2:6" ht="18" customHeight="1" x14ac:dyDescent="0.35">
      <c r="B61" s="81" t="s">
        <v>133</v>
      </c>
      <c r="C61" s="75"/>
      <c r="D61" s="75"/>
      <c r="E61" s="76"/>
      <c r="F61" s="6" t="s">
        <v>121</v>
      </c>
    </row>
    <row r="62" spans="2:6" ht="28" customHeight="1" x14ac:dyDescent="0.35">
      <c r="B62" s="97" t="s">
        <v>134</v>
      </c>
      <c r="C62" s="72"/>
      <c r="D62" s="72"/>
      <c r="E62" s="72"/>
      <c r="F62" s="73"/>
    </row>
    <row r="63" spans="2:6" x14ac:dyDescent="0.35">
      <c r="B63" s="2" t="s">
        <v>96</v>
      </c>
      <c r="C63" s="7" t="s">
        <v>97</v>
      </c>
      <c r="D63" s="98" t="s">
        <v>98</v>
      </c>
      <c r="E63" s="72"/>
      <c r="F63" s="73"/>
    </row>
    <row r="64" spans="2:6" ht="28" customHeight="1" x14ac:dyDescent="0.35">
      <c r="B64" s="8" t="s">
        <v>135</v>
      </c>
      <c r="C64" s="9" t="s">
        <v>283</v>
      </c>
      <c r="D64" s="95" t="s">
        <v>602</v>
      </c>
      <c r="E64" s="72"/>
      <c r="F64" s="73"/>
    </row>
    <row r="65" spans="2:6" ht="28" customHeight="1" x14ac:dyDescent="0.35">
      <c r="B65" s="10" t="s">
        <v>136</v>
      </c>
      <c r="C65" s="9" t="s">
        <v>283</v>
      </c>
      <c r="D65" s="86" t="s">
        <v>603</v>
      </c>
      <c r="E65" s="72"/>
      <c r="F65" s="73"/>
    </row>
    <row r="66" spans="2:6" ht="28" customHeight="1" x14ac:dyDescent="0.35">
      <c r="B66" s="8" t="s">
        <v>137</v>
      </c>
      <c r="C66" s="9" t="s">
        <v>283</v>
      </c>
      <c r="D66" s="95" t="s">
        <v>604</v>
      </c>
      <c r="E66" s="72"/>
      <c r="F66" s="73"/>
    </row>
    <row r="67" spans="2:6" ht="28" customHeight="1" x14ac:dyDescent="0.35">
      <c r="B67" s="10" t="s">
        <v>138</v>
      </c>
      <c r="C67" s="9" t="s">
        <v>283</v>
      </c>
      <c r="D67" s="86" t="s">
        <v>605</v>
      </c>
      <c r="E67" s="72"/>
      <c r="F67" s="73"/>
    </row>
    <row r="68" spans="2:6" ht="28" customHeight="1" x14ac:dyDescent="0.35">
      <c r="B68" s="8" t="s">
        <v>139</v>
      </c>
      <c r="C68" s="9" t="s">
        <v>283</v>
      </c>
      <c r="D68" s="95" t="s">
        <v>606</v>
      </c>
      <c r="E68" s="72"/>
      <c r="F68" s="73"/>
    </row>
    <row r="69" spans="2:6" ht="28" customHeight="1" x14ac:dyDescent="0.35">
      <c r="B69" s="10" t="s">
        <v>140</v>
      </c>
      <c r="C69" s="9" t="s">
        <v>283</v>
      </c>
      <c r="D69" s="86" t="s">
        <v>607</v>
      </c>
      <c r="E69" s="72"/>
      <c r="F69" s="73"/>
    </row>
    <row r="70" spans="2:6" ht="28" customHeight="1" x14ac:dyDescent="0.35">
      <c r="B70" s="8" t="s">
        <v>141</v>
      </c>
      <c r="C70" s="9" t="s">
        <v>289</v>
      </c>
      <c r="D70" s="95" t="s">
        <v>449</v>
      </c>
      <c r="E70" s="72"/>
      <c r="F70" s="73"/>
    </row>
    <row r="71" spans="2:6" ht="28" customHeight="1" x14ac:dyDescent="0.35">
      <c r="B71" s="10" t="s">
        <v>142</v>
      </c>
      <c r="C71" s="9" t="s">
        <v>289</v>
      </c>
      <c r="D71" s="86" t="s">
        <v>609</v>
      </c>
      <c r="E71" s="72"/>
      <c r="F71" s="73"/>
    </row>
    <row r="72" spans="2:6" ht="28" customHeight="1" x14ac:dyDescent="0.35">
      <c r="B72" s="71" t="s">
        <v>143</v>
      </c>
      <c r="C72" s="72"/>
      <c r="D72" s="72"/>
      <c r="E72" s="72"/>
      <c r="F72" s="73"/>
    </row>
    <row r="73" spans="2:6" x14ac:dyDescent="0.35">
      <c r="B73" s="11" t="s">
        <v>446</v>
      </c>
      <c r="C73" s="12">
        <f>IF((COUNTIF(C64:C71,"Met")+COUNTIF(C64:C71,"Partial")+COUNTIF(C64:C71,"Missed"))=0,"",ROUND((COUNTIF(C64:C71,"Met")*5+COUNTIF(C64:C71,"Partial")*2.5)/(COUNTIF(C64:C71,"Met")+COUNTIF(C64:C71,"Partial")+COUNTIF(C64:C71,"Missed")),1))</f>
        <v>5</v>
      </c>
      <c r="D73" s="96"/>
      <c r="E73" s="72"/>
      <c r="F73" s="73"/>
    </row>
    <row r="74" spans="2:6" ht="24" customHeight="1" x14ac:dyDescent="0.35">
      <c r="B74" s="13" t="s">
        <v>447</v>
      </c>
      <c r="C74" s="14">
        <v>5</v>
      </c>
      <c r="D74" s="101" t="str">
        <f>IF(C74="","← enter score; anchor description appears here",CHOOSE(C74+1,"Agent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74" s="72"/>
      <c r="F74" s="73"/>
    </row>
    <row r="75" spans="2:6" ht="36" customHeight="1" x14ac:dyDescent="0.35">
      <c r="B75" s="13" t="s">
        <v>448</v>
      </c>
      <c r="C75" s="78" t="s">
        <v>608</v>
      </c>
      <c r="D75" s="72"/>
      <c r="E75" s="72"/>
      <c r="F75" s="73"/>
    </row>
    <row r="77" spans="2:6" ht="18" customHeight="1" x14ac:dyDescent="0.35">
      <c r="B77" s="81" t="s">
        <v>145</v>
      </c>
      <c r="C77" s="75"/>
      <c r="D77" s="75"/>
      <c r="E77" s="76"/>
      <c r="F77" s="6" t="s">
        <v>146</v>
      </c>
    </row>
    <row r="78" spans="2:6" ht="28" customHeight="1" x14ac:dyDescent="0.35">
      <c r="B78" s="97" t="s">
        <v>147</v>
      </c>
      <c r="C78" s="72"/>
      <c r="D78" s="72"/>
      <c r="E78" s="72"/>
      <c r="F78" s="73"/>
    </row>
    <row r="79" spans="2:6" x14ac:dyDescent="0.35">
      <c r="B79" s="2" t="s">
        <v>96</v>
      </c>
      <c r="C79" s="7" t="s">
        <v>97</v>
      </c>
      <c r="D79" s="98" t="s">
        <v>98</v>
      </c>
      <c r="E79" s="72"/>
      <c r="F79" s="73"/>
    </row>
    <row r="80" spans="2:6" ht="28" customHeight="1" x14ac:dyDescent="0.35">
      <c r="B80" s="8" t="s">
        <v>148</v>
      </c>
      <c r="C80" s="9" t="s">
        <v>289</v>
      </c>
      <c r="D80" s="95" t="s">
        <v>609</v>
      </c>
      <c r="E80" s="72"/>
      <c r="F80" s="73"/>
    </row>
    <row r="81" spans="2:6" ht="28" customHeight="1" x14ac:dyDescent="0.35">
      <c r="B81" s="10" t="s">
        <v>149</v>
      </c>
      <c r="C81" s="9" t="s">
        <v>289</v>
      </c>
      <c r="D81" s="86" t="s">
        <v>609</v>
      </c>
      <c r="E81" s="72"/>
      <c r="F81" s="73"/>
    </row>
    <row r="82" spans="2:6" ht="28" customHeight="1" x14ac:dyDescent="0.35">
      <c r="B82" s="8" t="s">
        <v>150</v>
      </c>
      <c r="C82" s="9" t="s">
        <v>289</v>
      </c>
      <c r="D82" s="95" t="s">
        <v>609</v>
      </c>
      <c r="E82" s="72"/>
      <c r="F82" s="73"/>
    </row>
    <row r="83" spans="2:6" ht="28" customHeight="1" x14ac:dyDescent="0.35">
      <c r="B83" s="10" t="s">
        <v>151</v>
      </c>
      <c r="C83" s="9" t="s">
        <v>289</v>
      </c>
      <c r="D83" s="86" t="s">
        <v>609</v>
      </c>
      <c r="E83" s="72"/>
      <c r="F83" s="73"/>
    </row>
    <row r="84" spans="2:6" ht="28" customHeight="1" x14ac:dyDescent="0.35">
      <c r="B84" s="8" t="s">
        <v>152</v>
      </c>
      <c r="C84" s="9" t="s">
        <v>289</v>
      </c>
      <c r="D84" s="86" t="s">
        <v>609</v>
      </c>
      <c r="E84" s="72"/>
      <c r="F84" s="73"/>
    </row>
    <row r="85" spans="2:6" ht="28" customHeight="1" x14ac:dyDescent="0.35">
      <c r="B85" s="71" t="s">
        <v>153</v>
      </c>
      <c r="C85" s="72"/>
      <c r="D85" s="72"/>
      <c r="E85" s="72"/>
      <c r="F85" s="73"/>
    </row>
    <row r="86" spans="2:6" x14ac:dyDescent="0.35">
      <c r="B86" s="11" t="s">
        <v>446</v>
      </c>
      <c r="C86" s="12" t="str">
        <f>IF((COUNTIF(C80:C84,"Met")+COUNTIF(C80:C84,"Partial")+COUNTIF(C80:C84,"Missed"))=0,"",ROUND((COUNTIF(C80:C84,"Met")*5+COUNTIF(C80:C84,"Partial")*2.5)/(COUNTIF(C80:C84,"Met")+COUNTIF(C80:C84,"Partial")+COUNTIF(C80:C84,"Missed")),1))</f>
        <v/>
      </c>
      <c r="D86" s="96"/>
      <c r="E86" s="72"/>
      <c r="F86" s="73"/>
    </row>
    <row r="87" spans="2:6" ht="24" customHeight="1" x14ac:dyDescent="0.35">
      <c r="B87" s="13" t="s">
        <v>447</v>
      </c>
      <c r="C87" s="14">
        <v>5</v>
      </c>
      <c r="D87" s="101" t="str">
        <f>IF(C87="","← enter score; anchor description appears here",CHOOSE(C87+1,"Agent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87" s="72"/>
      <c r="F87" s="73"/>
    </row>
    <row r="88" spans="2:6" ht="36" customHeight="1" x14ac:dyDescent="0.35">
      <c r="B88" s="13" t="s">
        <v>448</v>
      </c>
      <c r="C88" s="78" t="s">
        <v>610</v>
      </c>
      <c r="D88" s="72"/>
      <c r="E88" s="72"/>
      <c r="F88" s="73"/>
    </row>
    <row r="90" spans="2:6" ht="18" customHeight="1" x14ac:dyDescent="0.35">
      <c r="B90" s="81" t="s">
        <v>155</v>
      </c>
      <c r="C90" s="75"/>
      <c r="D90" s="75"/>
      <c r="E90" s="76"/>
      <c r="F90" s="6" t="s">
        <v>156</v>
      </c>
    </row>
    <row r="91" spans="2:6" ht="28" customHeight="1" x14ac:dyDescent="0.35">
      <c r="B91" s="97" t="s">
        <v>157</v>
      </c>
      <c r="C91" s="72"/>
      <c r="D91" s="72"/>
      <c r="E91" s="72"/>
      <c r="F91" s="73"/>
    </row>
    <row r="92" spans="2:6" x14ac:dyDescent="0.35">
      <c r="B92" s="2" t="s">
        <v>96</v>
      </c>
      <c r="C92" s="7" t="s">
        <v>97</v>
      </c>
      <c r="D92" s="98" t="s">
        <v>98</v>
      </c>
      <c r="E92" s="72"/>
      <c r="F92" s="73"/>
    </row>
    <row r="93" spans="2:6" ht="28" customHeight="1" x14ac:dyDescent="0.35">
      <c r="B93" s="8" t="s">
        <v>158</v>
      </c>
      <c r="C93" s="9" t="s">
        <v>283</v>
      </c>
      <c r="D93" s="95" t="s">
        <v>611</v>
      </c>
      <c r="E93" s="72"/>
      <c r="F93" s="73"/>
    </row>
    <row r="94" spans="2:6" ht="28" customHeight="1" x14ac:dyDescent="0.35">
      <c r="B94" s="10" t="s">
        <v>159</v>
      </c>
      <c r="C94" s="9" t="s">
        <v>283</v>
      </c>
      <c r="D94" s="86" t="s">
        <v>612</v>
      </c>
      <c r="E94" s="72"/>
      <c r="F94" s="73"/>
    </row>
    <row r="95" spans="2:6" ht="28" customHeight="1" x14ac:dyDescent="0.35">
      <c r="B95" s="8" t="s">
        <v>160</v>
      </c>
      <c r="C95" s="9" t="s">
        <v>283</v>
      </c>
      <c r="D95" s="95" t="s">
        <v>613</v>
      </c>
      <c r="E95" s="72"/>
      <c r="F95" s="73"/>
    </row>
    <row r="96" spans="2:6" ht="28" customHeight="1" x14ac:dyDescent="0.35">
      <c r="B96" s="10" t="s">
        <v>161</v>
      </c>
      <c r="C96" s="9" t="s">
        <v>283</v>
      </c>
      <c r="D96" s="86" t="s">
        <v>614</v>
      </c>
      <c r="E96" s="72"/>
      <c r="F96" s="73"/>
    </row>
    <row r="97" spans="2:6" ht="28" customHeight="1" x14ac:dyDescent="0.35">
      <c r="B97" s="8" t="s">
        <v>162</v>
      </c>
      <c r="C97" s="9" t="s">
        <v>283</v>
      </c>
      <c r="D97" s="95" t="s">
        <v>615</v>
      </c>
      <c r="E97" s="72"/>
      <c r="F97" s="73"/>
    </row>
    <row r="98" spans="2:6" ht="28" customHeight="1" x14ac:dyDescent="0.35">
      <c r="B98" s="10" t="s">
        <v>163</v>
      </c>
      <c r="C98" s="9" t="s">
        <v>283</v>
      </c>
      <c r="D98" s="86" t="s">
        <v>616</v>
      </c>
      <c r="E98" s="72"/>
      <c r="F98" s="73"/>
    </row>
    <row r="99" spans="2:6" ht="28" customHeight="1" x14ac:dyDescent="0.35">
      <c r="B99" s="71" t="s">
        <v>164</v>
      </c>
      <c r="C99" s="72"/>
      <c r="D99" s="72"/>
      <c r="E99" s="72"/>
      <c r="F99" s="73"/>
    </row>
    <row r="100" spans="2:6" x14ac:dyDescent="0.35">
      <c r="B100" s="11" t="s">
        <v>446</v>
      </c>
      <c r="C100" s="12">
        <f>IF((COUNTIF(C93:C98,"Met")+COUNTIF(C93:C98,"Partial")+COUNTIF(C93:C98,"Missed"))=0,"",ROUND((COUNTIF(C93:C98,"Met")*5+COUNTIF(C93:C98,"Partial")*2.5)/(COUNTIF(C93:C98,"Met")+COUNTIF(C93:C98,"Partial")+COUNTIF(C93:C98,"Missed")),1))</f>
        <v>5</v>
      </c>
      <c r="D100" s="96"/>
      <c r="E100" s="72"/>
      <c r="F100" s="73"/>
    </row>
    <row r="101" spans="2:6" ht="24" customHeight="1" x14ac:dyDescent="0.35">
      <c r="B101" s="13" t="s">
        <v>447</v>
      </c>
      <c r="C101" s="14">
        <v>5</v>
      </c>
      <c r="D101" s="101" t="str">
        <f>IF(C101="","← enter score; anchor description appears here",CHOOSE(C101+1,"Agent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101" s="72"/>
      <c r="F101" s="73"/>
    </row>
    <row r="102" spans="2:6" ht="36" customHeight="1" x14ac:dyDescent="0.35">
      <c r="B102" s="13" t="s">
        <v>448</v>
      </c>
      <c r="C102" s="78" t="s">
        <v>617</v>
      </c>
      <c r="D102" s="72"/>
      <c r="E102" s="72"/>
      <c r="F102" s="73"/>
    </row>
    <row r="104" spans="2:6" ht="18" customHeight="1" x14ac:dyDescent="0.35">
      <c r="B104" s="81" t="s">
        <v>166</v>
      </c>
      <c r="C104" s="75"/>
      <c r="D104" s="75"/>
      <c r="E104" s="76"/>
      <c r="F104" s="6" t="s">
        <v>156</v>
      </c>
    </row>
    <row r="105" spans="2:6" ht="28" customHeight="1" x14ac:dyDescent="0.35">
      <c r="B105" s="97" t="s">
        <v>167</v>
      </c>
      <c r="C105" s="72"/>
      <c r="D105" s="72"/>
      <c r="E105" s="72"/>
      <c r="F105" s="73"/>
    </row>
    <row r="106" spans="2:6" x14ac:dyDescent="0.35">
      <c r="B106" s="2" t="s">
        <v>96</v>
      </c>
      <c r="C106" s="7" t="s">
        <v>97</v>
      </c>
      <c r="D106" s="98" t="s">
        <v>98</v>
      </c>
      <c r="E106" s="72"/>
      <c r="F106" s="73"/>
    </row>
    <row r="107" spans="2:6" ht="28" customHeight="1" x14ac:dyDescent="0.35">
      <c r="B107" s="8" t="s">
        <v>168</v>
      </c>
      <c r="C107" s="9" t="s">
        <v>283</v>
      </c>
      <c r="D107" s="95" t="s">
        <v>551</v>
      </c>
      <c r="E107" s="72"/>
      <c r="F107" s="73"/>
    </row>
    <row r="108" spans="2:6" ht="28" customHeight="1" x14ac:dyDescent="0.35">
      <c r="B108" s="10" t="s">
        <v>169</v>
      </c>
      <c r="C108" s="9" t="s">
        <v>283</v>
      </c>
      <c r="D108" s="86" t="s">
        <v>169</v>
      </c>
      <c r="E108" s="72"/>
      <c r="F108" s="73"/>
    </row>
    <row r="109" spans="2:6" ht="28" customHeight="1" x14ac:dyDescent="0.35">
      <c r="B109" s="8" t="s">
        <v>170</v>
      </c>
      <c r="C109" s="9" t="s">
        <v>283</v>
      </c>
      <c r="D109" s="95" t="s">
        <v>552</v>
      </c>
      <c r="E109" s="72"/>
      <c r="F109" s="73"/>
    </row>
    <row r="110" spans="2:6" ht="28" customHeight="1" x14ac:dyDescent="0.35">
      <c r="B110" s="10" t="s">
        <v>171</v>
      </c>
      <c r="C110" s="9" t="s">
        <v>283</v>
      </c>
      <c r="D110" s="86" t="s">
        <v>573</v>
      </c>
      <c r="E110" s="72"/>
      <c r="F110" s="73"/>
    </row>
    <row r="111" spans="2:6" ht="28" customHeight="1" x14ac:dyDescent="0.35">
      <c r="B111" s="8" t="s">
        <v>172</v>
      </c>
      <c r="C111" s="9" t="s">
        <v>283</v>
      </c>
      <c r="D111" s="95" t="s">
        <v>551</v>
      </c>
      <c r="E111" s="72"/>
      <c r="F111" s="73"/>
    </row>
    <row r="112" spans="2:6" ht="28" customHeight="1" x14ac:dyDescent="0.35">
      <c r="B112" s="10" t="s">
        <v>173</v>
      </c>
      <c r="C112" s="9" t="s">
        <v>283</v>
      </c>
      <c r="D112" s="86" t="s">
        <v>553</v>
      </c>
      <c r="E112" s="72"/>
      <c r="F112" s="73"/>
    </row>
    <row r="113" spans="2:6" ht="28" customHeight="1" x14ac:dyDescent="0.35">
      <c r="B113" s="8" t="s">
        <v>174</v>
      </c>
      <c r="C113" s="9" t="s">
        <v>283</v>
      </c>
      <c r="D113" s="95" t="s">
        <v>618</v>
      </c>
      <c r="E113" s="72"/>
      <c r="F113" s="73"/>
    </row>
    <row r="114" spans="2:6" ht="28" customHeight="1" x14ac:dyDescent="0.35">
      <c r="B114" s="71" t="s">
        <v>175</v>
      </c>
      <c r="C114" s="72"/>
      <c r="D114" s="72"/>
      <c r="E114" s="72"/>
      <c r="F114" s="73"/>
    </row>
    <row r="115" spans="2:6" x14ac:dyDescent="0.35">
      <c r="B115" s="11" t="s">
        <v>446</v>
      </c>
      <c r="C115" s="12">
        <f>IF((COUNTIF(C107:C113,"Met")+COUNTIF(C107:C113,"Partial")+COUNTIF(C107:C113,"Missed"))=0,"",ROUND((COUNTIF(C107:C113,"Met")*5+COUNTIF(C107:C113,"Partial")*2.5)/(COUNTIF(C107:C113,"Met")+COUNTIF(C107:C113,"Partial")+COUNTIF(C107:C113,"Missed")),1))</f>
        <v>5</v>
      </c>
      <c r="D115" s="96"/>
      <c r="E115" s="72"/>
      <c r="F115" s="73"/>
    </row>
    <row r="116" spans="2:6" ht="24" customHeight="1" x14ac:dyDescent="0.35">
      <c r="B116" s="13" t="s">
        <v>447</v>
      </c>
      <c r="C116" s="14">
        <v>5</v>
      </c>
      <c r="D116" s="101" t="str">
        <f>IF(C116="","← enter score; anchor description appears here",CHOOSE(C116+1,"Agent actions delayed, prevented, or negatively impacted resolution","Little or no meaningful progress","Limited progress despite available troubleshooting paths","Partial progress made but opportunities missed","Significant progress made with clear next steps","Issue resolved or strongest available outcome achieved"))</f>
        <v>Issue resolved or strongest available outcome achieved</v>
      </c>
      <c r="E116" s="72"/>
      <c r="F116" s="73"/>
    </row>
    <row r="117" spans="2:6" ht="36" customHeight="1" x14ac:dyDescent="0.35">
      <c r="B117" s="13" t="s">
        <v>448</v>
      </c>
      <c r="C117" s="78" t="s">
        <v>619</v>
      </c>
      <c r="D117" s="72"/>
      <c r="E117" s="72"/>
      <c r="F117" s="73"/>
    </row>
    <row r="119" spans="2:6" x14ac:dyDescent="0.35">
      <c r="B119" s="77" t="s">
        <v>177</v>
      </c>
      <c r="C119" s="75"/>
      <c r="D119" s="75"/>
      <c r="E119" s="75"/>
      <c r="F119" s="76"/>
    </row>
    <row r="120" spans="2:6" x14ac:dyDescent="0.35">
      <c r="B120" s="15" t="s">
        <v>178</v>
      </c>
      <c r="C120" s="15" t="s">
        <v>179</v>
      </c>
      <c r="D120" s="15" t="s">
        <v>180</v>
      </c>
      <c r="E120" s="15" t="s">
        <v>181</v>
      </c>
      <c r="F120" s="15" t="s">
        <v>182</v>
      </c>
    </row>
    <row r="121" spans="2:6" x14ac:dyDescent="0.35">
      <c r="B121" s="16" t="s">
        <v>183</v>
      </c>
      <c r="C121" s="17">
        <v>0.3</v>
      </c>
      <c r="D121" s="18">
        <f>C27</f>
        <v>5</v>
      </c>
      <c r="E121" s="19">
        <f t="shared" ref="E121:E127" si="0">IF(D121="","",(D121/5)*C121)</f>
        <v>0.3</v>
      </c>
      <c r="F121" s="20" t="str">
        <f t="shared" ref="F121:F127" si="1">IF(D121="","",IF(D121&gt;=4,"Strong",IF(D121=3,"Developing","Needs Focus")))</f>
        <v>Strong</v>
      </c>
    </row>
    <row r="122" spans="2:6" x14ac:dyDescent="0.35">
      <c r="B122" s="21" t="s">
        <v>184</v>
      </c>
      <c r="C122" s="22">
        <v>0.2</v>
      </c>
      <c r="D122" s="23">
        <f>C42</f>
        <v>5</v>
      </c>
      <c r="E122" s="24">
        <f t="shared" si="0"/>
        <v>0.2</v>
      </c>
      <c r="F122" s="25" t="str">
        <f t="shared" si="1"/>
        <v>Strong</v>
      </c>
    </row>
    <row r="123" spans="2:6" x14ac:dyDescent="0.35">
      <c r="B123" s="16" t="s">
        <v>185</v>
      </c>
      <c r="C123" s="17">
        <v>0.15</v>
      </c>
      <c r="D123" s="18">
        <f>C58</f>
        <v>5</v>
      </c>
      <c r="E123" s="19">
        <f t="shared" si="0"/>
        <v>0.15</v>
      </c>
      <c r="F123" s="20" t="str">
        <f t="shared" si="1"/>
        <v>Strong</v>
      </c>
    </row>
    <row r="124" spans="2:6" x14ac:dyDescent="0.35">
      <c r="B124" s="21" t="s">
        <v>186</v>
      </c>
      <c r="C124" s="22">
        <v>0.15</v>
      </c>
      <c r="D124" s="23">
        <f>C74</f>
        <v>5</v>
      </c>
      <c r="E124" s="24">
        <f t="shared" si="0"/>
        <v>0.15</v>
      </c>
      <c r="F124" s="25" t="str">
        <f t="shared" si="1"/>
        <v>Strong</v>
      </c>
    </row>
    <row r="125" spans="2:6" x14ac:dyDescent="0.35">
      <c r="B125" s="16" t="s">
        <v>187</v>
      </c>
      <c r="C125" s="17">
        <v>0.1</v>
      </c>
      <c r="D125" s="18">
        <f>C87</f>
        <v>5</v>
      </c>
      <c r="E125" s="19">
        <f t="shared" si="0"/>
        <v>0.1</v>
      </c>
      <c r="F125" s="20" t="str">
        <f t="shared" si="1"/>
        <v>Strong</v>
      </c>
    </row>
    <row r="126" spans="2:6" x14ac:dyDescent="0.35">
      <c r="B126" s="21" t="s">
        <v>188</v>
      </c>
      <c r="C126" s="22">
        <v>0.05</v>
      </c>
      <c r="D126" s="23">
        <f>C101</f>
        <v>5</v>
      </c>
      <c r="E126" s="24">
        <f t="shared" si="0"/>
        <v>0.05</v>
      </c>
      <c r="F126" s="25" t="str">
        <f t="shared" si="1"/>
        <v>Strong</v>
      </c>
    </row>
    <row r="127" spans="2:6" x14ac:dyDescent="0.35">
      <c r="B127" s="16" t="s">
        <v>189</v>
      </c>
      <c r="C127" s="17">
        <v>0.05</v>
      </c>
      <c r="D127" s="18">
        <f>C116</f>
        <v>5</v>
      </c>
      <c r="E127" s="19">
        <f t="shared" si="0"/>
        <v>0.05</v>
      </c>
      <c r="F127" s="20" t="str">
        <f t="shared" si="1"/>
        <v>Strong</v>
      </c>
    </row>
    <row r="128" spans="2:6" ht="24" customHeight="1" x14ac:dyDescent="0.35">
      <c r="B128" s="5" t="s">
        <v>190</v>
      </c>
      <c r="C128" s="26">
        <f>SUM(C121:C127)</f>
        <v>1</v>
      </c>
      <c r="D128" s="27"/>
      <c r="E128" s="28">
        <f>SUM(E121:E127)</f>
        <v>1</v>
      </c>
      <c r="F128" s="29" t="str">
        <f>IF(E128="","",IF(E128&gt;=0.85,"MEETS / EXCEEDS",IF(E128&gt;=0.7,"DEVELOPING","NEEDS IMPROVEMENT")))</f>
        <v>MEETS / EXCEEDS</v>
      </c>
    </row>
    <row r="130" spans="2:6" x14ac:dyDescent="0.35">
      <c r="B130" s="81" t="s">
        <v>191</v>
      </c>
      <c r="C130" s="75"/>
      <c r="D130" s="75"/>
      <c r="E130" s="75"/>
      <c r="F130" s="76"/>
    </row>
    <row r="131" spans="2:6" x14ac:dyDescent="0.35">
      <c r="B131" s="2" t="s">
        <v>192</v>
      </c>
      <c r="C131" s="104" t="s">
        <v>622</v>
      </c>
      <c r="D131" s="72"/>
      <c r="E131" s="72"/>
      <c r="F131" s="73"/>
    </row>
    <row r="132" spans="2:6" x14ac:dyDescent="0.35">
      <c r="B132" s="4" t="s">
        <v>193</v>
      </c>
      <c r="C132" s="79" t="s">
        <v>451</v>
      </c>
      <c r="D132" s="72"/>
      <c r="E132" s="72"/>
      <c r="F132" s="73"/>
    </row>
    <row r="133" spans="2:6" ht="52" customHeight="1" x14ac:dyDescent="0.35">
      <c r="B133" s="2" t="s">
        <v>194</v>
      </c>
      <c r="C133" s="78" t="s">
        <v>623</v>
      </c>
      <c r="D133" s="72"/>
      <c r="E133" s="72"/>
      <c r="F133" s="73"/>
    </row>
    <row r="135" spans="2:6" x14ac:dyDescent="0.35">
      <c r="B135" s="81" t="s">
        <v>195</v>
      </c>
      <c r="C135" s="75"/>
      <c r="D135" s="75"/>
      <c r="E135" s="75"/>
      <c r="F135" s="76"/>
    </row>
    <row r="136" spans="2:6" x14ac:dyDescent="0.35">
      <c r="B136" s="4" t="s">
        <v>196</v>
      </c>
      <c r="C136" s="9" t="s">
        <v>197</v>
      </c>
      <c r="D136" s="71" t="s">
        <v>198</v>
      </c>
      <c r="E136" s="72"/>
      <c r="F136" s="73"/>
    </row>
    <row r="137" spans="2:6" ht="30" customHeight="1" x14ac:dyDescent="0.35">
      <c r="B137" s="2" t="s">
        <v>199</v>
      </c>
      <c r="C137" s="79" t="s">
        <v>200</v>
      </c>
      <c r="D137" s="73"/>
      <c r="E137" s="106" t="str">
        <f>IF(AND(C136="Yes",OR(C137="None",C137="N.A. — no disconnect")),"⚠ MISSED OWNERSHIP OPPORTUNITY — flag in Customer Ownership and Critical Failures","OK")</f>
        <v>OK</v>
      </c>
      <c r="F137" s="73"/>
    </row>
    <row r="139" spans="2:6" x14ac:dyDescent="0.35">
      <c r="B139" s="102" t="s">
        <v>201</v>
      </c>
      <c r="C139" s="75"/>
      <c r="D139" s="75"/>
      <c r="E139" s="75"/>
      <c r="F139" s="76"/>
    </row>
    <row r="140" spans="2:6" x14ac:dyDescent="0.35">
      <c r="B140" s="1" t="s">
        <v>202</v>
      </c>
      <c r="C140" s="15" t="s">
        <v>203</v>
      </c>
      <c r="D140" s="81" t="s">
        <v>204</v>
      </c>
      <c r="E140" s="75"/>
      <c r="F140" s="76"/>
    </row>
    <row r="141" spans="2:6" ht="26.15" customHeight="1" x14ac:dyDescent="0.35">
      <c r="B141" s="8" t="s">
        <v>205</v>
      </c>
      <c r="C141" s="9" t="s">
        <v>197</v>
      </c>
      <c r="D141" s="95"/>
      <c r="E141" s="72"/>
      <c r="F141" s="73"/>
    </row>
    <row r="142" spans="2:6" ht="26.15" customHeight="1" x14ac:dyDescent="0.35">
      <c r="B142" s="10" t="s">
        <v>206</v>
      </c>
      <c r="C142" s="9" t="s">
        <v>197</v>
      </c>
      <c r="D142" s="86"/>
      <c r="E142" s="72"/>
      <c r="F142" s="73"/>
    </row>
    <row r="143" spans="2:6" ht="26.15" customHeight="1" x14ac:dyDescent="0.35">
      <c r="B143" s="8" t="s">
        <v>207</v>
      </c>
      <c r="C143" s="9" t="s">
        <v>197</v>
      </c>
      <c r="D143" s="95"/>
      <c r="E143" s="72"/>
      <c r="F143" s="73"/>
    </row>
    <row r="144" spans="2:6" ht="26.15" customHeight="1" x14ac:dyDescent="0.35">
      <c r="B144" s="10" t="s">
        <v>208</v>
      </c>
      <c r="C144" s="9" t="s">
        <v>197</v>
      </c>
      <c r="D144" s="86"/>
      <c r="E144" s="72"/>
      <c r="F144" s="73"/>
    </row>
    <row r="145" spans="2:6" ht="26.15" customHeight="1" x14ac:dyDescent="0.35">
      <c r="B145" s="8" t="s">
        <v>209</v>
      </c>
      <c r="C145" s="9" t="s">
        <v>197</v>
      </c>
      <c r="D145" s="95"/>
      <c r="E145" s="72"/>
      <c r="F145" s="73"/>
    </row>
    <row r="146" spans="2:6" ht="26.15" customHeight="1" x14ac:dyDescent="0.35">
      <c r="B146" s="10" t="s">
        <v>210</v>
      </c>
      <c r="C146" s="9" t="s">
        <v>197</v>
      </c>
      <c r="D146" s="86"/>
      <c r="E146" s="72"/>
      <c r="F146" s="73"/>
    </row>
    <row r="147" spans="2:6" ht="26.15" customHeight="1" x14ac:dyDescent="0.35">
      <c r="B147" s="8" t="s">
        <v>211</v>
      </c>
      <c r="C147" s="9" t="s">
        <v>197</v>
      </c>
      <c r="D147" s="95"/>
      <c r="E147" s="72"/>
      <c r="F147" s="73"/>
    </row>
    <row r="148" spans="2:6" ht="26.15" customHeight="1" x14ac:dyDescent="0.35">
      <c r="B148" s="10" t="s">
        <v>212</v>
      </c>
      <c r="C148" s="9" t="s">
        <v>197</v>
      </c>
      <c r="D148" s="86"/>
      <c r="E148" s="72"/>
      <c r="F148" s="73"/>
    </row>
    <row r="149" spans="2:6" ht="26.15" customHeight="1" x14ac:dyDescent="0.35">
      <c r="B149" s="8" t="s">
        <v>213</v>
      </c>
      <c r="C149" s="9" t="s">
        <v>197</v>
      </c>
      <c r="D149" s="95"/>
      <c r="E149" s="72"/>
      <c r="F149" s="73"/>
    </row>
    <row r="150" spans="2:6" ht="26.15" customHeight="1" x14ac:dyDescent="0.35">
      <c r="B150" s="10" t="s">
        <v>214</v>
      </c>
      <c r="C150" s="9" t="s">
        <v>197</v>
      </c>
      <c r="D150" s="86"/>
      <c r="E150" s="72"/>
      <c r="F150" s="73"/>
    </row>
    <row r="151" spans="2:6" ht="26.15" customHeight="1" x14ac:dyDescent="0.35">
      <c r="B151" s="8" t="s">
        <v>215</v>
      </c>
      <c r="C151" s="9" t="s">
        <v>197</v>
      </c>
      <c r="D151" s="95"/>
      <c r="E151" s="72"/>
      <c r="F151" s="73"/>
    </row>
    <row r="152" spans="2:6" x14ac:dyDescent="0.35">
      <c r="B152" s="30" t="s">
        <v>221</v>
      </c>
      <c r="C152" s="103" t="str">
        <f>IF(COUNTIF(C141:C151,"Yes")&gt;0,"YES — "&amp;COUNTIF(C141:C151,"Yes")&amp;" condition(s) flagged — automatic review required regardless of weighted score","No critical failures")</f>
        <v>No critical failures</v>
      </c>
      <c r="D152" s="75"/>
      <c r="E152" s="75"/>
      <c r="F152" s="76"/>
    </row>
    <row r="154" spans="2:6" x14ac:dyDescent="0.35">
      <c r="B154" s="77" t="s">
        <v>452</v>
      </c>
      <c r="C154" s="75"/>
      <c r="D154" s="75"/>
      <c r="E154" s="75"/>
      <c r="F154" s="76"/>
    </row>
    <row r="155" spans="2:6" x14ac:dyDescent="0.35">
      <c r="B155" s="81" t="s">
        <v>453</v>
      </c>
      <c r="C155" s="75"/>
      <c r="D155" s="75"/>
      <c r="E155" s="75"/>
      <c r="F155" s="76"/>
    </row>
    <row r="156" spans="2:6" ht="32.15" customHeight="1" x14ac:dyDescent="0.35">
      <c r="B156" s="7" t="s">
        <v>226</v>
      </c>
      <c r="C156" s="78"/>
      <c r="D156" s="72"/>
      <c r="E156" s="72"/>
      <c r="F156" s="73"/>
    </row>
    <row r="157" spans="2:6" ht="32.15" customHeight="1" x14ac:dyDescent="0.35">
      <c r="B157" s="7" t="s">
        <v>227</v>
      </c>
      <c r="C157" s="78"/>
      <c r="D157" s="72"/>
      <c r="E157" s="72"/>
      <c r="F157" s="73"/>
    </row>
    <row r="158" spans="2:6" ht="32.15" customHeight="1" x14ac:dyDescent="0.35">
      <c r="B158" s="7" t="s">
        <v>228</v>
      </c>
      <c r="C158" s="78"/>
      <c r="D158" s="72"/>
      <c r="E158" s="72"/>
      <c r="F158" s="73"/>
    </row>
    <row r="159" spans="2:6" x14ac:dyDescent="0.35">
      <c r="B159" s="81" t="s">
        <v>454</v>
      </c>
      <c r="C159" s="75"/>
      <c r="D159" s="75"/>
      <c r="E159" s="75"/>
      <c r="F159" s="76"/>
    </row>
    <row r="160" spans="2:6" ht="32.15" customHeight="1" x14ac:dyDescent="0.35">
      <c r="B160" s="7" t="s">
        <v>226</v>
      </c>
      <c r="C160" s="78"/>
      <c r="D160" s="72"/>
      <c r="E160" s="72"/>
      <c r="F160" s="73"/>
    </row>
    <row r="161" spans="2:6" ht="32.15" customHeight="1" x14ac:dyDescent="0.35">
      <c r="B161" s="7" t="s">
        <v>227</v>
      </c>
      <c r="C161" s="78"/>
      <c r="D161" s="72"/>
      <c r="E161" s="72"/>
      <c r="F161" s="73"/>
    </row>
    <row r="162" spans="2:6" ht="32.15" customHeight="1" x14ac:dyDescent="0.35">
      <c r="B162" s="7" t="s">
        <v>228</v>
      </c>
      <c r="C162" s="78"/>
      <c r="D162" s="72"/>
      <c r="E162" s="72"/>
      <c r="F162" s="73"/>
    </row>
    <row r="163" spans="2:6" x14ac:dyDescent="0.35">
      <c r="B163" s="81" t="s">
        <v>455</v>
      </c>
      <c r="C163" s="75"/>
      <c r="D163" s="75"/>
      <c r="E163" s="75"/>
      <c r="F163" s="76"/>
    </row>
    <row r="164" spans="2:6" ht="58" customHeight="1" x14ac:dyDescent="0.35">
      <c r="B164" s="78"/>
      <c r="C164" s="72"/>
      <c r="D164" s="72"/>
      <c r="E164" s="72"/>
      <c r="F164" s="73"/>
    </row>
    <row r="165" spans="2:6" x14ac:dyDescent="0.35">
      <c r="B165" s="81" t="s">
        <v>456</v>
      </c>
      <c r="C165" s="75"/>
      <c r="D165" s="75"/>
      <c r="E165" s="75"/>
      <c r="F165" s="76"/>
    </row>
    <row r="166" spans="2:6" ht="70" customHeight="1" x14ac:dyDescent="0.35">
      <c r="B166" s="78"/>
      <c r="C166" s="72"/>
      <c r="D166" s="72"/>
      <c r="E166" s="72"/>
      <c r="F166" s="73"/>
    </row>
    <row r="167" spans="2:6" x14ac:dyDescent="0.35">
      <c r="B167" s="81" t="s">
        <v>457</v>
      </c>
      <c r="C167" s="75"/>
      <c r="D167" s="75"/>
      <c r="E167" s="75"/>
      <c r="F167" s="76"/>
    </row>
    <row r="168" spans="2:6" ht="58" customHeight="1" x14ac:dyDescent="0.35">
      <c r="B168" s="78"/>
      <c r="C168" s="72"/>
      <c r="D168" s="72"/>
      <c r="E168" s="72"/>
      <c r="F168" s="73"/>
    </row>
    <row r="169" spans="2:6" x14ac:dyDescent="0.35">
      <c r="B169" s="81" t="s">
        <v>458</v>
      </c>
      <c r="C169" s="75"/>
      <c r="D169" s="75"/>
      <c r="E169" s="75"/>
      <c r="F169" s="76"/>
    </row>
    <row r="170" spans="2:6" ht="58" customHeight="1" x14ac:dyDescent="0.35">
      <c r="B170" s="78"/>
      <c r="C170" s="72"/>
      <c r="D170" s="72"/>
      <c r="E170" s="72"/>
      <c r="F170" s="73"/>
    </row>
  </sheetData>
  <mergeCells count="149">
    <mergeCell ref="B31:F31"/>
    <mergeCell ref="B46:F46"/>
    <mergeCell ref="D58:F58"/>
    <mergeCell ref="D22:F22"/>
    <mergeCell ref="D36:F36"/>
    <mergeCell ref="B2:F2"/>
    <mergeCell ref="D37:F37"/>
    <mergeCell ref="E137:F137"/>
    <mergeCell ref="D143:F143"/>
    <mergeCell ref="D92:F92"/>
    <mergeCell ref="E12:F12"/>
    <mergeCell ref="B90:E90"/>
    <mergeCell ref="D74:F74"/>
    <mergeCell ref="D68:F68"/>
    <mergeCell ref="D83:F83"/>
    <mergeCell ref="D110:F110"/>
    <mergeCell ref="D71:F71"/>
    <mergeCell ref="B170:F170"/>
    <mergeCell ref="D39:F39"/>
    <mergeCell ref="B166:F166"/>
    <mergeCell ref="D142:F142"/>
    <mergeCell ref="D23:F23"/>
    <mergeCell ref="C88:F88"/>
    <mergeCell ref="D94:F94"/>
    <mergeCell ref="B168:F168"/>
    <mergeCell ref="D144:F144"/>
    <mergeCell ref="D80:F80"/>
    <mergeCell ref="C43:F43"/>
    <mergeCell ref="D96:F96"/>
    <mergeCell ref="D57:F57"/>
    <mergeCell ref="B135:F135"/>
    <mergeCell ref="D27:F27"/>
    <mergeCell ref="D41:F41"/>
    <mergeCell ref="B72:F72"/>
    <mergeCell ref="D107:F107"/>
    <mergeCell ref="B167:F167"/>
    <mergeCell ref="B105:F105"/>
    <mergeCell ref="D106:F106"/>
    <mergeCell ref="D146:F146"/>
    <mergeCell ref="D93:F93"/>
    <mergeCell ref="C137:D137"/>
    <mergeCell ref="B99:F99"/>
    <mergeCell ref="D116:F116"/>
    <mergeCell ref="C161:F161"/>
    <mergeCell ref="B159:F159"/>
    <mergeCell ref="C157:F157"/>
    <mergeCell ref="D87:F87"/>
    <mergeCell ref="C102:F102"/>
    <mergeCell ref="B139:F139"/>
    <mergeCell ref="D84:F84"/>
    <mergeCell ref="D140:F140"/>
    <mergeCell ref="B154:F154"/>
    <mergeCell ref="D101:F101"/>
    <mergeCell ref="B164:F164"/>
    <mergeCell ref="B114:F114"/>
    <mergeCell ref="D149:F149"/>
    <mergeCell ref="E5:F5"/>
    <mergeCell ref="C158:F158"/>
    <mergeCell ref="B104:E104"/>
    <mergeCell ref="D147:F147"/>
    <mergeCell ref="B56:F56"/>
    <mergeCell ref="C28:F28"/>
    <mergeCell ref="C14:F14"/>
    <mergeCell ref="D55:F55"/>
    <mergeCell ref="D67:F67"/>
    <mergeCell ref="D54:F54"/>
    <mergeCell ref="B16:F16"/>
    <mergeCell ref="B25:F25"/>
    <mergeCell ref="D66:F66"/>
    <mergeCell ref="D53:F53"/>
    <mergeCell ref="D47:F47"/>
    <mergeCell ref="B18:F18"/>
    <mergeCell ref="E8:F8"/>
    <mergeCell ref="C13:F13"/>
    <mergeCell ref="C75:F75"/>
    <mergeCell ref="D65:F65"/>
    <mergeCell ref="E7:F7"/>
    <mergeCell ref="B1:F1"/>
    <mergeCell ref="C160:F160"/>
    <mergeCell ref="D33:F33"/>
    <mergeCell ref="D73:F73"/>
    <mergeCell ref="D42:F42"/>
    <mergeCell ref="D51:F51"/>
    <mergeCell ref="D82:F82"/>
    <mergeCell ref="D113:F113"/>
    <mergeCell ref="E6:F6"/>
    <mergeCell ref="D148:F148"/>
    <mergeCell ref="D35:F35"/>
    <mergeCell ref="D50:F50"/>
    <mergeCell ref="C152:F152"/>
    <mergeCell ref="D115:F115"/>
    <mergeCell ref="D20:F20"/>
    <mergeCell ref="D34:F34"/>
    <mergeCell ref="C133:F133"/>
    <mergeCell ref="B17:E17"/>
    <mergeCell ref="B4:F4"/>
    <mergeCell ref="C132:F132"/>
    <mergeCell ref="B62:F62"/>
    <mergeCell ref="D136:F136"/>
    <mergeCell ref="D150:F150"/>
    <mergeCell ref="D145:F145"/>
    <mergeCell ref="B163:F163"/>
    <mergeCell ref="B91:F91"/>
    <mergeCell ref="D151:F151"/>
    <mergeCell ref="E10:F10"/>
    <mergeCell ref="E9:F9"/>
    <mergeCell ref="D24:F24"/>
    <mergeCell ref="E11:F11"/>
    <mergeCell ref="D26:F26"/>
    <mergeCell ref="D19:F19"/>
    <mergeCell ref="D32:F32"/>
    <mergeCell ref="D97:F97"/>
    <mergeCell ref="B45:E45"/>
    <mergeCell ref="D69:F69"/>
    <mergeCell ref="D100:F100"/>
    <mergeCell ref="D109:F109"/>
    <mergeCell ref="B61:E61"/>
    <mergeCell ref="D111:F111"/>
    <mergeCell ref="B85:F85"/>
    <mergeCell ref="D108:F108"/>
    <mergeCell ref="D21:F21"/>
    <mergeCell ref="D86:F86"/>
    <mergeCell ref="D95:F95"/>
    <mergeCell ref="C162:F162"/>
    <mergeCell ref="B77:E77"/>
    <mergeCell ref="B169:F169"/>
    <mergeCell ref="C59:F59"/>
    <mergeCell ref="D52:F52"/>
    <mergeCell ref="D49:F49"/>
    <mergeCell ref="B165:F165"/>
    <mergeCell ref="B30:E30"/>
    <mergeCell ref="D141:F141"/>
    <mergeCell ref="D70:F70"/>
    <mergeCell ref="D48:F48"/>
    <mergeCell ref="B155:F155"/>
    <mergeCell ref="C131:F131"/>
    <mergeCell ref="B130:F130"/>
    <mergeCell ref="D112:F112"/>
    <mergeCell ref="C156:F156"/>
    <mergeCell ref="B119:F119"/>
    <mergeCell ref="D64:F64"/>
    <mergeCell ref="D38:F38"/>
    <mergeCell ref="D98:F98"/>
    <mergeCell ref="B78:F78"/>
    <mergeCell ref="D79:F79"/>
    <mergeCell ref="C117:F117"/>
    <mergeCell ref="B40:F40"/>
    <mergeCell ref="D63:F63"/>
    <mergeCell ref="D81:F81"/>
  </mergeCells>
  <conditionalFormatting sqref="C20:C24">
    <cfRule type="cellIs" dxfId="75" priority="1" operator="equal">
      <formula>"Met"</formula>
    </cfRule>
    <cfRule type="cellIs" dxfId="74" priority="2" operator="equal">
      <formula>"Partial"</formula>
    </cfRule>
    <cfRule type="cellIs" dxfId="73" priority="3" operator="equal">
      <formula>"Missed"</formula>
    </cfRule>
  </conditionalFormatting>
  <conditionalFormatting sqref="C27">
    <cfRule type="cellIs" dxfId="72" priority="4" operator="lessThanOrEqual">
      <formula>2</formula>
    </cfRule>
    <cfRule type="cellIs" dxfId="71" priority="5" operator="equal">
      <formula>3</formula>
    </cfRule>
    <cfRule type="cellIs" dxfId="70" priority="6" operator="greaterThanOrEqual">
      <formula>4</formula>
    </cfRule>
  </conditionalFormatting>
  <conditionalFormatting sqref="C33:C39">
    <cfRule type="cellIs" dxfId="69" priority="7" operator="equal">
      <formula>"Met"</formula>
    </cfRule>
    <cfRule type="cellIs" dxfId="68" priority="8" operator="equal">
      <formula>"Partial"</formula>
    </cfRule>
    <cfRule type="cellIs" dxfId="67" priority="9" operator="equal">
      <formula>"Missed"</formula>
    </cfRule>
  </conditionalFormatting>
  <conditionalFormatting sqref="C42">
    <cfRule type="cellIs" dxfId="66" priority="10" operator="lessThanOrEqual">
      <formula>2</formula>
    </cfRule>
    <cfRule type="cellIs" dxfId="65" priority="11" operator="equal">
      <formula>3</formula>
    </cfRule>
    <cfRule type="cellIs" dxfId="64" priority="12" operator="greaterThanOrEqual">
      <formula>4</formula>
    </cfRule>
  </conditionalFormatting>
  <conditionalFormatting sqref="C48:C55">
    <cfRule type="cellIs" dxfId="63" priority="13" operator="equal">
      <formula>"Met"</formula>
    </cfRule>
    <cfRule type="cellIs" dxfId="62" priority="14" operator="equal">
      <formula>"Partial"</formula>
    </cfRule>
    <cfRule type="cellIs" dxfId="61" priority="15" operator="equal">
      <formula>"Missed"</formula>
    </cfRule>
  </conditionalFormatting>
  <conditionalFormatting sqref="C58">
    <cfRule type="cellIs" dxfId="60" priority="16" operator="lessThanOrEqual">
      <formula>2</formula>
    </cfRule>
    <cfRule type="cellIs" dxfId="59" priority="17" operator="equal">
      <formula>3</formula>
    </cfRule>
    <cfRule type="cellIs" dxfId="58" priority="18" operator="greaterThanOrEqual">
      <formula>4</formula>
    </cfRule>
  </conditionalFormatting>
  <conditionalFormatting sqref="C64:C71">
    <cfRule type="cellIs" dxfId="57" priority="19" operator="equal">
      <formula>"Met"</formula>
    </cfRule>
    <cfRule type="cellIs" dxfId="56" priority="20" operator="equal">
      <formula>"Partial"</formula>
    </cfRule>
    <cfRule type="cellIs" dxfId="55" priority="21" operator="equal">
      <formula>"Missed"</formula>
    </cfRule>
  </conditionalFormatting>
  <conditionalFormatting sqref="C74">
    <cfRule type="cellIs" dxfId="54" priority="22" operator="lessThanOrEqual">
      <formula>2</formula>
    </cfRule>
    <cfRule type="cellIs" dxfId="53" priority="23" operator="equal">
      <formula>3</formula>
    </cfRule>
    <cfRule type="cellIs" dxfId="52" priority="24" operator="greaterThanOrEqual">
      <formula>4</formula>
    </cfRule>
  </conditionalFormatting>
  <conditionalFormatting sqref="C80:C84">
    <cfRule type="cellIs" dxfId="51" priority="25" operator="equal">
      <formula>"Met"</formula>
    </cfRule>
    <cfRule type="cellIs" dxfId="50" priority="26" operator="equal">
      <formula>"Partial"</formula>
    </cfRule>
    <cfRule type="cellIs" dxfId="49" priority="27" operator="equal">
      <formula>"Missed"</formula>
    </cfRule>
  </conditionalFormatting>
  <conditionalFormatting sqref="C87">
    <cfRule type="cellIs" dxfId="48" priority="28" operator="lessThanOrEqual">
      <formula>2</formula>
    </cfRule>
    <cfRule type="cellIs" dxfId="47" priority="29" operator="equal">
      <formula>3</formula>
    </cfRule>
    <cfRule type="cellIs" dxfId="46" priority="30" operator="greaterThanOrEqual">
      <formula>4</formula>
    </cfRule>
  </conditionalFormatting>
  <conditionalFormatting sqref="C93:C98">
    <cfRule type="cellIs" dxfId="45" priority="31" operator="equal">
      <formula>"Met"</formula>
    </cfRule>
    <cfRule type="cellIs" dxfId="44" priority="32" operator="equal">
      <formula>"Partial"</formula>
    </cfRule>
    <cfRule type="cellIs" dxfId="43" priority="33" operator="equal">
      <formula>"Missed"</formula>
    </cfRule>
  </conditionalFormatting>
  <conditionalFormatting sqref="C101">
    <cfRule type="cellIs" dxfId="42" priority="34" operator="lessThanOrEqual">
      <formula>2</formula>
    </cfRule>
    <cfRule type="cellIs" dxfId="41" priority="35" operator="equal">
      <formula>3</formula>
    </cfRule>
    <cfRule type="cellIs" dxfId="40" priority="36" operator="greaterThanOrEqual">
      <formula>4</formula>
    </cfRule>
  </conditionalFormatting>
  <conditionalFormatting sqref="C107:C113">
    <cfRule type="cellIs" dxfId="39" priority="37" operator="equal">
      <formula>"Met"</formula>
    </cfRule>
    <cfRule type="cellIs" dxfId="38" priority="38" operator="equal">
      <formula>"Partial"</formula>
    </cfRule>
    <cfRule type="cellIs" dxfId="37" priority="39" operator="equal">
      <formula>"Missed"</formula>
    </cfRule>
  </conditionalFormatting>
  <conditionalFormatting sqref="C116">
    <cfRule type="cellIs" dxfId="36" priority="40" operator="lessThanOrEqual">
      <formula>2</formula>
    </cfRule>
    <cfRule type="cellIs" dxfId="35" priority="41" operator="equal">
      <formula>3</formula>
    </cfRule>
    <cfRule type="cellIs" dxfId="34" priority="42" operator="greaterThanOrEqual">
      <formula>4</formula>
    </cfRule>
  </conditionalFormatting>
  <conditionalFormatting sqref="C141:C151">
    <cfRule type="cellIs" dxfId="33" priority="51" operator="equal">
      <formula>"Yes"</formula>
    </cfRule>
  </conditionalFormatting>
  <conditionalFormatting sqref="C152">
    <cfRule type="expression" dxfId="32" priority="53">
      <formula>NOT(ISNUMBER(SEARCH("YES",C152)))</formula>
    </cfRule>
    <cfRule type="expression" dxfId="31" priority="52">
      <formula>ISNUMBER(SEARCH("YES",C152))</formula>
    </cfRule>
  </conditionalFormatting>
  <conditionalFormatting sqref="E128">
    <cfRule type="cellIs" dxfId="30" priority="43" operator="greaterThanOrEqual">
      <formula>0.85</formula>
    </cfRule>
    <cfRule type="cellIs" dxfId="29" priority="44" operator="between">
      <formula>0.7</formula>
      <formula>0.8499</formula>
    </cfRule>
    <cfRule type="cellIs" dxfId="28" priority="45" operator="lessThan">
      <formula>0.7</formula>
    </cfRule>
  </conditionalFormatting>
  <conditionalFormatting sqref="E137">
    <cfRule type="expression" dxfId="27" priority="49">
      <formula>E137&lt;&gt;"OK"</formula>
    </cfRule>
    <cfRule type="expression" dxfId="26" priority="50">
      <formula>E137="OK"</formula>
    </cfRule>
  </conditionalFormatting>
  <conditionalFormatting sqref="F121:F127">
    <cfRule type="cellIs" dxfId="25" priority="46" operator="equal">
      <formula>"Strong"</formula>
    </cfRule>
    <cfRule type="cellIs" dxfId="24" priority="48" operator="equal">
      <formula>"Needs Focus"</formula>
    </cfRule>
    <cfRule type="cellIs" dxfId="23" priority="47" operator="equal">
      <formula>"Developing"</formula>
    </cfRule>
  </conditionalFormatting>
  <dataValidations count="10">
    <dataValidation type="list" allowBlank="1" sqref="C20:C24 C33:C39 C48:C55 C64:C71 C80:C84 C93:C98 C107:C113" xr:uid="{00000000-0002-0000-0500-000000000000}">
      <formula1>"Met,Partial,Missed,N.A."</formula1>
    </dataValidation>
    <dataValidation type="whole" allowBlank="1" showErrorMessage="1" errorTitle="Invalid score" error="Enter a whole number from 0 to 5." sqref="C27 C42 C58 C74 C87 C101 C116" xr:uid="{00000000-0002-0000-0500-000001000000}">
      <formula1>0</formula1>
      <formula2>5</formula2>
    </dataValidation>
    <dataValidation type="list" allowBlank="1" sqref="C136 C141:C151 E10" xr:uid="{00000000-0002-0000-0500-000002000000}">
      <formula1>"No,Yes"</formula1>
    </dataValidation>
    <dataValidation type="list" allowBlank="1" sqref="C8" xr:uid="{C81B1CE7-D5B5-4C81-99CC-5991C82D3D50}">
      <formula1>"In-Warranty,Out-of-Warranty,Unknown"</formula1>
    </dataValidation>
    <dataValidation type="list" allowBlank="1" sqref="E7" xr:uid="{00000000-0002-0000-0500-000004000000}">
      <formula1>"Phone,Chat,Email,Social,Other"</formula1>
    </dataValidation>
    <dataValidation type="list" allowBlank="1" sqref="C9" xr:uid="{213FD33A-CED9-4DE7-9495-CB2EF0D9A9EE}">
      <formula1>"Technical Issue,Setup/How-To,RMA/Replacement,Billing/Account,Connectivity,Other"</formula1>
    </dataValidation>
    <dataValidation type="list" allowBlank="1" sqref="E12" xr:uid="{00000000-0002-0000-0500-000006000000}">
      <formula1>"Within SLA,Breached,N.A."</formula1>
    </dataValidation>
    <dataValidation type="list" allowBlank="1" sqref="C131" xr:uid="{00000000-0002-0000-0500-000007000000}">
      <formula1>"Successful Resolution,Partial Resolution,Appropriate Escalation,Ownership Gap,Unresolved"</formula1>
    </dataValidation>
    <dataValidation type="list" allowBlank="1" sqref="C132" xr:uid="{00000000-0002-0000-0500-000008000000}">
      <formula1>_xlfn._LONGTEXT("Issue resolved,Proper RMA initiated (in-warranty / approved exception),Valid escalation submitted,Known limitation explained accurately,Customer educated with actionable next steps,Valid self-help guidance provided (out-of-warranty),Upgrade path recommend","ed appropriately (out-of-warranty),Customer declined further troubleshooting after reasonable effort,None achieved")</formula1>
    </dataValidation>
    <dataValidation type="list" allowBlank="1" sqref="C137" xr:uid="{00000000-0002-0000-0500-000009000000}">
      <formula1>"Callback attempt,Follow-up email,Private note documenting actions,Documented why follow-up not possible,None,N.A. — no disconnect"</formula1>
    </dataValidation>
  </dataValidation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P60"/>
  <sheetViews>
    <sheetView showGridLines="0" workbookViewId="0">
      <pane ySplit="4" topLeftCell="A44" activePane="bottomLeft" state="frozen"/>
      <selection pane="bottomLeft" activeCell="I56" sqref="I56:N56"/>
    </sheetView>
  </sheetViews>
  <sheetFormatPr defaultRowHeight="14.5" x14ac:dyDescent="0.35"/>
  <cols>
    <col min="1" max="1" width="11" customWidth="1"/>
    <col min="2" max="2" width="13" customWidth="1"/>
    <col min="3" max="3" width="18" customWidth="1"/>
    <col min="4" max="11" width="8" customWidth="1"/>
    <col min="12" max="12" width="10" customWidth="1"/>
    <col min="13" max="13" width="13" customWidth="1"/>
    <col min="14" max="14" width="60" customWidth="1"/>
    <col min="15" max="15" width="22" customWidth="1"/>
    <col min="16" max="16" width="14" customWidth="1"/>
  </cols>
  <sheetData>
    <row r="1" spans="1:16" ht="26.15" customHeight="1" x14ac:dyDescent="0.35">
      <c r="A1" s="82" t="s">
        <v>459</v>
      </c>
      <c r="B1" s="75"/>
      <c r="C1" s="75"/>
      <c r="D1" s="75"/>
      <c r="E1" s="75"/>
      <c r="F1" s="75"/>
      <c r="G1" s="75"/>
      <c r="H1" s="75"/>
      <c r="I1" s="75"/>
      <c r="J1" s="75"/>
      <c r="K1" s="75"/>
      <c r="L1" s="75"/>
      <c r="M1" s="75"/>
      <c r="N1" s="75"/>
      <c r="O1" s="75"/>
      <c r="P1" s="76"/>
    </row>
    <row r="2" spans="1:16" ht="16" customHeight="1" x14ac:dyDescent="0.35">
      <c r="A2" s="87" t="s">
        <v>460</v>
      </c>
      <c r="B2" s="75"/>
      <c r="C2" s="75"/>
      <c r="D2" s="75"/>
      <c r="E2" s="75"/>
      <c r="F2" s="75"/>
      <c r="G2" s="75"/>
      <c r="H2" s="75"/>
      <c r="I2" s="75"/>
      <c r="J2" s="75"/>
      <c r="K2" s="75"/>
      <c r="L2" s="75"/>
      <c r="M2" s="75"/>
      <c r="N2" s="75"/>
      <c r="O2" s="75"/>
      <c r="P2" s="76"/>
    </row>
    <row r="3" spans="1:16" ht="24" customHeight="1" x14ac:dyDescent="0.35">
      <c r="A3" s="74" t="str">
        <f>IF(A56="","  JOURNEY TEAM SCORE  ▸  log touches below, then enter a Case ID + Outcome/Continuity in row 56","  LOADED JOURNEY TEAM SCORE  ▸  "&amp;A56&amp;":  "&amp;TEXT(G56,"0.0%")&amp;"   "&amp;UPPER(H56))</f>
        <v xml:space="preserve">  LOADED JOURNEY TEAM SCORE  ▸  TE00132365:  100.0%   MEETS/EXCEEDS</v>
      </c>
      <c r="B3" s="75"/>
      <c r="C3" s="75"/>
      <c r="D3" s="75"/>
      <c r="E3" s="75"/>
      <c r="F3" s="75"/>
      <c r="G3" s="75"/>
      <c r="H3" s="75"/>
      <c r="I3" s="75"/>
      <c r="J3" s="75"/>
      <c r="K3" s="75"/>
      <c r="L3" s="75"/>
      <c r="M3" s="75"/>
      <c r="N3" s="75"/>
      <c r="O3" s="75"/>
      <c r="P3" s="76"/>
    </row>
    <row r="4" spans="1:16" ht="30" customHeight="1" x14ac:dyDescent="0.35">
      <c r="A4" s="43" t="s">
        <v>461</v>
      </c>
      <c r="B4" s="43" t="s">
        <v>462</v>
      </c>
      <c r="C4" s="43" t="s">
        <v>463</v>
      </c>
      <c r="D4" s="43" t="s">
        <v>464</v>
      </c>
      <c r="E4" s="43" t="s">
        <v>465</v>
      </c>
      <c r="F4" s="43" t="s">
        <v>466</v>
      </c>
      <c r="G4" s="43" t="s">
        <v>467</v>
      </c>
      <c r="H4" s="43" t="s">
        <v>468</v>
      </c>
      <c r="I4" s="43" t="s">
        <v>469</v>
      </c>
      <c r="J4" s="43" t="s">
        <v>470</v>
      </c>
      <c r="K4" s="43" t="s">
        <v>471</v>
      </c>
      <c r="L4" s="43" t="s">
        <v>181</v>
      </c>
      <c r="M4" s="43" t="s">
        <v>472</v>
      </c>
      <c r="N4" s="43" t="s">
        <v>473</v>
      </c>
      <c r="O4" s="69" t="s">
        <v>438</v>
      </c>
      <c r="P4" s="69" t="s">
        <v>439</v>
      </c>
    </row>
    <row r="5" spans="1:16" ht="40" customHeight="1" x14ac:dyDescent="0.35">
      <c r="A5" s="70">
        <v>46177</v>
      </c>
      <c r="B5" s="44" t="s">
        <v>557</v>
      </c>
      <c r="C5" s="44" t="s">
        <v>556</v>
      </c>
      <c r="D5" s="44">
        <v>1</v>
      </c>
      <c r="E5" s="44">
        <v>5</v>
      </c>
      <c r="F5" s="44">
        <v>5</v>
      </c>
      <c r="G5" s="44">
        <v>5</v>
      </c>
      <c r="H5" s="44">
        <v>5</v>
      </c>
      <c r="I5" s="44">
        <v>5</v>
      </c>
      <c r="J5" s="44">
        <v>5</v>
      </c>
      <c r="K5" s="44">
        <v>5</v>
      </c>
      <c r="L5" s="45">
        <v>1</v>
      </c>
      <c r="M5" s="20" t="str">
        <f>IF(L5="","",IF(L5&gt;=0.85,"Meets/Exceeds",IF(L5&gt;=0.7,"Developing","Needs Improv.")))</f>
        <v>Meets/Exceeds</v>
      </c>
      <c r="N5" s="8" t="s">
        <v>659</v>
      </c>
      <c r="O5" s="20" t="s">
        <v>555</v>
      </c>
      <c r="P5" s="20">
        <v>5</v>
      </c>
    </row>
    <row r="6" spans="1:16" ht="40" customHeight="1" x14ac:dyDescent="0.35">
      <c r="A6" s="70">
        <v>46178</v>
      </c>
      <c r="B6" s="44" t="s">
        <v>557</v>
      </c>
      <c r="C6" s="44" t="s">
        <v>658</v>
      </c>
      <c r="D6" s="44">
        <v>2</v>
      </c>
      <c r="E6" s="44">
        <v>5</v>
      </c>
      <c r="F6" s="44">
        <v>5</v>
      </c>
      <c r="G6" s="44">
        <v>5</v>
      </c>
      <c r="H6" s="44">
        <v>5</v>
      </c>
      <c r="I6" s="44">
        <v>5</v>
      </c>
      <c r="J6" s="44">
        <v>5</v>
      </c>
      <c r="K6" s="44">
        <v>5</v>
      </c>
      <c r="L6" s="46">
        <v>1</v>
      </c>
      <c r="M6" s="20" t="str">
        <f>IF(L6="","",IF(L6&gt;=0.85,"Meets/Exceeds",IF(L6&gt;=0.7,"Developing","Needs Improv.")))</f>
        <v>Meets/Exceeds</v>
      </c>
      <c r="N6" s="10" t="s">
        <v>660</v>
      </c>
      <c r="O6" s="25" t="s">
        <v>555</v>
      </c>
      <c r="P6" s="25">
        <v>5</v>
      </c>
    </row>
    <row r="7" spans="1:16" ht="40" customHeight="1" x14ac:dyDescent="0.35">
      <c r="A7" s="44"/>
      <c r="B7" s="44"/>
      <c r="C7" s="44"/>
      <c r="D7" s="44"/>
      <c r="E7" s="44"/>
      <c r="F7" s="44"/>
      <c r="G7" s="44"/>
      <c r="H7" s="44"/>
      <c r="I7" s="44"/>
      <c r="J7" s="44"/>
      <c r="K7" s="44"/>
      <c r="L7" s="45" t="str">
        <f t="shared" ref="L7:L49" si="0">IF((COUNT(E7)+COUNT(F7)+COUNT(G7)+COUNT(H7)+COUNT(I7)+COUNT(J7)+COUNT(K7))=0,"",IFERROR(E7/5*0.3,0)+IFERROR(F7/5*0.2,0)+IFERROR(G7/5*0.15,0)+IFERROR(H7/5*0.15,0)+IFERROR(I7/5*0.1,0)+IFERROR(J7/5*0.05,0)+IFERROR(K7/5*0.05,0))</f>
        <v/>
      </c>
      <c r="M7" s="20" t="str">
        <f t="shared" ref="M7:M49" si="1">IF(L7="","",IF(L7&gt;=0.85,"Meets/Exceeds",IF(L7&gt;=0.7,"Developing","Needs Improv.")))</f>
        <v/>
      </c>
      <c r="N7" s="8"/>
      <c r="O7" s="20"/>
      <c r="P7" s="20"/>
    </row>
    <row r="8" spans="1:16" ht="40" customHeight="1" x14ac:dyDescent="0.35">
      <c r="A8" s="44"/>
      <c r="B8" s="44"/>
      <c r="C8" s="44"/>
      <c r="D8" s="44"/>
      <c r="E8" s="44"/>
      <c r="F8" s="44"/>
      <c r="G8" s="44"/>
      <c r="H8" s="44"/>
      <c r="I8" s="44"/>
      <c r="J8" s="44"/>
      <c r="K8" s="44"/>
      <c r="L8" s="46" t="str">
        <f t="shared" si="0"/>
        <v/>
      </c>
      <c r="M8" s="25" t="str">
        <f t="shared" si="1"/>
        <v/>
      </c>
      <c r="N8" s="10"/>
      <c r="O8" s="25"/>
      <c r="P8" s="25"/>
    </row>
    <row r="9" spans="1:16" ht="40" customHeight="1" x14ac:dyDescent="0.35">
      <c r="A9" s="44"/>
      <c r="B9" s="44"/>
      <c r="C9" s="44"/>
      <c r="D9" s="44"/>
      <c r="E9" s="44"/>
      <c r="F9" s="44"/>
      <c r="G9" s="44"/>
      <c r="H9" s="44"/>
      <c r="I9" s="44"/>
      <c r="J9" s="44"/>
      <c r="K9" s="44"/>
      <c r="L9" s="45" t="str">
        <f t="shared" si="0"/>
        <v/>
      </c>
      <c r="M9" s="20" t="str">
        <f t="shared" si="1"/>
        <v/>
      </c>
      <c r="N9" s="8"/>
      <c r="O9" s="20"/>
      <c r="P9" s="20"/>
    </row>
    <row r="10" spans="1:16" ht="40" customHeight="1" x14ac:dyDescent="0.35">
      <c r="A10" s="44"/>
      <c r="B10" s="44"/>
      <c r="C10" s="44"/>
      <c r="D10" s="44"/>
      <c r="E10" s="44"/>
      <c r="F10" s="44"/>
      <c r="G10" s="44"/>
      <c r="H10" s="44"/>
      <c r="I10" s="44"/>
      <c r="J10" s="44"/>
      <c r="K10" s="44"/>
      <c r="L10" s="46" t="str">
        <f t="shared" si="0"/>
        <v/>
      </c>
      <c r="M10" s="25" t="str">
        <f t="shared" si="1"/>
        <v/>
      </c>
      <c r="N10" s="10"/>
      <c r="O10" s="25"/>
      <c r="P10" s="25"/>
    </row>
    <row r="11" spans="1:16" ht="40" customHeight="1" x14ac:dyDescent="0.35">
      <c r="A11" s="44"/>
      <c r="B11" s="44"/>
      <c r="C11" s="44"/>
      <c r="D11" s="44"/>
      <c r="E11" s="44"/>
      <c r="F11" s="44"/>
      <c r="G11" s="44"/>
      <c r="H11" s="44"/>
      <c r="I11" s="44"/>
      <c r="J11" s="44"/>
      <c r="K11" s="44"/>
      <c r="L11" s="45" t="str">
        <f t="shared" si="0"/>
        <v/>
      </c>
      <c r="M11" s="20" t="str">
        <f t="shared" si="1"/>
        <v/>
      </c>
      <c r="N11" s="8"/>
      <c r="O11" s="20"/>
      <c r="P11" s="20"/>
    </row>
    <row r="12" spans="1:16" ht="40" customHeight="1" x14ac:dyDescent="0.35">
      <c r="A12" s="44"/>
      <c r="B12" s="44"/>
      <c r="C12" s="44"/>
      <c r="D12" s="44"/>
      <c r="E12" s="44"/>
      <c r="F12" s="44"/>
      <c r="G12" s="44"/>
      <c r="H12" s="44"/>
      <c r="I12" s="44"/>
      <c r="J12" s="44"/>
      <c r="K12" s="44"/>
      <c r="L12" s="46" t="str">
        <f t="shared" si="0"/>
        <v/>
      </c>
      <c r="M12" s="25" t="str">
        <f t="shared" si="1"/>
        <v/>
      </c>
      <c r="N12" s="10"/>
      <c r="O12" s="25"/>
      <c r="P12" s="25"/>
    </row>
    <row r="13" spans="1:16" ht="40" customHeight="1" x14ac:dyDescent="0.35">
      <c r="A13" s="44"/>
      <c r="B13" s="44"/>
      <c r="C13" s="44"/>
      <c r="D13" s="44"/>
      <c r="E13" s="44"/>
      <c r="F13" s="44"/>
      <c r="G13" s="44"/>
      <c r="H13" s="44"/>
      <c r="I13" s="44"/>
      <c r="J13" s="44"/>
      <c r="K13" s="44"/>
      <c r="L13" s="45" t="str">
        <f t="shared" si="0"/>
        <v/>
      </c>
      <c r="M13" s="20" t="str">
        <f t="shared" si="1"/>
        <v/>
      </c>
      <c r="N13" s="8"/>
      <c r="O13" s="20"/>
      <c r="P13" s="20"/>
    </row>
    <row r="14" spans="1:16" ht="40" customHeight="1" x14ac:dyDescent="0.35">
      <c r="A14" s="44"/>
      <c r="B14" s="44"/>
      <c r="C14" s="44"/>
      <c r="D14" s="44"/>
      <c r="E14" s="44"/>
      <c r="F14" s="44"/>
      <c r="G14" s="44"/>
      <c r="H14" s="44"/>
      <c r="I14" s="44"/>
      <c r="J14" s="44"/>
      <c r="K14" s="44"/>
      <c r="L14" s="46" t="str">
        <f t="shared" si="0"/>
        <v/>
      </c>
      <c r="M14" s="25" t="str">
        <f t="shared" si="1"/>
        <v/>
      </c>
      <c r="N14" s="10"/>
      <c r="O14" s="25"/>
      <c r="P14" s="25"/>
    </row>
    <row r="15" spans="1:16" ht="40" customHeight="1" x14ac:dyDescent="0.35">
      <c r="A15" s="44"/>
      <c r="B15" s="44"/>
      <c r="C15" s="44"/>
      <c r="D15" s="44"/>
      <c r="E15" s="44"/>
      <c r="F15" s="44"/>
      <c r="G15" s="44"/>
      <c r="H15" s="44"/>
      <c r="I15" s="44"/>
      <c r="J15" s="44"/>
      <c r="K15" s="44"/>
      <c r="L15" s="45" t="str">
        <f t="shared" si="0"/>
        <v/>
      </c>
      <c r="M15" s="20" t="str">
        <f t="shared" si="1"/>
        <v/>
      </c>
      <c r="N15" s="8"/>
      <c r="O15" s="20"/>
      <c r="P15" s="20"/>
    </row>
    <row r="16" spans="1:16" ht="40" customHeight="1" x14ac:dyDescent="0.35">
      <c r="A16" s="44"/>
      <c r="B16" s="44"/>
      <c r="C16" s="44"/>
      <c r="D16" s="44"/>
      <c r="E16" s="44"/>
      <c r="F16" s="44"/>
      <c r="G16" s="44"/>
      <c r="H16" s="44"/>
      <c r="I16" s="44"/>
      <c r="J16" s="44"/>
      <c r="K16" s="44"/>
      <c r="L16" s="46" t="str">
        <f t="shared" si="0"/>
        <v/>
      </c>
      <c r="M16" s="25" t="str">
        <f t="shared" si="1"/>
        <v/>
      </c>
      <c r="N16" s="10"/>
      <c r="O16" s="25"/>
      <c r="P16" s="25"/>
    </row>
    <row r="17" spans="1:16" ht="40" customHeight="1" x14ac:dyDescent="0.35">
      <c r="A17" s="44"/>
      <c r="B17" s="44"/>
      <c r="C17" s="44"/>
      <c r="D17" s="44"/>
      <c r="E17" s="44"/>
      <c r="F17" s="44"/>
      <c r="G17" s="44"/>
      <c r="H17" s="44"/>
      <c r="I17" s="44"/>
      <c r="J17" s="44"/>
      <c r="K17" s="44"/>
      <c r="L17" s="45" t="str">
        <f t="shared" si="0"/>
        <v/>
      </c>
      <c r="M17" s="20" t="str">
        <f t="shared" si="1"/>
        <v/>
      </c>
      <c r="N17" s="8"/>
      <c r="O17" s="20"/>
      <c r="P17" s="20"/>
    </row>
    <row r="18" spans="1:16" x14ac:dyDescent="0.35">
      <c r="A18" s="44"/>
      <c r="B18" s="44"/>
      <c r="C18" s="44"/>
      <c r="D18" s="44"/>
      <c r="E18" s="44"/>
      <c r="F18" s="44"/>
      <c r="G18" s="44"/>
      <c r="H18" s="44"/>
      <c r="I18" s="44"/>
      <c r="J18" s="44"/>
      <c r="K18" s="44"/>
      <c r="L18" s="46" t="str">
        <f t="shared" si="0"/>
        <v/>
      </c>
      <c r="M18" s="25" t="str">
        <f t="shared" si="1"/>
        <v/>
      </c>
      <c r="N18" s="10"/>
      <c r="O18" s="25"/>
      <c r="P18" s="25"/>
    </row>
    <row r="19" spans="1:16" x14ac:dyDescent="0.35">
      <c r="A19" s="44"/>
      <c r="B19" s="44"/>
      <c r="C19" s="44"/>
      <c r="D19" s="44"/>
      <c r="E19" s="44"/>
      <c r="F19" s="44"/>
      <c r="G19" s="44"/>
      <c r="H19" s="44"/>
      <c r="I19" s="44"/>
      <c r="J19" s="44"/>
      <c r="K19" s="44"/>
      <c r="L19" s="45" t="str">
        <f t="shared" si="0"/>
        <v/>
      </c>
      <c r="M19" s="20" t="str">
        <f t="shared" si="1"/>
        <v/>
      </c>
      <c r="N19" s="8"/>
      <c r="O19" s="20"/>
      <c r="P19" s="20"/>
    </row>
    <row r="20" spans="1:16" x14ac:dyDescent="0.35">
      <c r="A20" s="44"/>
      <c r="B20" s="44"/>
      <c r="C20" s="44"/>
      <c r="D20" s="44"/>
      <c r="E20" s="44"/>
      <c r="F20" s="44"/>
      <c r="G20" s="44"/>
      <c r="H20" s="44"/>
      <c r="I20" s="44"/>
      <c r="J20" s="44"/>
      <c r="K20" s="44"/>
      <c r="L20" s="46" t="str">
        <f t="shared" si="0"/>
        <v/>
      </c>
      <c r="M20" s="25" t="str">
        <f t="shared" si="1"/>
        <v/>
      </c>
      <c r="N20" s="10"/>
      <c r="O20" s="25"/>
      <c r="P20" s="25"/>
    </row>
    <row r="21" spans="1:16" x14ac:dyDescent="0.35">
      <c r="A21" s="44"/>
      <c r="B21" s="44"/>
      <c r="C21" s="44"/>
      <c r="D21" s="44"/>
      <c r="E21" s="44"/>
      <c r="F21" s="44"/>
      <c r="G21" s="44"/>
      <c r="H21" s="44"/>
      <c r="I21" s="44"/>
      <c r="J21" s="44"/>
      <c r="K21" s="44"/>
      <c r="L21" s="45" t="str">
        <f t="shared" si="0"/>
        <v/>
      </c>
      <c r="M21" s="20" t="str">
        <f t="shared" si="1"/>
        <v/>
      </c>
      <c r="N21" s="8"/>
      <c r="O21" s="20"/>
      <c r="P21" s="20"/>
    </row>
    <row r="22" spans="1:16" x14ac:dyDescent="0.35">
      <c r="A22" s="44"/>
      <c r="B22" s="44"/>
      <c r="C22" s="44"/>
      <c r="D22" s="44"/>
      <c r="E22" s="44"/>
      <c r="F22" s="44"/>
      <c r="G22" s="44"/>
      <c r="H22" s="44"/>
      <c r="I22" s="44"/>
      <c r="J22" s="44"/>
      <c r="K22" s="44"/>
      <c r="L22" s="46" t="str">
        <f t="shared" si="0"/>
        <v/>
      </c>
      <c r="M22" s="25" t="str">
        <f t="shared" si="1"/>
        <v/>
      </c>
      <c r="N22" s="10"/>
      <c r="O22" s="25"/>
      <c r="P22" s="25"/>
    </row>
    <row r="23" spans="1:16" x14ac:dyDescent="0.35">
      <c r="A23" s="44"/>
      <c r="B23" s="44"/>
      <c r="C23" s="44"/>
      <c r="D23" s="44"/>
      <c r="E23" s="44"/>
      <c r="F23" s="44"/>
      <c r="G23" s="44"/>
      <c r="H23" s="44"/>
      <c r="I23" s="44"/>
      <c r="J23" s="44"/>
      <c r="K23" s="44"/>
      <c r="L23" s="45" t="str">
        <f t="shared" si="0"/>
        <v/>
      </c>
      <c r="M23" s="20" t="str">
        <f t="shared" si="1"/>
        <v/>
      </c>
      <c r="N23" s="8"/>
      <c r="O23" s="20"/>
      <c r="P23" s="20"/>
    </row>
    <row r="24" spans="1:16" x14ac:dyDescent="0.35">
      <c r="A24" s="44"/>
      <c r="B24" s="44"/>
      <c r="C24" s="44"/>
      <c r="D24" s="44"/>
      <c r="E24" s="44"/>
      <c r="F24" s="44"/>
      <c r="G24" s="44"/>
      <c r="H24" s="44"/>
      <c r="I24" s="44"/>
      <c r="J24" s="44"/>
      <c r="K24" s="44"/>
      <c r="L24" s="46" t="str">
        <f t="shared" si="0"/>
        <v/>
      </c>
      <c r="M24" s="25" t="str">
        <f t="shared" si="1"/>
        <v/>
      </c>
      <c r="N24" s="10"/>
      <c r="O24" s="25"/>
      <c r="P24" s="25"/>
    </row>
    <row r="25" spans="1:16" x14ac:dyDescent="0.35">
      <c r="A25" s="44"/>
      <c r="B25" s="44"/>
      <c r="C25" s="44"/>
      <c r="D25" s="44"/>
      <c r="E25" s="44"/>
      <c r="F25" s="44"/>
      <c r="G25" s="44"/>
      <c r="H25" s="44"/>
      <c r="I25" s="44"/>
      <c r="J25" s="44"/>
      <c r="K25" s="44"/>
      <c r="L25" s="45" t="str">
        <f t="shared" si="0"/>
        <v/>
      </c>
      <c r="M25" s="20" t="str">
        <f t="shared" si="1"/>
        <v/>
      </c>
      <c r="N25" s="8"/>
      <c r="O25" s="20"/>
      <c r="P25" s="20"/>
    </row>
    <row r="26" spans="1:16" x14ac:dyDescent="0.35">
      <c r="A26" s="44"/>
      <c r="B26" s="44"/>
      <c r="C26" s="44"/>
      <c r="D26" s="44"/>
      <c r="E26" s="44"/>
      <c r="F26" s="44"/>
      <c r="G26" s="44"/>
      <c r="H26" s="44"/>
      <c r="I26" s="44"/>
      <c r="J26" s="44"/>
      <c r="K26" s="44"/>
      <c r="L26" s="46" t="str">
        <f t="shared" si="0"/>
        <v/>
      </c>
      <c r="M26" s="25" t="str">
        <f t="shared" si="1"/>
        <v/>
      </c>
      <c r="N26" s="10"/>
      <c r="O26" s="25"/>
      <c r="P26" s="25"/>
    </row>
    <row r="27" spans="1:16" x14ac:dyDescent="0.35">
      <c r="A27" s="44"/>
      <c r="B27" s="44"/>
      <c r="C27" s="44"/>
      <c r="D27" s="44"/>
      <c r="E27" s="44"/>
      <c r="F27" s="44"/>
      <c r="G27" s="44"/>
      <c r="H27" s="44"/>
      <c r="I27" s="44"/>
      <c r="J27" s="44"/>
      <c r="K27" s="44"/>
      <c r="L27" s="45" t="str">
        <f t="shared" si="0"/>
        <v/>
      </c>
      <c r="M27" s="20" t="str">
        <f t="shared" si="1"/>
        <v/>
      </c>
      <c r="N27" s="8"/>
      <c r="O27" s="20"/>
      <c r="P27" s="20"/>
    </row>
    <row r="28" spans="1:16" x14ac:dyDescent="0.35">
      <c r="A28" s="44"/>
      <c r="B28" s="44"/>
      <c r="C28" s="44"/>
      <c r="D28" s="44"/>
      <c r="E28" s="44"/>
      <c r="F28" s="44"/>
      <c r="G28" s="44"/>
      <c r="H28" s="44"/>
      <c r="I28" s="44"/>
      <c r="J28" s="44"/>
      <c r="K28" s="44"/>
      <c r="L28" s="46" t="str">
        <f t="shared" si="0"/>
        <v/>
      </c>
      <c r="M28" s="25" t="str">
        <f t="shared" si="1"/>
        <v/>
      </c>
      <c r="N28" s="10"/>
      <c r="O28" s="25"/>
      <c r="P28" s="25"/>
    </row>
    <row r="29" spans="1:16" x14ac:dyDescent="0.35">
      <c r="A29" s="44"/>
      <c r="B29" s="44"/>
      <c r="C29" s="44"/>
      <c r="D29" s="44"/>
      <c r="E29" s="44"/>
      <c r="F29" s="44"/>
      <c r="G29" s="44"/>
      <c r="H29" s="44"/>
      <c r="I29" s="44"/>
      <c r="J29" s="44"/>
      <c r="K29" s="44"/>
      <c r="L29" s="45" t="str">
        <f t="shared" si="0"/>
        <v/>
      </c>
      <c r="M29" s="20" t="str">
        <f t="shared" si="1"/>
        <v/>
      </c>
      <c r="N29" s="8"/>
      <c r="O29" s="20"/>
      <c r="P29" s="20"/>
    </row>
    <row r="30" spans="1:16" x14ac:dyDescent="0.35">
      <c r="A30" s="44"/>
      <c r="B30" s="44"/>
      <c r="C30" s="44"/>
      <c r="D30" s="44"/>
      <c r="E30" s="44"/>
      <c r="F30" s="44"/>
      <c r="G30" s="44"/>
      <c r="H30" s="44"/>
      <c r="I30" s="44"/>
      <c r="J30" s="44"/>
      <c r="K30" s="44"/>
      <c r="L30" s="46" t="str">
        <f t="shared" si="0"/>
        <v/>
      </c>
      <c r="M30" s="25" t="str">
        <f t="shared" si="1"/>
        <v/>
      </c>
      <c r="N30" s="10"/>
      <c r="O30" s="25"/>
      <c r="P30" s="25"/>
    </row>
    <row r="31" spans="1:16" x14ac:dyDescent="0.35">
      <c r="A31" s="44"/>
      <c r="B31" s="44"/>
      <c r="C31" s="44"/>
      <c r="D31" s="44"/>
      <c r="E31" s="44"/>
      <c r="F31" s="44"/>
      <c r="G31" s="44"/>
      <c r="H31" s="44"/>
      <c r="I31" s="44"/>
      <c r="J31" s="44"/>
      <c r="K31" s="44"/>
      <c r="L31" s="45" t="str">
        <f t="shared" si="0"/>
        <v/>
      </c>
      <c r="M31" s="20" t="str">
        <f t="shared" si="1"/>
        <v/>
      </c>
      <c r="N31" s="8"/>
      <c r="O31" s="20"/>
      <c r="P31" s="20"/>
    </row>
    <row r="32" spans="1:16" x14ac:dyDescent="0.35">
      <c r="A32" s="44"/>
      <c r="B32" s="44"/>
      <c r="C32" s="44"/>
      <c r="D32" s="44"/>
      <c r="E32" s="44"/>
      <c r="F32" s="44"/>
      <c r="G32" s="44"/>
      <c r="H32" s="44"/>
      <c r="I32" s="44"/>
      <c r="J32" s="44"/>
      <c r="K32" s="44"/>
      <c r="L32" s="46" t="str">
        <f t="shared" si="0"/>
        <v/>
      </c>
      <c r="M32" s="25" t="str">
        <f t="shared" si="1"/>
        <v/>
      </c>
      <c r="N32" s="10"/>
      <c r="O32" s="25"/>
      <c r="P32" s="25"/>
    </row>
    <row r="33" spans="1:16" x14ac:dyDescent="0.35">
      <c r="A33" s="44"/>
      <c r="B33" s="44"/>
      <c r="C33" s="44"/>
      <c r="D33" s="44"/>
      <c r="E33" s="44"/>
      <c r="F33" s="44"/>
      <c r="G33" s="44"/>
      <c r="H33" s="44"/>
      <c r="I33" s="44"/>
      <c r="J33" s="44"/>
      <c r="K33" s="44"/>
      <c r="L33" s="45" t="str">
        <f t="shared" si="0"/>
        <v/>
      </c>
      <c r="M33" s="20" t="str">
        <f t="shared" si="1"/>
        <v/>
      </c>
      <c r="N33" s="8"/>
      <c r="O33" s="20"/>
      <c r="P33" s="20"/>
    </row>
    <row r="34" spans="1:16" x14ac:dyDescent="0.35">
      <c r="A34" s="44"/>
      <c r="B34" s="44"/>
      <c r="C34" s="44"/>
      <c r="D34" s="44"/>
      <c r="E34" s="44"/>
      <c r="F34" s="44"/>
      <c r="G34" s="44"/>
      <c r="H34" s="44"/>
      <c r="I34" s="44"/>
      <c r="J34" s="44"/>
      <c r="K34" s="44"/>
      <c r="L34" s="46" t="str">
        <f t="shared" si="0"/>
        <v/>
      </c>
      <c r="M34" s="25" t="str">
        <f t="shared" si="1"/>
        <v/>
      </c>
      <c r="N34" s="10"/>
      <c r="O34" s="25"/>
      <c r="P34" s="25"/>
    </row>
    <row r="35" spans="1:16" x14ac:dyDescent="0.35">
      <c r="A35" s="44"/>
      <c r="B35" s="44"/>
      <c r="C35" s="44"/>
      <c r="D35" s="44"/>
      <c r="E35" s="44"/>
      <c r="F35" s="44"/>
      <c r="G35" s="44"/>
      <c r="H35" s="44"/>
      <c r="I35" s="44"/>
      <c r="J35" s="44"/>
      <c r="K35" s="44"/>
      <c r="L35" s="45" t="str">
        <f t="shared" si="0"/>
        <v/>
      </c>
      <c r="M35" s="20" t="str">
        <f t="shared" si="1"/>
        <v/>
      </c>
      <c r="N35" s="8"/>
      <c r="O35" s="20"/>
      <c r="P35" s="20"/>
    </row>
    <row r="36" spans="1:16" x14ac:dyDescent="0.35">
      <c r="A36" s="44"/>
      <c r="B36" s="44"/>
      <c r="C36" s="44"/>
      <c r="D36" s="44"/>
      <c r="E36" s="44"/>
      <c r="F36" s="44"/>
      <c r="G36" s="44"/>
      <c r="H36" s="44"/>
      <c r="I36" s="44"/>
      <c r="J36" s="44"/>
      <c r="K36" s="44"/>
      <c r="L36" s="46" t="str">
        <f t="shared" si="0"/>
        <v/>
      </c>
      <c r="M36" s="25" t="str">
        <f t="shared" si="1"/>
        <v/>
      </c>
      <c r="N36" s="10"/>
      <c r="O36" s="25"/>
      <c r="P36" s="25"/>
    </row>
    <row r="37" spans="1:16" x14ac:dyDescent="0.35">
      <c r="A37" s="44"/>
      <c r="B37" s="44"/>
      <c r="C37" s="44"/>
      <c r="D37" s="44"/>
      <c r="E37" s="44"/>
      <c r="F37" s="44"/>
      <c r="G37" s="44"/>
      <c r="H37" s="44"/>
      <c r="I37" s="44"/>
      <c r="J37" s="44"/>
      <c r="K37" s="44"/>
      <c r="L37" s="45" t="str">
        <f t="shared" si="0"/>
        <v/>
      </c>
      <c r="M37" s="20" t="str">
        <f t="shared" si="1"/>
        <v/>
      </c>
      <c r="N37" s="8"/>
      <c r="O37" s="20"/>
      <c r="P37" s="20"/>
    </row>
    <row r="38" spans="1:16" x14ac:dyDescent="0.35">
      <c r="A38" s="44"/>
      <c r="B38" s="44"/>
      <c r="C38" s="44"/>
      <c r="D38" s="44"/>
      <c r="E38" s="44"/>
      <c r="F38" s="44"/>
      <c r="G38" s="44"/>
      <c r="H38" s="44"/>
      <c r="I38" s="44"/>
      <c r="J38" s="44"/>
      <c r="K38" s="44"/>
      <c r="L38" s="46" t="str">
        <f t="shared" si="0"/>
        <v/>
      </c>
      <c r="M38" s="25" t="str">
        <f t="shared" si="1"/>
        <v/>
      </c>
      <c r="N38" s="10"/>
      <c r="O38" s="25"/>
      <c r="P38" s="25"/>
    </row>
    <row r="39" spans="1:16" x14ac:dyDescent="0.35">
      <c r="A39" s="44"/>
      <c r="B39" s="44"/>
      <c r="C39" s="44"/>
      <c r="D39" s="44"/>
      <c r="E39" s="44"/>
      <c r="F39" s="44"/>
      <c r="G39" s="44"/>
      <c r="H39" s="44"/>
      <c r="I39" s="44"/>
      <c r="J39" s="44"/>
      <c r="K39" s="44"/>
      <c r="L39" s="45" t="str">
        <f t="shared" si="0"/>
        <v/>
      </c>
      <c r="M39" s="20" t="str">
        <f t="shared" si="1"/>
        <v/>
      </c>
      <c r="N39" s="8"/>
      <c r="O39" s="20"/>
      <c r="P39" s="20"/>
    </row>
    <row r="40" spans="1:16" x14ac:dyDescent="0.35">
      <c r="A40" s="44"/>
      <c r="B40" s="44"/>
      <c r="C40" s="44"/>
      <c r="D40" s="44"/>
      <c r="E40" s="44"/>
      <c r="F40" s="44"/>
      <c r="G40" s="44"/>
      <c r="H40" s="44"/>
      <c r="I40" s="44"/>
      <c r="J40" s="44"/>
      <c r="K40" s="44"/>
      <c r="L40" s="46" t="str">
        <f t="shared" si="0"/>
        <v/>
      </c>
      <c r="M40" s="25" t="str">
        <f t="shared" si="1"/>
        <v/>
      </c>
      <c r="N40" s="10"/>
      <c r="O40" s="25"/>
      <c r="P40" s="25"/>
    </row>
    <row r="41" spans="1:16" x14ac:dyDescent="0.35">
      <c r="A41" s="44"/>
      <c r="B41" s="44"/>
      <c r="C41" s="44"/>
      <c r="D41" s="44"/>
      <c r="E41" s="44"/>
      <c r="F41" s="44"/>
      <c r="G41" s="44"/>
      <c r="H41" s="44"/>
      <c r="I41" s="44"/>
      <c r="J41" s="44"/>
      <c r="K41" s="44"/>
      <c r="L41" s="45" t="str">
        <f t="shared" si="0"/>
        <v/>
      </c>
      <c r="M41" s="20" t="str">
        <f t="shared" si="1"/>
        <v/>
      </c>
      <c r="N41" s="8"/>
      <c r="O41" s="20"/>
      <c r="P41" s="20"/>
    </row>
    <row r="42" spans="1:16" x14ac:dyDescent="0.35">
      <c r="A42" s="44"/>
      <c r="B42" s="44"/>
      <c r="C42" s="44"/>
      <c r="D42" s="44"/>
      <c r="E42" s="44"/>
      <c r="F42" s="44"/>
      <c r="G42" s="44"/>
      <c r="H42" s="44"/>
      <c r="I42" s="44"/>
      <c r="J42" s="44"/>
      <c r="K42" s="44"/>
      <c r="L42" s="46" t="str">
        <f t="shared" si="0"/>
        <v/>
      </c>
      <c r="M42" s="25" t="str">
        <f t="shared" si="1"/>
        <v/>
      </c>
      <c r="N42" s="10"/>
      <c r="O42" s="25"/>
      <c r="P42" s="25"/>
    </row>
    <row r="43" spans="1:16" x14ac:dyDescent="0.35">
      <c r="A43" s="44"/>
      <c r="B43" s="44"/>
      <c r="C43" s="44"/>
      <c r="D43" s="44"/>
      <c r="E43" s="44"/>
      <c r="F43" s="44"/>
      <c r="G43" s="44"/>
      <c r="H43" s="44"/>
      <c r="I43" s="44"/>
      <c r="J43" s="44"/>
      <c r="K43" s="44"/>
      <c r="L43" s="45" t="str">
        <f t="shared" si="0"/>
        <v/>
      </c>
      <c r="M43" s="20" t="str">
        <f t="shared" si="1"/>
        <v/>
      </c>
      <c r="N43" s="8"/>
      <c r="O43" s="20"/>
      <c r="P43" s="20"/>
    </row>
    <row r="44" spans="1:16" x14ac:dyDescent="0.35">
      <c r="A44" s="44"/>
      <c r="B44" s="44"/>
      <c r="C44" s="44"/>
      <c r="D44" s="44"/>
      <c r="E44" s="44"/>
      <c r="F44" s="44"/>
      <c r="G44" s="44"/>
      <c r="H44" s="44"/>
      <c r="I44" s="44"/>
      <c r="J44" s="44"/>
      <c r="K44" s="44"/>
      <c r="L44" s="46" t="str">
        <f t="shared" si="0"/>
        <v/>
      </c>
      <c r="M44" s="25" t="str">
        <f t="shared" si="1"/>
        <v/>
      </c>
      <c r="N44" s="10"/>
      <c r="O44" s="25"/>
      <c r="P44" s="25"/>
    </row>
    <row r="45" spans="1:16" x14ac:dyDescent="0.35">
      <c r="A45" s="44"/>
      <c r="B45" s="44"/>
      <c r="C45" s="44"/>
      <c r="D45" s="44"/>
      <c r="E45" s="44"/>
      <c r="F45" s="44"/>
      <c r="G45" s="44"/>
      <c r="H45" s="44"/>
      <c r="I45" s="44"/>
      <c r="J45" s="44"/>
      <c r="K45" s="44"/>
      <c r="L45" s="45" t="str">
        <f t="shared" si="0"/>
        <v/>
      </c>
      <c r="M45" s="20" t="str">
        <f t="shared" si="1"/>
        <v/>
      </c>
      <c r="N45" s="8"/>
      <c r="O45" s="20"/>
      <c r="P45" s="20"/>
    </row>
    <row r="46" spans="1:16" x14ac:dyDescent="0.35">
      <c r="A46" s="44"/>
      <c r="B46" s="44"/>
      <c r="C46" s="44"/>
      <c r="D46" s="44"/>
      <c r="E46" s="44"/>
      <c r="F46" s="44"/>
      <c r="G46" s="44"/>
      <c r="H46" s="44"/>
      <c r="I46" s="44"/>
      <c r="J46" s="44"/>
      <c r="K46" s="44"/>
      <c r="L46" s="46" t="str">
        <f t="shared" si="0"/>
        <v/>
      </c>
      <c r="M46" s="25" t="str">
        <f t="shared" si="1"/>
        <v/>
      </c>
      <c r="N46" s="10"/>
      <c r="O46" s="25"/>
      <c r="P46" s="25"/>
    </row>
    <row r="47" spans="1:16" x14ac:dyDescent="0.35">
      <c r="A47" s="44"/>
      <c r="B47" s="44"/>
      <c r="C47" s="44"/>
      <c r="D47" s="44"/>
      <c r="E47" s="44"/>
      <c r="F47" s="44"/>
      <c r="G47" s="44"/>
      <c r="H47" s="44"/>
      <c r="I47" s="44"/>
      <c r="J47" s="44"/>
      <c r="K47" s="44"/>
      <c r="L47" s="45" t="str">
        <f t="shared" si="0"/>
        <v/>
      </c>
      <c r="M47" s="20" t="str">
        <f t="shared" si="1"/>
        <v/>
      </c>
      <c r="N47" s="8"/>
      <c r="O47" s="20"/>
      <c r="P47" s="20"/>
    </row>
    <row r="48" spans="1:16" x14ac:dyDescent="0.35">
      <c r="A48" s="44"/>
      <c r="B48" s="44"/>
      <c r="C48" s="44"/>
      <c r="D48" s="44"/>
      <c r="E48" s="44"/>
      <c r="F48" s="44"/>
      <c r="G48" s="44"/>
      <c r="H48" s="44"/>
      <c r="I48" s="44"/>
      <c r="J48" s="44"/>
      <c r="K48" s="44"/>
      <c r="L48" s="46" t="str">
        <f t="shared" si="0"/>
        <v/>
      </c>
      <c r="M48" s="25" t="str">
        <f t="shared" si="1"/>
        <v/>
      </c>
      <c r="N48" s="10"/>
      <c r="O48" s="25"/>
      <c r="P48" s="25"/>
    </row>
    <row r="49" spans="1:16" x14ac:dyDescent="0.35">
      <c r="A49" s="44"/>
      <c r="B49" s="44"/>
      <c r="C49" s="44"/>
      <c r="D49" s="44"/>
      <c r="E49" s="44"/>
      <c r="F49" s="44"/>
      <c r="G49" s="44"/>
      <c r="H49" s="44"/>
      <c r="I49" s="44"/>
      <c r="J49" s="44"/>
      <c r="K49" s="44"/>
      <c r="L49" s="45" t="str">
        <f t="shared" si="0"/>
        <v/>
      </c>
      <c r="M49" s="20" t="str">
        <f t="shared" si="1"/>
        <v/>
      </c>
      <c r="N49" s="8"/>
      <c r="O49" s="20"/>
      <c r="P49" s="20"/>
    </row>
    <row r="51" spans="1:16" ht="15.5" x14ac:dyDescent="0.35">
      <c r="A51" s="77" t="s">
        <v>474</v>
      </c>
      <c r="B51" s="75"/>
      <c r="C51" s="75"/>
      <c r="D51" s="76"/>
      <c r="E51" s="47">
        <f t="shared" ref="E51:L51" si="2">IFERROR(AVERAGE(E5:E49),"")</f>
        <v>5</v>
      </c>
      <c r="F51" s="47">
        <f t="shared" si="2"/>
        <v>5</v>
      </c>
      <c r="G51" s="47">
        <f t="shared" si="2"/>
        <v>5</v>
      </c>
      <c r="H51" s="47">
        <f t="shared" si="2"/>
        <v>5</v>
      </c>
      <c r="I51" s="47">
        <f t="shared" si="2"/>
        <v>5</v>
      </c>
      <c r="J51" s="47">
        <f t="shared" si="2"/>
        <v>5</v>
      </c>
      <c r="K51" s="47">
        <f t="shared" si="2"/>
        <v>5</v>
      </c>
      <c r="L51" s="48">
        <f t="shared" si="2"/>
        <v>1</v>
      </c>
      <c r="M51" s="27"/>
      <c r="N51" s="49" t="s">
        <v>475</v>
      </c>
    </row>
    <row r="53" spans="1:16" ht="22" customHeight="1" x14ac:dyDescent="0.35">
      <c r="A53" s="85" t="s">
        <v>476</v>
      </c>
      <c r="B53" s="75"/>
      <c r="C53" s="75"/>
      <c r="D53" s="75"/>
      <c r="E53" s="75"/>
      <c r="F53" s="75"/>
      <c r="G53" s="75"/>
      <c r="H53" s="75"/>
      <c r="I53" s="75"/>
      <c r="J53" s="75"/>
      <c r="K53" s="75"/>
      <c r="L53" s="75"/>
      <c r="M53" s="75"/>
      <c r="N53" s="75"/>
      <c r="O53" s="75"/>
      <c r="P53" s="76"/>
    </row>
    <row r="54" spans="1:16" ht="32.15" customHeight="1" x14ac:dyDescent="0.35">
      <c r="A54" s="84" t="s">
        <v>477</v>
      </c>
      <c r="B54" s="75"/>
      <c r="C54" s="75"/>
      <c r="D54" s="75"/>
      <c r="E54" s="75"/>
      <c r="F54" s="75"/>
      <c r="G54" s="75"/>
      <c r="H54" s="75"/>
      <c r="I54" s="75"/>
      <c r="J54" s="75"/>
      <c r="K54" s="75"/>
      <c r="L54" s="75"/>
      <c r="M54" s="75"/>
      <c r="N54" s="75"/>
      <c r="O54" s="75"/>
      <c r="P54" s="76"/>
    </row>
    <row r="55" spans="1:16" ht="26.15" customHeight="1" x14ac:dyDescent="0.35">
      <c r="A55" s="80" t="s">
        <v>478</v>
      </c>
      <c r="B55" s="76"/>
      <c r="C55" s="15" t="s">
        <v>479</v>
      </c>
      <c r="D55" s="43" t="s">
        <v>480</v>
      </c>
      <c r="E55" s="43" t="s">
        <v>481</v>
      </c>
      <c r="F55" s="43" t="s">
        <v>482</v>
      </c>
      <c r="G55" s="43" t="s">
        <v>382</v>
      </c>
      <c r="H55" s="15" t="s">
        <v>182</v>
      </c>
      <c r="I55" s="81" t="s">
        <v>483</v>
      </c>
      <c r="J55" s="75"/>
      <c r="K55" s="75"/>
      <c r="L55" s="75"/>
      <c r="M55" s="75"/>
      <c r="N55" s="76"/>
    </row>
    <row r="56" spans="1:16" ht="48" customHeight="1" x14ac:dyDescent="0.35">
      <c r="A56" s="83" t="s">
        <v>557</v>
      </c>
      <c r="B56" s="73"/>
      <c r="C56" s="25">
        <f>IF(A56="","",COUNTIF(B5:B49,A56))</f>
        <v>2</v>
      </c>
      <c r="D56" s="24">
        <f>IF(A56="","",IFERROR(AVERAGEIF(B5:B49,A56,L5:L49),""))</f>
        <v>1</v>
      </c>
      <c r="E56" s="9">
        <v>5</v>
      </c>
      <c r="F56" s="9">
        <v>5</v>
      </c>
      <c r="G56" s="51">
        <f>IF(OR(A56="",D56="",E56="",F56=""),"",0.5*D56+0.3*(E56/5)+0.2*(F56/5))</f>
        <v>1</v>
      </c>
      <c r="H56" s="25" t="str">
        <f>IF(G56="","",IF(G56&gt;=0.85,"Meets/Exceeds",IF(G56&gt;=0.7,"Developing","Needs Improvement")))</f>
        <v>Meets/Exceeds</v>
      </c>
      <c r="I56" s="86"/>
      <c r="J56" s="72"/>
      <c r="K56" s="72"/>
      <c r="L56" s="72"/>
      <c r="M56" s="72"/>
      <c r="N56" s="73"/>
    </row>
    <row r="57" spans="1:16" ht="28" customHeight="1" x14ac:dyDescent="0.35">
      <c r="A57" s="79"/>
      <c r="B57" s="73"/>
      <c r="C57" s="25" t="str">
        <f>IF(A57="","",COUNTIF(B5:B49,A57))</f>
        <v/>
      </c>
      <c r="D57" s="24" t="str">
        <f>IF(A57="","",IFERROR(AVERAGEIF(B5:B49,A57,L5:L49),""))</f>
        <v/>
      </c>
      <c r="E57" s="9"/>
      <c r="F57" s="9"/>
      <c r="G57" s="51" t="str">
        <f>IF(OR(A57="",D57="",E57="",F57=""),"",0.5*D57+0.3*(E57/5)+0.2*(F57/5))</f>
        <v/>
      </c>
      <c r="H57" s="25" t="str">
        <f>IF(G57="","",IF(G57&gt;=0.85,"Meets/Exceeds",IF(G57&gt;=0.7,"Developing","Needs Improv.")))</f>
        <v/>
      </c>
      <c r="I57" s="78"/>
      <c r="J57" s="72"/>
      <c r="K57" s="72"/>
      <c r="L57" s="72"/>
      <c r="M57" s="72"/>
      <c r="N57" s="73"/>
    </row>
    <row r="58" spans="1:16" ht="28" customHeight="1" x14ac:dyDescent="0.35">
      <c r="A58" s="79"/>
      <c r="B58" s="73"/>
      <c r="C58" s="20" t="str">
        <f>IF(A58="","",COUNTIF(B5:B49,A58))</f>
        <v/>
      </c>
      <c r="D58" s="19" t="str">
        <f>IF(A58="","",IFERROR(AVERAGEIF(B5:B49,A58,L5:L49),""))</f>
        <v/>
      </c>
      <c r="E58" s="9"/>
      <c r="F58" s="9"/>
      <c r="G58" s="52" t="str">
        <f>IF(OR(A58="",D58="",E58="",F58=""),"",0.5*D58+0.3*(E58/5)+0.2*(F58/5))</f>
        <v/>
      </c>
      <c r="H58" s="20" t="str">
        <f>IF(G58="","",IF(G58&gt;=0.85,"Meets/Exceeds",IF(G58&gt;=0.7,"Developing","Needs Improv.")))</f>
        <v/>
      </c>
      <c r="I58" s="78"/>
      <c r="J58" s="72"/>
      <c r="K58" s="72"/>
      <c r="L58" s="72"/>
      <c r="M58" s="72"/>
      <c r="N58" s="73"/>
    </row>
    <row r="59" spans="1:16" ht="28" customHeight="1" x14ac:dyDescent="0.35">
      <c r="A59" s="79"/>
      <c r="B59" s="73"/>
      <c r="C59" s="25" t="str">
        <f>IF(A59="","",COUNTIF(B5:B49,A59))</f>
        <v/>
      </c>
      <c r="D59" s="24" t="str">
        <f>IF(A59="","",IFERROR(AVERAGEIF(B5:B49,A59,L5:L49),""))</f>
        <v/>
      </c>
      <c r="E59" s="9"/>
      <c r="F59" s="9"/>
      <c r="G59" s="51" t="str">
        <f>IF(OR(A59="",D59="",E59="",F59=""),"",0.5*D59+0.3*(E59/5)+0.2*(F59/5))</f>
        <v/>
      </c>
      <c r="H59" s="25" t="str">
        <f>IF(G59="","",IF(G59&gt;=0.85,"Meets/Exceeds",IF(G59&gt;=0.7,"Developing","Needs Improv.")))</f>
        <v/>
      </c>
      <c r="I59" s="78"/>
      <c r="J59" s="72"/>
      <c r="K59" s="72"/>
      <c r="L59" s="72"/>
      <c r="M59" s="72"/>
      <c r="N59" s="73"/>
    </row>
    <row r="60" spans="1:16" ht="28" customHeight="1" x14ac:dyDescent="0.35">
      <c r="A60" s="71" t="s">
        <v>484</v>
      </c>
      <c r="B60" s="72"/>
      <c r="C60" s="72"/>
      <c r="D60" s="72"/>
      <c r="E60" s="72"/>
      <c r="F60" s="72"/>
      <c r="G60" s="72"/>
      <c r="H60" s="72"/>
      <c r="I60" s="72"/>
      <c r="J60" s="72"/>
      <c r="K60" s="72"/>
      <c r="L60" s="72"/>
      <c r="M60" s="72"/>
      <c r="N60" s="73"/>
    </row>
  </sheetData>
  <mergeCells count="17">
    <mergeCell ref="A1:P1"/>
    <mergeCell ref="A57:B57"/>
    <mergeCell ref="A56:B56"/>
    <mergeCell ref="A54:P54"/>
    <mergeCell ref="A53:P53"/>
    <mergeCell ref="I56:N56"/>
    <mergeCell ref="A2:P2"/>
    <mergeCell ref="A60:N60"/>
    <mergeCell ref="A3:P3"/>
    <mergeCell ref="A51:D51"/>
    <mergeCell ref="I57:N57"/>
    <mergeCell ref="I58:N58"/>
    <mergeCell ref="A58:B58"/>
    <mergeCell ref="A55:B55"/>
    <mergeCell ref="I55:N55"/>
    <mergeCell ref="A59:B59"/>
    <mergeCell ref="I59:N59"/>
  </mergeCells>
  <conditionalFormatting sqref="A3">
    <cfRule type="cellIs" dxfId="22" priority="13" operator="greaterThanOrEqual">
      <formula>$G$56&gt;=0.85</formula>
    </cfRule>
    <cfRule type="expression" dxfId="21" priority="14">
      <formula>$G$56&gt;=0.85</formula>
    </cfRule>
    <cfRule type="expression" dxfId="20" priority="15">
      <formula>AND($G$56&gt;=0.7,$G$56&lt;0.85)</formula>
    </cfRule>
    <cfRule type="expression" dxfId="19" priority="16">
      <formula>$G$56&lt;0.7</formula>
    </cfRule>
  </conditionalFormatting>
  <conditionalFormatting sqref="G56:G59">
    <cfRule type="cellIs" dxfId="18" priority="7" operator="greaterThanOrEqual">
      <formula>0.85</formula>
    </cfRule>
    <cfRule type="cellIs" dxfId="17" priority="8" operator="between">
      <formula>0.7</formula>
      <formula>0.8499</formula>
    </cfRule>
    <cfRule type="cellIs" dxfId="16" priority="9" operator="lessThan">
      <formula>0.7</formula>
    </cfRule>
  </conditionalFormatting>
  <conditionalFormatting sqref="H56:H59">
    <cfRule type="cellIs" dxfId="15" priority="10" operator="equal">
      <formula>"Meets/Exceeds"</formula>
    </cfRule>
    <cfRule type="cellIs" dxfId="14" priority="11" operator="equal">
      <formula>"Developing"</formula>
    </cfRule>
    <cfRule type="cellIs" dxfId="13" priority="12" operator="equal">
      <formula>"Needs Improv."</formula>
    </cfRule>
  </conditionalFormatting>
  <conditionalFormatting sqref="L5:L49">
    <cfRule type="cellIs" dxfId="12" priority="1" operator="greaterThanOrEqual">
      <formula>0.85</formula>
    </cfRule>
    <cfRule type="cellIs" dxfId="11" priority="2" operator="between">
      <formula>0.7</formula>
      <formula>0.8499</formula>
    </cfRule>
    <cfRule type="cellIs" dxfId="10" priority="3" operator="lessThan">
      <formula>0.7</formula>
    </cfRule>
  </conditionalFormatting>
  <conditionalFormatting sqref="M5:M49">
    <cfRule type="cellIs" dxfId="9" priority="4" operator="equal">
      <formula>"Meets/Exceeds"</formula>
    </cfRule>
    <cfRule type="cellIs" dxfId="8" priority="5" operator="equal">
      <formula>"Developing"</formula>
    </cfRule>
    <cfRule type="cellIs" dxfId="7" priority="6" operator="equal">
      <formula>"Needs Improv."</formula>
    </cfRule>
  </conditionalFormatting>
  <conditionalFormatting sqref="O5:O49">
    <cfRule type="cellIs" dxfId="6" priority="17" operator="equal">
      <formula>"Resolver"</formula>
    </cfRule>
    <cfRule type="cellIs" dxfId="5" priority="18" operator="equal">
      <formula>"Progress Builder"</formula>
    </cfRule>
    <cfRule type="cellIs" dxfId="4" priority="19" operator="equal">
      <formula>"Maintainer"</formula>
    </cfRule>
    <cfRule type="cellIs" dxfId="3" priority="20" operator="equal">
      <formula>"Regression Contributor"</formula>
    </cfRule>
  </conditionalFormatting>
  <conditionalFormatting sqref="P5:P49">
    <cfRule type="cellIs" dxfId="2" priority="21" operator="greaterThanOrEqual">
      <formula>4</formula>
    </cfRule>
    <cfRule type="cellIs" dxfId="1" priority="22" operator="between">
      <formula>2</formula>
      <formula>3</formula>
    </cfRule>
    <cfRule type="cellIs" dxfId="0" priority="23" operator="lessThanOrEqual">
      <formula>1</formula>
    </cfRule>
  </conditionalFormatting>
  <dataValidations count="4">
    <dataValidation type="whole" allowBlank="1" showErrorMessage="1" errorTitle="Invalid score" error="Enter 0 to 5." sqref="E5:K49" xr:uid="{00000000-0002-0000-0600-000000000000}">
      <formula1>0</formula1>
      <formula2>5</formula2>
    </dataValidation>
    <dataValidation type="whole" allowBlank="1" showErrorMessage="1" errorTitle="Invalid score" error="Enter 0 to 5 (anchors on Multi-Touch Guide)." sqref="E56:F59" xr:uid="{00000000-0002-0000-0600-000001000000}">
      <formula1>0</formula1>
      <formula2>5</formula2>
    </dataValidation>
    <dataValidation type="list" allowBlank="1" showErrorMessage="1" errorTitle="Invalid type" error="Pick Resolver, Progress Builder, Maintainer, Breaker, or N/A." sqref="O5:O49" xr:uid="{00000000-0002-0000-0600-000002000000}">
      <formula1>"Resolver,Progress Builder,Maintainer,Regression Contributor,N/A"</formula1>
    </dataValidation>
    <dataValidation type="whole" allowBlank="1" showErrorMessage="1" errorTitle="Invalid score" error="Enter 0 to 5, or leave blank / type N/A for a final touch with no further handoff." sqref="P5:P16 P18:P49" xr:uid="{00000000-0002-0000-0600-000003000000}">
      <formula1>0</formula1>
      <formula2>5</formula2>
    </dataValidation>
  </dataValidation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17"/>
  <sheetViews>
    <sheetView workbookViewId="0"/>
  </sheetViews>
  <sheetFormatPr defaultRowHeight="14.5" x14ac:dyDescent="0.35"/>
  <cols>
    <col min="1" max="8" width="34" customWidth="1"/>
  </cols>
  <sheetData>
    <row r="1" spans="1:10" x14ac:dyDescent="0.35">
      <c r="A1" t="s">
        <v>84</v>
      </c>
      <c r="B1" t="s">
        <v>485</v>
      </c>
      <c r="C1" t="s">
        <v>486</v>
      </c>
      <c r="D1" t="s">
        <v>487</v>
      </c>
      <c r="E1" t="s">
        <v>488</v>
      </c>
      <c r="F1" t="s">
        <v>489</v>
      </c>
      <c r="G1" t="s">
        <v>490</v>
      </c>
      <c r="J1" t="s">
        <v>491</v>
      </c>
    </row>
    <row r="2" spans="1:10" x14ac:dyDescent="0.35">
      <c r="A2" t="s">
        <v>492</v>
      </c>
      <c r="B2" t="s">
        <v>493</v>
      </c>
      <c r="C2" t="s">
        <v>494</v>
      </c>
      <c r="D2" t="s">
        <v>495</v>
      </c>
      <c r="E2" t="s">
        <v>495</v>
      </c>
      <c r="F2" t="s">
        <v>495</v>
      </c>
      <c r="G2" t="s">
        <v>495</v>
      </c>
    </row>
    <row r="3" spans="1:10" x14ac:dyDescent="0.35">
      <c r="A3" t="s">
        <v>496</v>
      </c>
      <c r="B3" t="s">
        <v>497</v>
      </c>
      <c r="C3" t="s">
        <v>498</v>
      </c>
      <c r="D3" t="s">
        <v>499</v>
      </c>
      <c r="E3" t="s">
        <v>500</v>
      </c>
      <c r="F3" t="s">
        <v>501</v>
      </c>
      <c r="G3" t="s">
        <v>502</v>
      </c>
    </row>
    <row r="4" spans="1:10" x14ac:dyDescent="0.35">
      <c r="A4" t="s">
        <v>503</v>
      </c>
      <c r="B4" t="s">
        <v>504</v>
      </c>
      <c r="C4" t="s">
        <v>505</v>
      </c>
      <c r="D4" t="s">
        <v>506</v>
      </c>
      <c r="E4" t="s">
        <v>507</v>
      </c>
      <c r="F4" t="s">
        <v>508</v>
      </c>
      <c r="G4" t="s">
        <v>509</v>
      </c>
    </row>
    <row r="5" spans="1:10" x14ac:dyDescent="0.35">
      <c r="A5" t="s">
        <v>510</v>
      </c>
      <c r="B5" t="s">
        <v>511</v>
      </c>
      <c r="C5" t="s">
        <v>512</v>
      </c>
      <c r="D5" t="s">
        <v>69</v>
      </c>
      <c r="E5" t="s">
        <v>513</v>
      </c>
      <c r="F5" t="s">
        <v>514</v>
      </c>
      <c r="G5" t="s">
        <v>515</v>
      </c>
    </row>
    <row r="6" spans="1:10" x14ac:dyDescent="0.35">
      <c r="A6" t="s">
        <v>516</v>
      </c>
      <c r="C6" t="s">
        <v>517</v>
      </c>
      <c r="D6" t="s">
        <v>518</v>
      </c>
      <c r="E6" t="s">
        <v>519</v>
      </c>
      <c r="F6" t="s">
        <v>520</v>
      </c>
      <c r="G6" t="s">
        <v>521</v>
      </c>
    </row>
    <row r="7" spans="1:10" x14ac:dyDescent="0.35">
      <c r="A7" t="s">
        <v>522</v>
      </c>
      <c r="C7" t="s">
        <v>523</v>
      </c>
      <c r="E7" t="s">
        <v>524</v>
      </c>
      <c r="F7" t="s">
        <v>525</v>
      </c>
      <c r="G7" t="s">
        <v>526</v>
      </c>
    </row>
    <row r="8" spans="1:10" x14ac:dyDescent="0.35">
      <c r="A8" t="s">
        <v>527</v>
      </c>
      <c r="C8" t="s">
        <v>528</v>
      </c>
      <c r="E8" t="s">
        <v>529</v>
      </c>
      <c r="F8" t="s">
        <v>530</v>
      </c>
      <c r="G8" t="s">
        <v>531</v>
      </c>
    </row>
    <row r="9" spans="1:10" x14ac:dyDescent="0.35">
      <c r="A9" t="s">
        <v>532</v>
      </c>
      <c r="E9" t="s">
        <v>533</v>
      </c>
      <c r="F9" t="s">
        <v>534</v>
      </c>
      <c r="G9" t="s">
        <v>535</v>
      </c>
    </row>
    <row r="10" spans="1:10" x14ac:dyDescent="0.35">
      <c r="A10" t="s">
        <v>536</v>
      </c>
      <c r="E10" t="s">
        <v>537</v>
      </c>
      <c r="G10" t="s">
        <v>538</v>
      </c>
    </row>
    <row r="11" spans="1:10" x14ac:dyDescent="0.35">
      <c r="A11" t="s">
        <v>539</v>
      </c>
      <c r="E11" t="s">
        <v>540</v>
      </c>
    </row>
    <row r="12" spans="1:10" x14ac:dyDescent="0.35">
      <c r="A12" t="s">
        <v>541</v>
      </c>
      <c r="E12" t="s">
        <v>542</v>
      </c>
    </row>
    <row r="13" spans="1:10" x14ac:dyDescent="0.35">
      <c r="A13" t="s">
        <v>543</v>
      </c>
      <c r="E13" t="s">
        <v>544</v>
      </c>
    </row>
    <row r="14" spans="1:10" x14ac:dyDescent="0.35">
      <c r="A14" t="s">
        <v>545</v>
      </c>
      <c r="E14" t="s">
        <v>546</v>
      </c>
    </row>
    <row r="15" spans="1:10" x14ac:dyDescent="0.35">
      <c r="A15" t="s">
        <v>547</v>
      </c>
      <c r="E15" t="s">
        <v>548</v>
      </c>
    </row>
    <row r="16" spans="1:10" x14ac:dyDescent="0.35">
      <c r="A16" t="s">
        <v>549</v>
      </c>
    </row>
    <row r="17" spans="1:1" x14ac:dyDescent="0.35">
      <c r="A17" t="s">
        <v>550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Quick Start</vt:lpstr>
      <vt:lpstr>Scoring Form</vt:lpstr>
      <vt:lpstr>Scoring Guide</vt:lpstr>
      <vt:lpstr>Multi-Touch Guide</vt:lpstr>
      <vt:lpstr>Team Scoring</vt:lpstr>
      <vt:lpstr>Eppie Lou Lagumbay (L1)</vt:lpstr>
      <vt:lpstr>John Clark Labadan ( L2 )</vt:lpstr>
      <vt:lpstr>Case Tracker</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Edmar Padayhag</cp:lastModifiedBy>
  <dcterms:created xsi:type="dcterms:W3CDTF">2026-06-10T01:33:30Z</dcterms:created>
  <dcterms:modified xsi:type="dcterms:W3CDTF">2026-06-16T22:41:05Z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2026-06-16T02:18:33Z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ffc6db12-5428-4caf-b237-b8735eda8c6e</vt:lpwstr>
  </property>
  <property fmtid="{D5CDD505-2E9C-101B-9397-08002B2CF9AE}" pid="7" name="MSIP_Label_defa4170-0d19-0005-0004-bc88714345d2_ActionId">
    <vt:lpwstr>196d2114-528f-41fd-b642-ef853cc98903</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