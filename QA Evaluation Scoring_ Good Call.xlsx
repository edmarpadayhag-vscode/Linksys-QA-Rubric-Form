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ctrlProps/ctrlProp13.xml" ContentType="application/vnd.ms-excel.controlproperties+xml"/>
  <Override PartName="/xl/ctrlProps/ctrlProp14.xml" ContentType="application/vnd.ms-excel.controlproperties+xml"/>
  <Override PartName="/xl/ctrlProps/ctrlProp15.xml" ContentType="application/vnd.ms-excel.controlproperties+xml"/>
  <Override PartName="/xl/ctrlProps/ctrlProp16.xml" ContentType="application/vnd.ms-excel.controlproperties+xml"/>
  <Override PartName="/xl/ctrlProps/ctrlProp17.xml" ContentType="application/vnd.ms-excel.controlproperties+xml"/>
  <Override PartName="/xl/ctrlProps/ctrlProp18.xml" ContentType="application/vnd.ms-excel.controlproperties+xml"/>
  <Override PartName="/xl/ctrlProps/ctrlProp19.xml" ContentType="application/vnd.ms-excel.controlproperties+xml"/>
  <Override PartName="/xl/ctrlProps/ctrlProp20.xml" ContentType="application/vnd.ms-excel.controlproperties+xml"/>
  <Override PartName="/xl/ctrlProps/ctrlProp21.xml" ContentType="application/vnd.ms-excel.controlproperties+xml"/>
  <Override PartName="/xl/ctrlProps/ctrlProp22.xml" ContentType="application/vnd.ms-excel.controlproperties+xml"/>
  <Override PartName="/xl/ctrlProps/ctrlProp23.xml" ContentType="application/vnd.ms-excel.controlproperties+xml"/>
  <Override PartName="/xl/ctrlProps/ctrlProp24.xml" ContentType="application/vnd.ms-excel.controlproperties+xml"/>
  <Override PartName="/xl/ctrlProps/ctrlProp25.xml" ContentType="application/vnd.ms-excel.controlproperties+xml"/>
  <Override PartName="/xl/ctrlProps/ctrlProp26.xml" ContentType="application/vnd.ms-excel.controlproperties+xml"/>
  <Override PartName="/xl/ctrlProps/ctrlProp27.xml" ContentType="application/vnd.ms-excel.controlproperties+xml"/>
  <Override PartName="/xl/ctrlProps/ctrlProp28.xml" ContentType="application/vnd.ms-excel.controlproperties+xml"/>
  <Override PartName="/xl/ctrlProps/ctrlProp29.xml" ContentType="application/vnd.ms-excel.controlproperties+xml"/>
  <Override PartName="/xl/ctrlProps/ctrlProp30.xml" ContentType="application/vnd.ms-excel.controlproperties+xml"/>
  <Override PartName="/xl/ctrlProps/ctrlProp31.xml" ContentType="application/vnd.ms-excel.controlproperties+xml"/>
  <Override PartName="/xl/ctrlProps/ctrlProp32.xml" ContentType="application/vnd.ms-excel.controlproperties+xml"/>
  <Override PartName="/xl/ctrlProps/ctrlProp33.xml" ContentType="application/vnd.ms-excel.controlproperties+xml"/>
  <Override PartName="/xl/ctrlProps/ctrlProp34.xml" ContentType="application/vnd.ms-excel.controlproperties+xml"/>
  <Override PartName="/xl/ctrlProps/ctrlProp35.xml" ContentType="application/vnd.ms-excel.controlproperties+xml"/>
  <Override PartName="/xl/ctrlProps/ctrlProp36.xml" ContentType="application/vnd.ms-excel.controlproperties+xml"/>
  <Override PartName="/xl/ctrlProps/ctrlProp37.xml" ContentType="application/vnd.ms-excel.controlproperties+xml"/>
  <Override PartName="/xl/ctrlProps/ctrlProp38.xml" ContentType="application/vnd.ms-excel.controlproperties+xml"/>
  <Override PartName="/xl/ctrlProps/ctrlProp39.xml" ContentType="application/vnd.ms-excel.controlproperties+xml"/>
  <Override PartName="/xl/ctrlProps/ctrlProp40.xml" ContentType="application/vnd.ms-excel.controlproperties+xml"/>
  <Override PartName="/xl/ctrlProps/ctrlProp41.xml" ContentType="application/vnd.ms-excel.controlproperties+xml"/>
  <Override PartName="/xl/ctrlProps/ctrlProp42.xml" ContentType="application/vnd.ms-excel.controlproperties+xml"/>
  <Override PartName="/xl/ctrlProps/ctrlProp43.xml" ContentType="application/vnd.ms-excel.controlproperties+xml"/>
  <Override PartName="/xl/ctrlProps/ctrlProp44.xml" ContentType="application/vnd.ms-excel.controlproperties+xml"/>
  <Override PartName="/xl/ctrlProps/ctrlProp45.xml" ContentType="application/vnd.ms-excel.controlproperties+xml"/>
  <Override PartName="/xl/ctrlProps/ctrlProp46.xml" ContentType="application/vnd.ms-excel.controlproperties+xml"/>
  <Override PartName="/xl/ctrlProps/ctrlProp47.xml" ContentType="application/vnd.ms-excel.controlproperties+xml"/>
  <Override PartName="/xl/ctrlProps/ctrlProp48.xml" ContentType="application/vnd.ms-excel.controlproperties+xml"/>
  <Override PartName="/xl/ctrlProps/ctrlProp49.xml" ContentType="application/vnd.ms-excel.controlproperties+xml"/>
  <Override PartName="/xl/ctrlProps/ctrlProp50.xml" ContentType="application/vnd.ms-excel.controlproperties+xml"/>
  <Override PartName="/xl/ctrlProps/ctrlProp51.xml" ContentType="application/vnd.ms-excel.controlproperties+xml"/>
  <Override PartName="/xl/ctrlProps/ctrlProp52.xml" ContentType="application/vnd.ms-excel.controlproperties+xml"/>
  <Override PartName="/xl/ctrlProps/ctrlProp53.xml" ContentType="application/vnd.ms-excel.controlproperties+xml"/>
  <Override PartName="/xl/ctrlProps/ctrlProp54.xml" ContentType="application/vnd.ms-excel.controlproperties+xml"/>
  <Override PartName="/xl/ctrlProps/ctrlProp55.xml" ContentType="application/vnd.ms-excel.controlproperties+xml"/>
  <Override PartName="/xl/ctrlProps/ctrlProp56.xml" ContentType="application/vnd.ms-excel.controlproperties+xml"/>
  <Override PartName="/xl/ctrlProps/ctrlProp57.xml" ContentType="application/vnd.ms-excel.controlproperties+xml"/>
  <Override PartName="/xl/ctrlProps/ctrlProp58.xml" ContentType="application/vnd.ms-excel.controlproperties+xml"/>
  <Override PartName="/xl/ctrlProps/ctrlProp59.xml" ContentType="application/vnd.ms-excel.controlproperties+xml"/>
  <Override PartName="/xl/ctrlProps/ctrlProp60.xml" ContentType="application/vnd.ms-excel.controlproperties+xml"/>
  <Override PartName="/xl/ctrlProps/ctrlProp61.xml" ContentType="application/vnd.ms-excel.controlproperties+xml"/>
  <Override PartName="/xl/ctrlProps/ctrlProp62.xml" ContentType="application/vnd.ms-excel.controlproperties+xml"/>
  <Override PartName="/xl/ctrlProps/ctrlProp63.xml" ContentType="application/vnd.ms-excel.controlproperties+xml"/>
  <Override PartName="/xl/ctrlProps/ctrlProp64.xml" ContentType="application/vnd.ms-excel.controlproperties+xml"/>
  <Override PartName="/xl/ctrlProps/ctrlProp65.xml" ContentType="application/vnd.ms-excel.controlproperties+xml"/>
  <Override PartName="/xl/ctrlProps/ctrlProp66.xml" ContentType="application/vnd.ms-excel.controlproperties+xml"/>
  <Override PartName="/xl/ctrlProps/ctrlProp67.xml" ContentType="application/vnd.ms-excel.controlproperties+xml"/>
  <Override PartName="/xl/ctrlProps/ctrlProp68.xml" ContentType="application/vnd.ms-excel.controlproperties+xml"/>
  <Override PartName="/xl/ctrlProps/ctrlProp69.xml" ContentType="application/vnd.ms-excel.controlproperties+xml"/>
  <Override PartName="/xl/ctrlProps/ctrlProp70.xml" ContentType="application/vnd.ms-excel.controlproperties+xml"/>
  <Override PartName="/xl/ctrlProps/ctrlProp71.xml" ContentType="application/vnd.ms-excel.controlproperties+xml"/>
  <Override PartName="/xl/ctrlProps/ctrlProp72.xml" ContentType="application/vnd.ms-excel.controlproperties+xml"/>
  <Override PartName="/xl/ctrlProps/ctrlProp73.xml" ContentType="application/vnd.ms-excel.controlproperties+xml"/>
  <Override PartName="/xl/ctrlProps/ctrlProp74.xml" ContentType="application/vnd.ms-excel.controlproperties+xml"/>
  <Override PartName="/xl/ctrlProps/ctrlProp75.xml" ContentType="application/vnd.ms-excel.controlproperties+xml"/>
  <Override PartName="/xl/ctrlProps/ctrlProp76.xml" ContentType="application/vnd.ms-excel.controlproperties+xml"/>
  <Override PartName="/xl/ctrlProps/ctrlProp77.xml" ContentType="application/vnd.ms-excel.controlproperties+xml"/>
  <Override PartName="/xl/ctrlProps/ctrlProp78.xml" ContentType="application/vnd.ms-excel.controlproperties+xml"/>
  <Override PartName="/xl/ctrlProps/ctrlProp79.xml" ContentType="application/vnd.ms-excel.controlproperties+xml"/>
  <Override PartName="/xl/ctrlProps/ctrlProp80.xml" ContentType="application/vnd.ms-excel.controlproperties+xml"/>
  <Override PartName="/xl/ctrlProps/ctrlProp81.xml" ContentType="application/vnd.ms-excel.controlproperties+xml"/>
  <Override PartName="/xl/ctrlProps/ctrlProp82.xml" ContentType="application/vnd.ms-excel.controlproperties+xml"/>
  <Override PartName="/xl/ctrlProps/ctrlProp83.xml" ContentType="application/vnd.ms-excel.controlproperties+xml"/>
  <Override PartName="/xl/ctrlProps/ctrlProp84.xml" ContentType="application/vnd.ms-excel.controlproperties+xml"/>
  <Override PartName="/xl/ctrlProps/ctrlProp85.xml" ContentType="application/vnd.ms-excel.controlproperties+xml"/>
  <Override PartName="/xl/ctrlProps/ctrlProp86.xml" ContentType="application/vnd.ms-excel.controlproperties+xml"/>
  <Override PartName="/xl/ctrlProps/ctrlProp87.xml" ContentType="application/vnd.ms-excel.controlproperties+xml"/>
  <Override PartName="/xl/ctrlProps/ctrlProp88.xml" ContentType="application/vnd.ms-excel.controlproperties+xml"/>
  <Override PartName="/xl/ctrlProps/ctrlProp89.xml" ContentType="application/vnd.ms-excel.controlproperties+xml"/>
  <Override PartName="/xl/ctrlProps/ctrlProp90.xml" ContentType="application/vnd.ms-excel.controlproperties+xml"/>
  <Override PartName="/xl/ctrlProps/ctrlProp91.xml" ContentType="application/vnd.ms-excel.controlproperties+xml"/>
  <Override PartName="/xl/ctrlProps/ctrlProp92.xml" ContentType="application/vnd.ms-excel.controlproperties+xml"/>
  <Override PartName="/xl/ctrlProps/ctrlProp93.xml" ContentType="application/vnd.ms-excel.controlproperties+xml"/>
  <Override PartName="/xl/ctrlProps/ctrlProp94.xml" ContentType="application/vnd.ms-excel.controlproperties+xml"/>
  <Override PartName="/xl/ctrlProps/ctrlProp95.xml" ContentType="application/vnd.ms-excel.controlproperties+xml"/>
  <Override PartName="/xl/ctrlProps/ctrlProp96.xml" ContentType="application/vnd.ms-excel.controlproperties+xml"/>
  <Override PartName="/xl/ctrlProps/ctrlProp97.xml" ContentType="application/vnd.ms-excel.controlproperties+xml"/>
  <Override PartName="/xl/ctrlProps/ctrlProp98.xml" ContentType="application/vnd.ms-excel.controlproperties+xml"/>
  <Override PartName="/xl/ctrlProps/ctrlProp99.xml" ContentType="application/vnd.ms-excel.controlproperties+xml"/>
  <Override PartName="/xl/ctrlProps/ctrlProp100.xml" ContentType="application/vnd.ms-excel.controlproperties+xml"/>
  <Override PartName="/xl/ctrlProps/ctrlProp101.xml" ContentType="application/vnd.ms-excel.controlproperties+xml"/>
  <Override PartName="/xl/ctrlProps/ctrlProp102.xml" ContentType="application/vnd.ms-excel.controlproperties+xml"/>
  <Override PartName="/xl/ctrlProps/ctrlProp103.xml" ContentType="application/vnd.ms-excel.controlproperties+xml"/>
  <Override PartName="/xl/ctrlProps/ctrlProp104.xml" ContentType="application/vnd.ms-excel.controlproperties+xml"/>
  <Override PartName="/xl/ctrlProps/ctrlProp105.xml" ContentType="application/vnd.ms-excel.controlproperties+xml"/>
  <Override PartName="/xl/ctrlProps/ctrlProp106.xml" ContentType="application/vnd.ms-excel.controlproperties+xml"/>
  <Override PartName="/xl/ctrlProps/ctrlProp107.xml" ContentType="application/vnd.ms-excel.controlproperties+xml"/>
  <Override PartName="/xl/ctrlProps/ctrlProp108.xml" ContentType="application/vnd.ms-excel.controlproperties+xml"/>
  <Override PartName="/xl/ctrlProps/ctrlProp109.xml" ContentType="application/vnd.ms-excel.controlproperties+xml"/>
  <Override PartName="/xl/ctrlProps/ctrlProp110.xml" ContentType="application/vnd.ms-excel.controlproperties+xml"/>
  <Override PartName="/xl/ctrlProps/ctrlProp111.xml" ContentType="application/vnd.ms-excel.controlproperties+xml"/>
  <Override PartName="/xl/ctrlProps/ctrlProp112.xml" ContentType="application/vnd.ms-excel.controlproperties+xml"/>
  <Override PartName="/xl/ctrlProps/ctrlProp113.xml" ContentType="application/vnd.ms-excel.controlproperties+xml"/>
  <Override PartName="/xl/ctrlProps/ctrlProp114.xml" ContentType="application/vnd.ms-excel.controlproperties+xml"/>
  <Override PartName="/xl/ctrlProps/ctrlProp115.xml" ContentType="application/vnd.ms-excel.controlproperties+xml"/>
  <Override PartName="/xl/ctrlProps/ctrlProp116.xml" ContentType="application/vnd.ms-excel.controlproperties+xml"/>
  <Override PartName="/xl/ctrlProps/ctrlProp117.xml" ContentType="application/vnd.ms-excel.controlproperties+xml"/>
  <Override PartName="/xl/ctrlProps/ctrlProp118.xml" ContentType="application/vnd.ms-excel.controlproperties+xml"/>
  <Override PartName="/xl/ctrlProps/ctrlProp119.xml" ContentType="application/vnd.ms-excel.controlproperties+xml"/>
  <Override PartName="/xl/ctrlProps/ctrlProp120.xml" ContentType="application/vnd.ms-excel.controlproperties+xml"/>
  <Override PartName="/xl/ctrlProps/ctrlProp121.xml" ContentType="application/vnd.ms-excel.controlproperties+xml"/>
  <Override PartName="/xl/ctrlProps/ctrlProp122.xml" ContentType="application/vnd.ms-excel.controlproperties+xml"/>
  <Override PartName="/xl/ctrlProps/ctrlProp123.xml" ContentType="application/vnd.ms-excel.controlproperties+xml"/>
  <Override PartName="/xl/ctrlProps/ctrlProp124.xml" ContentType="application/vnd.ms-excel.controlproperties+xml"/>
  <Override PartName="/xl/ctrlProps/ctrlProp125.xml" ContentType="application/vnd.ms-excel.controlproperties+xml"/>
  <Override PartName="/xl/ctrlProps/ctrlProp126.xml" ContentType="application/vnd.ms-excel.controlproperties+xml"/>
  <Override PartName="/xl/ctrlProps/ctrlProp127.xml" ContentType="application/vnd.ms-excel.controlproperties+xml"/>
  <Override PartName="/xl/ctrlProps/ctrlProp128.xml" ContentType="application/vnd.ms-excel.controlproperties+xml"/>
  <Override PartName="/xl/ctrlProps/ctrlProp129.xml" ContentType="application/vnd.ms-excel.controlproperties+xml"/>
  <Override PartName="/xl/ctrlProps/ctrlProp130.xml" ContentType="application/vnd.ms-excel.controlproperties+xml"/>
  <Override PartName="/xl/ctrlProps/ctrlProp131.xml" ContentType="application/vnd.ms-excel.controlproperties+xml"/>
  <Override PartName="/xl/ctrlProps/ctrlProp132.xml" ContentType="application/vnd.ms-excel.controlproperties+xml"/>
  <Override PartName="/xl/ctrlProps/ctrlProp133.xml" ContentType="application/vnd.ms-excel.controlproperties+xml"/>
  <Override PartName="/xl/ctrlProps/ctrlProp134.xml" ContentType="application/vnd.ms-excel.controlproperties+xml"/>
  <Override PartName="/xl/ctrlProps/ctrlProp135.xml" ContentType="application/vnd.ms-excel.controlproperties+xml"/>
  <Override PartName="/xl/ctrlProps/ctrlProp136.xml" ContentType="application/vnd.ms-excel.controlproperties+xml"/>
  <Override PartName="/xl/ctrlProps/ctrlProp137.xml" ContentType="application/vnd.ms-excel.controlproperties+xml"/>
  <Override PartName="/xl/ctrlProps/ctrlProp138.xml" ContentType="application/vnd.ms-excel.controlproperties+xml"/>
  <Override PartName="/xl/ctrlProps/ctrlProp139.xml" ContentType="application/vnd.ms-excel.controlproperties+xml"/>
  <Override PartName="/xl/ctrlProps/ctrlProp140.xml" ContentType="application/vnd.ms-excel.controlproperties+xml"/>
  <Override PartName="/xl/ctrlProps/ctrlProp141.xml" ContentType="application/vnd.ms-excel.controlproperties+xml"/>
  <Override PartName="/xl/ctrlProps/ctrlProp142.xml" ContentType="application/vnd.ms-excel.controlproperties+xml"/>
  <Override PartName="/xl/ctrlProps/ctrlProp143.xml" ContentType="application/vnd.ms-excel.controlproperties+xml"/>
  <Override PartName="/xl/ctrlProps/ctrlProp144.xml" ContentType="application/vnd.ms-excel.controlproperties+xml"/>
  <Override PartName="/xl/ctrlProps/ctrlProp145.xml" ContentType="application/vnd.ms-excel.controlproperties+xml"/>
  <Override PartName="/xl/ctrlProps/ctrlProp146.xml" ContentType="application/vnd.ms-excel.controlproperties+xml"/>
  <Override PartName="/xl/ctrlProps/ctrlProp147.xml" ContentType="application/vnd.ms-excel.controlproperties+xml"/>
  <Override PartName="/xl/ctrlProps/ctrlProp148.xml" ContentType="application/vnd.ms-excel.controlproperties+xml"/>
  <Override PartName="/xl/ctrlProps/ctrlProp149.xml" ContentType="application/vnd.ms-excel.controlproperties+xml"/>
  <Override PartName="/xl/ctrlProps/ctrlProp150.xml" ContentType="application/vnd.ms-excel.controlproperties+xml"/>
  <Override PartName="/xl/ctrlProps/ctrlProp151.xml" ContentType="application/vnd.ms-excel.controlproperties+xml"/>
  <Override PartName="/xl/ctrlProps/ctrlProp152.xml" ContentType="application/vnd.ms-excel.controlproperties+xml"/>
  <Override PartName="/xl/ctrlProps/ctrlProp153.xml" ContentType="application/vnd.ms-excel.controlproperties+xml"/>
  <Override PartName="/xl/ctrlProps/ctrlProp154.xml" ContentType="application/vnd.ms-excel.controlproperties+xml"/>
  <Override PartName="/xl/ctrlProps/ctrlProp155.xml" ContentType="application/vnd.ms-excel.controlproperties+xml"/>
  <Override PartName="/xl/ctrlProps/ctrlProp156.xml" ContentType="application/vnd.ms-excel.controlproperties+xml"/>
  <Override PartName="/xl/ctrlProps/ctrlProp157.xml" ContentType="application/vnd.ms-excel.controlproperties+xml"/>
  <Override PartName="/xl/ctrlProps/ctrlProp158.xml" ContentType="application/vnd.ms-excel.controlproperties+xml"/>
  <Override PartName="/xl/ctrlProps/ctrlProp159.xml" ContentType="application/vnd.ms-excel.controlproperties+xml"/>
  <Override PartName="/xl/ctrlProps/ctrlProp160.xml" ContentType="application/vnd.ms-excel.controlproperties+xml"/>
  <Override PartName="/xl/ctrlProps/ctrlProp161.xml" ContentType="application/vnd.ms-excel.controlproperties+xml"/>
  <Override PartName="/xl/ctrlProps/ctrlProp162.xml" ContentType="application/vnd.ms-excel.controlproperties+xml"/>
  <Override PartName="/xl/ctrlProps/ctrlProp163.xml" ContentType="application/vnd.ms-excel.controlproperties+xml"/>
  <Override PartName="/xl/ctrlProps/ctrlProp164.xml" ContentType="application/vnd.ms-excel.controlproperties+xml"/>
  <Override PartName="/xl/ctrlProps/ctrlProp165.xml" ContentType="application/vnd.ms-excel.controlproperties+xml"/>
  <Override PartName="/xl/ctrlProps/ctrlProp166.xml" ContentType="application/vnd.ms-excel.controlproperties+xml"/>
  <Override PartName="/xl/ctrlProps/ctrlProp167.xml" ContentType="application/vnd.ms-excel.controlproperties+xml"/>
  <Override PartName="/xl/ctrlProps/ctrlProp168.xml" ContentType="application/vnd.ms-excel.controlproperties+xml"/>
  <Override PartName="/xl/ctrlProps/ctrlProp169.xml" ContentType="application/vnd.ms-excel.controlproperties+xml"/>
  <Override PartName="/xl/ctrlProps/ctrlProp170.xml" ContentType="application/vnd.ms-excel.controlproperties+xml"/>
  <Override PartName="/xl/ctrlProps/ctrlProp171.xml" ContentType="application/vnd.ms-excel.controlproperties+xml"/>
  <Override PartName="/xl/ctrlProps/ctrlProp172.xml" ContentType="application/vnd.ms-excel.controlproperties+xml"/>
  <Override PartName="/xl/ctrlProps/ctrlProp173.xml" ContentType="application/vnd.ms-excel.controlproperties+xml"/>
  <Override PartName="/xl/ctrlProps/ctrlProp174.xml" ContentType="application/vnd.ms-excel.controlproperties+xml"/>
  <Override PartName="/xl/ctrlProps/ctrlProp175.xml" ContentType="application/vnd.ms-excel.controlproperties+xml"/>
  <Override PartName="/xl/ctrlProps/ctrlProp176.xml" ContentType="application/vnd.ms-excel.controlproperties+xml"/>
  <Override PartName="/xl/ctrlProps/ctrlProp177.xml" ContentType="application/vnd.ms-excel.controlproperties+xml"/>
  <Override PartName="/xl/ctrlProps/ctrlProp178.xml" ContentType="application/vnd.ms-excel.controlproperties+xml"/>
  <Override PartName="/xl/ctrlProps/ctrlProp179.xml" ContentType="application/vnd.ms-excel.controlproperties+xml"/>
  <Override PartName="/xl/ctrlProps/ctrlProp180.xml" ContentType="application/vnd.ms-excel.controlproperties+xml"/>
  <Override PartName="/xl/ctrlProps/ctrlProp181.xml" ContentType="application/vnd.ms-excel.controlproperties+xml"/>
  <Override PartName="/xl/ctrlProps/ctrlProp182.xml" ContentType="application/vnd.ms-excel.controlproperties+xml"/>
  <Override PartName="/xl/ctrlProps/ctrlProp183.xml" ContentType="application/vnd.ms-excel.controlproperties+xml"/>
  <Override PartName="/xl/ctrlProps/ctrlProp184.xml" ContentType="application/vnd.ms-excel.controlproperties+xml"/>
  <Override PartName="/xl/ctrlProps/ctrlProp185.xml" ContentType="application/vnd.ms-excel.controlproperties+xml"/>
  <Override PartName="/xl/ctrlProps/ctrlProp186.xml" ContentType="application/vnd.ms-excel.controlproperties+xml"/>
  <Override PartName="/xl/ctrlProps/ctrlProp187.xml" ContentType="application/vnd.ms-excel.controlproperties+xml"/>
  <Override PartName="/xl/ctrlProps/ctrlProp188.xml" ContentType="application/vnd.ms-excel.controlproperties+xml"/>
  <Override PartName="/xl/ctrlProps/ctrlProp189.xml" ContentType="application/vnd.ms-excel.controlproperties+xml"/>
  <Override PartName="/xl/ctrlProps/ctrlProp190.xml" ContentType="application/vnd.ms-excel.controlproperties+xml"/>
  <Override PartName="/xl/ctrlProps/ctrlProp191.xml" ContentType="application/vnd.ms-excel.controlproperties+xml"/>
  <Override PartName="/xl/ctrlProps/ctrlProp192.xml" ContentType="application/vnd.ms-excel.controlproperties+xml"/>
  <Override PartName="/xl/ctrlProps/ctrlProp193.xml" ContentType="application/vnd.ms-excel.controlproperties+xml"/>
  <Override PartName="/xl/ctrlProps/ctrlProp194.xml" ContentType="application/vnd.ms-excel.controlproperties+xml"/>
  <Override PartName="/xl/ctrlProps/ctrlProp195.xml" ContentType="application/vnd.ms-excel.controlproperties+xml"/>
  <Override PartName="/xl/ctrlProps/ctrlProp196.xml" ContentType="application/vnd.ms-excel.controlproperties+xml"/>
  <Override PartName="/xl/ctrlProps/ctrlProp197.xml" ContentType="application/vnd.ms-excel.controlproperties+xml"/>
  <Override PartName="/xl/ctrlProps/ctrlProp198.xml" ContentType="application/vnd.ms-excel.controlproperties+xml"/>
  <Override PartName="/xl/ctrlProps/ctrlProp199.xml" ContentType="application/vnd.ms-excel.controlproperties+xml"/>
  <Override PartName="/xl/ctrlProps/ctrlProp200.xml" ContentType="application/vnd.ms-excel.controlproperties+xml"/>
  <Override PartName="/xl/ctrlProps/ctrlProp201.xml" ContentType="application/vnd.ms-excel.controlproperties+xml"/>
  <Override PartName="/xl/ctrlProps/ctrlProp202.xml" ContentType="application/vnd.ms-excel.controlproperties+xml"/>
  <Override PartName="/xl/ctrlProps/ctrlProp203.xml" ContentType="application/vnd.ms-excel.controlproperties+xml"/>
  <Override PartName="/xl/ctrlProps/ctrlProp204.xml" ContentType="application/vnd.ms-excel.controlproperties+xml"/>
  <Override PartName="/xl/ctrlProps/ctrlProp205.xml" ContentType="application/vnd.ms-excel.controlproperties+xml"/>
  <Override PartName="/xl/ctrlProps/ctrlProp206.xml" ContentType="application/vnd.ms-excel.controlproperties+xml"/>
  <Override PartName="/xl/ctrlProps/ctrlProp207.xml" ContentType="application/vnd.ms-excel.controlproperties+xml"/>
  <Override PartName="/xl/ctrlProps/ctrlProp208.xml" ContentType="application/vnd.ms-excel.controlproperties+xml"/>
  <Override PartName="/xl/ctrlProps/ctrlProp209.xml" ContentType="application/vnd.ms-excel.controlproperties+xml"/>
  <Override PartName="/xl/ctrlProps/ctrlProp210.xml" ContentType="application/vnd.ms-excel.controlproperties+xml"/>
  <Override PartName="/xl/ctrlProps/ctrlProp211.xml" ContentType="application/vnd.ms-excel.controlproperties+xml"/>
  <Override PartName="/xl/ctrlProps/ctrlProp212.xml" ContentType="application/vnd.ms-excel.controlproperties+xml"/>
  <Override PartName="/xl/ctrlProps/ctrlProp213.xml" ContentType="application/vnd.ms-excel.controlproperties+xml"/>
  <Override PartName="/xl/ctrlProps/ctrlProp214.xml" ContentType="application/vnd.ms-excel.controlproperties+xml"/>
  <Override PartName="/xl/ctrlProps/ctrlProp215.xml" ContentType="application/vnd.ms-excel.controlproperties+xml"/>
  <Override PartName="/xl/ctrlProps/ctrlProp216.xml" ContentType="application/vnd.ms-excel.controlproperties+xml"/>
  <Override PartName="/xl/ctrlProps/ctrlProp217.xml" ContentType="application/vnd.ms-excel.controlproperties+xml"/>
  <Override PartName="/xl/ctrlProps/ctrlProp218.xml" ContentType="application/vnd.ms-excel.controlproperties+xml"/>
  <Override PartName="/xl/ctrlProps/ctrlProp219.xml" ContentType="application/vnd.ms-excel.controlproperties+xml"/>
  <Override PartName="/xl/ctrlProps/ctrlProp220.xml" ContentType="application/vnd.ms-excel.controlproperties+xml"/>
  <Override PartName="/xl/ctrlProps/ctrlProp221.xml" ContentType="application/vnd.ms-excel.controlproperties+xml"/>
  <Override PartName="/xl/ctrlProps/ctrlProp222.xml" ContentType="application/vnd.ms-excel.controlproperties+xml"/>
  <Override PartName="/xl/ctrlProps/ctrlProp223.xml" ContentType="application/vnd.ms-excel.controlproperties+xml"/>
  <Override PartName="/xl/ctrlProps/ctrlProp224.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026"/>
  <fileSharing readOnlyRecommended="1"/>
  <workbookPr codeName="ThisWorkbook" defaultThemeVersion="124226"/>
  <mc:AlternateContent xmlns:mc="http://schemas.openxmlformats.org/markup-compatibility/2006">
    <mc:Choice Requires="x15">
      <x15ac:absPath xmlns:x15ac="http://schemas.microsoft.com/office/spreadsheetml/2010/11/ac" url="C:\Users\argie.gucor\Downloads\"/>
    </mc:Choice>
  </mc:AlternateContent>
  <xr:revisionPtr revIDLastSave="0" documentId="13_ncr:1_{847EA175-63A4-4389-91C1-36392DD2F79C}" xr6:coauthVersionLast="47" xr6:coauthVersionMax="47" xr10:uidLastSave="{00000000-0000-0000-0000-000000000000}"/>
  <bookViews>
    <workbookView xWindow="-120" yWindow="-120" windowWidth="19440" windowHeight="14880" tabRatio="824" firstSheet="2" activeTab="2" xr2:uid="{00000000-000D-0000-FFFF-FFFF00000000}"/>
  </bookViews>
  <sheets>
    <sheet name="Chat Transcript" sheetId="8" state="hidden" r:id="rId1"/>
    <sheet name="Source" sheetId="7" state="hidden" r:id="rId2"/>
    <sheet name="360 Form" sheetId="42" r:id="rId3"/>
    <sheet name="Scan" sheetId="46" state="hidden" r:id="rId4"/>
  </sheets>
  <definedNames>
    <definedName name="_xlnm._FilterDatabase" localSheetId="1" hidden="1">Source!$L$2:$S$328</definedName>
  </definedNames>
  <calcPr calcId="191029"/>
  <customWorkbookViews>
    <customWorkbookView name="Catherine Sullivan - Personal View" guid="{8305F13D-AE78-4E9A-8B58-F173CB54F1BD}" mergeInterval="0" personalView="1" maximized="1" windowWidth="1276" windowHeight="665" activeSheetId="1"/>
    <customWorkbookView name="Analou Villaruz - Personal View" guid="{E95B9D2F-30DD-4667-927F-E75276B05549}" mergeInterval="0" personalView="1" maximized="1" xWindow="-8" yWindow="-8" windowWidth="1382" windowHeight="744" activeSheetId="1"/>
  </customWorkbookView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EO3" i="46" l="1"/>
  <c r="EM3" i="46"/>
  <c r="EN3" i="46"/>
  <c r="EL3" i="46"/>
  <c r="EK3" i="46"/>
  <c r="EJ3" i="46"/>
  <c r="EI3" i="46"/>
  <c r="EH3" i="46"/>
  <c r="EG3" i="46"/>
  <c r="EF3" i="46"/>
  <c r="DZ3" i="46"/>
  <c r="DY3" i="46"/>
  <c r="DX3" i="46"/>
  <c r="DW3" i="46"/>
  <c r="DV3" i="46"/>
  <c r="DU3" i="46"/>
  <c r="DT3" i="46"/>
  <c r="DS3" i="46"/>
  <c r="DR3" i="46"/>
  <c r="DQ3" i="46"/>
  <c r="DP3" i="46"/>
  <c r="DO3" i="46"/>
  <c r="DN3" i="46"/>
  <c r="DM3" i="46"/>
  <c r="DL3" i="46"/>
  <c r="DK3" i="46"/>
  <c r="DJ3" i="46"/>
  <c r="DI3" i="46"/>
  <c r="DH3" i="46"/>
  <c r="DG3" i="46"/>
  <c r="DF3" i="46"/>
  <c r="DE3" i="46"/>
  <c r="DC3" i="46"/>
  <c r="DB3" i="46"/>
  <c r="DA3" i="46"/>
  <c r="CZ3" i="46"/>
  <c r="CY3" i="46"/>
  <c r="CX3" i="46"/>
  <c r="CV3" i="46"/>
  <c r="CU3" i="46"/>
  <c r="CT3" i="46"/>
  <c r="CS3" i="46"/>
  <c r="CR3" i="46"/>
  <c r="CQ3" i="46"/>
  <c r="CN3" i="46"/>
  <c r="CM3" i="46"/>
  <c r="CL3" i="46"/>
  <c r="CK3" i="46"/>
  <c r="CJ3" i="46"/>
  <c r="CI3" i="46"/>
  <c r="CH3" i="46"/>
  <c r="CG3" i="46"/>
  <c r="CF3" i="46"/>
  <c r="CE3" i="46"/>
  <c r="CD3" i="46"/>
  <c r="DD3" i="46"/>
  <c r="CW3" i="46"/>
  <c r="CP3" i="46"/>
  <c r="CO3" i="46"/>
  <c r="CC3" i="46"/>
  <c r="CB3" i="46"/>
  <c r="CA3" i="46"/>
  <c r="BZ3" i="46"/>
  <c r="BY3" i="46"/>
  <c r="BX3" i="46"/>
  <c r="BW3" i="46"/>
  <c r="BV3" i="46"/>
  <c r="BU3" i="46"/>
  <c r="BT3" i="46"/>
  <c r="BS3" i="46"/>
  <c r="BQ3" i="46"/>
  <c r="BP3" i="46"/>
  <c r="BO3" i="46"/>
  <c r="BN3" i="46"/>
  <c r="BM3" i="46"/>
  <c r="BL3" i="46"/>
  <c r="BR3" i="46"/>
  <c r="BK3" i="46"/>
  <c r="BI3" i="46"/>
  <c r="BH3" i="46"/>
  <c r="BG3" i="46"/>
  <c r="BF3" i="46"/>
  <c r="BE3" i="46"/>
  <c r="BJ3" i="46"/>
  <c r="BD3" i="46"/>
  <c r="BC3" i="46" l="1"/>
  <c r="BB3" i="46"/>
  <c r="BA3" i="46"/>
  <c r="AZ3" i="46"/>
  <c r="AY3" i="46"/>
  <c r="AX3" i="46"/>
  <c r="AW3" i="46"/>
  <c r="AV3" i="46"/>
  <c r="AU3" i="46"/>
  <c r="AT3" i="46"/>
  <c r="AS3" i="46"/>
  <c r="AR3" i="46"/>
  <c r="AQ3" i="46"/>
  <c r="AH3" i="46"/>
  <c r="AG3" i="46"/>
  <c r="AF3" i="46"/>
  <c r="AE3" i="46"/>
  <c r="AD3" i="46"/>
  <c r="AC3" i="46"/>
  <c r="AB3" i="46"/>
  <c r="AA3" i="46"/>
  <c r="Z3" i="46"/>
  <c r="Y3" i="46"/>
  <c r="X3" i="46"/>
  <c r="W3" i="46"/>
  <c r="V3" i="46"/>
  <c r="U3" i="46"/>
  <c r="T3" i="46"/>
  <c r="S3" i="46"/>
  <c r="R3" i="46"/>
  <c r="Q3" i="46"/>
  <c r="P3" i="46"/>
  <c r="K93" i="42"/>
  <c r="K92" i="42"/>
  <c r="K91" i="42"/>
  <c r="K90" i="42"/>
  <c r="L93" i="42"/>
  <c r="L92" i="42"/>
  <c r="L91" i="42"/>
  <c r="L89" i="42"/>
  <c r="K89" i="42"/>
  <c r="M3" i="46"/>
  <c r="L3" i="46"/>
  <c r="K3" i="46"/>
  <c r="I3" i="46"/>
  <c r="H3" i="46"/>
  <c r="E3" i="46"/>
  <c r="D3" i="46"/>
  <c r="C3" i="46"/>
  <c r="B3" i="46"/>
  <c r="A3" i="46"/>
  <c r="J94" i="42" l="1"/>
  <c r="O3" i="46" s="1"/>
  <c r="X17" i="42"/>
  <c r="X16" i="42"/>
  <c r="X15" i="42"/>
  <c r="X14" i="42"/>
  <c r="W14" i="42"/>
  <c r="V14" i="42"/>
  <c r="AG17" i="42"/>
  <c r="AF17" i="42"/>
  <c r="AE17" i="42"/>
  <c r="AD17" i="42"/>
  <c r="AC17" i="42"/>
  <c r="AB17" i="42"/>
  <c r="AA17" i="42"/>
  <c r="Z17" i="42"/>
  <c r="Y17" i="42"/>
  <c r="W17" i="42"/>
  <c r="AG16" i="42"/>
  <c r="AF16" i="42"/>
  <c r="AE16" i="42"/>
  <c r="AD16" i="42"/>
  <c r="AC16" i="42"/>
  <c r="AB16" i="42"/>
  <c r="AA16" i="42"/>
  <c r="Z16" i="42"/>
  <c r="Y16" i="42"/>
  <c r="W16" i="42"/>
  <c r="AG15" i="42"/>
  <c r="AF15" i="42"/>
  <c r="AE15" i="42"/>
  <c r="AD15" i="42"/>
  <c r="AC15" i="42"/>
  <c r="AB15" i="42"/>
  <c r="AA15" i="42"/>
  <c r="Z15" i="42"/>
  <c r="Y15" i="42"/>
  <c r="W15" i="42"/>
  <c r="AG14" i="42"/>
  <c r="AF14" i="42"/>
  <c r="AE14" i="42"/>
  <c r="AE18" i="42" s="1"/>
  <c r="AD14" i="42"/>
  <c r="AC14" i="42"/>
  <c r="AB14" i="42"/>
  <c r="AA14" i="42"/>
  <c r="AA18" i="42" s="1"/>
  <c r="Z14" i="42"/>
  <c r="Z18" i="42" s="1"/>
  <c r="Y14" i="42"/>
  <c r="V17" i="42"/>
  <c r="V16" i="42"/>
  <c r="V15" i="42"/>
  <c r="AD18" i="42" l="1"/>
  <c r="W18" i="42"/>
  <c r="X18" i="42"/>
  <c r="AB18" i="42"/>
  <c r="AF18" i="42"/>
  <c r="V18" i="42"/>
  <c r="Y18" i="42"/>
  <c r="AC18" i="42"/>
  <c r="AG18" i="42"/>
  <c r="F29" i="42"/>
  <c r="F28" i="42"/>
  <c r="G29" i="42"/>
  <c r="G28" i="42"/>
  <c r="HH85" i="42" l="1"/>
  <c r="HG85" i="42"/>
  <c r="HF85" i="42"/>
  <c r="HE85" i="42"/>
  <c r="HD85" i="42"/>
  <c r="HC85" i="42"/>
  <c r="HB85" i="42"/>
  <c r="HA85" i="42"/>
  <c r="GZ85" i="42"/>
  <c r="GY85" i="42"/>
  <c r="GX85" i="42"/>
  <c r="GW85" i="42"/>
  <c r="GV85" i="42"/>
  <c r="GU85" i="42"/>
  <c r="GT85" i="42"/>
  <c r="GS85" i="42"/>
  <c r="GR85" i="42"/>
  <c r="GQ85" i="42"/>
  <c r="GP85" i="42"/>
  <c r="GO85" i="42"/>
  <c r="GN85" i="42"/>
  <c r="GM85" i="42"/>
  <c r="GL85" i="42"/>
  <c r="GK85" i="42"/>
  <c r="GJ85" i="42"/>
  <c r="GI85" i="42"/>
  <c r="GH85" i="42"/>
  <c r="GG85" i="42"/>
  <c r="GF85" i="42"/>
  <c r="GE85" i="42"/>
  <c r="GD85" i="42"/>
  <c r="GC85" i="42"/>
  <c r="GB85" i="42"/>
  <c r="GA85" i="42"/>
  <c r="FZ85" i="42"/>
  <c r="FY85" i="42"/>
  <c r="FX85" i="42"/>
  <c r="FW85" i="42"/>
  <c r="FV85" i="42"/>
  <c r="FU85" i="42"/>
  <c r="FT85" i="42"/>
  <c r="FS85" i="42"/>
  <c r="FR85" i="42"/>
  <c r="FQ85" i="42"/>
  <c r="FP85" i="42"/>
  <c r="FO85" i="42"/>
  <c r="FN85" i="42"/>
  <c r="FM85" i="42"/>
  <c r="FL85" i="42"/>
  <c r="FK85" i="42"/>
  <c r="FJ85" i="42"/>
  <c r="FI85" i="42"/>
  <c r="FH85" i="42"/>
  <c r="FG85" i="42"/>
  <c r="FF85" i="42"/>
  <c r="DA85" i="42"/>
  <c r="HH84" i="42"/>
  <c r="HG84" i="42"/>
  <c r="HF84" i="42"/>
  <c r="HE84" i="42"/>
  <c r="HD84" i="42"/>
  <c r="HC84" i="42"/>
  <c r="HB84" i="42"/>
  <c r="HA84" i="42"/>
  <c r="GZ84" i="42"/>
  <c r="GY84" i="42"/>
  <c r="GX84" i="42"/>
  <c r="GW84" i="42"/>
  <c r="GV84" i="42"/>
  <c r="GU84" i="42"/>
  <c r="GT84" i="42"/>
  <c r="GS84" i="42"/>
  <c r="GR84" i="42"/>
  <c r="GQ84" i="42"/>
  <c r="GP84" i="42"/>
  <c r="GO84" i="42"/>
  <c r="GN84" i="42"/>
  <c r="GM84" i="42"/>
  <c r="GL84" i="42"/>
  <c r="GK84" i="42"/>
  <c r="GJ84" i="42"/>
  <c r="GI84" i="42"/>
  <c r="GH84" i="42"/>
  <c r="GG84" i="42"/>
  <c r="GF84" i="42"/>
  <c r="GE84" i="42"/>
  <c r="GD84" i="42"/>
  <c r="GC84" i="42"/>
  <c r="GB84" i="42"/>
  <c r="GA84" i="42"/>
  <c r="FZ84" i="42"/>
  <c r="FY84" i="42"/>
  <c r="FX84" i="42"/>
  <c r="FW84" i="42"/>
  <c r="FV84" i="42"/>
  <c r="FU84" i="42"/>
  <c r="FT84" i="42"/>
  <c r="FS84" i="42"/>
  <c r="FR84" i="42"/>
  <c r="FQ84" i="42"/>
  <c r="FP84" i="42"/>
  <c r="FO84" i="42"/>
  <c r="FN84" i="42"/>
  <c r="FM84" i="42"/>
  <c r="FL84" i="42"/>
  <c r="FK84" i="42"/>
  <c r="FJ84" i="42"/>
  <c r="FI84" i="42"/>
  <c r="FH84" i="42"/>
  <c r="FG84" i="42"/>
  <c r="FF84" i="42"/>
  <c r="DA84" i="42"/>
  <c r="HH83" i="42"/>
  <c r="HG83" i="42"/>
  <c r="HF83" i="42"/>
  <c r="HE83" i="42"/>
  <c r="HD83" i="42"/>
  <c r="HC83" i="42"/>
  <c r="HB83" i="42"/>
  <c r="HA83" i="42"/>
  <c r="GZ83" i="42"/>
  <c r="GY83" i="42"/>
  <c r="GX83" i="42"/>
  <c r="GW83" i="42"/>
  <c r="GV83" i="42"/>
  <c r="GU83" i="42"/>
  <c r="GT83" i="42"/>
  <c r="GS83" i="42"/>
  <c r="GR83" i="42"/>
  <c r="GQ83" i="42"/>
  <c r="GP83" i="42"/>
  <c r="GO83" i="42"/>
  <c r="GN83" i="42"/>
  <c r="GM83" i="42"/>
  <c r="GL83" i="42"/>
  <c r="GK83" i="42"/>
  <c r="GJ83" i="42"/>
  <c r="GI83" i="42"/>
  <c r="GH83" i="42"/>
  <c r="GG83" i="42"/>
  <c r="GF83" i="42"/>
  <c r="GE83" i="42"/>
  <c r="GD83" i="42"/>
  <c r="GC83" i="42"/>
  <c r="GB83" i="42"/>
  <c r="GA83" i="42"/>
  <c r="FZ83" i="42"/>
  <c r="FY83" i="42"/>
  <c r="FX83" i="42"/>
  <c r="FW83" i="42"/>
  <c r="FV83" i="42"/>
  <c r="FU83" i="42"/>
  <c r="FT83" i="42"/>
  <c r="FS83" i="42"/>
  <c r="FR83" i="42"/>
  <c r="FQ83" i="42"/>
  <c r="FP83" i="42"/>
  <c r="FO83" i="42"/>
  <c r="FN83" i="42"/>
  <c r="FM83" i="42"/>
  <c r="FL83" i="42"/>
  <c r="FK83" i="42"/>
  <c r="FJ83" i="42"/>
  <c r="FI83" i="42"/>
  <c r="FH83" i="42"/>
  <c r="FG83" i="42"/>
  <c r="FF83" i="42"/>
  <c r="DA83" i="42"/>
  <c r="HH82" i="42"/>
  <c r="HG82" i="42"/>
  <c r="HF82" i="42"/>
  <c r="HE82" i="42"/>
  <c r="HD82" i="42"/>
  <c r="HC82" i="42"/>
  <c r="HB82" i="42"/>
  <c r="HA82" i="42"/>
  <c r="GZ82" i="42"/>
  <c r="GY82" i="42"/>
  <c r="GX82" i="42"/>
  <c r="GW82" i="42"/>
  <c r="GV82" i="42"/>
  <c r="GU82" i="42"/>
  <c r="GT82" i="42"/>
  <c r="GS82" i="42"/>
  <c r="GR82" i="42"/>
  <c r="GQ82" i="42"/>
  <c r="GP82" i="42"/>
  <c r="GO82" i="42"/>
  <c r="GN82" i="42"/>
  <c r="GM82" i="42"/>
  <c r="GL82" i="42"/>
  <c r="GK82" i="42"/>
  <c r="GJ82" i="42"/>
  <c r="GI82" i="42"/>
  <c r="GH82" i="42"/>
  <c r="GG82" i="42"/>
  <c r="GF82" i="42"/>
  <c r="GE82" i="42"/>
  <c r="GD82" i="42"/>
  <c r="GC82" i="42"/>
  <c r="GB82" i="42"/>
  <c r="GA82" i="42"/>
  <c r="FZ82" i="42"/>
  <c r="FY82" i="42"/>
  <c r="FX82" i="42"/>
  <c r="FW82" i="42"/>
  <c r="FV82" i="42"/>
  <c r="FU82" i="42"/>
  <c r="FT82" i="42"/>
  <c r="FS82" i="42"/>
  <c r="FR82" i="42"/>
  <c r="FQ82" i="42"/>
  <c r="FP82" i="42"/>
  <c r="FO82" i="42"/>
  <c r="FN82" i="42"/>
  <c r="FM82" i="42"/>
  <c r="FL82" i="42"/>
  <c r="FK82" i="42"/>
  <c r="FJ82" i="42"/>
  <c r="FI82" i="42"/>
  <c r="FH82" i="42"/>
  <c r="FG82" i="42"/>
  <c r="FF82" i="42"/>
  <c r="DA82" i="42"/>
  <c r="HH81" i="42"/>
  <c r="HG81" i="42"/>
  <c r="HF81" i="42"/>
  <c r="HE81" i="42"/>
  <c r="HD81" i="42"/>
  <c r="HC81" i="42"/>
  <c r="HB81" i="42"/>
  <c r="HA81" i="42"/>
  <c r="GZ81" i="42"/>
  <c r="GY81" i="42"/>
  <c r="GX81" i="42"/>
  <c r="GW81" i="42"/>
  <c r="GV81" i="42"/>
  <c r="GU81" i="42"/>
  <c r="GT81" i="42"/>
  <c r="GS81" i="42"/>
  <c r="GR81" i="42"/>
  <c r="GQ81" i="42"/>
  <c r="GP81" i="42"/>
  <c r="GO81" i="42"/>
  <c r="GN81" i="42"/>
  <c r="GM81" i="42"/>
  <c r="GL81" i="42"/>
  <c r="GK81" i="42"/>
  <c r="GJ81" i="42"/>
  <c r="GI81" i="42"/>
  <c r="GH81" i="42"/>
  <c r="GG81" i="42"/>
  <c r="GF81" i="42"/>
  <c r="GE81" i="42"/>
  <c r="GD81" i="42"/>
  <c r="GC81" i="42"/>
  <c r="GB81" i="42"/>
  <c r="GA81" i="42"/>
  <c r="FZ81" i="42"/>
  <c r="FY81" i="42"/>
  <c r="FX81" i="42"/>
  <c r="FW81" i="42"/>
  <c r="FV81" i="42"/>
  <c r="FU81" i="42"/>
  <c r="FT81" i="42"/>
  <c r="FS81" i="42"/>
  <c r="FR81" i="42"/>
  <c r="FQ81" i="42"/>
  <c r="FP81" i="42"/>
  <c r="FO81" i="42"/>
  <c r="FN81" i="42"/>
  <c r="FM81" i="42"/>
  <c r="FL81" i="42"/>
  <c r="FK81" i="42"/>
  <c r="FJ81" i="42"/>
  <c r="FI81" i="42"/>
  <c r="FH81" i="42"/>
  <c r="FG81" i="42"/>
  <c r="FF81" i="42"/>
  <c r="DA81" i="42"/>
  <c r="HH80" i="42"/>
  <c r="HG80" i="42"/>
  <c r="HF80" i="42"/>
  <c r="HE80" i="42"/>
  <c r="HD80" i="42"/>
  <c r="HC80" i="42"/>
  <c r="HB80" i="42"/>
  <c r="HA80" i="42"/>
  <c r="GZ80" i="42"/>
  <c r="GY80" i="42"/>
  <c r="GX80" i="42"/>
  <c r="GW80" i="42"/>
  <c r="GV80" i="42"/>
  <c r="GU80" i="42"/>
  <c r="GT80" i="42"/>
  <c r="GS80" i="42"/>
  <c r="GR80" i="42"/>
  <c r="GQ80" i="42"/>
  <c r="GP80" i="42"/>
  <c r="GO80" i="42"/>
  <c r="GN80" i="42"/>
  <c r="GM80" i="42"/>
  <c r="GL80" i="42"/>
  <c r="GK80" i="42"/>
  <c r="GJ80" i="42"/>
  <c r="GI80" i="42"/>
  <c r="GH80" i="42"/>
  <c r="GG80" i="42"/>
  <c r="GF80" i="42"/>
  <c r="GE80" i="42"/>
  <c r="GD80" i="42"/>
  <c r="GC80" i="42"/>
  <c r="GB80" i="42"/>
  <c r="GA80" i="42"/>
  <c r="FZ80" i="42"/>
  <c r="FY80" i="42"/>
  <c r="FX80" i="42"/>
  <c r="FW80" i="42"/>
  <c r="FV80" i="42"/>
  <c r="FU80" i="42"/>
  <c r="FT80" i="42"/>
  <c r="FS80" i="42"/>
  <c r="FR80" i="42"/>
  <c r="FQ80" i="42"/>
  <c r="FP80" i="42"/>
  <c r="FO80" i="42"/>
  <c r="FN80" i="42"/>
  <c r="FM80" i="42"/>
  <c r="FL80" i="42"/>
  <c r="FK80" i="42"/>
  <c r="FJ80" i="42"/>
  <c r="FI80" i="42"/>
  <c r="FH80" i="42"/>
  <c r="FG80" i="42"/>
  <c r="FF80" i="42"/>
  <c r="DA80" i="42"/>
  <c r="HH79" i="42"/>
  <c r="HG79" i="42"/>
  <c r="HF79" i="42"/>
  <c r="HE79" i="42"/>
  <c r="HD79" i="42"/>
  <c r="HC79" i="42"/>
  <c r="HB79" i="42"/>
  <c r="HA79" i="42"/>
  <c r="GZ79" i="42"/>
  <c r="GY79" i="42"/>
  <c r="GX79" i="42"/>
  <c r="GW79" i="42"/>
  <c r="GV79" i="42"/>
  <c r="GU79" i="42"/>
  <c r="GT79" i="42"/>
  <c r="GS79" i="42"/>
  <c r="GR79" i="42"/>
  <c r="GQ79" i="42"/>
  <c r="GP79" i="42"/>
  <c r="GO79" i="42"/>
  <c r="GN79" i="42"/>
  <c r="GM79" i="42"/>
  <c r="GL79" i="42"/>
  <c r="GK79" i="42"/>
  <c r="GJ79" i="42"/>
  <c r="GI79" i="42"/>
  <c r="GH79" i="42"/>
  <c r="GG79" i="42"/>
  <c r="GF79" i="42"/>
  <c r="GE79" i="42"/>
  <c r="GD79" i="42"/>
  <c r="GC79" i="42"/>
  <c r="GB79" i="42"/>
  <c r="GA79" i="42"/>
  <c r="FZ79" i="42"/>
  <c r="FY79" i="42"/>
  <c r="FX79" i="42"/>
  <c r="FW79" i="42"/>
  <c r="FV79" i="42"/>
  <c r="FU79" i="42"/>
  <c r="FT79" i="42"/>
  <c r="FS79" i="42"/>
  <c r="FR79" i="42"/>
  <c r="FQ79" i="42"/>
  <c r="FP79" i="42"/>
  <c r="FO79" i="42"/>
  <c r="FN79" i="42"/>
  <c r="FM79" i="42"/>
  <c r="FL79" i="42"/>
  <c r="FK79" i="42"/>
  <c r="FJ79" i="42"/>
  <c r="FI79" i="42"/>
  <c r="FH79" i="42"/>
  <c r="FG79" i="42"/>
  <c r="FF79" i="42"/>
  <c r="DA79" i="42"/>
  <c r="C79" i="42"/>
  <c r="C80" i="42" s="1"/>
  <c r="C81" i="42" s="1"/>
  <c r="C82" i="42" s="1"/>
  <c r="C83" i="42" s="1"/>
  <c r="C84" i="42" s="1"/>
  <c r="C85" i="42" s="1"/>
  <c r="HH78" i="42"/>
  <c r="HG78" i="42"/>
  <c r="HF78" i="42"/>
  <c r="HE78" i="42"/>
  <c r="HD78" i="42"/>
  <c r="HC78" i="42"/>
  <c r="HB78" i="42"/>
  <c r="HA78" i="42"/>
  <c r="GZ78" i="42"/>
  <c r="GY78" i="42"/>
  <c r="GX78" i="42"/>
  <c r="GW78" i="42"/>
  <c r="GV78" i="42"/>
  <c r="GU78" i="42"/>
  <c r="GT78" i="42"/>
  <c r="GS78" i="42"/>
  <c r="GR78" i="42"/>
  <c r="GQ78" i="42"/>
  <c r="GP78" i="42"/>
  <c r="GO78" i="42"/>
  <c r="GN78" i="42"/>
  <c r="GM78" i="42"/>
  <c r="GL78" i="42"/>
  <c r="GK78" i="42"/>
  <c r="GJ78" i="42"/>
  <c r="GI78" i="42"/>
  <c r="GH78" i="42"/>
  <c r="GG78" i="42"/>
  <c r="GF78" i="42"/>
  <c r="GE78" i="42"/>
  <c r="GD78" i="42"/>
  <c r="GC78" i="42"/>
  <c r="GB78" i="42"/>
  <c r="GA78" i="42"/>
  <c r="FZ78" i="42"/>
  <c r="FY78" i="42"/>
  <c r="FX78" i="42"/>
  <c r="FW78" i="42"/>
  <c r="FV78" i="42"/>
  <c r="FU78" i="42"/>
  <c r="FT78" i="42"/>
  <c r="FS78" i="42"/>
  <c r="FR78" i="42"/>
  <c r="FQ78" i="42"/>
  <c r="FP78" i="42"/>
  <c r="FO78" i="42"/>
  <c r="FN78" i="42"/>
  <c r="FM78" i="42"/>
  <c r="FL78" i="42"/>
  <c r="FK78" i="42"/>
  <c r="FJ78" i="42"/>
  <c r="FI78" i="42"/>
  <c r="FH78" i="42"/>
  <c r="FG78" i="42"/>
  <c r="FF78" i="42"/>
  <c r="DA78" i="42"/>
  <c r="HH74" i="42"/>
  <c r="HG74" i="42"/>
  <c r="HF74" i="42"/>
  <c r="HE74" i="42"/>
  <c r="HD74" i="42"/>
  <c r="HC74" i="42"/>
  <c r="HB74" i="42"/>
  <c r="HA74" i="42"/>
  <c r="GZ74" i="42"/>
  <c r="GY74" i="42"/>
  <c r="GX74" i="42"/>
  <c r="GW74" i="42"/>
  <c r="GV74" i="42"/>
  <c r="GU74" i="42"/>
  <c r="GT74" i="42"/>
  <c r="GS74" i="42"/>
  <c r="GR74" i="42"/>
  <c r="GQ74" i="42"/>
  <c r="GP74" i="42"/>
  <c r="GO74" i="42"/>
  <c r="GN74" i="42"/>
  <c r="GM74" i="42"/>
  <c r="GL74" i="42"/>
  <c r="GK74" i="42"/>
  <c r="GJ74" i="42"/>
  <c r="GI74" i="42"/>
  <c r="GH74" i="42"/>
  <c r="GG74" i="42"/>
  <c r="GF74" i="42"/>
  <c r="GE74" i="42"/>
  <c r="GD74" i="42"/>
  <c r="GC74" i="42"/>
  <c r="GB74" i="42"/>
  <c r="GA74" i="42"/>
  <c r="FZ74" i="42"/>
  <c r="FY74" i="42"/>
  <c r="FX74" i="42"/>
  <c r="FW74" i="42"/>
  <c r="FV74" i="42"/>
  <c r="FU74" i="42"/>
  <c r="FT74" i="42"/>
  <c r="FS74" i="42"/>
  <c r="FR74" i="42"/>
  <c r="FQ74" i="42"/>
  <c r="FP74" i="42"/>
  <c r="FO74" i="42"/>
  <c r="FN74" i="42"/>
  <c r="FM74" i="42"/>
  <c r="FL74" i="42"/>
  <c r="FK74" i="42"/>
  <c r="FJ74" i="42"/>
  <c r="FI74" i="42"/>
  <c r="FH74" i="42"/>
  <c r="FG74" i="42"/>
  <c r="FF74" i="42"/>
  <c r="DA74" i="42"/>
  <c r="HH73" i="42"/>
  <c r="HG73" i="42"/>
  <c r="HF73" i="42"/>
  <c r="HE73" i="42"/>
  <c r="HD73" i="42"/>
  <c r="HC73" i="42"/>
  <c r="HB73" i="42"/>
  <c r="HA73" i="42"/>
  <c r="GZ73" i="42"/>
  <c r="GY73" i="42"/>
  <c r="GX73" i="42"/>
  <c r="GW73" i="42"/>
  <c r="GV73" i="42"/>
  <c r="GU73" i="42"/>
  <c r="GT73" i="42"/>
  <c r="GS73" i="42"/>
  <c r="GR73" i="42"/>
  <c r="GQ73" i="42"/>
  <c r="GP73" i="42"/>
  <c r="GO73" i="42"/>
  <c r="GN73" i="42"/>
  <c r="GM73" i="42"/>
  <c r="GL73" i="42"/>
  <c r="GK73" i="42"/>
  <c r="GJ73" i="42"/>
  <c r="GI73" i="42"/>
  <c r="GH73" i="42"/>
  <c r="GG73" i="42"/>
  <c r="GF73" i="42"/>
  <c r="GE73" i="42"/>
  <c r="GD73" i="42"/>
  <c r="GC73" i="42"/>
  <c r="GB73" i="42"/>
  <c r="GA73" i="42"/>
  <c r="FZ73" i="42"/>
  <c r="FY73" i="42"/>
  <c r="FX73" i="42"/>
  <c r="FW73" i="42"/>
  <c r="FV73" i="42"/>
  <c r="FU73" i="42"/>
  <c r="FT73" i="42"/>
  <c r="FS73" i="42"/>
  <c r="FR73" i="42"/>
  <c r="FQ73" i="42"/>
  <c r="FP73" i="42"/>
  <c r="FO73" i="42"/>
  <c r="FN73" i="42"/>
  <c r="FM73" i="42"/>
  <c r="FL73" i="42"/>
  <c r="FK73" i="42"/>
  <c r="FJ73" i="42"/>
  <c r="FI73" i="42"/>
  <c r="FH73" i="42"/>
  <c r="FG73" i="42"/>
  <c r="FF73" i="42"/>
  <c r="DA73" i="42"/>
  <c r="HH72" i="42"/>
  <c r="HG72" i="42"/>
  <c r="HF72" i="42"/>
  <c r="HE72" i="42"/>
  <c r="HD72" i="42"/>
  <c r="HC72" i="42"/>
  <c r="HB72" i="42"/>
  <c r="HA72" i="42"/>
  <c r="GZ72" i="42"/>
  <c r="GY72" i="42"/>
  <c r="GX72" i="42"/>
  <c r="GW72" i="42"/>
  <c r="GV72" i="42"/>
  <c r="GU72" i="42"/>
  <c r="GT72" i="42"/>
  <c r="GS72" i="42"/>
  <c r="GR72" i="42"/>
  <c r="GQ72" i="42"/>
  <c r="GP72" i="42"/>
  <c r="GO72" i="42"/>
  <c r="GN72" i="42"/>
  <c r="GM72" i="42"/>
  <c r="GL72" i="42"/>
  <c r="GK72" i="42"/>
  <c r="GJ72" i="42"/>
  <c r="GI72" i="42"/>
  <c r="GH72" i="42"/>
  <c r="GG72" i="42"/>
  <c r="GF72" i="42"/>
  <c r="GE72" i="42"/>
  <c r="GD72" i="42"/>
  <c r="GC72" i="42"/>
  <c r="GB72" i="42"/>
  <c r="GA72" i="42"/>
  <c r="FZ72" i="42"/>
  <c r="FY72" i="42"/>
  <c r="FX72" i="42"/>
  <c r="FW72" i="42"/>
  <c r="FV72" i="42"/>
  <c r="FU72" i="42"/>
  <c r="FT72" i="42"/>
  <c r="FS72" i="42"/>
  <c r="FR72" i="42"/>
  <c r="FQ72" i="42"/>
  <c r="FP72" i="42"/>
  <c r="FO72" i="42"/>
  <c r="FN72" i="42"/>
  <c r="FM72" i="42"/>
  <c r="FL72" i="42"/>
  <c r="FK72" i="42"/>
  <c r="FJ72" i="42"/>
  <c r="FI72" i="42"/>
  <c r="FH72" i="42"/>
  <c r="FG72" i="42"/>
  <c r="FF72" i="42"/>
  <c r="DA72" i="42"/>
  <c r="HH71" i="42"/>
  <c r="HG71" i="42"/>
  <c r="HF71" i="42"/>
  <c r="HE71" i="42"/>
  <c r="HD71" i="42"/>
  <c r="HC71" i="42"/>
  <c r="HB71" i="42"/>
  <c r="HA71" i="42"/>
  <c r="GZ71" i="42"/>
  <c r="GY71" i="42"/>
  <c r="GX71" i="42"/>
  <c r="GW71" i="42"/>
  <c r="GV71" i="42"/>
  <c r="GU71" i="42"/>
  <c r="GT71" i="42"/>
  <c r="GS71" i="42"/>
  <c r="GR71" i="42"/>
  <c r="GQ71" i="42"/>
  <c r="GP71" i="42"/>
  <c r="GO71" i="42"/>
  <c r="GN71" i="42"/>
  <c r="GM71" i="42"/>
  <c r="GL71" i="42"/>
  <c r="GK71" i="42"/>
  <c r="GJ71" i="42"/>
  <c r="GI71" i="42"/>
  <c r="GH71" i="42"/>
  <c r="GG71" i="42"/>
  <c r="GF71" i="42"/>
  <c r="GE71" i="42"/>
  <c r="GD71" i="42"/>
  <c r="GC71" i="42"/>
  <c r="GB71" i="42"/>
  <c r="GA71" i="42"/>
  <c r="FZ71" i="42"/>
  <c r="FY71" i="42"/>
  <c r="FX71" i="42"/>
  <c r="FW71" i="42"/>
  <c r="FV71" i="42"/>
  <c r="FU71" i="42"/>
  <c r="FT71" i="42"/>
  <c r="FS71" i="42"/>
  <c r="FR71" i="42"/>
  <c r="FQ71" i="42"/>
  <c r="FP71" i="42"/>
  <c r="FO71" i="42"/>
  <c r="FN71" i="42"/>
  <c r="FM71" i="42"/>
  <c r="FL71" i="42"/>
  <c r="FK71" i="42"/>
  <c r="FJ71" i="42"/>
  <c r="FI71" i="42"/>
  <c r="FH71" i="42"/>
  <c r="FG71" i="42"/>
  <c r="FF71" i="42"/>
  <c r="DA71" i="42"/>
  <c r="HH70" i="42"/>
  <c r="HG70" i="42"/>
  <c r="HF70" i="42"/>
  <c r="HE70" i="42"/>
  <c r="HD70" i="42"/>
  <c r="HC70" i="42"/>
  <c r="HB70" i="42"/>
  <c r="HA70" i="42"/>
  <c r="GZ70" i="42"/>
  <c r="GY70" i="42"/>
  <c r="GX70" i="42"/>
  <c r="GW70" i="42"/>
  <c r="GV70" i="42"/>
  <c r="GU70" i="42"/>
  <c r="GT70" i="42"/>
  <c r="GS70" i="42"/>
  <c r="GR70" i="42"/>
  <c r="GQ70" i="42"/>
  <c r="GP70" i="42"/>
  <c r="GO70" i="42"/>
  <c r="GN70" i="42"/>
  <c r="GM70" i="42"/>
  <c r="GL70" i="42"/>
  <c r="GK70" i="42"/>
  <c r="GJ70" i="42"/>
  <c r="GI70" i="42"/>
  <c r="GH70" i="42"/>
  <c r="GG70" i="42"/>
  <c r="GF70" i="42"/>
  <c r="GE70" i="42"/>
  <c r="GD70" i="42"/>
  <c r="GC70" i="42"/>
  <c r="GB70" i="42"/>
  <c r="GA70" i="42"/>
  <c r="FZ70" i="42"/>
  <c r="FY70" i="42"/>
  <c r="FX70" i="42"/>
  <c r="FW70" i="42"/>
  <c r="FV70" i="42"/>
  <c r="FU70" i="42"/>
  <c r="FT70" i="42"/>
  <c r="FS70" i="42"/>
  <c r="FR70" i="42"/>
  <c r="FQ70" i="42"/>
  <c r="FP70" i="42"/>
  <c r="FO70" i="42"/>
  <c r="FN70" i="42"/>
  <c r="FM70" i="42"/>
  <c r="FL70" i="42"/>
  <c r="FK70" i="42"/>
  <c r="FJ70" i="42"/>
  <c r="FI70" i="42"/>
  <c r="FH70" i="42"/>
  <c r="FG70" i="42"/>
  <c r="FF70" i="42"/>
  <c r="DA70" i="42"/>
  <c r="HH69" i="42"/>
  <c r="HG69" i="42"/>
  <c r="HF69" i="42"/>
  <c r="HE69" i="42"/>
  <c r="HD69" i="42"/>
  <c r="HC69" i="42"/>
  <c r="HB69" i="42"/>
  <c r="HA69" i="42"/>
  <c r="GZ69" i="42"/>
  <c r="GY69" i="42"/>
  <c r="GX69" i="42"/>
  <c r="GW69" i="42"/>
  <c r="GV69" i="42"/>
  <c r="GU69" i="42"/>
  <c r="GT69" i="42"/>
  <c r="GS69" i="42"/>
  <c r="GR69" i="42"/>
  <c r="GQ69" i="42"/>
  <c r="GP69" i="42"/>
  <c r="GO69" i="42"/>
  <c r="GN69" i="42"/>
  <c r="GM69" i="42"/>
  <c r="GL69" i="42"/>
  <c r="GK69" i="42"/>
  <c r="GJ69" i="42"/>
  <c r="GI69" i="42"/>
  <c r="GH69" i="42"/>
  <c r="GG69" i="42"/>
  <c r="GF69" i="42"/>
  <c r="GE69" i="42"/>
  <c r="GD69" i="42"/>
  <c r="GC69" i="42"/>
  <c r="GB69" i="42"/>
  <c r="GA69" i="42"/>
  <c r="FZ69" i="42"/>
  <c r="FY69" i="42"/>
  <c r="FX69" i="42"/>
  <c r="FW69" i="42"/>
  <c r="FV69" i="42"/>
  <c r="FU69" i="42"/>
  <c r="FT69" i="42"/>
  <c r="FS69" i="42"/>
  <c r="FR69" i="42"/>
  <c r="FQ69" i="42"/>
  <c r="FP69" i="42"/>
  <c r="FO69" i="42"/>
  <c r="FN69" i="42"/>
  <c r="FM69" i="42"/>
  <c r="FL69" i="42"/>
  <c r="FK69" i="42"/>
  <c r="FJ69" i="42"/>
  <c r="FI69" i="42"/>
  <c r="FH69" i="42"/>
  <c r="FG69" i="42"/>
  <c r="FF69" i="42"/>
  <c r="DA69" i="42"/>
  <c r="C69" i="42"/>
  <c r="C70" i="42" s="1"/>
  <c r="C71" i="42" s="1"/>
  <c r="C72" i="42" s="1"/>
  <c r="C73" i="42" s="1"/>
  <c r="C74" i="42" s="1"/>
  <c r="HH68" i="42"/>
  <c r="HG68" i="42"/>
  <c r="HF68" i="42"/>
  <c r="HE68" i="42"/>
  <c r="HD68" i="42"/>
  <c r="HC68" i="42"/>
  <c r="HB68" i="42"/>
  <c r="HA68" i="42"/>
  <c r="GZ68" i="42"/>
  <c r="GY68" i="42"/>
  <c r="GX68" i="42"/>
  <c r="GW68" i="42"/>
  <c r="GV68" i="42"/>
  <c r="GU68" i="42"/>
  <c r="GT68" i="42"/>
  <c r="GS68" i="42"/>
  <c r="GR68" i="42"/>
  <c r="GQ68" i="42"/>
  <c r="GP68" i="42"/>
  <c r="GO68" i="42"/>
  <c r="GN68" i="42"/>
  <c r="GM68" i="42"/>
  <c r="GL68" i="42"/>
  <c r="GK68" i="42"/>
  <c r="GJ68" i="42"/>
  <c r="GI68" i="42"/>
  <c r="GH68" i="42"/>
  <c r="GG68" i="42"/>
  <c r="GF68" i="42"/>
  <c r="GE68" i="42"/>
  <c r="GD68" i="42"/>
  <c r="GC68" i="42"/>
  <c r="GB68" i="42"/>
  <c r="GA68" i="42"/>
  <c r="FZ68" i="42"/>
  <c r="FY68" i="42"/>
  <c r="FX68" i="42"/>
  <c r="FW68" i="42"/>
  <c r="FV68" i="42"/>
  <c r="FU68" i="42"/>
  <c r="FT68" i="42"/>
  <c r="FS68" i="42"/>
  <c r="FR68" i="42"/>
  <c r="FQ68" i="42"/>
  <c r="FP68" i="42"/>
  <c r="FO68" i="42"/>
  <c r="FN68" i="42"/>
  <c r="FM68" i="42"/>
  <c r="FL68" i="42"/>
  <c r="FK68" i="42"/>
  <c r="FJ68" i="42"/>
  <c r="FI68" i="42"/>
  <c r="FH68" i="42"/>
  <c r="FG68" i="42"/>
  <c r="FF68" i="42"/>
  <c r="DA68" i="42"/>
  <c r="HH64" i="42"/>
  <c r="HG64" i="42"/>
  <c r="HF64" i="42"/>
  <c r="HE64" i="42"/>
  <c r="HD64" i="42"/>
  <c r="HC64" i="42"/>
  <c r="HB64" i="42"/>
  <c r="HA64" i="42"/>
  <c r="GZ64" i="42"/>
  <c r="GY64" i="42"/>
  <c r="GX64" i="42"/>
  <c r="GW64" i="42"/>
  <c r="GV64" i="42"/>
  <c r="GU64" i="42"/>
  <c r="GT64" i="42"/>
  <c r="GS64" i="42"/>
  <c r="GR64" i="42"/>
  <c r="GQ64" i="42"/>
  <c r="GP64" i="42"/>
  <c r="GO64" i="42"/>
  <c r="GN64" i="42"/>
  <c r="GM64" i="42"/>
  <c r="GL64" i="42"/>
  <c r="GK64" i="42"/>
  <c r="GJ64" i="42"/>
  <c r="GI64" i="42"/>
  <c r="GH64" i="42"/>
  <c r="GG64" i="42"/>
  <c r="GF64" i="42"/>
  <c r="GE64" i="42"/>
  <c r="GD64" i="42"/>
  <c r="GC64" i="42"/>
  <c r="GB64" i="42"/>
  <c r="GA64" i="42"/>
  <c r="FZ64" i="42"/>
  <c r="FY64" i="42"/>
  <c r="FX64" i="42"/>
  <c r="FW64" i="42"/>
  <c r="FV64" i="42"/>
  <c r="FU64" i="42"/>
  <c r="FT64" i="42"/>
  <c r="FS64" i="42"/>
  <c r="FR64" i="42"/>
  <c r="FQ64" i="42"/>
  <c r="FP64" i="42"/>
  <c r="FO64" i="42"/>
  <c r="FN64" i="42"/>
  <c r="FM64" i="42"/>
  <c r="FL64" i="42"/>
  <c r="FK64" i="42"/>
  <c r="FJ64" i="42"/>
  <c r="FI64" i="42"/>
  <c r="FH64" i="42"/>
  <c r="FG64" i="42"/>
  <c r="FF64" i="42"/>
  <c r="DA64" i="42"/>
  <c r="HH63" i="42"/>
  <c r="HG63" i="42"/>
  <c r="HF63" i="42"/>
  <c r="HE63" i="42"/>
  <c r="HD63" i="42"/>
  <c r="HC63" i="42"/>
  <c r="HB63" i="42"/>
  <c r="HA63" i="42"/>
  <c r="GZ63" i="42"/>
  <c r="GY63" i="42"/>
  <c r="GX63" i="42"/>
  <c r="GW63" i="42"/>
  <c r="GV63" i="42"/>
  <c r="GU63" i="42"/>
  <c r="GT63" i="42"/>
  <c r="GS63" i="42"/>
  <c r="GR63" i="42"/>
  <c r="GQ63" i="42"/>
  <c r="GP63" i="42"/>
  <c r="GO63" i="42"/>
  <c r="GN63" i="42"/>
  <c r="GM63" i="42"/>
  <c r="GL63" i="42"/>
  <c r="GK63" i="42"/>
  <c r="GJ63" i="42"/>
  <c r="GI63" i="42"/>
  <c r="GH63" i="42"/>
  <c r="GG63" i="42"/>
  <c r="GF63" i="42"/>
  <c r="GE63" i="42"/>
  <c r="GD63" i="42"/>
  <c r="GC63" i="42"/>
  <c r="GB63" i="42"/>
  <c r="GA63" i="42"/>
  <c r="FZ63" i="42"/>
  <c r="FY63" i="42"/>
  <c r="FX63" i="42"/>
  <c r="FW63" i="42"/>
  <c r="FV63" i="42"/>
  <c r="FU63" i="42"/>
  <c r="FT63" i="42"/>
  <c r="FS63" i="42"/>
  <c r="FR63" i="42"/>
  <c r="FQ63" i="42"/>
  <c r="FP63" i="42"/>
  <c r="FO63" i="42"/>
  <c r="FN63" i="42"/>
  <c r="FM63" i="42"/>
  <c r="FL63" i="42"/>
  <c r="FK63" i="42"/>
  <c r="FJ63" i="42"/>
  <c r="FI63" i="42"/>
  <c r="FH63" i="42"/>
  <c r="FG63" i="42"/>
  <c r="FF63" i="42"/>
  <c r="DA63" i="42"/>
  <c r="HH62" i="42"/>
  <c r="HG62" i="42"/>
  <c r="HF62" i="42"/>
  <c r="HE62" i="42"/>
  <c r="HD62" i="42"/>
  <c r="HC62" i="42"/>
  <c r="HB62" i="42"/>
  <c r="HA62" i="42"/>
  <c r="GZ62" i="42"/>
  <c r="GY62" i="42"/>
  <c r="GX62" i="42"/>
  <c r="GW62" i="42"/>
  <c r="GV62" i="42"/>
  <c r="GU62" i="42"/>
  <c r="GT62" i="42"/>
  <c r="GS62" i="42"/>
  <c r="GR62" i="42"/>
  <c r="GQ62" i="42"/>
  <c r="GP62" i="42"/>
  <c r="GO62" i="42"/>
  <c r="GN62" i="42"/>
  <c r="GM62" i="42"/>
  <c r="GL62" i="42"/>
  <c r="GK62" i="42"/>
  <c r="GJ62" i="42"/>
  <c r="GI62" i="42"/>
  <c r="GH62" i="42"/>
  <c r="GG62" i="42"/>
  <c r="GF62" i="42"/>
  <c r="GE62" i="42"/>
  <c r="GD62" i="42"/>
  <c r="GC62" i="42"/>
  <c r="GB62" i="42"/>
  <c r="GA62" i="42"/>
  <c r="FZ62" i="42"/>
  <c r="FY62" i="42"/>
  <c r="FX62" i="42"/>
  <c r="FW62" i="42"/>
  <c r="FV62" i="42"/>
  <c r="FU62" i="42"/>
  <c r="FT62" i="42"/>
  <c r="FS62" i="42"/>
  <c r="FR62" i="42"/>
  <c r="FQ62" i="42"/>
  <c r="FP62" i="42"/>
  <c r="FO62" i="42"/>
  <c r="FN62" i="42"/>
  <c r="FM62" i="42"/>
  <c r="FL62" i="42"/>
  <c r="FK62" i="42"/>
  <c r="FJ62" i="42"/>
  <c r="FI62" i="42"/>
  <c r="FH62" i="42"/>
  <c r="FG62" i="42"/>
  <c r="FF62" i="42"/>
  <c r="DA62" i="42"/>
  <c r="HH61" i="42"/>
  <c r="HG61" i="42"/>
  <c r="HF61" i="42"/>
  <c r="HE61" i="42"/>
  <c r="HD61" i="42"/>
  <c r="HC61" i="42"/>
  <c r="HB61" i="42"/>
  <c r="HA61" i="42"/>
  <c r="GZ61" i="42"/>
  <c r="GY61" i="42"/>
  <c r="GX61" i="42"/>
  <c r="GW61" i="42"/>
  <c r="GV61" i="42"/>
  <c r="GU61" i="42"/>
  <c r="GT61" i="42"/>
  <c r="GS61" i="42"/>
  <c r="GR61" i="42"/>
  <c r="GQ61" i="42"/>
  <c r="GP61" i="42"/>
  <c r="GO61" i="42"/>
  <c r="GN61" i="42"/>
  <c r="GM61" i="42"/>
  <c r="GL61" i="42"/>
  <c r="GK61" i="42"/>
  <c r="GJ61" i="42"/>
  <c r="GI61" i="42"/>
  <c r="GH61" i="42"/>
  <c r="GG61" i="42"/>
  <c r="GF61" i="42"/>
  <c r="GE61" i="42"/>
  <c r="GD61" i="42"/>
  <c r="GC61" i="42"/>
  <c r="GB61" i="42"/>
  <c r="GA61" i="42"/>
  <c r="FZ61" i="42"/>
  <c r="FY61" i="42"/>
  <c r="FX61" i="42"/>
  <c r="FW61" i="42"/>
  <c r="FV61" i="42"/>
  <c r="FU61" i="42"/>
  <c r="FT61" i="42"/>
  <c r="FS61" i="42"/>
  <c r="FR61" i="42"/>
  <c r="FQ61" i="42"/>
  <c r="FP61" i="42"/>
  <c r="FO61" i="42"/>
  <c r="FN61" i="42"/>
  <c r="FM61" i="42"/>
  <c r="FL61" i="42"/>
  <c r="FK61" i="42"/>
  <c r="FJ61" i="42"/>
  <c r="FI61" i="42"/>
  <c r="FH61" i="42"/>
  <c r="FG61" i="42"/>
  <c r="FF61" i="42"/>
  <c r="DA61" i="42"/>
  <c r="HH60" i="42"/>
  <c r="HG60" i="42"/>
  <c r="HF60" i="42"/>
  <c r="HE60" i="42"/>
  <c r="HD60" i="42"/>
  <c r="HC60" i="42"/>
  <c r="HB60" i="42"/>
  <c r="HA60" i="42"/>
  <c r="GZ60" i="42"/>
  <c r="GY60" i="42"/>
  <c r="GX60" i="42"/>
  <c r="GW60" i="42"/>
  <c r="GV60" i="42"/>
  <c r="GU60" i="42"/>
  <c r="GT60" i="42"/>
  <c r="GS60" i="42"/>
  <c r="GR60" i="42"/>
  <c r="GQ60" i="42"/>
  <c r="GP60" i="42"/>
  <c r="GO60" i="42"/>
  <c r="GN60" i="42"/>
  <c r="GM60" i="42"/>
  <c r="GL60" i="42"/>
  <c r="GK60" i="42"/>
  <c r="GJ60" i="42"/>
  <c r="GI60" i="42"/>
  <c r="GH60" i="42"/>
  <c r="GG60" i="42"/>
  <c r="GF60" i="42"/>
  <c r="GE60" i="42"/>
  <c r="GD60" i="42"/>
  <c r="GC60" i="42"/>
  <c r="GB60" i="42"/>
  <c r="GA60" i="42"/>
  <c r="FZ60" i="42"/>
  <c r="FY60" i="42"/>
  <c r="FX60" i="42"/>
  <c r="FW60" i="42"/>
  <c r="FV60" i="42"/>
  <c r="FU60" i="42"/>
  <c r="FT60" i="42"/>
  <c r="FS60" i="42"/>
  <c r="FR60" i="42"/>
  <c r="FQ60" i="42"/>
  <c r="FP60" i="42"/>
  <c r="FO60" i="42"/>
  <c r="FN60" i="42"/>
  <c r="FM60" i="42"/>
  <c r="FL60" i="42"/>
  <c r="FK60" i="42"/>
  <c r="FJ60" i="42"/>
  <c r="FI60" i="42"/>
  <c r="FH60" i="42"/>
  <c r="FG60" i="42"/>
  <c r="FF60" i="42"/>
  <c r="DA60" i="42"/>
  <c r="HH59" i="42"/>
  <c r="HG59" i="42"/>
  <c r="HF59" i="42"/>
  <c r="HE59" i="42"/>
  <c r="HD59" i="42"/>
  <c r="HC59" i="42"/>
  <c r="HB59" i="42"/>
  <c r="HA59" i="42"/>
  <c r="GZ59" i="42"/>
  <c r="GY59" i="42"/>
  <c r="GX59" i="42"/>
  <c r="GW59" i="42"/>
  <c r="GV59" i="42"/>
  <c r="GU59" i="42"/>
  <c r="GT59" i="42"/>
  <c r="GS59" i="42"/>
  <c r="GR59" i="42"/>
  <c r="GQ59" i="42"/>
  <c r="GP59" i="42"/>
  <c r="GO59" i="42"/>
  <c r="GN59" i="42"/>
  <c r="GM59" i="42"/>
  <c r="GL59" i="42"/>
  <c r="GK59" i="42"/>
  <c r="GJ59" i="42"/>
  <c r="GI59" i="42"/>
  <c r="GH59" i="42"/>
  <c r="GG59" i="42"/>
  <c r="GF59" i="42"/>
  <c r="GE59" i="42"/>
  <c r="GD59" i="42"/>
  <c r="GC59" i="42"/>
  <c r="GB59" i="42"/>
  <c r="GA59" i="42"/>
  <c r="FZ59" i="42"/>
  <c r="FY59" i="42"/>
  <c r="FX59" i="42"/>
  <c r="FW59" i="42"/>
  <c r="FV59" i="42"/>
  <c r="FU59" i="42"/>
  <c r="FT59" i="42"/>
  <c r="FS59" i="42"/>
  <c r="FR59" i="42"/>
  <c r="FQ59" i="42"/>
  <c r="FP59" i="42"/>
  <c r="FO59" i="42"/>
  <c r="FN59" i="42"/>
  <c r="FM59" i="42"/>
  <c r="FL59" i="42"/>
  <c r="FK59" i="42"/>
  <c r="FJ59" i="42"/>
  <c r="FI59" i="42"/>
  <c r="FH59" i="42"/>
  <c r="FG59" i="42"/>
  <c r="FF59" i="42"/>
  <c r="DA59" i="42"/>
  <c r="HH58" i="42"/>
  <c r="HG58" i="42"/>
  <c r="HF58" i="42"/>
  <c r="HE58" i="42"/>
  <c r="HD58" i="42"/>
  <c r="HC58" i="42"/>
  <c r="HB58" i="42"/>
  <c r="HA58" i="42"/>
  <c r="GZ58" i="42"/>
  <c r="GY58" i="42"/>
  <c r="GX58" i="42"/>
  <c r="GW58" i="42"/>
  <c r="GV58" i="42"/>
  <c r="GU58" i="42"/>
  <c r="GT58" i="42"/>
  <c r="GS58" i="42"/>
  <c r="GR58" i="42"/>
  <c r="GQ58" i="42"/>
  <c r="GP58" i="42"/>
  <c r="GO58" i="42"/>
  <c r="GN58" i="42"/>
  <c r="GM58" i="42"/>
  <c r="GL58" i="42"/>
  <c r="GK58" i="42"/>
  <c r="GJ58" i="42"/>
  <c r="GI58" i="42"/>
  <c r="GH58" i="42"/>
  <c r="GG58" i="42"/>
  <c r="GF58" i="42"/>
  <c r="GE58" i="42"/>
  <c r="GD58" i="42"/>
  <c r="GC58" i="42"/>
  <c r="GB58" i="42"/>
  <c r="GA58" i="42"/>
  <c r="FZ58" i="42"/>
  <c r="FY58" i="42"/>
  <c r="FX58" i="42"/>
  <c r="FW58" i="42"/>
  <c r="FV58" i="42"/>
  <c r="FU58" i="42"/>
  <c r="FT58" i="42"/>
  <c r="FS58" i="42"/>
  <c r="FR58" i="42"/>
  <c r="FQ58" i="42"/>
  <c r="FP58" i="42"/>
  <c r="FO58" i="42"/>
  <c r="FN58" i="42"/>
  <c r="FM58" i="42"/>
  <c r="FL58" i="42"/>
  <c r="FK58" i="42"/>
  <c r="FJ58" i="42"/>
  <c r="FI58" i="42"/>
  <c r="FH58" i="42"/>
  <c r="FG58" i="42"/>
  <c r="FF58" i="42"/>
  <c r="DA58" i="42"/>
  <c r="HH57" i="42"/>
  <c r="HG57" i="42"/>
  <c r="HF57" i="42"/>
  <c r="HE57" i="42"/>
  <c r="HD57" i="42"/>
  <c r="HC57" i="42"/>
  <c r="HB57" i="42"/>
  <c r="HA57" i="42"/>
  <c r="GZ57" i="42"/>
  <c r="GY57" i="42"/>
  <c r="GX57" i="42"/>
  <c r="GW57" i="42"/>
  <c r="GV57" i="42"/>
  <c r="GU57" i="42"/>
  <c r="GT57" i="42"/>
  <c r="GS57" i="42"/>
  <c r="GR57" i="42"/>
  <c r="GQ57" i="42"/>
  <c r="GP57" i="42"/>
  <c r="GO57" i="42"/>
  <c r="GN57" i="42"/>
  <c r="GM57" i="42"/>
  <c r="GL57" i="42"/>
  <c r="GK57" i="42"/>
  <c r="GJ57" i="42"/>
  <c r="GI57" i="42"/>
  <c r="GH57" i="42"/>
  <c r="GG57" i="42"/>
  <c r="GF57" i="42"/>
  <c r="GE57" i="42"/>
  <c r="GD57" i="42"/>
  <c r="GC57" i="42"/>
  <c r="GB57" i="42"/>
  <c r="GA57" i="42"/>
  <c r="FZ57" i="42"/>
  <c r="FY57" i="42"/>
  <c r="FX57" i="42"/>
  <c r="FW57" i="42"/>
  <c r="FV57" i="42"/>
  <c r="FU57" i="42"/>
  <c r="FT57" i="42"/>
  <c r="FS57" i="42"/>
  <c r="FR57" i="42"/>
  <c r="FQ57" i="42"/>
  <c r="FP57" i="42"/>
  <c r="FO57" i="42"/>
  <c r="FN57" i="42"/>
  <c r="FM57" i="42"/>
  <c r="FL57" i="42"/>
  <c r="FK57" i="42"/>
  <c r="FJ57" i="42"/>
  <c r="FI57" i="42"/>
  <c r="FH57" i="42"/>
  <c r="FG57" i="42"/>
  <c r="FF57" i="42"/>
  <c r="DA57" i="42"/>
  <c r="HH56" i="42"/>
  <c r="HG56" i="42"/>
  <c r="HF56" i="42"/>
  <c r="HE56" i="42"/>
  <c r="HD56" i="42"/>
  <c r="HC56" i="42"/>
  <c r="HB56" i="42"/>
  <c r="HA56" i="42"/>
  <c r="GZ56" i="42"/>
  <c r="GY56" i="42"/>
  <c r="GX56" i="42"/>
  <c r="GW56" i="42"/>
  <c r="GV56" i="42"/>
  <c r="GU56" i="42"/>
  <c r="GT56" i="42"/>
  <c r="GS56" i="42"/>
  <c r="GR56" i="42"/>
  <c r="GQ56" i="42"/>
  <c r="GP56" i="42"/>
  <c r="GO56" i="42"/>
  <c r="GN56" i="42"/>
  <c r="GM56" i="42"/>
  <c r="GL56" i="42"/>
  <c r="GK56" i="42"/>
  <c r="GJ56" i="42"/>
  <c r="GI56" i="42"/>
  <c r="GH56" i="42"/>
  <c r="GG56" i="42"/>
  <c r="GF56" i="42"/>
  <c r="GE56" i="42"/>
  <c r="GD56" i="42"/>
  <c r="GC56" i="42"/>
  <c r="GB56" i="42"/>
  <c r="GA56" i="42"/>
  <c r="FZ56" i="42"/>
  <c r="FY56" i="42"/>
  <c r="FX56" i="42"/>
  <c r="FW56" i="42"/>
  <c r="FV56" i="42"/>
  <c r="FU56" i="42"/>
  <c r="FT56" i="42"/>
  <c r="FS56" i="42"/>
  <c r="FR56" i="42"/>
  <c r="FQ56" i="42"/>
  <c r="FP56" i="42"/>
  <c r="FO56" i="42"/>
  <c r="FN56" i="42"/>
  <c r="FM56" i="42"/>
  <c r="FL56" i="42"/>
  <c r="FK56" i="42"/>
  <c r="FJ56" i="42"/>
  <c r="FI56" i="42"/>
  <c r="FH56" i="42"/>
  <c r="FG56" i="42"/>
  <c r="FF56" i="42"/>
  <c r="DA56" i="42"/>
  <c r="HH55" i="42"/>
  <c r="HG55" i="42"/>
  <c r="HF55" i="42"/>
  <c r="HE55" i="42"/>
  <c r="HD55" i="42"/>
  <c r="HC55" i="42"/>
  <c r="HB55" i="42"/>
  <c r="HA55" i="42"/>
  <c r="GZ55" i="42"/>
  <c r="GY55" i="42"/>
  <c r="GX55" i="42"/>
  <c r="GW55" i="42"/>
  <c r="GV55" i="42"/>
  <c r="GU55" i="42"/>
  <c r="GT55" i="42"/>
  <c r="GS55" i="42"/>
  <c r="GR55" i="42"/>
  <c r="GQ55" i="42"/>
  <c r="GP55" i="42"/>
  <c r="GO55" i="42"/>
  <c r="GN55" i="42"/>
  <c r="GM55" i="42"/>
  <c r="GL55" i="42"/>
  <c r="GK55" i="42"/>
  <c r="GJ55" i="42"/>
  <c r="GI55" i="42"/>
  <c r="GH55" i="42"/>
  <c r="GG55" i="42"/>
  <c r="GF55" i="42"/>
  <c r="GE55" i="42"/>
  <c r="GD55" i="42"/>
  <c r="GC55" i="42"/>
  <c r="GB55" i="42"/>
  <c r="GA55" i="42"/>
  <c r="FZ55" i="42"/>
  <c r="FY55" i="42"/>
  <c r="FX55" i="42"/>
  <c r="FW55" i="42"/>
  <c r="FV55" i="42"/>
  <c r="FU55" i="42"/>
  <c r="FT55" i="42"/>
  <c r="FS55" i="42"/>
  <c r="FR55" i="42"/>
  <c r="FQ55" i="42"/>
  <c r="FP55" i="42"/>
  <c r="FO55" i="42"/>
  <c r="FN55" i="42"/>
  <c r="FM55" i="42"/>
  <c r="FL55" i="42"/>
  <c r="FK55" i="42"/>
  <c r="FJ55" i="42"/>
  <c r="FI55" i="42"/>
  <c r="FH55" i="42"/>
  <c r="FG55" i="42"/>
  <c r="FF55" i="42"/>
  <c r="DA55" i="42"/>
  <c r="C53" i="42"/>
  <c r="C54" i="42" s="1"/>
  <c r="C55" i="42" s="1"/>
  <c r="C56" i="42" s="1"/>
  <c r="C57" i="42" s="1"/>
  <c r="C58" i="42" s="1"/>
  <c r="C59" i="42" s="1"/>
  <c r="C60" i="42" s="1"/>
  <c r="C61" i="42" s="1"/>
  <c r="C62" i="42" s="1"/>
  <c r="C63" i="42" s="1"/>
  <c r="C64" i="42" s="1"/>
  <c r="HH54" i="42"/>
  <c r="HG54" i="42"/>
  <c r="HF54" i="42"/>
  <c r="HE54" i="42"/>
  <c r="HD54" i="42"/>
  <c r="HC54" i="42"/>
  <c r="HB54" i="42"/>
  <c r="HA54" i="42"/>
  <c r="GZ54" i="42"/>
  <c r="GY54" i="42"/>
  <c r="GX54" i="42"/>
  <c r="GW54" i="42"/>
  <c r="GV54" i="42"/>
  <c r="GU54" i="42"/>
  <c r="GT54" i="42"/>
  <c r="GS54" i="42"/>
  <c r="GR54" i="42"/>
  <c r="GQ54" i="42"/>
  <c r="GP54" i="42"/>
  <c r="GO54" i="42"/>
  <c r="GN54" i="42"/>
  <c r="GM54" i="42"/>
  <c r="GL54" i="42"/>
  <c r="GK54" i="42"/>
  <c r="GJ54" i="42"/>
  <c r="GI54" i="42"/>
  <c r="GH54" i="42"/>
  <c r="GG54" i="42"/>
  <c r="GF54" i="42"/>
  <c r="GE54" i="42"/>
  <c r="GD54" i="42"/>
  <c r="GC54" i="42"/>
  <c r="GB54" i="42"/>
  <c r="GA54" i="42"/>
  <c r="FZ54" i="42"/>
  <c r="FY54" i="42"/>
  <c r="FX54" i="42"/>
  <c r="FW54" i="42"/>
  <c r="FV54" i="42"/>
  <c r="FU54" i="42"/>
  <c r="FT54" i="42"/>
  <c r="FS54" i="42"/>
  <c r="FR54" i="42"/>
  <c r="FQ54" i="42"/>
  <c r="FP54" i="42"/>
  <c r="FO54" i="42"/>
  <c r="FN54" i="42"/>
  <c r="FM54" i="42"/>
  <c r="FL54" i="42"/>
  <c r="FK54" i="42"/>
  <c r="FJ54" i="42"/>
  <c r="FI54" i="42"/>
  <c r="FH54" i="42"/>
  <c r="FG54" i="42"/>
  <c r="FF54" i="42"/>
  <c r="DA54" i="42"/>
  <c r="HH53" i="42"/>
  <c r="HG53" i="42"/>
  <c r="HF53" i="42"/>
  <c r="HE53" i="42"/>
  <c r="HD53" i="42"/>
  <c r="HC53" i="42"/>
  <c r="HB53" i="42"/>
  <c r="HA53" i="42"/>
  <c r="GZ53" i="42"/>
  <c r="GY53" i="42"/>
  <c r="GX53" i="42"/>
  <c r="GW53" i="42"/>
  <c r="GV53" i="42"/>
  <c r="GU53" i="42"/>
  <c r="GT53" i="42"/>
  <c r="GS53" i="42"/>
  <c r="GR53" i="42"/>
  <c r="GQ53" i="42"/>
  <c r="GP53" i="42"/>
  <c r="GO53" i="42"/>
  <c r="GN53" i="42"/>
  <c r="GM53" i="42"/>
  <c r="GL53" i="42"/>
  <c r="GK53" i="42"/>
  <c r="GJ53" i="42"/>
  <c r="GI53" i="42"/>
  <c r="GH53" i="42"/>
  <c r="GG53" i="42"/>
  <c r="GF53" i="42"/>
  <c r="GE53" i="42"/>
  <c r="GD53" i="42"/>
  <c r="GC53" i="42"/>
  <c r="GB53" i="42"/>
  <c r="GA53" i="42"/>
  <c r="FZ53" i="42"/>
  <c r="FY53" i="42"/>
  <c r="FX53" i="42"/>
  <c r="FW53" i="42"/>
  <c r="FV53" i="42"/>
  <c r="FU53" i="42"/>
  <c r="FT53" i="42"/>
  <c r="FS53" i="42"/>
  <c r="FR53" i="42"/>
  <c r="FQ53" i="42"/>
  <c r="FP53" i="42"/>
  <c r="FO53" i="42"/>
  <c r="FN53" i="42"/>
  <c r="FM53" i="42"/>
  <c r="FL53" i="42"/>
  <c r="FK53" i="42"/>
  <c r="FJ53" i="42"/>
  <c r="FI53" i="42"/>
  <c r="FH53" i="42"/>
  <c r="FG53" i="42"/>
  <c r="FF53" i="42"/>
  <c r="DA53" i="42"/>
  <c r="HH52" i="42"/>
  <c r="HG52" i="42"/>
  <c r="HF52" i="42"/>
  <c r="HE52" i="42"/>
  <c r="HD52" i="42"/>
  <c r="HC52" i="42"/>
  <c r="HB52" i="42"/>
  <c r="HA52" i="42"/>
  <c r="GZ52" i="42"/>
  <c r="GY52" i="42"/>
  <c r="GX52" i="42"/>
  <c r="GW52" i="42"/>
  <c r="GV52" i="42"/>
  <c r="GU52" i="42"/>
  <c r="GT52" i="42"/>
  <c r="GS52" i="42"/>
  <c r="GR52" i="42"/>
  <c r="GQ52" i="42"/>
  <c r="GP52" i="42"/>
  <c r="GO52" i="42"/>
  <c r="GN52" i="42"/>
  <c r="GM52" i="42"/>
  <c r="GL52" i="42"/>
  <c r="GK52" i="42"/>
  <c r="GJ52" i="42"/>
  <c r="GI52" i="42"/>
  <c r="GH52" i="42"/>
  <c r="GG52" i="42"/>
  <c r="GF52" i="42"/>
  <c r="GE52" i="42"/>
  <c r="GD52" i="42"/>
  <c r="GC52" i="42"/>
  <c r="GB52" i="42"/>
  <c r="GA52" i="42"/>
  <c r="FZ52" i="42"/>
  <c r="FY52" i="42"/>
  <c r="FX52" i="42"/>
  <c r="FW52" i="42"/>
  <c r="FV52" i="42"/>
  <c r="FU52" i="42"/>
  <c r="FT52" i="42"/>
  <c r="FS52" i="42"/>
  <c r="FR52" i="42"/>
  <c r="FQ52" i="42"/>
  <c r="FP52" i="42"/>
  <c r="FO52" i="42"/>
  <c r="FN52" i="42"/>
  <c r="FM52" i="42"/>
  <c r="FL52" i="42"/>
  <c r="FK52" i="42"/>
  <c r="FJ52" i="42"/>
  <c r="FI52" i="42"/>
  <c r="FH52" i="42"/>
  <c r="FG52" i="42"/>
  <c r="FF52" i="42"/>
  <c r="DA52" i="42"/>
  <c r="HJ68" i="42" l="1"/>
  <c r="HJ71" i="42"/>
  <c r="HJ78" i="42"/>
  <c r="HJ81" i="42"/>
  <c r="HJ73" i="42"/>
  <c r="HJ64" i="42"/>
  <c r="HJ70" i="42"/>
  <c r="HJ74" i="42"/>
  <c r="HJ79" i="42"/>
  <c r="HJ80" i="42"/>
  <c r="HJ84" i="42"/>
  <c r="HJ85" i="42"/>
  <c r="HJ53" i="42"/>
  <c r="HJ54" i="42"/>
  <c r="HJ55" i="42"/>
  <c r="HJ63" i="42"/>
  <c r="HJ69" i="42"/>
  <c r="HJ72" i="42"/>
  <c r="HJ82" i="42"/>
  <c r="HJ83" i="42"/>
  <c r="HJ62" i="42"/>
  <c r="HJ57" i="42"/>
  <c r="HJ56" i="42"/>
  <c r="HJ58" i="42"/>
  <c r="HJ59" i="42"/>
  <c r="HJ60" i="42"/>
  <c r="HJ61" i="42"/>
  <c r="HJ52" i="42"/>
  <c r="X25" i="7"/>
  <c r="W25" i="7"/>
  <c r="X24" i="7"/>
  <c r="W24" i="7"/>
  <c r="X23" i="7"/>
  <c r="W23" i="7"/>
  <c r="X22" i="7"/>
  <c r="W22" i="7"/>
  <c r="X21" i="7"/>
  <c r="W21" i="7"/>
  <c r="X9" i="7"/>
  <c r="W9" i="7"/>
  <c r="V9" i="42"/>
  <c r="AU27" i="42"/>
  <c r="AT27" i="42"/>
  <c r="AS27" i="42"/>
  <c r="AR27" i="42"/>
  <c r="AQ27" i="42"/>
  <c r="AP27" i="42"/>
  <c r="AO27" i="42"/>
  <c r="AN27" i="42"/>
  <c r="AM27" i="42"/>
  <c r="AL27" i="42"/>
  <c r="AK27" i="42"/>
  <c r="AJ27" i="42"/>
  <c r="AU25" i="42"/>
  <c r="AT25" i="42"/>
  <c r="AS25" i="42"/>
  <c r="AR25" i="42"/>
  <c r="AQ25" i="42"/>
  <c r="AP25" i="42"/>
  <c r="AO25" i="42"/>
  <c r="AN25" i="42"/>
  <c r="AM25" i="42"/>
  <c r="AL25" i="42"/>
  <c r="AK25" i="42"/>
  <c r="AJ25" i="42"/>
  <c r="AU13" i="42"/>
  <c r="AT13" i="42"/>
  <c r="AS13" i="42"/>
  <c r="AR13" i="42"/>
  <c r="AQ13" i="42"/>
  <c r="AP13" i="42"/>
  <c r="AO13" i="42"/>
  <c r="AN13" i="42"/>
  <c r="AM13" i="42"/>
  <c r="AL13" i="42"/>
  <c r="AK13" i="42"/>
  <c r="AJ13" i="42"/>
  <c r="AU37" i="42"/>
  <c r="AT37" i="42"/>
  <c r="AS37" i="42"/>
  <c r="AR37" i="42"/>
  <c r="AQ37" i="42"/>
  <c r="AP37" i="42"/>
  <c r="AO37" i="42"/>
  <c r="AN37" i="42"/>
  <c r="AM37" i="42"/>
  <c r="AL37" i="42"/>
  <c r="AK37" i="42"/>
  <c r="AJ37" i="42"/>
  <c r="AU36" i="42"/>
  <c r="AT36" i="42"/>
  <c r="AS36" i="42"/>
  <c r="AR36" i="42"/>
  <c r="AQ36" i="42"/>
  <c r="AP36" i="42"/>
  <c r="AO36" i="42"/>
  <c r="AN36" i="42"/>
  <c r="AM36" i="42"/>
  <c r="AL36" i="42"/>
  <c r="AK36" i="42"/>
  <c r="AJ36" i="42"/>
  <c r="AU35" i="42"/>
  <c r="AU16" i="42" s="1"/>
  <c r="AT35" i="42"/>
  <c r="AT16" i="42" s="1"/>
  <c r="AS35" i="42"/>
  <c r="AS16" i="42" s="1"/>
  <c r="AR35" i="42"/>
  <c r="AR16" i="42" s="1"/>
  <c r="AQ35" i="42"/>
  <c r="AQ16" i="42" s="1"/>
  <c r="AP35" i="42"/>
  <c r="AP16" i="42" s="1"/>
  <c r="AO35" i="42"/>
  <c r="AO16" i="42" s="1"/>
  <c r="AN35" i="42"/>
  <c r="AN16" i="42" s="1"/>
  <c r="AM35" i="42"/>
  <c r="AM16" i="42" s="1"/>
  <c r="AL35" i="42"/>
  <c r="AL16" i="42" s="1"/>
  <c r="AK35" i="42"/>
  <c r="AK16" i="42" s="1"/>
  <c r="AJ35" i="42"/>
  <c r="AJ16" i="42" s="1"/>
  <c r="AU34" i="42"/>
  <c r="AT34" i="42"/>
  <c r="AS34" i="42"/>
  <c r="AR34" i="42"/>
  <c r="AQ34" i="42"/>
  <c r="AP34" i="42"/>
  <c r="AO34" i="42"/>
  <c r="AN34" i="42"/>
  <c r="AM34" i="42"/>
  <c r="AL34" i="42"/>
  <c r="AK34" i="42"/>
  <c r="AJ34" i="42"/>
  <c r="AU33" i="42"/>
  <c r="AT33" i="42"/>
  <c r="AS33" i="42"/>
  <c r="AR33" i="42"/>
  <c r="AQ33" i="42"/>
  <c r="AP33" i="42"/>
  <c r="AO33" i="42"/>
  <c r="AN33" i="42"/>
  <c r="AM33" i="42"/>
  <c r="AL33" i="42"/>
  <c r="AK33" i="42"/>
  <c r="AJ33" i="42"/>
  <c r="AU32" i="42"/>
  <c r="AT32" i="42"/>
  <c r="AS32" i="42"/>
  <c r="AR32" i="42"/>
  <c r="AQ32" i="42"/>
  <c r="AP32" i="42"/>
  <c r="AO32" i="42"/>
  <c r="AN32" i="42"/>
  <c r="AM32" i="42"/>
  <c r="AL32" i="42"/>
  <c r="AK32" i="42"/>
  <c r="AJ32" i="42"/>
  <c r="AU31" i="42"/>
  <c r="AT31" i="42"/>
  <c r="AS31" i="42"/>
  <c r="AR31" i="42"/>
  <c r="AQ31" i="42"/>
  <c r="AP31" i="42"/>
  <c r="AO31" i="42"/>
  <c r="AN31" i="42"/>
  <c r="AM31" i="42"/>
  <c r="AL31" i="42"/>
  <c r="AK31" i="42"/>
  <c r="AJ31" i="42"/>
  <c r="AU30" i="42"/>
  <c r="AT30" i="42"/>
  <c r="AS30" i="42"/>
  <c r="AR30" i="42"/>
  <c r="AQ30" i="42"/>
  <c r="AP30" i="42"/>
  <c r="AO30" i="42"/>
  <c r="AN30" i="42"/>
  <c r="AM30" i="42"/>
  <c r="AL30" i="42"/>
  <c r="AK30" i="42"/>
  <c r="AJ30" i="42"/>
  <c r="AU29" i="42"/>
  <c r="AT29" i="42"/>
  <c r="AS29" i="42"/>
  <c r="AR29" i="42"/>
  <c r="AQ29" i="42"/>
  <c r="AP29" i="42"/>
  <c r="AO29" i="42"/>
  <c r="AN29" i="42"/>
  <c r="AM29" i="42"/>
  <c r="AL29" i="42"/>
  <c r="AK29" i="42"/>
  <c r="AJ29" i="42"/>
  <c r="AU28" i="42"/>
  <c r="AT28" i="42"/>
  <c r="AS28" i="42"/>
  <c r="AR28" i="42"/>
  <c r="AQ28" i="42"/>
  <c r="AP28" i="42"/>
  <c r="AO28" i="42"/>
  <c r="AN28" i="42"/>
  <c r="AN14" i="42" s="1"/>
  <c r="AM28" i="42"/>
  <c r="AL28" i="42"/>
  <c r="AK28" i="42"/>
  <c r="AJ28" i="42"/>
  <c r="HH32" i="42"/>
  <c r="HG32" i="42"/>
  <c r="HF32" i="42"/>
  <c r="HE32" i="42"/>
  <c r="HD32" i="42"/>
  <c r="HC32" i="42"/>
  <c r="HB32" i="42"/>
  <c r="HA32" i="42"/>
  <c r="GZ32" i="42"/>
  <c r="GY32" i="42"/>
  <c r="GX32" i="42"/>
  <c r="GW32" i="42"/>
  <c r="GV32" i="42"/>
  <c r="GU32" i="42"/>
  <c r="GT32" i="42"/>
  <c r="GS32" i="42"/>
  <c r="GR32" i="42"/>
  <c r="GQ32" i="42"/>
  <c r="GP32" i="42"/>
  <c r="GO32" i="42"/>
  <c r="GN32" i="42"/>
  <c r="GM32" i="42"/>
  <c r="GL32" i="42"/>
  <c r="GK32" i="42"/>
  <c r="GJ32" i="42"/>
  <c r="GI32" i="42"/>
  <c r="GH32" i="42"/>
  <c r="GG32" i="42"/>
  <c r="GF32" i="42"/>
  <c r="GE32" i="42"/>
  <c r="GD32" i="42"/>
  <c r="GC32" i="42"/>
  <c r="GB32" i="42"/>
  <c r="GA32" i="42"/>
  <c r="FZ32" i="42"/>
  <c r="FY32" i="42"/>
  <c r="FX32" i="42"/>
  <c r="FW32" i="42"/>
  <c r="FV32" i="42"/>
  <c r="FU32" i="42"/>
  <c r="FT32" i="42"/>
  <c r="FS32" i="42"/>
  <c r="FR32" i="42"/>
  <c r="FQ32" i="42"/>
  <c r="FP32" i="42"/>
  <c r="FO32" i="42"/>
  <c r="FN32" i="42"/>
  <c r="FM32" i="42"/>
  <c r="FL32" i="42"/>
  <c r="FK32" i="42"/>
  <c r="FJ32" i="42"/>
  <c r="FI32" i="42"/>
  <c r="FH32" i="42"/>
  <c r="FG32" i="42"/>
  <c r="FF32" i="42"/>
  <c r="DA32" i="42"/>
  <c r="L90" i="42"/>
  <c r="L5" i="42"/>
  <c r="L20" i="42"/>
  <c r="L13" i="42"/>
  <c r="G48" i="42"/>
  <c r="G47" i="42"/>
  <c r="G46" i="42"/>
  <c r="G45" i="42"/>
  <c r="G44" i="42"/>
  <c r="G43" i="42"/>
  <c r="G42" i="42"/>
  <c r="G41" i="42"/>
  <c r="G40" i="42"/>
  <c r="G39" i="42"/>
  <c r="G38" i="42"/>
  <c r="N3" i="46" l="1"/>
  <c r="AP14" i="42"/>
  <c r="AL15" i="42"/>
  <c r="AT15" i="42"/>
  <c r="AO17" i="42"/>
  <c r="AP17" i="42"/>
  <c r="AJ14" i="42"/>
  <c r="AR14" i="42"/>
  <c r="AN15" i="42"/>
  <c r="AJ15" i="42"/>
  <c r="AR17" i="42"/>
  <c r="AK14" i="42"/>
  <c r="AS14" i="42"/>
  <c r="AO14" i="42"/>
  <c r="AO15" i="42"/>
  <c r="AK15" i="42"/>
  <c r="AS15" i="42"/>
  <c r="AK17" i="42"/>
  <c r="AS17" i="42"/>
  <c r="AM14" i="42"/>
  <c r="AU14" i="42"/>
  <c r="AQ15" i="42"/>
  <c r="AM15" i="42"/>
  <c r="AU15" i="42"/>
  <c r="AM17" i="42"/>
  <c r="AU17" i="42"/>
  <c r="AR15" i="42"/>
  <c r="AN17" i="42"/>
  <c r="AQ14" i="42"/>
  <c r="AQ17" i="42"/>
  <c r="AJ17" i="42"/>
  <c r="AL14" i="42"/>
  <c r="AT14" i="42"/>
  <c r="AP15" i="42"/>
  <c r="AL17" i="42"/>
  <c r="AT17" i="42"/>
  <c r="HJ32" i="42"/>
  <c r="T26" i="42"/>
  <c r="T27" i="42" s="1"/>
  <c r="T28" i="42" s="1"/>
  <c r="AL18" i="42" l="1"/>
  <c r="AN18" i="42"/>
  <c r="AP18" i="42"/>
  <c r="AR18" i="42"/>
  <c r="AJ18" i="42"/>
  <c r="AU18" i="42"/>
  <c r="AM18" i="42"/>
  <c r="AO18" i="42"/>
  <c r="AT18" i="42"/>
  <c r="AQ18" i="42"/>
  <c r="AK18" i="42"/>
  <c r="AS18" i="42"/>
  <c r="T29" i="42"/>
  <c r="T30" i="42" s="1"/>
  <c r="T31" i="42" s="1"/>
  <c r="T32" i="42" s="1"/>
  <c r="R28" i="42"/>
  <c r="T33" i="42" l="1"/>
  <c r="T34" i="42" s="1"/>
  <c r="T35" i="42" s="1"/>
  <c r="T36" i="42" s="1"/>
  <c r="T37" i="42" s="1"/>
  <c r="R32" i="42"/>
  <c r="AK3" i="46" s="1"/>
  <c r="S32" i="42" l="1"/>
  <c r="Q32" i="42"/>
  <c r="F32" i="42" s="1"/>
  <c r="G32" i="42" l="1"/>
  <c r="EB3" i="46" s="1"/>
  <c r="Y9" i="42"/>
  <c r="HH37" i="42"/>
  <c r="HG37" i="42"/>
  <c r="HF37" i="42"/>
  <c r="HE37" i="42"/>
  <c r="HD37" i="42"/>
  <c r="HC37" i="42"/>
  <c r="HB37" i="42"/>
  <c r="HA37" i="42"/>
  <c r="GZ37" i="42"/>
  <c r="GY37" i="42"/>
  <c r="GX37" i="42"/>
  <c r="GW37" i="42"/>
  <c r="GV37" i="42"/>
  <c r="GU37" i="42"/>
  <c r="GT37" i="42"/>
  <c r="GS37" i="42"/>
  <c r="GR37" i="42"/>
  <c r="GQ37" i="42"/>
  <c r="GP37" i="42"/>
  <c r="GO37" i="42"/>
  <c r="GN37" i="42"/>
  <c r="GM37" i="42"/>
  <c r="GL37" i="42"/>
  <c r="GK37" i="42"/>
  <c r="GJ37" i="42"/>
  <c r="GI37" i="42"/>
  <c r="GH37" i="42"/>
  <c r="GG37" i="42"/>
  <c r="GF37" i="42"/>
  <c r="GE37" i="42"/>
  <c r="GD37" i="42"/>
  <c r="GC37" i="42"/>
  <c r="GB37" i="42"/>
  <c r="GA37" i="42"/>
  <c r="FZ37" i="42"/>
  <c r="FY37" i="42"/>
  <c r="FX37" i="42"/>
  <c r="FW37" i="42"/>
  <c r="FV37" i="42"/>
  <c r="FU37" i="42"/>
  <c r="FT37" i="42"/>
  <c r="FS37" i="42"/>
  <c r="FR37" i="42"/>
  <c r="FQ37" i="42"/>
  <c r="FP37" i="42"/>
  <c r="FO37" i="42"/>
  <c r="FN37" i="42"/>
  <c r="FM37" i="42"/>
  <c r="FL37" i="42"/>
  <c r="FK37" i="42"/>
  <c r="FJ37" i="42"/>
  <c r="FI37" i="42"/>
  <c r="FH37" i="42"/>
  <c r="FG37" i="42"/>
  <c r="FF37" i="42"/>
  <c r="DA37" i="42"/>
  <c r="HH36" i="42"/>
  <c r="HG36" i="42"/>
  <c r="HF36" i="42"/>
  <c r="HE36" i="42"/>
  <c r="HD36" i="42"/>
  <c r="HC36" i="42"/>
  <c r="HB36" i="42"/>
  <c r="HA36" i="42"/>
  <c r="GZ36" i="42"/>
  <c r="GY36" i="42"/>
  <c r="GX36" i="42"/>
  <c r="GW36" i="42"/>
  <c r="GV36" i="42"/>
  <c r="GU36" i="42"/>
  <c r="GT36" i="42"/>
  <c r="GS36" i="42"/>
  <c r="GR36" i="42"/>
  <c r="GQ36" i="42"/>
  <c r="GP36" i="42"/>
  <c r="GO36" i="42"/>
  <c r="GN36" i="42"/>
  <c r="GM36" i="42"/>
  <c r="GL36" i="42"/>
  <c r="GK36" i="42"/>
  <c r="GJ36" i="42"/>
  <c r="GI36" i="42"/>
  <c r="GH36" i="42"/>
  <c r="GG36" i="42"/>
  <c r="GF36" i="42"/>
  <c r="GE36" i="42"/>
  <c r="GD36" i="42"/>
  <c r="GC36" i="42"/>
  <c r="GB36" i="42"/>
  <c r="GA36" i="42"/>
  <c r="FZ36" i="42"/>
  <c r="FY36" i="42"/>
  <c r="FX36" i="42"/>
  <c r="FW36" i="42"/>
  <c r="FV36" i="42"/>
  <c r="FU36" i="42"/>
  <c r="FT36" i="42"/>
  <c r="FS36" i="42"/>
  <c r="FR36" i="42"/>
  <c r="FQ36" i="42"/>
  <c r="FP36" i="42"/>
  <c r="FO36" i="42"/>
  <c r="FN36" i="42"/>
  <c r="FM36" i="42"/>
  <c r="FL36" i="42"/>
  <c r="FK36" i="42"/>
  <c r="FJ36" i="42"/>
  <c r="FI36" i="42"/>
  <c r="FH36" i="42"/>
  <c r="FG36" i="42"/>
  <c r="FF36" i="42"/>
  <c r="DA36" i="42"/>
  <c r="HH35" i="42"/>
  <c r="HG35" i="42"/>
  <c r="HF35" i="42"/>
  <c r="HE35" i="42"/>
  <c r="HD35" i="42"/>
  <c r="HC35" i="42"/>
  <c r="HB35" i="42"/>
  <c r="HA35" i="42"/>
  <c r="GZ35" i="42"/>
  <c r="GY35" i="42"/>
  <c r="GX35" i="42"/>
  <c r="GW35" i="42"/>
  <c r="GV35" i="42"/>
  <c r="GU35" i="42"/>
  <c r="GT35" i="42"/>
  <c r="GS35" i="42"/>
  <c r="GR35" i="42"/>
  <c r="GQ35" i="42"/>
  <c r="GP35" i="42"/>
  <c r="GO35" i="42"/>
  <c r="GN35" i="42"/>
  <c r="GM35" i="42"/>
  <c r="GL35" i="42"/>
  <c r="GK35" i="42"/>
  <c r="GJ35" i="42"/>
  <c r="GI35" i="42"/>
  <c r="GH35" i="42"/>
  <c r="GG35" i="42"/>
  <c r="GF35" i="42"/>
  <c r="GE35" i="42"/>
  <c r="GD35" i="42"/>
  <c r="GC35" i="42"/>
  <c r="GB35" i="42"/>
  <c r="GA35" i="42"/>
  <c r="FZ35" i="42"/>
  <c r="FY35" i="42"/>
  <c r="FX35" i="42"/>
  <c r="FW35" i="42"/>
  <c r="FV35" i="42"/>
  <c r="FU35" i="42"/>
  <c r="FT35" i="42"/>
  <c r="FS35" i="42"/>
  <c r="FR35" i="42"/>
  <c r="FQ35" i="42"/>
  <c r="FP35" i="42"/>
  <c r="FO35" i="42"/>
  <c r="FN35" i="42"/>
  <c r="FM35" i="42"/>
  <c r="FL35" i="42"/>
  <c r="FK35" i="42"/>
  <c r="FJ35" i="42"/>
  <c r="FI35" i="42"/>
  <c r="FH35" i="42"/>
  <c r="FG35" i="42"/>
  <c r="FF35" i="42"/>
  <c r="DA35" i="42"/>
  <c r="HH34" i="42"/>
  <c r="HG34" i="42"/>
  <c r="HF34" i="42"/>
  <c r="HE34" i="42"/>
  <c r="HD34" i="42"/>
  <c r="HC34" i="42"/>
  <c r="HB34" i="42"/>
  <c r="HA34" i="42"/>
  <c r="GZ34" i="42"/>
  <c r="GY34" i="42"/>
  <c r="GX34" i="42"/>
  <c r="GW34" i="42"/>
  <c r="GV34" i="42"/>
  <c r="GU34" i="42"/>
  <c r="GT34" i="42"/>
  <c r="GS34" i="42"/>
  <c r="GR34" i="42"/>
  <c r="GQ34" i="42"/>
  <c r="GP34" i="42"/>
  <c r="GO34" i="42"/>
  <c r="GN34" i="42"/>
  <c r="GM34" i="42"/>
  <c r="GL34" i="42"/>
  <c r="GK34" i="42"/>
  <c r="GJ34" i="42"/>
  <c r="GI34" i="42"/>
  <c r="GH34" i="42"/>
  <c r="GG34" i="42"/>
  <c r="GF34" i="42"/>
  <c r="GE34" i="42"/>
  <c r="GD34" i="42"/>
  <c r="GC34" i="42"/>
  <c r="GB34" i="42"/>
  <c r="GA34" i="42"/>
  <c r="FZ34" i="42"/>
  <c r="FY34" i="42"/>
  <c r="FX34" i="42"/>
  <c r="FW34" i="42"/>
  <c r="FV34" i="42"/>
  <c r="FU34" i="42"/>
  <c r="FT34" i="42"/>
  <c r="FS34" i="42"/>
  <c r="FR34" i="42"/>
  <c r="FQ34" i="42"/>
  <c r="FP34" i="42"/>
  <c r="FO34" i="42"/>
  <c r="FN34" i="42"/>
  <c r="FM34" i="42"/>
  <c r="FL34" i="42"/>
  <c r="FK34" i="42"/>
  <c r="FJ34" i="42"/>
  <c r="FI34" i="42"/>
  <c r="FH34" i="42"/>
  <c r="FG34" i="42"/>
  <c r="FF34" i="42"/>
  <c r="DA34" i="42"/>
  <c r="HH33" i="42"/>
  <c r="HG33" i="42"/>
  <c r="HF33" i="42"/>
  <c r="HE33" i="42"/>
  <c r="HD33" i="42"/>
  <c r="HC33" i="42"/>
  <c r="HB33" i="42"/>
  <c r="HA33" i="42"/>
  <c r="GZ33" i="42"/>
  <c r="GY33" i="42"/>
  <c r="GX33" i="42"/>
  <c r="GW33" i="42"/>
  <c r="GV33" i="42"/>
  <c r="GU33" i="42"/>
  <c r="GT33" i="42"/>
  <c r="GS33" i="42"/>
  <c r="GR33" i="42"/>
  <c r="GQ33" i="42"/>
  <c r="GP33" i="42"/>
  <c r="GO33" i="42"/>
  <c r="GN33" i="42"/>
  <c r="GM33" i="42"/>
  <c r="GL33" i="42"/>
  <c r="GK33" i="42"/>
  <c r="GJ33" i="42"/>
  <c r="GI33" i="42"/>
  <c r="GH33" i="42"/>
  <c r="GG33" i="42"/>
  <c r="GF33" i="42"/>
  <c r="GE33" i="42"/>
  <c r="GD33" i="42"/>
  <c r="GC33" i="42"/>
  <c r="GB33" i="42"/>
  <c r="GA33" i="42"/>
  <c r="FZ33" i="42"/>
  <c r="FY33" i="42"/>
  <c r="FX33" i="42"/>
  <c r="FW33" i="42"/>
  <c r="FV33" i="42"/>
  <c r="FU33" i="42"/>
  <c r="FT33" i="42"/>
  <c r="FS33" i="42"/>
  <c r="FR33" i="42"/>
  <c r="FQ33" i="42"/>
  <c r="FP33" i="42"/>
  <c r="FO33" i="42"/>
  <c r="FN33" i="42"/>
  <c r="FM33" i="42"/>
  <c r="FL33" i="42"/>
  <c r="FK33" i="42"/>
  <c r="FJ33" i="42"/>
  <c r="FI33" i="42"/>
  <c r="FH33" i="42"/>
  <c r="FG33" i="42"/>
  <c r="FF33" i="42"/>
  <c r="DA33" i="42"/>
  <c r="HH31" i="42"/>
  <c r="HG31" i="42"/>
  <c r="HF31" i="42"/>
  <c r="HE31" i="42"/>
  <c r="HD31" i="42"/>
  <c r="HC31" i="42"/>
  <c r="HB31" i="42"/>
  <c r="HA31" i="42"/>
  <c r="GZ31" i="42"/>
  <c r="GY31" i="42"/>
  <c r="GX31" i="42"/>
  <c r="GW31" i="42"/>
  <c r="GV31" i="42"/>
  <c r="GU31" i="42"/>
  <c r="GT31" i="42"/>
  <c r="GS31" i="42"/>
  <c r="GR31" i="42"/>
  <c r="GQ31" i="42"/>
  <c r="GP31" i="42"/>
  <c r="GO31" i="42"/>
  <c r="GN31" i="42"/>
  <c r="GM31" i="42"/>
  <c r="GL31" i="42"/>
  <c r="GK31" i="42"/>
  <c r="GJ31" i="42"/>
  <c r="GI31" i="42"/>
  <c r="GH31" i="42"/>
  <c r="GG31" i="42"/>
  <c r="GF31" i="42"/>
  <c r="GE31" i="42"/>
  <c r="GD31" i="42"/>
  <c r="GC31" i="42"/>
  <c r="GB31" i="42"/>
  <c r="GA31" i="42"/>
  <c r="FZ31" i="42"/>
  <c r="FY31" i="42"/>
  <c r="FX31" i="42"/>
  <c r="FW31" i="42"/>
  <c r="FV31" i="42"/>
  <c r="FU31" i="42"/>
  <c r="FT31" i="42"/>
  <c r="FS31" i="42"/>
  <c r="FR31" i="42"/>
  <c r="FQ31" i="42"/>
  <c r="FP31" i="42"/>
  <c r="FO31" i="42"/>
  <c r="FN31" i="42"/>
  <c r="FM31" i="42"/>
  <c r="FL31" i="42"/>
  <c r="FK31" i="42"/>
  <c r="FJ31" i="42"/>
  <c r="FI31" i="42"/>
  <c r="FH31" i="42"/>
  <c r="FG31" i="42"/>
  <c r="FF31" i="42"/>
  <c r="DA31" i="42"/>
  <c r="HH30" i="42"/>
  <c r="HG30" i="42"/>
  <c r="HF30" i="42"/>
  <c r="HE30" i="42"/>
  <c r="HD30" i="42"/>
  <c r="HC30" i="42"/>
  <c r="HB30" i="42"/>
  <c r="HA30" i="42"/>
  <c r="GZ30" i="42"/>
  <c r="GY30" i="42"/>
  <c r="GX30" i="42"/>
  <c r="GW30" i="42"/>
  <c r="GV30" i="42"/>
  <c r="GU30" i="42"/>
  <c r="GT30" i="42"/>
  <c r="GS30" i="42"/>
  <c r="GR30" i="42"/>
  <c r="GQ30" i="42"/>
  <c r="GP30" i="42"/>
  <c r="GO30" i="42"/>
  <c r="GN30" i="42"/>
  <c r="GM30" i="42"/>
  <c r="GL30" i="42"/>
  <c r="GK30" i="42"/>
  <c r="GJ30" i="42"/>
  <c r="GI30" i="42"/>
  <c r="GH30" i="42"/>
  <c r="GG30" i="42"/>
  <c r="GF30" i="42"/>
  <c r="GE30" i="42"/>
  <c r="GD30" i="42"/>
  <c r="GC30" i="42"/>
  <c r="GB30" i="42"/>
  <c r="GA30" i="42"/>
  <c r="FZ30" i="42"/>
  <c r="FY30" i="42"/>
  <c r="FX30" i="42"/>
  <c r="FW30" i="42"/>
  <c r="FV30" i="42"/>
  <c r="FU30" i="42"/>
  <c r="FT30" i="42"/>
  <c r="FS30" i="42"/>
  <c r="FR30" i="42"/>
  <c r="FQ30" i="42"/>
  <c r="FP30" i="42"/>
  <c r="FO30" i="42"/>
  <c r="FN30" i="42"/>
  <c r="FM30" i="42"/>
  <c r="FL30" i="42"/>
  <c r="FK30" i="42"/>
  <c r="FJ30" i="42"/>
  <c r="FI30" i="42"/>
  <c r="FH30" i="42"/>
  <c r="FG30" i="42"/>
  <c r="FF30" i="42"/>
  <c r="DA30" i="42"/>
  <c r="HH29" i="42"/>
  <c r="HG29" i="42"/>
  <c r="HF29" i="42"/>
  <c r="HE29" i="42"/>
  <c r="HD29" i="42"/>
  <c r="HC29" i="42"/>
  <c r="HB29" i="42"/>
  <c r="HA29" i="42"/>
  <c r="GZ29" i="42"/>
  <c r="GY29" i="42"/>
  <c r="GX29" i="42"/>
  <c r="GW29" i="42"/>
  <c r="GV29" i="42"/>
  <c r="GU29" i="42"/>
  <c r="GT29" i="42"/>
  <c r="GS29" i="42"/>
  <c r="GR29" i="42"/>
  <c r="GQ29" i="42"/>
  <c r="GP29" i="42"/>
  <c r="GO29" i="42"/>
  <c r="GN29" i="42"/>
  <c r="GM29" i="42"/>
  <c r="GL29" i="42"/>
  <c r="GK29" i="42"/>
  <c r="GJ29" i="42"/>
  <c r="GI29" i="42"/>
  <c r="GH29" i="42"/>
  <c r="GG29" i="42"/>
  <c r="GF29" i="42"/>
  <c r="GE29" i="42"/>
  <c r="GD29" i="42"/>
  <c r="GC29" i="42"/>
  <c r="GB29" i="42"/>
  <c r="GA29" i="42"/>
  <c r="FZ29" i="42"/>
  <c r="FY29" i="42"/>
  <c r="FX29" i="42"/>
  <c r="FW29" i="42"/>
  <c r="FV29" i="42"/>
  <c r="FU29" i="42"/>
  <c r="FT29" i="42"/>
  <c r="FS29" i="42"/>
  <c r="FR29" i="42"/>
  <c r="FQ29" i="42"/>
  <c r="FP29" i="42"/>
  <c r="FO29" i="42"/>
  <c r="FN29" i="42"/>
  <c r="FM29" i="42"/>
  <c r="FL29" i="42"/>
  <c r="FK29" i="42"/>
  <c r="FJ29" i="42"/>
  <c r="FI29" i="42"/>
  <c r="FH29" i="42"/>
  <c r="FG29" i="42"/>
  <c r="FF29" i="42"/>
  <c r="DA29" i="42"/>
  <c r="HH28" i="42"/>
  <c r="HG28" i="42"/>
  <c r="HF28" i="42"/>
  <c r="HE28" i="42"/>
  <c r="HD28" i="42"/>
  <c r="HC28" i="42"/>
  <c r="HB28" i="42"/>
  <c r="HA28" i="42"/>
  <c r="GZ28" i="42"/>
  <c r="GY28" i="42"/>
  <c r="GX28" i="42"/>
  <c r="GW28" i="42"/>
  <c r="GV28" i="42"/>
  <c r="GU28" i="42"/>
  <c r="GT28" i="42"/>
  <c r="GS28" i="42"/>
  <c r="GR28" i="42"/>
  <c r="GQ28" i="42"/>
  <c r="GP28" i="42"/>
  <c r="GO28" i="42"/>
  <c r="GN28" i="42"/>
  <c r="GM28" i="42"/>
  <c r="GL28" i="42"/>
  <c r="GK28" i="42"/>
  <c r="GJ28" i="42"/>
  <c r="GI28" i="42"/>
  <c r="GH28" i="42"/>
  <c r="GG28" i="42"/>
  <c r="GF28" i="42"/>
  <c r="GE28" i="42"/>
  <c r="GD28" i="42"/>
  <c r="GC28" i="42"/>
  <c r="GB28" i="42"/>
  <c r="GA28" i="42"/>
  <c r="FZ28" i="42"/>
  <c r="FY28" i="42"/>
  <c r="FX28" i="42"/>
  <c r="FW28" i="42"/>
  <c r="FV28" i="42"/>
  <c r="FU28" i="42"/>
  <c r="FT28" i="42"/>
  <c r="FS28" i="42"/>
  <c r="FR28" i="42"/>
  <c r="FQ28" i="42"/>
  <c r="FP28" i="42"/>
  <c r="FO28" i="42"/>
  <c r="FN28" i="42"/>
  <c r="FM28" i="42"/>
  <c r="FL28" i="42"/>
  <c r="FK28" i="42"/>
  <c r="FJ28" i="42"/>
  <c r="FI28" i="42"/>
  <c r="FH28" i="42"/>
  <c r="FG28" i="42"/>
  <c r="FF28" i="42"/>
  <c r="DA28" i="42"/>
  <c r="J3" i="46"/>
  <c r="M6" i="42" l="1"/>
  <c r="R29" i="42"/>
  <c r="Q29" i="42" s="1"/>
  <c r="HJ29" i="42"/>
  <c r="HJ34" i="42"/>
  <c r="HJ35" i="42"/>
  <c r="HJ31" i="42"/>
  <c r="HJ30" i="42"/>
  <c r="HJ36" i="42"/>
  <c r="HJ28" i="42"/>
  <c r="HJ33" i="42"/>
  <c r="HJ37" i="42"/>
  <c r="Q28" i="42" l="1"/>
  <c r="R30" i="42"/>
  <c r="S28" i="42"/>
  <c r="S29" i="42"/>
  <c r="Q30" i="42" l="1"/>
  <c r="F30" i="42" s="1"/>
  <c r="AI3" i="46"/>
  <c r="S30" i="42"/>
  <c r="R31" i="42"/>
  <c r="AJ3" i="46" s="1"/>
  <c r="X20" i="7"/>
  <c r="W20" i="7"/>
  <c r="G30" i="42" l="1"/>
  <c r="Q31" i="42"/>
  <c r="S31" i="42"/>
  <c r="F31" i="42" l="1"/>
  <c r="G31" i="42"/>
  <c r="EA3" i="46" s="1"/>
  <c r="X19" i="7"/>
  <c r="W19" i="7"/>
  <c r="X18" i="7"/>
  <c r="W18" i="7"/>
  <c r="R33" i="42" l="1"/>
  <c r="AL3" i="46" s="1"/>
  <c r="R34" i="42" l="1"/>
  <c r="AM3" i="46" s="1"/>
  <c r="Q33" i="42"/>
  <c r="F33" i="42" s="1"/>
  <c r="S33" i="42"/>
  <c r="E300" i="8"/>
  <c r="G300" i="8" s="1"/>
  <c r="J300" i="8" s="1"/>
  <c r="E299" i="8"/>
  <c r="E298" i="8"/>
  <c r="H298" i="8" s="1"/>
  <c r="E297" i="8"/>
  <c r="G297" i="8" s="1"/>
  <c r="J297" i="8" s="1"/>
  <c r="K297" i="8" s="1"/>
  <c r="E296" i="8"/>
  <c r="G296" i="8" s="1"/>
  <c r="E295" i="8"/>
  <c r="G295" i="8" s="1"/>
  <c r="J295" i="8" s="1"/>
  <c r="E294" i="8"/>
  <c r="H294" i="8" s="1"/>
  <c r="E293" i="8"/>
  <c r="E292" i="8"/>
  <c r="G292" i="8" s="1"/>
  <c r="J292" i="8" s="1"/>
  <c r="E291" i="8"/>
  <c r="E290" i="8"/>
  <c r="H290" i="8" s="1"/>
  <c r="E289" i="8"/>
  <c r="G289" i="8" s="1"/>
  <c r="J289" i="8" s="1"/>
  <c r="E288" i="8"/>
  <c r="G288" i="8" s="1"/>
  <c r="J288" i="8" s="1"/>
  <c r="E287" i="8"/>
  <c r="G287" i="8" s="1"/>
  <c r="J287" i="8" s="1"/>
  <c r="K287" i="8" s="1"/>
  <c r="E286" i="8"/>
  <c r="H286" i="8" s="1"/>
  <c r="E285" i="8"/>
  <c r="E284" i="8"/>
  <c r="G284" i="8" s="1"/>
  <c r="J284" i="8" s="1"/>
  <c r="E283" i="8"/>
  <c r="E282" i="8"/>
  <c r="H282" i="8" s="1"/>
  <c r="E281" i="8"/>
  <c r="G281" i="8" s="1"/>
  <c r="J281" i="8" s="1"/>
  <c r="K281" i="8" s="1"/>
  <c r="E280" i="8"/>
  <c r="G280" i="8" s="1"/>
  <c r="J280" i="8" s="1"/>
  <c r="E279" i="8"/>
  <c r="G279" i="8" s="1"/>
  <c r="J279" i="8" s="1"/>
  <c r="E278" i="8"/>
  <c r="G278" i="8" s="1"/>
  <c r="J278" i="8" s="1"/>
  <c r="E277" i="8"/>
  <c r="E276" i="8"/>
  <c r="G276" i="8" s="1"/>
  <c r="J276" i="8" s="1"/>
  <c r="E275" i="8"/>
  <c r="E274" i="8"/>
  <c r="H274" i="8" s="1"/>
  <c r="E273" i="8"/>
  <c r="F273" i="8" s="1"/>
  <c r="E272" i="8"/>
  <c r="G272" i="8" s="1"/>
  <c r="J272" i="8" s="1"/>
  <c r="E271" i="8"/>
  <c r="H271" i="8" s="1"/>
  <c r="E270" i="8"/>
  <c r="F270" i="8" s="1"/>
  <c r="E269" i="8"/>
  <c r="F269" i="8" s="1"/>
  <c r="E268" i="8"/>
  <c r="H268" i="8" s="1"/>
  <c r="E267" i="8"/>
  <c r="H267" i="8" s="1"/>
  <c r="E266" i="8"/>
  <c r="G266" i="8" s="1"/>
  <c r="J266" i="8" s="1"/>
  <c r="E265" i="8"/>
  <c r="F265" i="8" s="1"/>
  <c r="E264" i="8"/>
  <c r="E263" i="8"/>
  <c r="H263" i="8" s="1"/>
  <c r="E262" i="8"/>
  <c r="H262" i="8" s="1"/>
  <c r="E261" i="8"/>
  <c r="F261" i="8" s="1"/>
  <c r="E260" i="8"/>
  <c r="H260" i="8" s="1"/>
  <c r="E259" i="8"/>
  <c r="H259" i="8" s="1"/>
  <c r="E258" i="8"/>
  <c r="F258" i="8" s="1"/>
  <c r="E257" i="8"/>
  <c r="G257" i="8" s="1"/>
  <c r="J257" i="8" s="1"/>
  <c r="E256" i="8"/>
  <c r="G256" i="8" s="1"/>
  <c r="J256" i="8" s="1"/>
  <c r="E255" i="8"/>
  <c r="G255" i="8" s="1"/>
  <c r="J255" i="8" s="1"/>
  <c r="E254" i="8"/>
  <c r="H254" i="8" s="1"/>
  <c r="E253" i="8"/>
  <c r="E252" i="8"/>
  <c r="G252" i="8" s="1"/>
  <c r="J252" i="8" s="1"/>
  <c r="E251" i="8"/>
  <c r="G251" i="8" s="1"/>
  <c r="J251" i="8" s="1"/>
  <c r="K251" i="8" s="1"/>
  <c r="E250" i="8"/>
  <c r="H250" i="8" s="1"/>
  <c r="E249" i="8"/>
  <c r="G249" i="8" s="1"/>
  <c r="J249" i="8" s="1"/>
  <c r="E248" i="8"/>
  <c r="G248" i="8" s="1"/>
  <c r="J248" i="8" s="1"/>
  <c r="E247" i="8"/>
  <c r="E246" i="8"/>
  <c r="H246" i="8" s="1"/>
  <c r="E245" i="8"/>
  <c r="G245" i="8" s="1"/>
  <c r="J245" i="8" s="1"/>
  <c r="K245" i="8" s="1"/>
  <c r="E244" i="8"/>
  <c r="G244" i="8" s="1"/>
  <c r="E243" i="8"/>
  <c r="E242" i="8"/>
  <c r="G242" i="8" s="1"/>
  <c r="J242" i="8" s="1"/>
  <c r="E241" i="8"/>
  <c r="G241" i="8" s="1"/>
  <c r="J241" i="8" s="1"/>
  <c r="E240" i="8"/>
  <c r="G240" i="8" s="1"/>
  <c r="J240" i="8" s="1"/>
  <c r="E239" i="8"/>
  <c r="G239" i="8" s="1"/>
  <c r="J239" i="8" s="1"/>
  <c r="E238" i="8"/>
  <c r="H238" i="8" s="1"/>
  <c r="E237" i="8"/>
  <c r="E236" i="8"/>
  <c r="G236" i="8" s="1"/>
  <c r="J236" i="8" s="1"/>
  <c r="E235" i="8"/>
  <c r="G235" i="8" s="1"/>
  <c r="J235" i="8" s="1"/>
  <c r="K235" i="8" s="1"/>
  <c r="E234" i="8"/>
  <c r="H234" i="8" s="1"/>
  <c r="E233" i="8"/>
  <c r="G233" i="8" s="1"/>
  <c r="J233" i="8" s="1"/>
  <c r="E232" i="8"/>
  <c r="G232" i="8" s="1"/>
  <c r="J232" i="8" s="1"/>
  <c r="E231" i="8"/>
  <c r="G231" i="8" s="1"/>
  <c r="J231" i="8" s="1"/>
  <c r="K231" i="8" s="1"/>
  <c r="E230" i="8"/>
  <c r="H230" i="8" s="1"/>
  <c r="E229" i="8"/>
  <c r="E228" i="8"/>
  <c r="G228" i="8" s="1"/>
  <c r="J228" i="8" s="1"/>
  <c r="K228" i="8" s="1"/>
  <c r="E227" i="8"/>
  <c r="H227" i="8" s="1"/>
  <c r="E226" i="8"/>
  <c r="G226" i="8" s="1"/>
  <c r="J226" i="8" s="1"/>
  <c r="E225" i="8"/>
  <c r="E224" i="8"/>
  <c r="G224" i="8" s="1"/>
  <c r="J224" i="8" s="1"/>
  <c r="K224" i="8" s="1"/>
  <c r="E223" i="8"/>
  <c r="H223" i="8" s="1"/>
  <c r="E222" i="8"/>
  <c r="H222" i="8" s="1"/>
  <c r="E221" i="8"/>
  <c r="E220" i="8"/>
  <c r="G220" i="8" s="1"/>
  <c r="J220" i="8" s="1"/>
  <c r="K220" i="8" s="1"/>
  <c r="E219" i="8"/>
  <c r="H219" i="8" s="1"/>
  <c r="E218" i="8"/>
  <c r="F218" i="8" s="1"/>
  <c r="E217" i="8"/>
  <c r="E216" i="8"/>
  <c r="E215" i="8"/>
  <c r="H215" i="8" s="1"/>
  <c r="E214" i="8"/>
  <c r="G214" i="8" s="1"/>
  <c r="J214" i="8" s="1"/>
  <c r="E213" i="8"/>
  <c r="E212" i="8"/>
  <c r="E211" i="8"/>
  <c r="H211" i="8" s="1"/>
  <c r="E210" i="8"/>
  <c r="H210" i="8" s="1"/>
  <c r="E209" i="8"/>
  <c r="G209" i="8" s="1"/>
  <c r="J209" i="8" s="1"/>
  <c r="E208" i="8"/>
  <c r="E207" i="8"/>
  <c r="H207" i="8" s="1"/>
  <c r="E206" i="8"/>
  <c r="F206" i="8" s="1"/>
  <c r="E205" i="8"/>
  <c r="E204" i="8"/>
  <c r="E4" i="8"/>
  <c r="G33" i="42" l="1"/>
  <c r="Q34" i="42"/>
  <c r="F34" i="42" s="1"/>
  <c r="S34" i="42"/>
  <c r="G218" i="8"/>
  <c r="J218" i="8" s="1"/>
  <c r="K218" i="8" s="1"/>
  <c r="G259" i="8"/>
  <c r="J259" i="8" s="1"/>
  <c r="K259" i="8" s="1"/>
  <c r="H288" i="8"/>
  <c r="G258" i="8"/>
  <c r="J258" i="8" s="1"/>
  <c r="G271" i="8"/>
  <c r="J271" i="8" s="1"/>
  <c r="K271" i="8" s="1"/>
  <c r="F278" i="8"/>
  <c r="H242" i="8"/>
  <c r="G207" i="8"/>
  <c r="J207" i="8" s="1"/>
  <c r="K207" i="8" s="1"/>
  <c r="F210" i="8"/>
  <c r="H206" i="8"/>
  <c r="H218" i="8"/>
  <c r="H256" i="8"/>
  <c r="H278" i="8"/>
  <c r="G294" i="8"/>
  <c r="J294" i="8" s="1"/>
  <c r="K294" i="8" s="1"/>
  <c r="G250" i="8"/>
  <c r="J250" i="8" s="1"/>
  <c r="K250" i="8" s="1"/>
  <c r="H252" i="8"/>
  <c r="G254" i="8"/>
  <c r="J254" i="8" s="1"/>
  <c r="K254" i="8" s="1"/>
  <c r="G206" i="8"/>
  <c r="J206" i="8" s="1"/>
  <c r="K206" i="8" s="1"/>
  <c r="G210" i="8"/>
  <c r="J210" i="8" s="1"/>
  <c r="K210" i="8" s="1"/>
  <c r="G219" i="8"/>
  <c r="J219" i="8" s="1"/>
  <c r="H226" i="8"/>
  <c r="H258" i="8"/>
  <c r="G270" i="8"/>
  <c r="G286" i="8"/>
  <c r="J286" i="8" s="1"/>
  <c r="H270" i="8"/>
  <c r="F250" i="8"/>
  <c r="F252" i="8"/>
  <c r="F254" i="8"/>
  <c r="F256" i="8"/>
  <c r="L256" i="8" s="1"/>
  <c r="F259" i="8"/>
  <c r="L259" i="8" s="1"/>
  <c r="H296" i="8"/>
  <c r="F230" i="8"/>
  <c r="F246" i="8"/>
  <c r="F262" i="8"/>
  <c r="F263" i="8"/>
  <c r="G265" i="8"/>
  <c r="J265" i="8" s="1"/>
  <c r="K265" i="8" s="1"/>
  <c r="F267" i="8"/>
  <c r="F274" i="8"/>
  <c r="F300" i="8"/>
  <c r="H214" i="8"/>
  <c r="G230" i="8"/>
  <c r="J230" i="8" s="1"/>
  <c r="K230" i="8" s="1"/>
  <c r="F234" i="8"/>
  <c r="F236" i="8"/>
  <c r="F238" i="8"/>
  <c r="F240" i="8"/>
  <c r="F242" i="8"/>
  <c r="G246" i="8"/>
  <c r="J246" i="8" s="1"/>
  <c r="K246" i="8" s="1"/>
  <c r="G262" i="8"/>
  <c r="G263" i="8"/>
  <c r="J263" i="8" s="1"/>
  <c r="K263" i="8" s="1"/>
  <c r="G267" i="8"/>
  <c r="J267" i="8" s="1"/>
  <c r="K267" i="8" s="1"/>
  <c r="H272" i="8"/>
  <c r="G274" i="8"/>
  <c r="J274" i="8" s="1"/>
  <c r="F284" i="8"/>
  <c r="F292" i="8"/>
  <c r="H300" i="8"/>
  <c r="F207" i="8"/>
  <c r="F219" i="8"/>
  <c r="L219" i="8" s="1"/>
  <c r="G234" i="8"/>
  <c r="J234" i="8" s="1"/>
  <c r="K234" i="8" s="1"/>
  <c r="H236" i="8"/>
  <c r="G238" i="8"/>
  <c r="J238" i="8" s="1"/>
  <c r="K238" i="8" s="1"/>
  <c r="H240" i="8"/>
  <c r="H266" i="8"/>
  <c r="F271" i="8"/>
  <c r="H284" i="8"/>
  <c r="F286" i="8"/>
  <c r="L286" i="8" s="1"/>
  <c r="F288" i="8"/>
  <c r="H292" i="8"/>
  <c r="F294" i="8"/>
  <c r="F296" i="8"/>
  <c r="L234" i="8"/>
  <c r="F211" i="8"/>
  <c r="F222" i="8"/>
  <c r="F223" i="8"/>
  <c r="F244" i="8"/>
  <c r="G261" i="8"/>
  <c r="J261" i="8" s="1"/>
  <c r="K261" i="8" s="1"/>
  <c r="F282" i="8"/>
  <c r="F290" i="8"/>
  <c r="F298" i="8"/>
  <c r="G211" i="8"/>
  <c r="J211" i="8" s="1"/>
  <c r="K211" i="8" s="1"/>
  <c r="F214" i="8"/>
  <c r="F215" i="8"/>
  <c r="G222" i="8"/>
  <c r="J222" i="8" s="1"/>
  <c r="K222" i="8" s="1"/>
  <c r="G223" i="8"/>
  <c r="J223" i="8" s="1"/>
  <c r="K223" i="8" s="1"/>
  <c r="F226" i="8"/>
  <c r="F227" i="8"/>
  <c r="F232" i="8"/>
  <c r="H244" i="8"/>
  <c r="F248" i="8"/>
  <c r="J262" i="8"/>
  <c r="K262" i="8" s="1"/>
  <c r="F266" i="8"/>
  <c r="L266" i="8" s="1"/>
  <c r="J270" i="8"/>
  <c r="K270" i="8" s="1"/>
  <c r="G273" i="8"/>
  <c r="J273" i="8" s="1"/>
  <c r="K273" i="8" s="1"/>
  <c r="F276" i="8"/>
  <c r="F280" i="8"/>
  <c r="G282" i="8"/>
  <c r="J282" i="8" s="1"/>
  <c r="K282" i="8" s="1"/>
  <c r="G290" i="8"/>
  <c r="J290" i="8" s="1"/>
  <c r="G298" i="8"/>
  <c r="J298" i="8" s="1"/>
  <c r="K298" i="8" s="1"/>
  <c r="G269" i="8"/>
  <c r="J269" i="8" s="1"/>
  <c r="G215" i="8"/>
  <c r="J215" i="8" s="1"/>
  <c r="K215" i="8" s="1"/>
  <c r="G227" i="8"/>
  <c r="J227" i="8" s="1"/>
  <c r="K227" i="8" s="1"/>
  <c r="H232" i="8"/>
  <c r="J244" i="8"/>
  <c r="K244" i="8" s="1"/>
  <c r="H248" i="8"/>
  <c r="H276" i="8"/>
  <c r="H280" i="8"/>
  <c r="K209" i="8"/>
  <c r="F217" i="8"/>
  <c r="H217" i="8"/>
  <c r="F221" i="8"/>
  <c r="H221" i="8"/>
  <c r="G221" i="8"/>
  <c r="J221" i="8" s="1"/>
  <c r="K233" i="8"/>
  <c r="K249" i="8"/>
  <c r="J296" i="8"/>
  <c r="G208" i="8"/>
  <c r="J208" i="8" s="1"/>
  <c r="H208" i="8"/>
  <c r="F208" i="8"/>
  <c r="G216" i="8"/>
  <c r="J216" i="8" s="1"/>
  <c r="H216" i="8"/>
  <c r="F216" i="8"/>
  <c r="G217" i="8"/>
  <c r="J217" i="8" s="1"/>
  <c r="F225" i="8"/>
  <c r="G225" i="8"/>
  <c r="J225" i="8" s="1"/>
  <c r="H225" i="8"/>
  <c r="H237" i="8"/>
  <c r="F237" i="8"/>
  <c r="G237" i="8"/>
  <c r="J237" i="8" s="1"/>
  <c r="K239" i="8"/>
  <c r="F243" i="8"/>
  <c r="H243" i="8"/>
  <c r="G243" i="8"/>
  <c r="J243" i="8" s="1"/>
  <c r="H253" i="8"/>
  <c r="F253" i="8"/>
  <c r="G253" i="8"/>
  <c r="J253" i="8" s="1"/>
  <c r="K255" i="8"/>
  <c r="K266" i="8"/>
  <c r="K290" i="8"/>
  <c r="F209" i="8"/>
  <c r="H209" i="8"/>
  <c r="K219" i="8"/>
  <c r="F205" i="8"/>
  <c r="H205" i="8"/>
  <c r="F213" i="8"/>
  <c r="H213" i="8"/>
  <c r="K214" i="8"/>
  <c r="F229" i="8"/>
  <c r="H229" i="8"/>
  <c r="G229" i="8"/>
  <c r="J229" i="8" s="1"/>
  <c r="K236" i="8"/>
  <c r="K240" i="8"/>
  <c r="K252" i="8"/>
  <c r="K256" i="8"/>
  <c r="G264" i="8"/>
  <c r="J264" i="8" s="1"/>
  <c r="F264" i="8"/>
  <c r="H264" i="8"/>
  <c r="G204" i="8"/>
  <c r="J204" i="8" s="1"/>
  <c r="H204" i="8"/>
  <c r="F204" i="8"/>
  <c r="G205" i="8"/>
  <c r="J205" i="8" s="1"/>
  <c r="G212" i="8"/>
  <c r="J212" i="8" s="1"/>
  <c r="H212" i="8"/>
  <c r="F212" i="8"/>
  <c r="G213" i="8"/>
  <c r="J213" i="8" s="1"/>
  <c r="K226" i="8"/>
  <c r="K241" i="8"/>
  <c r="K257" i="8"/>
  <c r="K272" i="8"/>
  <c r="F299" i="8"/>
  <c r="H299" i="8"/>
  <c r="G299" i="8"/>
  <c r="J299" i="8" s="1"/>
  <c r="K232" i="8"/>
  <c r="F247" i="8"/>
  <c r="H247" i="8"/>
  <c r="H277" i="8"/>
  <c r="F277" i="8"/>
  <c r="G277" i="8"/>
  <c r="J277" i="8" s="1"/>
  <c r="F220" i="8"/>
  <c r="F224" i="8"/>
  <c r="F228" i="8"/>
  <c r="F235" i="8"/>
  <c r="H235" i="8"/>
  <c r="K242" i="8"/>
  <c r="H245" i="8"/>
  <c r="F245" i="8"/>
  <c r="G247" i="8"/>
  <c r="J247" i="8" s="1"/>
  <c r="F251" i="8"/>
  <c r="H251" i="8"/>
  <c r="K258" i="8"/>
  <c r="K274" i="8"/>
  <c r="K280" i="8"/>
  <c r="F283" i="8"/>
  <c r="H283" i="8"/>
  <c r="G283" i="8"/>
  <c r="J283" i="8" s="1"/>
  <c r="F231" i="8"/>
  <c r="H231" i="8"/>
  <c r="H241" i="8"/>
  <c r="F241" i="8"/>
  <c r="K248" i="8"/>
  <c r="H257" i="8"/>
  <c r="F257" i="8"/>
  <c r="G260" i="8"/>
  <c r="J260" i="8" s="1"/>
  <c r="F260" i="8"/>
  <c r="K279" i="8"/>
  <c r="L207" i="8"/>
  <c r="H220" i="8"/>
  <c r="H224" i="8"/>
  <c r="H228" i="8"/>
  <c r="H233" i="8"/>
  <c r="F233" i="8"/>
  <c r="F239" i="8"/>
  <c r="H239" i="8"/>
  <c r="H249" i="8"/>
  <c r="F249" i="8"/>
  <c r="F255" i="8"/>
  <c r="H255" i="8"/>
  <c r="G268" i="8"/>
  <c r="J268" i="8" s="1"/>
  <c r="F268" i="8"/>
  <c r="K284" i="8"/>
  <c r="K288" i="8"/>
  <c r="K289" i="8"/>
  <c r="H293" i="8"/>
  <c r="F293" i="8"/>
  <c r="G293" i="8"/>
  <c r="J293" i="8" s="1"/>
  <c r="K295" i="8"/>
  <c r="K300" i="8"/>
  <c r="F275" i="8"/>
  <c r="H275" i="8"/>
  <c r="K276" i="8"/>
  <c r="H285" i="8"/>
  <c r="F285" i="8"/>
  <c r="F291" i="8"/>
  <c r="H291" i="8"/>
  <c r="K292" i="8"/>
  <c r="H261" i="8"/>
  <c r="H265" i="8"/>
  <c r="L265" i="8" s="1"/>
  <c r="H269" i="8"/>
  <c r="F272" i="8"/>
  <c r="H273" i="8"/>
  <c r="G275" i="8"/>
  <c r="J275" i="8" s="1"/>
  <c r="F279" i="8"/>
  <c r="H279" i="8"/>
  <c r="G285" i="8"/>
  <c r="J285" i="8" s="1"/>
  <c r="K286" i="8"/>
  <c r="H289" i="8"/>
  <c r="F289" i="8"/>
  <c r="G291" i="8"/>
  <c r="J291" i="8" s="1"/>
  <c r="F295" i="8"/>
  <c r="H295" i="8"/>
  <c r="K278" i="8"/>
  <c r="H281" i="8"/>
  <c r="F281" i="8"/>
  <c r="F287" i="8"/>
  <c r="H287" i="8"/>
  <c r="H297" i="8"/>
  <c r="F297" i="8"/>
  <c r="L258" i="8" l="1"/>
  <c r="L218" i="8"/>
  <c r="L300" i="8"/>
  <c r="L278" i="8"/>
  <c r="L290" i="8"/>
  <c r="L284" i="8"/>
  <c r="G34" i="42"/>
  <c r="EC3" i="46" s="1"/>
  <c r="L242" i="8"/>
  <c r="L250" i="8"/>
  <c r="L272" i="8"/>
  <c r="L288" i="8"/>
  <c r="L296" i="8"/>
  <c r="L246" i="8"/>
  <c r="L210" i="8"/>
  <c r="L294" i="8"/>
  <c r="L271" i="8"/>
  <c r="L270" i="8"/>
  <c r="L273" i="8"/>
  <c r="L211" i="8"/>
  <c r="L254" i="8"/>
  <c r="L240" i="8"/>
  <c r="L261" i="8"/>
  <c r="L206" i="8"/>
  <c r="L244" i="8"/>
  <c r="L209" i="8"/>
  <c r="L276" i="8"/>
  <c r="L215" i="8"/>
  <c r="L223" i="8"/>
  <c r="L241" i="8"/>
  <c r="L224" i="8"/>
  <c r="L216" i="8"/>
  <c r="L226" i="8"/>
  <c r="L214" i="8"/>
  <c r="L292" i="8"/>
  <c r="L274" i="8"/>
  <c r="L252" i="8"/>
  <c r="L269" i="8"/>
  <c r="L231" i="8"/>
  <c r="L227" i="8"/>
  <c r="L255" i="8"/>
  <c r="L251" i="8"/>
  <c r="L299" i="8"/>
  <c r="L248" i="8"/>
  <c r="L282" i="8"/>
  <c r="L222" i="8"/>
  <c r="L262" i="8"/>
  <c r="L230" i="8"/>
  <c r="L229" i="8"/>
  <c r="L267" i="8"/>
  <c r="L295" i="8"/>
  <c r="L268" i="8"/>
  <c r="L249" i="8"/>
  <c r="L257" i="8"/>
  <c r="L238" i="8"/>
  <c r="L236" i="8"/>
  <c r="L263" i="8"/>
  <c r="L291" i="8"/>
  <c r="L297" i="8"/>
  <c r="L279" i="8"/>
  <c r="L245" i="8"/>
  <c r="L212" i="8"/>
  <c r="L204" i="8"/>
  <c r="L225" i="8"/>
  <c r="L283" i="8"/>
  <c r="L253" i="8"/>
  <c r="L208" i="8"/>
  <c r="L280" i="8"/>
  <c r="L232" i="8"/>
  <c r="L298" i="8"/>
  <c r="K293" i="8"/>
  <c r="K260" i="8"/>
  <c r="K291" i="8"/>
  <c r="L275" i="8"/>
  <c r="L293" i="8"/>
  <c r="K268" i="8"/>
  <c r="L287" i="8"/>
  <c r="L289" i="8"/>
  <c r="K285" i="8"/>
  <c r="L285" i="8"/>
  <c r="L239" i="8"/>
  <c r="K283" i="8"/>
  <c r="L235" i="8"/>
  <c r="K277" i="8"/>
  <c r="K212" i="8"/>
  <c r="K264" i="8"/>
  <c r="L213" i="8"/>
  <c r="L205" i="8"/>
  <c r="L243" i="8"/>
  <c r="K237" i="8"/>
  <c r="K216" i="8"/>
  <c r="K208" i="8"/>
  <c r="K247" i="8"/>
  <c r="L247" i="8"/>
  <c r="K205" i="8"/>
  <c r="K243" i="8"/>
  <c r="L281" i="8"/>
  <c r="L233" i="8"/>
  <c r="L260" i="8"/>
  <c r="L228" i="8"/>
  <c r="L277" i="8"/>
  <c r="K213" i="8"/>
  <c r="K204" i="8"/>
  <c r="K269" i="8"/>
  <c r="K253" i="8"/>
  <c r="L237" i="8"/>
  <c r="K225" i="8"/>
  <c r="K217" i="8"/>
  <c r="L221" i="8"/>
  <c r="K296" i="8"/>
  <c r="K275" i="8"/>
  <c r="L220" i="8"/>
  <c r="K299" i="8"/>
  <c r="L264" i="8"/>
  <c r="K229" i="8"/>
  <c r="K221" i="8"/>
  <c r="L217" i="8"/>
  <c r="E203" i="8" l="1"/>
  <c r="G203" i="8" s="1"/>
  <c r="E202" i="8"/>
  <c r="F202" i="8" s="1"/>
  <c r="E201" i="8"/>
  <c r="F201" i="8" s="1"/>
  <c r="E200" i="8"/>
  <c r="G200" i="8" s="1"/>
  <c r="J200" i="8" s="1"/>
  <c r="E199" i="8"/>
  <c r="H199" i="8" s="1"/>
  <c r="E198" i="8"/>
  <c r="E197" i="8"/>
  <c r="E196" i="8"/>
  <c r="E195" i="8"/>
  <c r="E194" i="8"/>
  <c r="F194" i="8" s="1"/>
  <c r="E193" i="8"/>
  <c r="F193" i="8" s="1"/>
  <c r="E192" i="8"/>
  <c r="G192" i="8" s="1"/>
  <c r="J192" i="8" s="1"/>
  <c r="E191" i="8"/>
  <c r="H191" i="8" s="1"/>
  <c r="E190" i="8"/>
  <c r="H190" i="8" s="1"/>
  <c r="E189" i="8"/>
  <c r="E188" i="8"/>
  <c r="E187" i="8"/>
  <c r="H187" i="8" s="1"/>
  <c r="E186" i="8"/>
  <c r="E185" i="8"/>
  <c r="F185" i="8" s="1"/>
  <c r="E184" i="8"/>
  <c r="G184" i="8" s="1"/>
  <c r="J184" i="8" s="1"/>
  <c r="E183" i="8"/>
  <c r="E182" i="8"/>
  <c r="F182" i="8" s="1"/>
  <c r="E181" i="8"/>
  <c r="E180" i="8"/>
  <c r="E179" i="8"/>
  <c r="H179" i="8" s="1"/>
  <c r="E178" i="8"/>
  <c r="F178" i="8" s="1"/>
  <c r="E177" i="8"/>
  <c r="F177" i="8" s="1"/>
  <c r="E176" i="8"/>
  <c r="E175" i="8"/>
  <c r="F175" i="8" s="1"/>
  <c r="E174" i="8"/>
  <c r="E173" i="8"/>
  <c r="E172" i="8"/>
  <c r="E171" i="8"/>
  <c r="F171" i="8" s="1"/>
  <c r="E170" i="8"/>
  <c r="E169" i="8"/>
  <c r="F169" i="8" s="1"/>
  <c r="E168" i="8"/>
  <c r="F168" i="8" s="1"/>
  <c r="E167" i="8"/>
  <c r="F167" i="8" s="1"/>
  <c r="E166" i="8"/>
  <c r="G166" i="8" s="1"/>
  <c r="J166" i="8" s="1"/>
  <c r="E165" i="8"/>
  <c r="F165" i="8" s="1"/>
  <c r="E164" i="8"/>
  <c r="H164" i="8" s="1"/>
  <c r="E163" i="8"/>
  <c r="G163" i="8" s="1"/>
  <c r="J163" i="8" s="1"/>
  <c r="K163" i="8" s="1"/>
  <c r="E162" i="8"/>
  <c r="E161" i="8"/>
  <c r="E160" i="8"/>
  <c r="E159" i="8"/>
  <c r="F159" i="8" s="1"/>
  <c r="E158" i="8"/>
  <c r="E157" i="8"/>
  <c r="F157" i="8" s="1"/>
  <c r="E156" i="8"/>
  <c r="H156" i="8" s="1"/>
  <c r="E155" i="8"/>
  <c r="E154" i="8"/>
  <c r="E153" i="8"/>
  <c r="E152" i="8"/>
  <c r="H152" i="8" s="1"/>
  <c r="E151" i="8"/>
  <c r="E150" i="8"/>
  <c r="E149" i="8"/>
  <c r="E148" i="8"/>
  <c r="E147" i="8"/>
  <c r="E146" i="8"/>
  <c r="E145" i="8"/>
  <c r="E144" i="8"/>
  <c r="F144" i="8" s="1"/>
  <c r="E143" i="8"/>
  <c r="E142" i="8"/>
  <c r="E141" i="8"/>
  <c r="H141" i="8" s="1"/>
  <c r="E140" i="8"/>
  <c r="E139" i="8"/>
  <c r="F139" i="8" s="1"/>
  <c r="E138" i="8"/>
  <c r="F138" i="8" s="1"/>
  <c r="E137" i="8"/>
  <c r="E136" i="8"/>
  <c r="E135" i="8"/>
  <c r="E134" i="8"/>
  <c r="E133" i="8"/>
  <c r="H133" i="8" s="1"/>
  <c r="E132" i="8"/>
  <c r="G132" i="8" s="1"/>
  <c r="E131" i="8"/>
  <c r="E130" i="8"/>
  <c r="F130" i="8" s="1"/>
  <c r="E129" i="8"/>
  <c r="E128" i="8"/>
  <c r="F128" i="8" s="1"/>
  <c r="E127" i="8"/>
  <c r="E126" i="8"/>
  <c r="E125" i="8"/>
  <c r="H125" i="8" s="1"/>
  <c r="E124" i="8"/>
  <c r="E123" i="8"/>
  <c r="E122" i="8"/>
  <c r="F122" i="8" s="1"/>
  <c r="E121" i="8"/>
  <c r="G120" i="8"/>
  <c r="E120" i="8"/>
  <c r="H120" i="8" s="1"/>
  <c r="E119" i="8"/>
  <c r="E118" i="8"/>
  <c r="E117" i="8"/>
  <c r="H117" i="8" s="1"/>
  <c r="E116" i="8"/>
  <c r="F116" i="8" s="1"/>
  <c r="E115" i="8"/>
  <c r="E114" i="8"/>
  <c r="F114" i="8" s="1"/>
  <c r="E113" i="8"/>
  <c r="E112" i="8"/>
  <c r="E111" i="8"/>
  <c r="E110" i="8"/>
  <c r="E109" i="8"/>
  <c r="H109" i="8" s="1"/>
  <c r="E108" i="8"/>
  <c r="F108" i="8" s="1"/>
  <c r="E107" i="8"/>
  <c r="E106" i="8"/>
  <c r="F106" i="8" s="1"/>
  <c r="E105" i="8"/>
  <c r="F105" i="8" s="1"/>
  <c r="E104" i="8"/>
  <c r="G104" i="8" s="1"/>
  <c r="E103" i="8"/>
  <c r="F103" i="8" s="1"/>
  <c r="E102" i="8"/>
  <c r="F102" i="8" s="1"/>
  <c r="E101" i="8"/>
  <c r="G101" i="8" s="1"/>
  <c r="E100" i="8"/>
  <c r="E99" i="8"/>
  <c r="E98" i="8"/>
  <c r="E97" i="8"/>
  <c r="E96" i="8"/>
  <c r="E95" i="8"/>
  <c r="E94" i="8"/>
  <c r="E93" i="8"/>
  <c r="H93" i="8" s="1"/>
  <c r="E92" i="8"/>
  <c r="G92" i="8" s="1"/>
  <c r="E91" i="8"/>
  <c r="F91" i="8" s="1"/>
  <c r="E90" i="8"/>
  <c r="E89" i="8"/>
  <c r="E88" i="8"/>
  <c r="E87" i="8"/>
  <c r="E86" i="8"/>
  <c r="H86" i="8" s="1"/>
  <c r="E85" i="8"/>
  <c r="E84" i="8"/>
  <c r="G84" i="8" s="1"/>
  <c r="E83" i="8"/>
  <c r="E82" i="8"/>
  <c r="H82" i="8" s="1"/>
  <c r="E81" i="8"/>
  <c r="E80" i="8"/>
  <c r="E79" i="8"/>
  <c r="E78" i="8"/>
  <c r="E77" i="8"/>
  <c r="H77" i="8" s="1"/>
  <c r="E76" i="8"/>
  <c r="E75" i="8"/>
  <c r="F75" i="8" s="1"/>
  <c r="E74" i="8"/>
  <c r="F74" i="8" s="1"/>
  <c r="E73" i="8"/>
  <c r="E72" i="8"/>
  <c r="E71" i="8"/>
  <c r="E70" i="8"/>
  <c r="E69" i="8"/>
  <c r="H69" i="8" s="1"/>
  <c r="E68" i="8"/>
  <c r="G68" i="8" s="1"/>
  <c r="E67" i="8"/>
  <c r="F67" i="8" s="1"/>
  <c r="E66" i="8"/>
  <c r="G66" i="8" s="1"/>
  <c r="E65" i="8"/>
  <c r="G65" i="8" s="1"/>
  <c r="E64" i="8"/>
  <c r="E63" i="8"/>
  <c r="E62" i="8"/>
  <c r="E61" i="8"/>
  <c r="E60" i="8"/>
  <c r="E59" i="8"/>
  <c r="G59" i="8" s="1"/>
  <c r="E58" i="8"/>
  <c r="E57" i="8"/>
  <c r="E56" i="8"/>
  <c r="H56" i="8" s="1"/>
  <c r="E55" i="8"/>
  <c r="G55" i="8" s="1"/>
  <c r="E54" i="8"/>
  <c r="F54" i="8" s="1"/>
  <c r="E53" i="8"/>
  <c r="G53" i="8" s="1"/>
  <c r="E52" i="8"/>
  <c r="F52" i="8" s="1"/>
  <c r="E51" i="8"/>
  <c r="G51" i="8" s="1"/>
  <c r="E50" i="8"/>
  <c r="E49" i="8"/>
  <c r="G49" i="8" s="1"/>
  <c r="E48" i="8"/>
  <c r="H48" i="8" s="1"/>
  <c r="E47" i="8"/>
  <c r="E46" i="8"/>
  <c r="E45" i="8"/>
  <c r="E44" i="8"/>
  <c r="F44" i="8" s="1"/>
  <c r="E43" i="8"/>
  <c r="G43" i="8" s="1"/>
  <c r="E42" i="8"/>
  <c r="G42" i="8" s="1"/>
  <c r="E41" i="8"/>
  <c r="E40" i="8"/>
  <c r="E39" i="8"/>
  <c r="G39" i="8" s="1"/>
  <c r="E38" i="8"/>
  <c r="H38" i="8" s="1"/>
  <c r="E37" i="8"/>
  <c r="G37" i="8" s="1"/>
  <c r="E36" i="8"/>
  <c r="E35" i="8"/>
  <c r="G35" i="8" s="1"/>
  <c r="E34" i="8"/>
  <c r="H34" i="8" s="1"/>
  <c r="E33" i="8"/>
  <c r="G33" i="8" s="1"/>
  <c r="E32" i="8"/>
  <c r="H32" i="8" s="1"/>
  <c r="E31" i="8"/>
  <c r="E30" i="8"/>
  <c r="G30" i="8" s="1"/>
  <c r="E29" i="8"/>
  <c r="E28" i="8"/>
  <c r="F28" i="8" s="1"/>
  <c r="E27" i="8"/>
  <c r="G27" i="8" s="1"/>
  <c r="E26" i="8"/>
  <c r="H26" i="8" s="1"/>
  <c r="E25" i="8"/>
  <c r="G25" i="8" s="1"/>
  <c r="E24" i="8"/>
  <c r="H24" i="8" s="1"/>
  <c r="E23" i="8"/>
  <c r="G23" i="8" s="1"/>
  <c r="E22" i="8"/>
  <c r="G22" i="8" s="1"/>
  <c r="E21" i="8"/>
  <c r="G21" i="8" s="1"/>
  <c r="E20" i="8"/>
  <c r="G20" i="8" s="1"/>
  <c r="E19" i="8"/>
  <c r="G19" i="8" s="1"/>
  <c r="E18" i="8"/>
  <c r="G18" i="8" s="1"/>
  <c r="E17" i="8"/>
  <c r="G17" i="8" s="1"/>
  <c r="E16" i="8"/>
  <c r="F16" i="8" s="1"/>
  <c r="E15" i="8"/>
  <c r="E14" i="8"/>
  <c r="E13" i="8"/>
  <c r="E12" i="8"/>
  <c r="G12" i="8" s="1"/>
  <c r="E11" i="8"/>
  <c r="G11" i="8" s="1"/>
  <c r="E10" i="8"/>
  <c r="G10" i="8" s="1"/>
  <c r="E9" i="8"/>
  <c r="G9" i="8" s="1"/>
  <c r="E8" i="8"/>
  <c r="H8" i="8" s="1"/>
  <c r="E7" i="8"/>
  <c r="G7" i="8" s="1"/>
  <c r="E6" i="8"/>
  <c r="G6" i="8" s="1"/>
  <c r="E5" i="8"/>
  <c r="G5" i="8" s="1"/>
  <c r="A5" i="8"/>
  <c r="A6" i="8" s="1"/>
  <c r="A7" i="8" s="1"/>
  <c r="A8" i="8" s="1"/>
  <c r="A9" i="8" s="1"/>
  <c r="A10" i="8" s="1"/>
  <c r="A11" i="8" s="1"/>
  <c r="A12" i="8" s="1"/>
  <c r="A13" i="8" s="1"/>
  <c r="A14" i="8" s="1"/>
  <c r="A15" i="8" s="1"/>
  <c r="A16" i="8" s="1"/>
  <c r="A17" i="8" s="1"/>
  <c r="A18" i="8" s="1"/>
  <c r="A19" i="8" s="1"/>
  <c r="A20" i="8" s="1"/>
  <c r="A21" i="8" s="1"/>
  <c r="A22" i="8" s="1"/>
  <c r="A23" i="8" s="1"/>
  <c r="A24" i="8" s="1"/>
  <c r="A25" i="8" s="1"/>
  <c r="A26" i="8" s="1"/>
  <c r="A27" i="8" s="1"/>
  <c r="A28" i="8" s="1"/>
  <c r="A29" i="8" s="1"/>
  <c r="A30" i="8" s="1"/>
  <c r="A31" i="8" s="1"/>
  <c r="A32" i="8" s="1"/>
  <c r="A33" i="8" s="1"/>
  <c r="A34" i="8" s="1"/>
  <c r="A35" i="8" s="1"/>
  <c r="A36" i="8" s="1"/>
  <c r="A37" i="8" s="1"/>
  <c r="A38" i="8" s="1"/>
  <c r="A39" i="8" s="1"/>
  <c r="A40" i="8" s="1"/>
  <c r="A41" i="8" s="1"/>
  <c r="A42" i="8" s="1"/>
  <c r="A43" i="8" s="1"/>
  <c r="A44" i="8" s="1"/>
  <c r="A45" i="8" s="1"/>
  <c r="A46" i="8" s="1"/>
  <c r="A47" i="8" s="1"/>
  <c r="A48" i="8" s="1"/>
  <c r="A49" i="8" s="1"/>
  <c r="A50" i="8" s="1"/>
  <c r="A51" i="8" s="1"/>
  <c r="A52" i="8" s="1"/>
  <c r="A53" i="8" s="1"/>
  <c r="A54" i="8" s="1"/>
  <c r="A55" i="8" s="1"/>
  <c r="A56" i="8" s="1"/>
  <c r="A57" i="8" s="1"/>
  <c r="A58" i="8" s="1"/>
  <c r="A59" i="8" s="1"/>
  <c r="A60" i="8" s="1"/>
  <c r="A61" i="8" s="1"/>
  <c r="A62" i="8" s="1"/>
  <c r="A63" i="8" s="1"/>
  <c r="A64" i="8" s="1"/>
  <c r="A65" i="8" s="1"/>
  <c r="A66" i="8" s="1"/>
  <c r="A67" i="8" s="1"/>
  <c r="A68" i="8" s="1"/>
  <c r="A69" i="8" s="1"/>
  <c r="A70" i="8" s="1"/>
  <c r="A71" i="8" s="1"/>
  <c r="A72" i="8" s="1"/>
  <c r="A73" i="8" s="1"/>
  <c r="A74" i="8" s="1"/>
  <c r="A75" i="8" s="1"/>
  <c r="A76" i="8" s="1"/>
  <c r="A77" i="8" s="1"/>
  <c r="A78" i="8" s="1"/>
  <c r="A79" i="8" s="1"/>
  <c r="A80" i="8" s="1"/>
  <c r="A81" i="8" s="1"/>
  <c r="A82" i="8" s="1"/>
  <c r="A83" i="8" s="1"/>
  <c r="A84" i="8" s="1"/>
  <c r="A85" i="8" s="1"/>
  <c r="A86" i="8" s="1"/>
  <c r="A87" i="8" s="1"/>
  <c r="A88" i="8" s="1"/>
  <c r="A89" i="8" s="1"/>
  <c r="A90" i="8" s="1"/>
  <c r="A91" i="8" s="1"/>
  <c r="A92" i="8" s="1"/>
  <c r="A93" i="8" s="1"/>
  <c r="A94" i="8" s="1"/>
  <c r="A95" i="8" s="1"/>
  <c r="A96" i="8" s="1"/>
  <c r="A97" i="8" s="1"/>
  <c r="A98" i="8" s="1"/>
  <c r="A99" i="8" s="1"/>
  <c r="A100" i="8" s="1"/>
  <c r="A101" i="8" s="1"/>
  <c r="A102" i="8" s="1"/>
  <c r="A103" i="8" s="1"/>
  <c r="A104" i="8" s="1"/>
  <c r="A105" i="8" s="1"/>
  <c r="A106" i="8" s="1"/>
  <c r="A107" i="8" s="1"/>
  <c r="A108" i="8" s="1"/>
  <c r="A109" i="8" s="1"/>
  <c r="A110" i="8" s="1"/>
  <c r="A111" i="8" s="1"/>
  <c r="A112" i="8" s="1"/>
  <c r="A113" i="8" s="1"/>
  <c r="A114" i="8" s="1"/>
  <c r="A115" i="8" s="1"/>
  <c r="A116" i="8" s="1"/>
  <c r="A117" i="8" s="1"/>
  <c r="A118" i="8" s="1"/>
  <c r="A119" i="8" s="1"/>
  <c r="A120" i="8" s="1"/>
  <c r="A121" i="8" s="1"/>
  <c r="A122" i="8" s="1"/>
  <c r="A123" i="8" s="1"/>
  <c r="A124" i="8" s="1"/>
  <c r="A125" i="8" s="1"/>
  <c r="A126" i="8" s="1"/>
  <c r="A127" i="8" s="1"/>
  <c r="A128" i="8" s="1"/>
  <c r="A129" i="8" s="1"/>
  <c r="A130" i="8" s="1"/>
  <c r="A131" i="8" s="1"/>
  <c r="A132" i="8" s="1"/>
  <c r="A133" i="8" s="1"/>
  <c r="A134" i="8" s="1"/>
  <c r="A135" i="8" s="1"/>
  <c r="A136" i="8" s="1"/>
  <c r="A137" i="8" s="1"/>
  <c r="A138" i="8" s="1"/>
  <c r="A139" i="8" s="1"/>
  <c r="A140" i="8" s="1"/>
  <c r="A141" i="8" s="1"/>
  <c r="A142" i="8" s="1"/>
  <c r="A143" i="8" s="1"/>
  <c r="A144" i="8" s="1"/>
  <c r="A145" i="8" s="1"/>
  <c r="A146" i="8" s="1"/>
  <c r="A147" i="8" s="1"/>
  <c r="A148" i="8" s="1"/>
  <c r="A149" i="8" s="1"/>
  <c r="A150" i="8" s="1"/>
  <c r="A151" i="8" s="1"/>
  <c r="A152" i="8" s="1"/>
  <c r="A153" i="8" s="1"/>
  <c r="A154" i="8" s="1"/>
  <c r="A155" i="8" s="1"/>
  <c r="A156" i="8" s="1"/>
  <c r="A157" i="8" s="1"/>
  <c r="A158" i="8" s="1"/>
  <c r="A159" i="8" s="1"/>
  <c r="A160" i="8" s="1"/>
  <c r="A161" i="8" s="1"/>
  <c r="A162" i="8" s="1"/>
  <c r="A163" i="8" s="1"/>
  <c r="A164" i="8" s="1"/>
  <c r="A165" i="8" s="1"/>
  <c r="A166" i="8" s="1"/>
  <c r="A167" i="8" s="1"/>
  <c r="A168" i="8" s="1"/>
  <c r="A169" i="8" s="1"/>
  <c r="A170" i="8" s="1"/>
  <c r="A171" i="8" s="1"/>
  <c r="A172" i="8" s="1"/>
  <c r="A173" i="8" s="1"/>
  <c r="A174" i="8" s="1"/>
  <c r="A175" i="8" s="1"/>
  <c r="A176" i="8" s="1"/>
  <c r="A177" i="8" s="1"/>
  <c r="A178" i="8" s="1"/>
  <c r="A179" i="8" s="1"/>
  <c r="A180" i="8" s="1"/>
  <c r="A181" i="8" s="1"/>
  <c r="A182" i="8" s="1"/>
  <c r="A183" i="8" s="1"/>
  <c r="A184" i="8" s="1"/>
  <c r="A185" i="8" s="1"/>
  <c r="A186" i="8" s="1"/>
  <c r="A187" i="8" s="1"/>
  <c r="A188" i="8" s="1"/>
  <c r="A189" i="8" s="1"/>
  <c r="A190" i="8" s="1"/>
  <c r="A191" i="8" s="1"/>
  <c r="A192" i="8" s="1"/>
  <c r="A193" i="8" s="1"/>
  <c r="A194" i="8" s="1"/>
  <c r="A195" i="8" s="1"/>
  <c r="A196" i="8" s="1"/>
  <c r="A197" i="8" s="1"/>
  <c r="A198" i="8" s="1"/>
  <c r="A199" i="8" s="1"/>
  <c r="A200" i="8" s="1"/>
  <c r="A201" i="8" s="1"/>
  <c r="A202" i="8" s="1"/>
  <c r="A203" i="8" s="1"/>
  <c r="H4" i="8"/>
  <c r="F4" i="8"/>
  <c r="G4" i="8"/>
  <c r="G156" i="8" l="1"/>
  <c r="J156" i="8" s="1"/>
  <c r="K156" i="8" s="1"/>
  <c r="R35" i="42"/>
  <c r="AN3" i="46" s="1"/>
  <c r="F120" i="8"/>
  <c r="F156" i="8"/>
  <c r="L156" i="8" s="1"/>
  <c r="H157" i="8"/>
  <c r="H163" i="8"/>
  <c r="H165" i="8"/>
  <c r="F8" i="8"/>
  <c r="G157" i="8"/>
  <c r="J157" i="8" s="1"/>
  <c r="C157" i="8" s="1"/>
  <c r="F163" i="8"/>
  <c r="L163" i="8" s="1"/>
  <c r="G165" i="8"/>
  <c r="J165" i="8" s="1"/>
  <c r="K165" i="8" s="1"/>
  <c r="G8" i="8"/>
  <c r="H75" i="8"/>
  <c r="F190" i="8"/>
  <c r="F24" i="8"/>
  <c r="G190" i="8"/>
  <c r="J190" i="8" s="1"/>
  <c r="K190" i="8" s="1"/>
  <c r="G24" i="8"/>
  <c r="H6" i="8"/>
  <c r="G28" i="8"/>
  <c r="J28" i="8" s="1"/>
  <c r="H30" i="8"/>
  <c r="H28" i="8"/>
  <c r="H104" i="8"/>
  <c r="H132" i="8"/>
  <c r="G169" i="8"/>
  <c r="J169" i="8" s="1"/>
  <c r="K169" i="8" s="1"/>
  <c r="H66" i="8"/>
  <c r="H169" i="8"/>
  <c r="H203" i="8"/>
  <c r="H42" i="8"/>
  <c r="G179" i="8"/>
  <c r="J179" i="8" s="1"/>
  <c r="C179" i="8" s="1"/>
  <c r="H16" i="8"/>
  <c r="G32" i="8"/>
  <c r="F66" i="8"/>
  <c r="J66" i="8" s="1"/>
  <c r="H67" i="8"/>
  <c r="H84" i="8"/>
  <c r="F104" i="8"/>
  <c r="J104" i="8" s="1"/>
  <c r="C104" i="8" s="1"/>
  <c r="G105" i="8"/>
  <c r="J105" i="8" s="1"/>
  <c r="F132" i="8"/>
  <c r="J132" i="8" s="1"/>
  <c r="G164" i="8"/>
  <c r="J164" i="8" s="1"/>
  <c r="C164" i="8" s="1"/>
  <c r="G199" i="8"/>
  <c r="J199" i="8" s="1"/>
  <c r="K199" i="8" s="1"/>
  <c r="H18" i="8"/>
  <c r="G86" i="8"/>
  <c r="G93" i="8"/>
  <c r="H105" i="8"/>
  <c r="J120" i="8"/>
  <c r="C120" i="8" s="1"/>
  <c r="H60" i="8"/>
  <c r="G60" i="8"/>
  <c r="H90" i="8"/>
  <c r="G90" i="8"/>
  <c r="G98" i="8"/>
  <c r="H98" i="8"/>
  <c r="H111" i="8"/>
  <c r="G111" i="8"/>
  <c r="F111" i="8"/>
  <c r="G124" i="8"/>
  <c r="F124" i="8"/>
  <c r="H131" i="8"/>
  <c r="G131" i="8"/>
  <c r="H148" i="8"/>
  <c r="G148" i="8"/>
  <c r="J148" i="8" s="1"/>
  <c r="C148" i="8" s="1"/>
  <c r="H151" i="8"/>
  <c r="G151" i="8"/>
  <c r="J151" i="8" s="1"/>
  <c r="C151" i="8" s="1"/>
  <c r="F162" i="8"/>
  <c r="H162" i="8"/>
  <c r="H183" i="8"/>
  <c r="G183" i="8"/>
  <c r="J183" i="8" s="1"/>
  <c r="C183" i="8" s="1"/>
  <c r="F188" i="8"/>
  <c r="H188" i="8"/>
  <c r="G188" i="8"/>
  <c r="J188" i="8" s="1"/>
  <c r="K188" i="8" s="1"/>
  <c r="G36" i="8"/>
  <c r="F36" i="8"/>
  <c r="F60" i="8"/>
  <c r="F90" i="8"/>
  <c r="J90" i="8" s="1"/>
  <c r="F98" i="8"/>
  <c r="H112" i="8"/>
  <c r="G112" i="8"/>
  <c r="H124" i="8"/>
  <c r="F131" i="8"/>
  <c r="J131" i="8" s="1"/>
  <c r="F148" i="8"/>
  <c r="F151" i="8"/>
  <c r="G162" i="8"/>
  <c r="J162" i="8" s="1"/>
  <c r="F172" i="8"/>
  <c r="H172" i="8"/>
  <c r="G172" i="8"/>
  <c r="J172" i="8" s="1"/>
  <c r="C172" i="8" s="1"/>
  <c r="F183" i="8"/>
  <c r="G189" i="8"/>
  <c r="J189" i="8" s="1"/>
  <c r="K189" i="8" s="1"/>
  <c r="H189" i="8"/>
  <c r="H36" i="8"/>
  <c r="G40" i="8"/>
  <c r="H40" i="8"/>
  <c r="F40" i="8"/>
  <c r="G50" i="8"/>
  <c r="H50" i="8"/>
  <c r="F50" i="8"/>
  <c r="F97" i="8"/>
  <c r="H97" i="8"/>
  <c r="F112" i="8"/>
  <c r="H119" i="8"/>
  <c r="G119" i="8"/>
  <c r="H123" i="8"/>
  <c r="G123" i="8"/>
  <c r="F123" i="8"/>
  <c r="H143" i="8"/>
  <c r="G143" i="8"/>
  <c r="J143" i="8" s="1"/>
  <c r="C143" i="8" s="1"/>
  <c r="F143" i="8"/>
  <c r="G173" i="8"/>
  <c r="J173" i="8" s="1"/>
  <c r="K173" i="8" s="1"/>
  <c r="H173" i="8"/>
  <c r="F189" i="8"/>
  <c r="H195" i="8"/>
  <c r="G195" i="8"/>
  <c r="J195" i="8" s="1"/>
  <c r="K195" i="8" s="1"/>
  <c r="F195" i="8"/>
  <c r="G54" i="8"/>
  <c r="J54" i="8" s="1"/>
  <c r="H54" i="8"/>
  <c r="G56" i="8"/>
  <c r="F56" i="8"/>
  <c r="H62" i="8"/>
  <c r="G62" i="8"/>
  <c r="F62" i="8"/>
  <c r="H74" i="8"/>
  <c r="G74" i="8"/>
  <c r="J74" i="8" s="1"/>
  <c r="H91" i="8"/>
  <c r="G97" i="8"/>
  <c r="F119" i="8"/>
  <c r="J119" i="8" s="1"/>
  <c r="H144" i="8"/>
  <c r="G144" i="8"/>
  <c r="J144" i="8" s="1"/>
  <c r="K144" i="8" s="1"/>
  <c r="G150" i="8"/>
  <c r="J150" i="8" s="1"/>
  <c r="K150" i="8" s="1"/>
  <c r="H150" i="8"/>
  <c r="F150" i="8"/>
  <c r="H161" i="8"/>
  <c r="G161" i="8"/>
  <c r="J161" i="8" s="1"/>
  <c r="C161" i="8" s="1"/>
  <c r="F161" i="8"/>
  <c r="F173" i="8"/>
  <c r="F203" i="8"/>
  <c r="L203" i="8" s="1"/>
  <c r="F6" i="8"/>
  <c r="J6" i="8" s="1"/>
  <c r="K6" i="8" s="1"/>
  <c r="G16" i="8"/>
  <c r="F18" i="8"/>
  <c r="J18" i="8" s="1"/>
  <c r="F32" i="8"/>
  <c r="F42" i="8"/>
  <c r="J42" i="8" s="1"/>
  <c r="G69" i="8"/>
  <c r="G77" i="8"/>
  <c r="F86" i="8"/>
  <c r="F164" i="8"/>
  <c r="F179" i="8"/>
  <c r="F199" i="8"/>
  <c r="L199" i="8" s="1"/>
  <c r="G58" i="8"/>
  <c r="H58" i="8"/>
  <c r="F58" i="8"/>
  <c r="H70" i="8"/>
  <c r="G70" i="8"/>
  <c r="H99" i="8"/>
  <c r="G99" i="8"/>
  <c r="F99" i="8"/>
  <c r="H127" i="8"/>
  <c r="G127" i="8"/>
  <c r="F127" i="8"/>
  <c r="H140" i="8"/>
  <c r="G140" i="8"/>
  <c r="F20" i="8"/>
  <c r="G78" i="8"/>
  <c r="F78" i="8"/>
  <c r="F83" i="8"/>
  <c r="H83" i="8"/>
  <c r="H94" i="8"/>
  <c r="G94" i="8"/>
  <c r="H100" i="8"/>
  <c r="G100" i="8"/>
  <c r="G136" i="8"/>
  <c r="F136" i="8"/>
  <c r="F196" i="8"/>
  <c r="H196" i="8"/>
  <c r="G196" i="8"/>
  <c r="J196" i="8" s="1"/>
  <c r="J203" i="8"/>
  <c r="C203" i="8" s="1"/>
  <c r="J4" i="8"/>
  <c r="C4" i="8" s="1"/>
  <c r="H10" i="8"/>
  <c r="H12" i="8"/>
  <c r="H20" i="8"/>
  <c r="F22" i="8"/>
  <c r="J22" i="8" s="1"/>
  <c r="G46" i="8"/>
  <c r="H46" i="8"/>
  <c r="F46" i="8"/>
  <c r="G76" i="8"/>
  <c r="H76" i="8"/>
  <c r="H78" i="8"/>
  <c r="H92" i="8"/>
  <c r="F94" i="8"/>
  <c r="F100" i="8"/>
  <c r="H107" i="8"/>
  <c r="G107" i="8"/>
  <c r="F107" i="8"/>
  <c r="H115" i="8"/>
  <c r="G115" i="8"/>
  <c r="F115" i="8"/>
  <c r="H136" i="8"/>
  <c r="H139" i="8"/>
  <c r="G139" i="8"/>
  <c r="L139" i="8" s="1"/>
  <c r="C156" i="8"/>
  <c r="H175" i="8"/>
  <c r="G175" i="8"/>
  <c r="F180" i="8"/>
  <c r="H180" i="8"/>
  <c r="G180" i="8"/>
  <c r="J180" i="8" s="1"/>
  <c r="G14" i="8"/>
  <c r="F14" i="8"/>
  <c r="G48" i="8"/>
  <c r="F48" i="8"/>
  <c r="H52" i="8"/>
  <c r="G52" i="8"/>
  <c r="H85" i="8"/>
  <c r="G85" i="8"/>
  <c r="F149" i="8"/>
  <c r="H149" i="8"/>
  <c r="G152" i="8"/>
  <c r="J152" i="8" s="1"/>
  <c r="K152" i="8" s="1"/>
  <c r="F152" i="8"/>
  <c r="G181" i="8"/>
  <c r="J181" i="8" s="1"/>
  <c r="H181" i="8"/>
  <c r="F181" i="8"/>
  <c r="H198" i="8"/>
  <c r="G198" i="8"/>
  <c r="J198" i="8" s="1"/>
  <c r="C198" i="8" s="1"/>
  <c r="F10" i="8"/>
  <c r="F12" i="8"/>
  <c r="H14" i="8"/>
  <c r="G26" i="8"/>
  <c r="F26" i="8"/>
  <c r="G38" i="8"/>
  <c r="F38" i="8"/>
  <c r="H68" i="8"/>
  <c r="F70" i="8"/>
  <c r="H128" i="8"/>
  <c r="G128" i="8"/>
  <c r="J128" i="8" s="1"/>
  <c r="C128" i="8" s="1"/>
  <c r="F140" i="8"/>
  <c r="G149" i="8"/>
  <c r="J149" i="8" s="1"/>
  <c r="H174" i="8"/>
  <c r="G174" i="8"/>
  <c r="J174" i="8" s="1"/>
  <c r="C174" i="8" s="1"/>
  <c r="F174" i="8"/>
  <c r="H182" i="8"/>
  <c r="G182" i="8"/>
  <c r="J182" i="8" s="1"/>
  <c r="K182" i="8" s="1"/>
  <c r="F198" i="8"/>
  <c r="L4" i="8"/>
  <c r="M4" i="8" s="1"/>
  <c r="H22" i="8"/>
  <c r="F30" i="8"/>
  <c r="G34" i="8"/>
  <c r="F34" i="8"/>
  <c r="H44" i="8"/>
  <c r="G44" i="8"/>
  <c r="J44" i="8" s="1"/>
  <c r="G82" i="8"/>
  <c r="F82" i="8"/>
  <c r="H108" i="8"/>
  <c r="G108" i="8"/>
  <c r="J108" i="8" s="1"/>
  <c r="H116" i="8"/>
  <c r="G116" i="8"/>
  <c r="J116" i="8" s="1"/>
  <c r="L120" i="8"/>
  <c r="H135" i="8"/>
  <c r="G135" i="8"/>
  <c r="F135" i="8"/>
  <c r="H171" i="8"/>
  <c r="G171" i="8"/>
  <c r="J171" i="8" s="1"/>
  <c r="C171" i="8" s="1"/>
  <c r="G187" i="8"/>
  <c r="F187" i="8"/>
  <c r="G191" i="8"/>
  <c r="J191" i="8" s="1"/>
  <c r="K191" i="8" s="1"/>
  <c r="F191" i="8"/>
  <c r="G197" i="8"/>
  <c r="J197" i="8" s="1"/>
  <c r="H197" i="8"/>
  <c r="F197" i="8"/>
  <c r="C163" i="8"/>
  <c r="L157" i="8"/>
  <c r="H41" i="8"/>
  <c r="F41" i="8"/>
  <c r="H57" i="8"/>
  <c r="F57" i="8"/>
  <c r="F63" i="8"/>
  <c r="G63" i="8"/>
  <c r="G64" i="8"/>
  <c r="F64" i="8"/>
  <c r="H13" i="8"/>
  <c r="F13" i="8"/>
  <c r="F15" i="8"/>
  <c r="H15" i="8"/>
  <c r="H29" i="8"/>
  <c r="F29" i="8"/>
  <c r="F31" i="8"/>
  <c r="H31" i="8"/>
  <c r="G41" i="8"/>
  <c r="H45" i="8"/>
  <c r="F45" i="8"/>
  <c r="F47" i="8"/>
  <c r="H47" i="8"/>
  <c r="G57" i="8"/>
  <c r="H61" i="8"/>
  <c r="F61" i="8"/>
  <c r="H63" i="8"/>
  <c r="H64" i="8"/>
  <c r="F71" i="8"/>
  <c r="G71" i="8"/>
  <c r="H71" i="8"/>
  <c r="H73" i="8"/>
  <c r="F73" i="8"/>
  <c r="G73" i="8"/>
  <c r="G80" i="8"/>
  <c r="F80" i="8"/>
  <c r="H80" i="8"/>
  <c r="F87" i="8"/>
  <c r="G87" i="8"/>
  <c r="H87" i="8"/>
  <c r="H89" i="8"/>
  <c r="F89" i="8"/>
  <c r="G89" i="8"/>
  <c r="G96" i="8"/>
  <c r="F96" i="8"/>
  <c r="H96" i="8"/>
  <c r="G13" i="8"/>
  <c r="G15" i="8"/>
  <c r="H17" i="8"/>
  <c r="F17" i="8"/>
  <c r="F19" i="8"/>
  <c r="H19" i="8"/>
  <c r="G29" i="8"/>
  <c r="G31" i="8"/>
  <c r="H33" i="8"/>
  <c r="F33" i="8"/>
  <c r="F35" i="8"/>
  <c r="H35" i="8"/>
  <c r="G45" i="8"/>
  <c r="G47" i="8"/>
  <c r="H49" i="8"/>
  <c r="F49" i="8"/>
  <c r="F51" i="8"/>
  <c r="H51" i="8"/>
  <c r="G61" i="8"/>
  <c r="H9" i="8"/>
  <c r="F9" i="8"/>
  <c r="F11" i="8"/>
  <c r="H11" i="8"/>
  <c r="H25" i="8"/>
  <c r="F25" i="8"/>
  <c r="F27" i="8"/>
  <c r="H27" i="8"/>
  <c r="F43" i="8"/>
  <c r="H43" i="8"/>
  <c r="F59" i="8"/>
  <c r="H59" i="8"/>
  <c r="H65" i="8"/>
  <c r="F65" i="8"/>
  <c r="H5" i="8"/>
  <c r="F5" i="8"/>
  <c r="F7" i="8"/>
  <c r="H7" i="8"/>
  <c r="H21" i="8"/>
  <c r="F21" i="8"/>
  <c r="F23" i="8"/>
  <c r="H23" i="8"/>
  <c r="H37" i="8"/>
  <c r="F37" i="8"/>
  <c r="F39" i="8"/>
  <c r="H39" i="8"/>
  <c r="H53" i="8"/>
  <c r="F53" i="8"/>
  <c r="F55" i="8"/>
  <c r="H55" i="8"/>
  <c r="G72" i="8"/>
  <c r="F72" i="8"/>
  <c r="H72" i="8"/>
  <c r="F79" i="8"/>
  <c r="G79" i="8"/>
  <c r="H79" i="8"/>
  <c r="H81" i="8"/>
  <c r="F81" i="8"/>
  <c r="G81" i="8"/>
  <c r="G88" i="8"/>
  <c r="F88" i="8"/>
  <c r="H88" i="8"/>
  <c r="F95" i="8"/>
  <c r="G95" i="8"/>
  <c r="H95" i="8"/>
  <c r="G113" i="8"/>
  <c r="F113" i="8"/>
  <c r="H113" i="8"/>
  <c r="G121" i="8"/>
  <c r="F121" i="8"/>
  <c r="H121" i="8"/>
  <c r="G137" i="8"/>
  <c r="F137" i="8"/>
  <c r="H137" i="8"/>
  <c r="F153" i="8"/>
  <c r="H153" i="8"/>
  <c r="G153" i="8"/>
  <c r="J153" i="8" s="1"/>
  <c r="H155" i="8"/>
  <c r="G155" i="8"/>
  <c r="J155" i="8" s="1"/>
  <c r="F155" i="8"/>
  <c r="K166" i="8"/>
  <c r="C166" i="8"/>
  <c r="G67" i="8"/>
  <c r="J67" i="8" s="1"/>
  <c r="F68" i="8"/>
  <c r="F69" i="8"/>
  <c r="G75" i="8"/>
  <c r="J75" i="8" s="1"/>
  <c r="F76" i="8"/>
  <c r="F77" i="8"/>
  <c r="G83" i="8"/>
  <c r="F84" i="8"/>
  <c r="F85" i="8"/>
  <c r="G91" i="8"/>
  <c r="J91" i="8" s="1"/>
  <c r="F92" i="8"/>
  <c r="F93" i="8"/>
  <c r="G102" i="8"/>
  <c r="J102" i="8" s="1"/>
  <c r="H102" i="8"/>
  <c r="H110" i="8"/>
  <c r="G110" i="8"/>
  <c r="F110" i="8"/>
  <c r="H126" i="8"/>
  <c r="G126" i="8"/>
  <c r="F126" i="8"/>
  <c r="H142" i="8"/>
  <c r="G142" i="8"/>
  <c r="J142" i="8" s="1"/>
  <c r="F142" i="8"/>
  <c r="F145" i="8"/>
  <c r="H145" i="8"/>
  <c r="G145" i="8"/>
  <c r="J145" i="8" s="1"/>
  <c r="H147" i="8"/>
  <c r="G147" i="8"/>
  <c r="J147" i="8" s="1"/>
  <c r="F147" i="8"/>
  <c r="F158" i="8"/>
  <c r="H158" i="8"/>
  <c r="G158" i="8"/>
  <c r="J158" i="8" s="1"/>
  <c r="G129" i="8"/>
  <c r="F129" i="8"/>
  <c r="H129" i="8"/>
  <c r="K143" i="8"/>
  <c r="G154" i="8"/>
  <c r="J154" i="8" s="1"/>
  <c r="H154" i="8"/>
  <c r="F154" i="8"/>
  <c r="H160" i="8"/>
  <c r="G160" i="8"/>
  <c r="J160" i="8" s="1"/>
  <c r="F160" i="8"/>
  <c r="C184" i="8"/>
  <c r="K184" i="8"/>
  <c r="F101" i="8"/>
  <c r="H101" i="8"/>
  <c r="H103" i="8"/>
  <c r="G103" i="8"/>
  <c r="J103" i="8" s="1"/>
  <c r="H118" i="8"/>
  <c r="G118" i="8"/>
  <c r="F118" i="8"/>
  <c r="H134" i="8"/>
  <c r="G134" i="8"/>
  <c r="F134" i="8"/>
  <c r="G146" i="8"/>
  <c r="J146" i="8" s="1"/>
  <c r="H146" i="8"/>
  <c r="F146" i="8"/>
  <c r="H106" i="8"/>
  <c r="G106" i="8"/>
  <c r="J106" i="8" s="1"/>
  <c r="G109" i="8"/>
  <c r="F109" i="8"/>
  <c r="H122" i="8"/>
  <c r="G122" i="8"/>
  <c r="G125" i="8"/>
  <c r="F125" i="8"/>
  <c r="H138" i="8"/>
  <c r="G138" i="8"/>
  <c r="J138" i="8" s="1"/>
  <c r="G141" i="8"/>
  <c r="F141" i="8"/>
  <c r="C165" i="8"/>
  <c r="H186" i="8"/>
  <c r="G186" i="8"/>
  <c r="J186" i="8" s="1"/>
  <c r="F186" i="8"/>
  <c r="H114" i="8"/>
  <c r="G114" i="8"/>
  <c r="J114" i="8" s="1"/>
  <c r="G117" i="8"/>
  <c r="F117" i="8"/>
  <c r="H130" i="8"/>
  <c r="G130" i="8"/>
  <c r="G133" i="8"/>
  <c r="F133" i="8"/>
  <c r="F166" i="8"/>
  <c r="H166" i="8"/>
  <c r="H168" i="8"/>
  <c r="G168" i="8"/>
  <c r="J168" i="8" s="1"/>
  <c r="C192" i="8"/>
  <c r="K192" i="8"/>
  <c r="G159" i="8"/>
  <c r="J159" i="8" s="1"/>
  <c r="H159" i="8"/>
  <c r="G167" i="8"/>
  <c r="J167" i="8" s="1"/>
  <c r="H167" i="8"/>
  <c r="H170" i="8"/>
  <c r="G170" i="8"/>
  <c r="J170" i="8" s="1"/>
  <c r="F170" i="8"/>
  <c r="G185" i="8"/>
  <c r="H185" i="8"/>
  <c r="F176" i="8"/>
  <c r="H176" i="8"/>
  <c r="G176" i="8"/>
  <c r="J176" i="8" s="1"/>
  <c r="G177" i="8"/>
  <c r="J177" i="8" s="1"/>
  <c r="H177" i="8"/>
  <c r="H178" i="8"/>
  <c r="G178" i="8"/>
  <c r="J178" i="8" s="1"/>
  <c r="F184" i="8"/>
  <c r="H184" i="8"/>
  <c r="C200" i="8"/>
  <c r="K200" i="8"/>
  <c r="F192" i="8"/>
  <c r="H192" i="8"/>
  <c r="G193" i="8"/>
  <c r="H193" i="8"/>
  <c r="H194" i="8"/>
  <c r="G194" i="8"/>
  <c r="J194" i="8" s="1"/>
  <c r="F200" i="8"/>
  <c r="H200" i="8"/>
  <c r="G201" i="8"/>
  <c r="H201" i="8"/>
  <c r="H202" i="8"/>
  <c r="G202" i="8"/>
  <c r="J202" i="8" s="1"/>
  <c r="L8" i="8" l="1"/>
  <c r="C169" i="8"/>
  <c r="L188" i="8"/>
  <c r="K120" i="8"/>
  <c r="L165" i="8"/>
  <c r="C190" i="8"/>
  <c r="C144" i="8"/>
  <c r="J135" i="8"/>
  <c r="C135" i="8" s="1"/>
  <c r="J140" i="8"/>
  <c r="C140" i="8" s="1"/>
  <c r="L190" i="8"/>
  <c r="J97" i="8"/>
  <c r="L123" i="8"/>
  <c r="L119" i="8"/>
  <c r="L172" i="8"/>
  <c r="L98" i="8"/>
  <c r="J8" i="8"/>
  <c r="C8" i="8" s="1"/>
  <c r="L104" i="8"/>
  <c r="L30" i="8"/>
  <c r="Q35" i="42"/>
  <c r="F35" i="42" s="1"/>
  <c r="S35" i="42"/>
  <c r="R36" i="42"/>
  <c r="AO3" i="46" s="1"/>
  <c r="C189" i="8"/>
  <c r="C173" i="8"/>
  <c r="K161" i="8"/>
  <c r="K174" i="8"/>
  <c r="K151" i="8"/>
  <c r="K157" i="8"/>
  <c r="K104" i="8"/>
  <c r="L12" i="8"/>
  <c r="L136" i="8"/>
  <c r="L127" i="8"/>
  <c r="L16" i="8"/>
  <c r="K164" i="8"/>
  <c r="L150" i="8"/>
  <c r="L105" i="8"/>
  <c r="L66" i="8"/>
  <c r="L149" i="8"/>
  <c r="L164" i="8"/>
  <c r="L36" i="8"/>
  <c r="L24" i="8"/>
  <c r="L32" i="8"/>
  <c r="J56" i="8"/>
  <c r="J36" i="8"/>
  <c r="L6" i="8"/>
  <c r="J24" i="8"/>
  <c r="C6" i="8"/>
  <c r="L48" i="8"/>
  <c r="L42" i="8"/>
  <c r="C182" i="8"/>
  <c r="K183" i="8"/>
  <c r="L147" i="8"/>
  <c r="L67" i="8"/>
  <c r="J12" i="8"/>
  <c r="J98" i="8"/>
  <c r="C98" i="8" s="1"/>
  <c r="K172" i="8"/>
  <c r="C150" i="8"/>
  <c r="L169" i="8"/>
  <c r="J32" i="8"/>
  <c r="L94" i="8"/>
  <c r="L196" i="8"/>
  <c r="J86" i="8"/>
  <c r="L28" i="8"/>
  <c r="K198" i="8"/>
  <c r="J30" i="8"/>
  <c r="K30" i="8" s="1"/>
  <c r="J34" i="8"/>
  <c r="L22" i="8"/>
  <c r="J124" i="8"/>
  <c r="C124" i="8" s="1"/>
  <c r="J100" i="8"/>
  <c r="K100" i="8" s="1"/>
  <c r="J46" i="8"/>
  <c r="J139" i="8"/>
  <c r="K139" i="8" s="1"/>
  <c r="L86" i="8"/>
  <c r="J62" i="8"/>
  <c r="L176" i="8"/>
  <c r="C152" i="8"/>
  <c r="L56" i="8"/>
  <c r="J16" i="8"/>
  <c r="L198" i="8"/>
  <c r="L52" i="8"/>
  <c r="L132" i="8"/>
  <c r="J107" i="8"/>
  <c r="K107" i="8" s="1"/>
  <c r="J136" i="8"/>
  <c r="J78" i="8"/>
  <c r="C78" i="8" s="1"/>
  <c r="L179" i="8"/>
  <c r="L173" i="8"/>
  <c r="L161" i="8"/>
  <c r="L62" i="8"/>
  <c r="L54" i="8"/>
  <c r="L195" i="8"/>
  <c r="L143" i="8"/>
  <c r="L112" i="8"/>
  <c r="L40" i="8"/>
  <c r="L183" i="8"/>
  <c r="L124" i="8"/>
  <c r="L131" i="8"/>
  <c r="J111" i="8"/>
  <c r="C111" i="8" s="1"/>
  <c r="L181" i="8"/>
  <c r="L189" i="8"/>
  <c r="L50" i="8"/>
  <c r="L151" i="8"/>
  <c r="L60" i="8"/>
  <c r="C199" i="8"/>
  <c r="L148" i="8"/>
  <c r="L130" i="8"/>
  <c r="L82" i="8"/>
  <c r="L70" i="8"/>
  <c r="L152" i="8"/>
  <c r="J48" i="8"/>
  <c r="J115" i="8"/>
  <c r="K115" i="8" s="1"/>
  <c r="J99" i="8"/>
  <c r="C99" i="8" s="1"/>
  <c r="K74" i="8"/>
  <c r="C74" i="8"/>
  <c r="K90" i="8"/>
  <c r="C90" i="8"/>
  <c r="L14" i="8"/>
  <c r="K203" i="8"/>
  <c r="L184" i="8"/>
  <c r="L174" i="8"/>
  <c r="J112" i="8"/>
  <c r="C188" i="8"/>
  <c r="L128" i="8"/>
  <c r="L38" i="8"/>
  <c r="L180" i="8"/>
  <c r="L200" i="8"/>
  <c r="C191" i="8"/>
  <c r="K171" i="8"/>
  <c r="L162" i="8"/>
  <c r="K148" i="8"/>
  <c r="L111" i="8"/>
  <c r="L160" i="8"/>
  <c r="C195" i="8"/>
  <c r="L144" i="8"/>
  <c r="L99" i="8"/>
  <c r="L90" i="8"/>
  <c r="L74" i="8"/>
  <c r="L197" i="8"/>
  <c r="L171" i="8"/>
  <c r="L182" i="8"/>
  <c r="L97" i="8"/>
  <c r="J40" i="8"/>
  <c r="L114" i="8"/>
  <c r="L146" i="8"/>
  <c r="L78" i="8"/>
  <c r="J60" i="8"/>
  <c r="L191" i="8"/>
  <c r="L116" i="8"/>
  <c r="L44" i="8"/>
  <c r="L18" i="8"/>
  <c r="J123" i="8"/>
  <c r="J50" i="8"/>
  <c r="K179" i="8"/>
  <c r="L135" i="8"/>
  <c r="L107" i="8"/>
  <c r="L202" i="8"/>
  <c r="L178" i="8"/>
  <c r="L138" i="8"/>
  <c r="L106" i="8"/>
  <c r="K128" i="8"/>
  <c r="L100" i="8"/>
  <c r="J94" i="8"/>
  <c r="K94" i="8" s="1"/>
  <c r="J14" i="8"/>
  <c r="J70" i="8"/>
  <c r="C70" i="8" s="1"/>
  <c r="K197" i="8"/>
  <c r="C197" i="8"/>
  <c r="L187" i="8"/>
  <c r="J187" i="8"/>
  <c r="J82" i="8"/>
  <c r="J38" i="8"/>
  <c r="K181" i="8"/>
  <c r="C181" i="8"/>
  <c r="L175" i="8"/>
  <c r="J175" i="8"/>
  <c r="K196" i="8"/>
  <c r="C196" i="8"/>
  <c r="L140" i="8"/>
  <c r="J52" i="8"/>
  <c r="K149" i="8"/>
  <c r="C149" i="8"/>
  <c r="L26" i="8"/>
  <c r="J26" i="8"/>
  <c r="L58" i="8"/>
  <c r="J58" i="8"/>
  <c r="L167" i="8"/>
  <c r="L34" i="8"/>
  <c r="L10" i="8"/>
  <c r="J10" i="8"/>
  <c r="J127" i="8"/>
  <c r="L194" i="8"/>
  <c r="L192" i="8"/>
  <c r="L166" i="8"/>
  <c r="L122" i="8"/>
  <c r="L154" i="8"/>
  <c r="L142" i="8"/>
  <c r="L83" i="8"/>
  <c r="L75" i="8"/>
  <c r="L108" i="8"/>
  <c r="K180" i="8"/>
  <c r="C180" i="8"/>
  <c r="L115" i="8"/>
  <c r="L46" i="8"/>
  <c r="L20" i="8"/>
  <c r="J20" i="8"/>
  <c r="C91" i="8"/>
  <c r="K91" i="8"/>
  <c r="C75" i="8"/>
  <c r="K75" i="8"/>
  <c r="C138" i="8"/>
  <c r="K138" i="8"/>
  <c r="K106" i="8"/>
  <c r="C106" i="8"/>
  <c r="K102" i="8"/>
  <c r="C102" i="8"/>
  <c r="C67" i="8"/>
  <c r="K67" i="8"/>
  <c r="L134" i="8"/>
  <c r="J134" i="8"/>
  <c r="L110" i="8"/>
  <c r="J110" i="8"/>
  <c r="L93" i="8"/>
  <c r="J93" i="8"/>
  <c r="L68" i="8"/>
  <c r="J68" i="8"/>
  <c r="J83" i="8"/>
  <c r="J39" i="8"/>
  <c r="L39" i="8"/>
  <c r="J59" i="8"/>
  <c r="L59" i="8"/>
  <c r="J27" i="8"/>
  <c r="L27" i="8"/>
  <c r="C86" i="8"/>
  <c r="K86" i="8"/>
  <c r="L73" i="8"/>
  <c r="J73" i="8"/>
  <c r="J193" i="8"/>
  <c r="L193" i="8"/>
  <c r="K177" i="8"/>
  <c r="C177" i="8"/>
  <c r="C168" i="8"/>
  <c r="K168" i="8"/>
  <c r="J117" i="8"/>
  <c r="L117" i="8"/>
  <c r="C132" i="8"/>
  <c r="K132" i="8"/>
  <c r="J109" i="8"/>
  <c r="L109" i="8"/>
  <c r="C119" i="8"/>
  <c r="K119" i="8"/>
  <c r="L85" i="8"/>
  <c r="J85" i="8"/>
  <c r="J121" i="8"/>
  <c r="L121" i="8"/>
  <c r="J79" i="8"/>
  <c r="L79" i="8"/>
  <c r="L37" i="8"/>
  <c r="J37" i="8"/>
  <c r="J23" i="8"/>
  <c r="L23" i="8"/>
  <c r="L65" i="8"/>
  <c r="J65" i="8"/>
  <c r="L25" i="8"/>
  <c r="J25" i="8"/>
  <c r="J11" i="8"/>
  <c r="L11" i="8"/>
  <c r="K66" i="8"/>
  <c r="C66" i="8"/>
  <c r="J51" i="8"/>
  <c r="L51" i="8"/>
  <c r="J35" i="8"/>
  <c r="L35" i="8"/>
  <c r="J19" i="8"/>
  <c r="L19" i="8"/>
  <c r="L61" i="8"/>
  <c r="J61" i="8"/>
  <c r="J47" i="8"/>
  <c r="L47" i="8"/>
  <c r="L41" i="8"/>
  <c r="J41" i="8"/>
  <c r="C202" i="8"/>
  <c r="K202" i="8"/>
  <c r="C194" i="8"/>
  <c r="K194" i="8"/>
  <c r="C178" i="8"/>
  <c r="K178" i="8"/>
  <c r="C176" i="8"/>
  <c r="K176" i="8"/>
  <c r="K159" i="8"/>
  <c r="C159" i="8"/>
  <c r="K162" i="8"/>
  <c r="C162" i="8"/>
  <c r="L186" i="8"/>
  <c r="L159" i="8"/>
  <c r="K97" i="8"/>
  <c r="C97" i="8"/>
  <c r="K146" i="8"/>
  <c r="C146" i="8"/>
  <c r="L118" i="8"/>
  <c r="J118" i="8"/>
  <c r="J101" i="8"/>
  <c r="L101" i="8"/>
  <c r="C160" i="8"/>
  <c r="K160" i="8"/>
  <c r="K154" i="8"/>
  <c r="C154" i="8"/>
  <c r="C147" i="8"/>
  <c r="K147" i="8"/>
  <c r="L145" i="8"/>
  <c r="L91" i="8"/>
  <c r="L84" i="8"/>
  <c r="J84" i="8"/>
  <c r="L77" i="8"/>
  <c r="J77" i="8"/>
  <c r="L155" i="8"/>
  <c r="J137" i="8"/>
  <c r="L137" i="8"/>
  <c r="C131" i="8"/>
  <c r="K131" i="8"/>
  <c r="L103" i="8"/>
  <c r="L72" i="8"/>
  <c r="J72" i="8"/>
  <c r="L21" i="8"/>
  <c r="J21" i="8"/>
  <c r="J7" i="8"/>
  <c r="L7" i="8"/>
  <c r="L9" i="8"/>
  <c r="J9" i="8"/>
  <c r="L49" i="8"/>
  <c r="J49" i="8"/>
  <c r="L33" i="8"/>
  <c r="J33" i="8"/>
  <c r="L17" i="8"/>
  <c r="J17" i="8"/>
  <c r="L96" i="8"/>
  <c r="J96" i="8"/>
  <c r="L45" i="8"/>
  <c r="J45" i="8"/>
  <c r="J31" i="8"/>
  <c r="L31" i="8"/>
  <c r="J15" i="8"/>
  <c r="L15" i="8"/>
  <c r="J63" i="8"/>
  <c r="L63" i="8"/>
  <c r="C170" i="8"/>
  <c r="K170" i="8"/>
  <c r="C145" i="8"/>
  <c r="K145" i="8"/>
  <c r="L126" i="8"/>
  <c r="J126" i="8"/>
  <c r="J113" i="8"/>
  <c r="L113" i="8"/>
  <c r="L88" i="8"/>
  <c r="J88" i="8"/>
  <c r="L53" i="8"/>
  <c r="J53" i="8"/>
  <c r="L102" i="8"/>
  <c r="J43" i="8"/>
  <c r="L43" i="8"/>
  <c r="J71" i="8"/>
  <c r="L71" i="8"/>
  <c r="J201" i="8"/>
  <c r="L201" i="8"/>
  <c r="J185" i="8"/>
  <c r="L185" i="8"/>
  <c r="C108" i="8"/>
  <c r="K108" i="8"/>
  <c r="J141" i="8"/>
  <c r="L141" i="8"/>
  <c r="K105" i="8"/>
  <c r="C105" i="8"/>
  <c r="C114" i="8"/>
  <c r="K114" i="8"/>
  <c r="L168" i="8"/>
  <c r="J129" i="8"/>
  <c r="L129" i="8"/>
  <c r="K158" i="8"/>
  <c r="C158" i="8"/>
  <c r="C142" i="8"/>
  <c r="K142" i="8"/>
  <c r="L92" i="8"/>
  <c r="J92" i="8"/>
  <c r="C153" i="8"/>
  <c r="K153" i="8"/>
  <c r="L81" i="8"/>
  <c r="J81" i="8"/>
  <c r="L170" i="8"/>
  <c r="K167" i="8"/>
  <c r="C167" i="8"/>
  <c r="J133" i="8"/>
  <c r="L133" i="8"/>
  <c r="C186" i="8"/>
  <c r="K186" i="8"/>
  <c r="J125" i="8"/>
  <c r="L125" i="8"/>
  <c r="C116" i="8"/>
  <c r="K116" i="8"/>
  <c r="L177" i="8"/>
  <c r="J130" i="8"/>
  <c r="C103" i="8"/>
  <c r="K103" i="8"/>
  <c r="L158" i="8"/>
  <c r="J122" i="8"/>
  <c r="L76" i="8"/>
  <c r="J76" i="8"/>
  <c r="L69" i="8"/>
  <c r="J69" i="8"/>
  <c r="C155" i="8"/>
  <c r="K155" i="8"/>
  <c r="L153" i="8"/>
  <c r="J95" i="8"/>
  <c r="L95" i="8"/>
  <c r="J55" i="8"/>
  <c r="L55" i="8"/>
  <c r="L5" i="8"/>
  <c r="J5" i="8"/>
  <c r="I5" i="8" s="1"/>
  <c r="I6" i="8" s="1"/>
  <c r="K28" i="8"/>
  <c r="C28" i="8"/>
  <c r="L89" i="8"/>
  <c r="J89" i="8"/>
  <c r="J87" i="8"/>
  <c r="L87" i="8"/>
  <c r="L80" i="8"/>
  <c r="J80" i="8"/>
  <c r="L29" i="8"/>
  <c r="J29" i="8"/>
  <c r="L13" i="8"/>
  <c r="J13" i="8"/>
  <c r="L64" i="8"/>
  <c r="J64" i="8"/>
  <c r="L57" i="8"/>
  <c r="J57" i="8"/>
  <c r="K98" i="8" l="1"/>
  <c r="K78" i="8"/>
  <c r="K99" i="8"/>
  <c r="K140" i="8"/>
  <c r="K8" i="8"/>
  <c r="K135" i="8"/>
  <c r="Q36" i="42"/>
  <c r="F36" i="42" s="1"/>
  <c r="S36" i="42"/>
  <c r="R37" i="42"/>
  <c r="AP3" i="46" s="1"/>
  <c r="G35" i="42"/>
  <c r="ED3" i="46" s="1"/>
  <c r="C107" i="8"/>
  <c r="C100" i="8"/>
  <c r="K124" i="8"/>
  <c r="C115" i="8"/>
  <c r="C30" i="8"/>
  <c r="C139" i="8"/>
  <c r="K70" i="8"/>
  <c r="K111" i="8"/>
  <c r="C136" i="8"/>
  <c r="K136" i="8"/>
  <c r="C112" i="8"/>
  <c r="K112" i="8"/>
  <c r="C123" i="8"/>
  <c r="K123" i="8"/>
  <c r="I7" i="8"/>
  <c r="I8" i="8" s="1"/>
  <c r="I9" i="8" s="1"/>
  <c r="I10" i="8" s="1"/>
  <c r="I11" i="8" s="1"/>
  <c r="I12" i="8" s="1"/>
  <c r="C94" i="8"/>
  <c r="C26" i="8"/>
  <c r="K26" i="8"/>
  <c r="C175" i="8"/>
  <c r="K175" i="8"/>
  <c r="C187" i="8"/>
  <c r="K187" i="8"/>
  <c r="C127" i="8"/>
  <c r="K127" i="8"/>
  <c r="C82" i="8"/>
  <c r="K82" i="8"/>
  <c r="C130" i="8"/>
  <c r="K130" i="8"/>
  <c r="K72" i="8"/>
  <c r="C72" i="8"/>
  <c r="C77" i="8"/>
  <c r="K77" i="8"/>
  <c r="K121" i="8"/>
  <c r="C121" i="8"/>
  <c r="C73" i="8"/>
  <c r="K73" i="8"/>
  <c r="C134" i="8"/>
  <c r="K134" i="8"/>
  <c r="C5" i="8"/>
  <c r="K5" i="8"/>
  <c r="K76" i="8"/>
  <c r="C76" i="8"/>
  <c r="K125" i="8"/>
  <c r="C125" i="8"/>
  <c r="K133" i="8"/>
  <c r="C133" i="8"/>
  <c r="K185" i="8"/>
  <c r="C185" i="8"/>
  <c r="C71" i="8"/>
  <c r="K71" i="8"/>
  <c r="C7" i="8"/>
  <c r="K7" i="8"/>
  <c r="C85" i="8"/>
  <c r="K85" i="8"/>
  <c r="C83" i="8"/>
  <c r="K83" i="8"/>
  <c r="C87" i="8"/>
  <c r="K87" i="8"/>
  <c r="C95" i="8"/>
  <c r="K95" i="8"/>
  <c r="C81" i="8"/>
  <c r="K81" i="8"/>
  <c r="K92" i="8"/>
  <c r="C92" i="8"/>
  <c r="K113" i="8"/>
  <c r="C113" i="8"/>
  <c r="K96" i="8"/>
  <c r="C96" i="8"/>
  <c r="C9" i="8"/>
  <c r="K9" i="8"/>
  <c r="K137" i="8"/>
  <c r="C137" i="8"/>
  <c r="K84" i="8"/>
  <c r="C84" i="8"/>
  <c r="C79" i="8"/>
  <c r="K79" i="8"/>
  <c r="C27" i="8"/>
  <c r="K27" i="8"/>
  <c r="K68" i="8"/>
  <c r="C68" i="8"/>
  <c r="C110" i="8"/>
  <c r="K110" i="8"/>
  <c r="K141" i="8"/>
  <c r="C141" i="8"/>
  <c r="C118" i="8"/>
  <c r="K118" i="8"/>
  <c r="K11" i="8"/>
  <c r="K117" i="8"/>
  <c r="C117" i="8"/>
  <c r="C93" i="8"/>
  <c r="K93" i="8"/>
  <c r="C29" i="8"/>
  <c r="K29" i="8"/>
  <c r="K80" i="8"/>
  <c r="C80" i="8"/>
  <c r="C89" i="8"/>
  <c r="K89" i="8"/>
  <c r="C69" i="8"/>
  <c r="K69" i="8"/>
  <c r="C122" i="8"/>
  <c r="K122" i="8"/>
  <c r="K129" i="8"/>
  <c r="C129" i="8"/>
  <c r="K201" i="8"/>
  <c r="C201" i="8"/>
  <c r="K88" i="8"/>
  <c r="C88" i="8"/>
  <c r="C126" i="8"/>
  <c r="K126" i="8"/>
  <c r="C101" i="8"/>
  <c r="K101" i="8"/>
  <c r="C65" i="8"/>
  <c r="K65" i="8"/>
  <c r="K109" i="8"/>
  <c r="C109" i="8"/>
  <c r="K193" i="8"/>
  <c r="C193" i="8"/>
  <c r="Q37" i="42" l="1"/>
  <c r="F37" i="42" s="1"/>
  <c r="S37" i="42"/>
  <c r="S38" i="42" s="1"/>
  <c r="G36" i="42"/>
  <c r="K10" i="8"/>
  <c r="I13" i="8"/>
  <c r="K12" i="8"/>
  <c r="M5" i="8"/>
  <c r="G37" i="42" l="1"/>
  <c r="EE3" i="46" s="1"/>
  <c r="I14" i="8"/>
  <c r="K14" i="8" s="1"/>
  <c r="K13" i="8"/>
  <c r="M6" i="8"/>
  <c r="J4" i="42" l="1"/>
  <c r="F3" i="46" s="1"/>
  <c r="G3" i="46"/>
  <c r="M7" i="8"/>
  <c r="M8" i="8" l="1"/>
  <c r="M9" i="8" l="1"/>
  <c r="M10" i="8" l="1"/>
  <c r="C10" i="8" s="1"/>
  <c r="M11" i="8" l="1"/>
  <c r="C11" i="8" s="1"/>
  <c r="M12" i="8" l="1"/>
  <c r="C12" i="8" s="1"/>
  <c r="M13" i="8" l="1"/>
  <c r="C13" i="8" s="1"/>
  <c r="M14" i="8" l="1"/>
  <c r="C14" i="8" s="1"/>
  <c r="I15" i="8"/>
  <c r="K15" i="8" s="1"/>
  <c r="M15" i="8" l="1"/>
  <c r="C15" i="8" s="1"/>
  <c r="I16" i="8"/>
  <c r="K16" i="8" s="1"/>
  <c r="M16" i="8" l="1"/>
  <c r="C16" i="8" s="1"/>
  <c r="I17" i="8"/>
  <c r="K17" i="8" s="1"/>
  <c r="M17" i="8" l="1"/>
  <c r="C17" i="8" s="1"/>
  <c r="I18" i="8"/>
  <c r="K18" i="8" s="1"/>
  <c r="M18" i="8" l="1"/>
  <c r="C18" i="8" s="1"/>
  <c r="I19" i="8"/>
  <c r="K19" i="8" s="1"/>
  <c r="M19" i="8" l="1"/>
  <c r="C19" i="8" s="1"/>
  <c r="I20" i="8"/>
  <c r="K20" i="8" s="1"/>
  <c r="M20" i="8" l="1"/>
  <c r="C20" i="8" s="1"/>
  <c r="I21" i="8"/>
  <c r="K21" i="8" s="1"/>
  <c r="M21" i="8" l="1"/>
  <c r="C21" i="8" s="1"/>
  <c r="I22" i="8"/>
  <c r="K22" i="8" s="1"/>
  <c r="M22" i="8" l="1"/>
  <c r="C22" i="8" s="1"/>
  <c r="I23" i="8"/>
  <c r="K23" i="8" s="1"/>
  <c r="M23" i="8" l="1"/>
  <c r="C23" i="8" s="1"/>
  <c r="I24" i="8"/>
  <c r="K24" i="8" s="1"/>
  <c r="M24" i="8" l="1"/>
  <c r="C24" i="8" s="1"/>
  <c r="I25" i="8"/>
  <c r="K25" i="8" s="1"/>
  <c r="M25" i="8" l="1"/>
  <c r="C25" i="8" s="1"/>
  <c r="I26" i="8"/>
  <c r="M26" i="8" l="1"/>
  <c r="I27" i="8"/>
  <c r="M27" i="8" l="1"/>
  <c r="I28" i="8"/>
  <c r="M28" i="8" l="1"/>
  <c r="I29" i="8"/>
  <c r="M29" i="8" l="1"/>
  <c r="I30" i="8"/>
  <c r="M30" i="8" l="1"/>
  <c r="I31" i="8"/>
  <c r="K31" i="8" s="1"/>
  <c r="M31" i="8" l="1"/>
  <c r="C31" i="8" s="1"/>
  <c r="I32" i="8"/>
  <c r="K32" i="8" s="1"/>
  <c r="M32" i="8" l="1"/>
  <c r="C32" i="8" s="1"/>
  <c r="I33" i="8"/>
  <c r="K33" i="8" s="1"/>
  <c r="M33" i="8" l="1"/>
  <c r="C33" i="8" s="1"/>
  <c r="I34" i="8"/>
  <c r="K34" i="8" s="1"/>
  <c r="M34" i="8" l="1"/>
  <c r="C34" i="8" s="1"/>
  <c r="I35" i="8"/>
  <c r="K35" i="8" s="1"/>
  <c r="M35" i="8" l="1"/>
  <c r="C35" i="8" s="1"/>
  <c r="I36" i="8"/>
  <c r="K36" i="8" s="1"/>
  <c r="M36" i="8" l="1"/>
  <c r="C36" i="8" s="1"/>
  <c r="I37" i="8"/>
  <c r="K37" i="8" s="1"/>
  <c r="M37" i="8" l="1"/>
  <c r="C37" i="8" s="1"/>
  <c r="I38" i="8"/>
  <c r="K38" i="8" s="1"/>
  <c r="M38" i="8" l="1"/>
  <c r="C38" i="8" s="1"/>
  <c r="I39" i="8"/>
  <c r="K39" i="8" s="1"/>
  <c r="M39" i="8" l="1"/>
  <c r="C39" i="8" s="1"/>
  <c r="I40" i="8"/>
  <c r="K40" i="8" s="1"/>
  <c r="M40" i="8" l="1"/>
  <c r="C40" i="8" s="1"/>
  <c r="I41" i="8"/>
  <c r="K41" i="8" s="1"/>
  <c r="M41" i="8" l="1"/>
  <c r="C41" i="8" s="1"/>
  <c r="I42" i="8"/>
  <c r="K42" i="8" s="1"/>
  <c r="M42" i="8" l="1"/>
  <c r="C42" i="8" s="1"/>
  <c r="I43" i="8"/>
  <c r="K43" i="8" s="1"/>
  <c r="M43" i="8" l="1"/>
  <c r="C43" i="8" s="1"/>
  <c r="I44" i="8"/>
  <c r="K44" i="8" s="1"/>
  <c r="M44" i="8" l="1"/>
  <c r="C44" i="8" s="1"/>
  <c r="I45" i="8"/>
  <c r="K45" i="8" s="1"/>
  <c r="M45" i="8" l="1"/>
  <c r="C45" i="8" s="1"/>
  <c r="I46" i="8"/>
  <c r="K46" i="8" s="1"/>
  <c r="M46" i="8" l="1"/>
  <c r="C46" i="8" s="1"/>
  <c r="I47" i="8"/>
  <c r="K47" i="8" s="1"/>
  <c r="M47" i="8" l="1"/>
  <c r="C47" i="8" s="1"/>
  <c r="I48" i="8"/>
  <c r="K48" i="8" s="1"/>
  <c r="M48" i="8" l="1"/>
  <c r="C48" i="8" s="1"/>
  <c r="I49" i="8"/>
  <c r="K49" i="8" s="1"/>
  <c r="M49" i="8" l="1"/>
  <c r="C49" i="8" s="1"/>
  <c r="I50" i="8"/>
  <c r="K50" i="8" s="1"/>
  <c r="M50" i="8" l="1"/>
  <c r="C50" i="8" s="1"/>
  <c r="I51" i="8"/>
  <c r="K51" i="8" s="1"/>
  <c r="M51" i="8" l="1"/>
  <c r="C51" i="8" s="1"/>
  <c r="I52" i="8"/>
  <c r="K52" i="8" s="1"/>
  <c r="M52" i="8" l="1"/>
  <c r="C52" i="8" s="1"/>
  <c r="I53" i="8"/>
  <c r="K53" i="8" s="1"/>
  <c r="M53" i="8" l="1"/>
  <c r="C53" i="8" s="1"/>
  <c r="I54" i="8"/>
  <c r="K54" i="8" s="1"/>
  <c r="M54" i="8" l="1"/>
  <c r="C54" i="8" s="1"/>
  <c r="I55" i="8"/>
  <c r="K55" i="8" s="1"/>
  <c r="M55" i="8" l="1"/>
  <c r="C55" i="8" s="1"/>
  <c r="I56" i="8"/>
  <c r="K56" i="8" s="1"/>
  <c r="M56" i="8" l="1"/>
  <c r="C56" i="8" s="1"/>
  <c r="I57" i="8"/>
  <c r="K57" i="8" s="1"/>
  <c r="M57" i="8" l="1"/>
  <c r="C57" i="8" s="1"/>
  <c r="I58" i="8"/>
  <c r="K58" i="8" s="1"/>
  <c r="M58" i="8" l="1"/>
  <c r="C58" i="8" s="1"/>
  <c r="I59" i="8"/>
  <c r="K59" i="8" s="1"/>
  <c r="M59" i="8" l="1"/>
  <c r="C59" i="8" s="1"/>
  <c r="I60" i="8"/>
  <c r="K60" i="8" s="1"/>
  <c r="M60" i="8" l="1"/>
  <c r="C60" i="8" s="1"/>
  <c r="I61" i="8"/>
  <c r="K61" i="8" s="1"/>
  <c r="M61" i="8" l="1"/>
  <c r="C61" i="8" s="1"/>
  <c r="I62" i="8"/>
  <c r="K62" i="8" s="1"/>
  <c r="M62" i="8" l="1"/>
  <c r="C62" i="8" s="1"/>
  <c r="I63" i="8"/>
  <c r="K63" i="8" s="1"/>
  <c r="M63" i="8" l="1"/>
  <c r="C63" i="8" s="1"/>
  <c r="I64" i="8"/>
  <c r="K64" i="8" s="1"/>
  <c r="M64" i="8" l="1"/>
  <c r="C64" i="8" s="1"/>
  <c r="I65" i="8"/>
  <c r="M65" i="8" l="1"/>
  <c r="I66" i="8"/>
  <c r="M66" i="8" l="1"/>
  <c r="I67" i="8"/>
  <c r="M67" i="8" l="1"/>
  <c r="I68" i="8"/>
  <c r="M68" i="8" l="1"/>
  <c r="I69" i="8"/>
  <c r="M69" i="8" l="1"/>
  <c r="I70" i="8"/>
  <c r="M70" i="8" l="1"/>
  <c r="I71" i="8"/>
  <c r="M71" i="8" l="1"/>
  <c r="I72" i="8"/>
  <c r="M72" i="8" l="1"/>
  <c r="I73" i="8"/>
  <c r="M73" i="8" l="1"/>
  <c r="I74" i="8"/>
  <c r="M74" i="8" l="1"/>
  <c r="I75" i="8"/>
  <c r="M75" i="8" l="1"/>
  <c r="I76" i="8"/>
  <c r="M76" i="8" l="1"/>
  <c r="I77" i="8"/>
  <c r="M77" i="8" l="1"/>
  <c r="I78" i="8"/>
  <c r="M78" i="8" l="1"/>
  <c r="I79" i="8"/>
  <c r="M79" i="8" l="1"/>
  <c r="I80" i="8"/>
  <c r="M80" i="8" l="1"/>
  <c r="I81" i="8"/>
  <c r="M81" i="8" l="1"/>
  <c r="I82" i="8"/>
  <c r="M82" i="8" l="1"/>
  <c r="I83" i="8"/>
  <c r="M83" i="8" l="1"/>
  <c r="I84" i="8"/>
  <c r="M84" i="8" l="1"/>
  <c r="I85" i="8"/>
  <c r="M85" i="8" l="1"/>
  <c r="I86" i="8"/>
  <c r="M86" i="8" l="1"/>
  <c r="I87" i="8"/>
  <c r="M87" i="8" l="1"/>
  <c r="I88" i="8"/>
  <c r="M88" i="8" l="1"/>
  <c r="I89" i="8"/>
  <c r="M89" i="8" l="1"/>
  <c r="I90" i="8"/>
  <c r="M90" i="8" l="1"/>
  <c r="I91" i="8"/>
  <c r="M91" i="8" l="1"/>
  <c r="I92" i="8"/>
  <c r="M92" i="8" l="1"/>
  <c r="I93" i="8"/>
  <c r="M93" i="8" l="1"/>
  <c r="I94" i="8"/>
  <c r="M94" i="8" l="1"/>
  <c r="I95" i="8"/>
  <c r="M95" i="8" l="1"/>
  <c r="I96" i="8"/>
  <c r="M96" i="8" l="1"/>
  <c r="I97" i="8"/>
  <c r="M97" i="8" l="1"/>
  <c r="I98" i="8"/>
  <c r="M98" i="8" l="1"/>
  <c r="I99" i="8"/>
  <c r="M99" i="8" l="1"/>
  <c r="I100" i="8"/>
  <c r="M100" i="8" l="1"/>
  <c r="I101" i="8"/>
  <c r="M101" i="8" l="1"/>
  <c r="I102" i="8"/>
  <c r="M102" i="8" l="1"/>
  <c r="I103" i="8"/>
  <c r="M103" i="8" l="1"/>
  <c r="I104" i="8"/>
  <c r="M104" i="8" l="1"/>
  <c r="I105" i="8"/>
  <c r="M105" i="8" l="1"/>
  <c r="I106" i="8"/>
  <c r="M106" i="8" l="1"/>
  <c r="I107" i="8"/>
  <c r="M107" i="8" l="1"/>
  <c r="I108" i="8"/>
  <c r="M108" i="8" l="1"/>
  <c r="I109" i="8"/>
  <c r="M109" i="8" l="1"/>
  <c r="I110" i="8"/>
  <c r="M110" i="8" l="1"/>
  <c r="I111" i="8"/>
  <c r="M111" i="8" l="1"/>
  <c r="I112" i="8"/>
  <c r="M112" i="8" l="1"/>
  <c r="I113" i="8"/>
  <c r="M113" i="8" l="1"/>
  <c r="I114" i="8"/>
  <c r="M114" i="8" l="1"/>
  <c r="I115" i="8"/>
  <c r="M115" i="8" l="1"/>
  <c r="I116" i="8"/>
  <c r="M116" i="8" l="1"/>
  <c r="I117" i="8"/>
  <c r="M117" i="8" l="1"/>
  <c r="I118" i="8"/>
  <c r="M118" i="8" l="1"/>
  <c r="I119" i="8"/>
  <c r="M119" i="8" l="1"/>
  <c r="I120" i="8"/>
  <c r="M120" i="8" l="1"/>
  <c r="I121" i="8"/>
  <c r="M121" i="8" l="1"/>
  <c r="I122" i="8"/>
  <c r="M122" i="8" l="1"/>
  <c r="I123" i="8"/>
  <c r="M123" i="8" l="1"/>
  <c r="I124" i="8"/>
  <c r="M124" i="8" l="1"/>
  <c r="I125" i="8"/>
  <c r="M125" i="8" l="1"/>
  <c r="I126" i="8"/>
  <c r="M126" i="8" l="1"/>
  <c r="I127" i="8"/>
  <c r="M127" i="8" l="1"/>
  <c r="I128" i="8"/>
  <c r="M128" i="8" l="1"/>
  <c r="I129" i="8"/>
  <c r="M129" i="8" l="1"/>
  <c r="I130" i="8"/>
  <c r="M130" i="8" l="1"/>
  <c r="I131" i="8"/>
  <c r="M131" i="8" l="1"/>
  <c r="I132" i="8"/>
  <c r="M132" i="8" l="1"/>
  <c r="I133" i="8"/>
  <c r="M133" i="8" l="1"/>
  <c r="I134" i="8"/>
  <c r="M134" i="8" l="1"/>
  <c r="I135" i="8"/>
  <c r="M135" i="8" l="1"/>
  <c r="I136" i="8"/>
  <c r="M136" i="8" l="1"/>
  <c r="I137" i="8"/>
  <c r="M137" i="8" l="1"/>
  <c r="I138" i="8"/>
  <c r="M138" i="8" l="1"/>
  <c r="I139" i="8"/>
  <c r="M139" i="8" l="1"/>
  <c r="I140" i="8"/>
  <c r="M140" i="8" l="1"/>
  <c r="I141" i="8"/>
  <c r="M141" i="8" l="1"/>
  <c r="I142" i="8"/>
  <c r="M142" i="8" l="1"/>
  <c r="I143" i="8"/>
  <c r="M143" i="8" l="1"/>
  <c r="I144" i="8"/>
  <c r="M144" i="8" l="1"/>
  <c r="I145" i="8"/>
  <c r="M145" i="8" l="1"/>
  <c r="I146" i="8"/>
  <c r="M146" i="8" l="1"/>
  <c r="I147" i="8"/>
  <c r="M147" i="8" l="1"/>
  <c r="I148" i="8"/>
  <c r="M148" i="8" l="1"/>
  <c r="I149" i="8"/>
  <c r="M149" i="8" l="1"/>
  <c r="I150" i="8"/>
  <c r="M150" i="8" l="1"/>
  <c r="I151" i="8"/>
  <c r="M151" i="8" l="1"/>
  <c r="I152" i="8"/>
  <c r="M152" i="8" l="1"/>
  <c r="I153" i="8"/>
  <c r="M153" i="8" l="1"/>
  <c r="I154" i="8"/>
  <c r="M154" i="8" l="1"/>
  <c r="I155" i="8"/>
  <c r="M155" i="8" l="1"/>
  <c r="I156" i="8"/>
  <c r="M156" i="8" l="1"/>
  <c r="I157" i="8"/>
  <c r="M157" i="8" l="1"/>
  <c r="I158" i="8"/>
  <c r="M158" i="8" l="1"/>
  <c r="I159" i="8"/>
  <c r="M159" i="8" l="1"/>
  <c r="I160" i="8"/>
  <c r="M160" i="8" l="1"/>
  <c r="I161" i="8"/>
  <c r="M161" i="8" l="1"/>
  <c r="I162" i="8"/>
  <c r="M162" i="8" l="1"/>
  <c r="I163" i="8"/>
  <c r="M163" i="8" l="1"/>
  <c r="I164" i="8"/>
  <c r="M164" i="8" l="1"/>
  <c r="I165" i="8"/>
  <c r="M165" i="8" l="1"/>
  <c r="I166" i="8"/>
  <c r="M166" i="8" l="1"/>
  <c r="I167" i="8"/>
  <c r="M167" i="8" l="1"/>
  <c r="I168" i="8"/>
  <c r="M168" i="8" l="1"/>
  <c r="I169" i="8"/>
  <c r="M169" i="8" l="1"/>
  <c r="I170" i="8"/>
  <c r="M170" i="8" l="1"/>
  <c r="I171" i="8"/>
  <c r="M171" i="8" l="1"/>
  <c r="I172" i="8"/>
  <c r="M172" i="8" l="1"/>
  <c r="I173" i="8"/>
  <c r="M173" i="8" l="1"/>
  <c r="I174" i="8"/>
  <c r="M174" i="8" l="1"/>
  <c r="I175" i="8"/>
  <c r="M175" i="8" l="1"/>
  <c r="I176" i="8"/>
  <c r="M176" i="8" l="1"/>
  <c r="I177" i="8"/>
  <c r="M177" i="8" l="1"/>
  <c r="I178" i="8"/>
  <c r="M178" i="8" l="1"/>
  <c r="I179" i="8"/>
  <c r="M179" i="8" l="1"/>
  <c r="I180" i="8"/>
  <c r="I181" i="8" l="1"/>
  <c r="M180" i="8"/>
  <c r="M181" i="8" l="1"/>
  <c r="I182" i="8"/>
  <c r="M182" i="8" l="1"/>
  <c r="I183" i="8"/>
  <c r="M183" i="8" l="1"/>
  <c r="I184" i="8"/>
  <c r="M184" i="8" l="1"/>
  <c r="I185" i="8"/>
  <c r="M185" i="8" l="1"/>
  <c r="I186" i="8"/>
  <c r="M186" i="8" l="1"/>
  <c r="I187" i="8"/>
  <c r="M187" i="8" l="1"/>
  <c r="I188" i="8"/>
  <c r="M188" i="8" l="1"/>
  <c r="I189" i="8"/>
  <c r="M189" i="8" l="1"/>
  <c r="I190" i="8"/>
  <c r="M190" i="8" l="1"/>
  <c r="I191" i="8"/>
  <c r="M191" i="8" l="1"/>
  <c r="I192" i="8"/>
  <c r="M192" i="8" l="1"/>
  <c r="I193" i="8"/>
  <c r="M193" i="8" l="1"/>
  <c r="I194" i="8"/>
  <c r="M194" i="8" l="1"/>
  <c r="I195" i="8"/>
  <c r="M195" i="8" l="1"/>
  <c r="I196" i="8"/>
  <c r="M196" i="8" l="1"/>
  <c r="I197" i="8"/>
  <c r="M197" i="8" l="1"/>
  <c r="I198" i="8"/>
  <c r="M198" i="8" l="1"/>
  <c r="I199" i="8"/>
  <c r="M199" i="8" l="1"/>
  <c r="I200" i="8"/>
  <c r="M200" i="8" l="1"/>
  <c r="I201" i="8"/>
  <c r="M201" i="8" l="1"/>
  <c r="I202" i="8"/>
  <c r="M202" i="8" l="1"/>
  <c r="I203" i="8"/>
  <c r="M203" i="8" l="1"/>
  <c r="I204" i="8"/>
  <c r="X17" i="7"/>
  <c r="W17" i="7"/>
  <c r="X16" i="7"/>
  <c r="W16" i="7"/>
  <c r="X15" i="7"/>
  <c r="W15" i="7"/>
  <c r="X14" i="7"/>
  <c r="W14" i="7"/>
  <c r="X13" i="7"/>
  <c r="W13" i="7"/>
  <c r="X12" i="7"/>
  <c r="W12" i="7"/>
  <c r="X11" i="7"/>
  <c r="W11" i="7"/>
  <c r="X10" i="7"/>
  <c r="W10" i="7"/>
  <c r="X8" i="7"/>
  <c r="W8" i="7"/>
  <c r="X7" i="7"/>
  <c r="W7" i="7"/>
  <c r="X6" i="7"/>
  <c r="W6" i="7"/>
  <c r="X5" i="7"/>
  <c r="W5" i="7"/>
  <c r="X4" i="7"/>
  <c r="W4" i="7"/>
  <c r="X3" i="7"/>
  <c r="W3" i="7"/>
  <c r="M204" i="8" l="1"/>
  <c r="I205" i="8"/>
  <c r="M205" i="8" l="1"/>
  <c r="I206" i="8"/>
  <c r="M206" i="8" l="1"/>
  <c r="I207" i="8"/>
  <c r="M207" i="8" l="1"/>
  <c r="I208" i="8"/>
  <c r="M208" i="8" l="1"/>
  <c r="I209" i="8"/>
  <c r="M209" i="8" l="1"/>
  <c r="I210" i="8"/>
  <c r="M210" i="8" l="1"/>
  <c r="I211" i="8"/>
  <c r="M211" i="8" l="1"/>
  <c r="I212" i="8"/>
  <c r="M212" i="8" l="1"/>
  <c r="I213" i="8"/>
  <c r="M213" i="8" l="1"/>
  <c r="I214" i="8"/>
  <c r="M214" i="8" l="1"/>
  <c r="I215" i="8"/>
  <c r="M215" i="8" l="1"/>
  <c r="I216" i="8"/>
  <c r="M216" i="8" l="1"/>
  <c r="I217" i="8"/>
  <c r="M217" i="8" l="1"/>
  <c r="I218" i="8"/>
  <c r="M218" i="8" l="1"/>
  <c r="I219" i="8"/>
  <c r="M219" i="8" l="1"/>
  <c r="I220" i="8"/>
  <c r="M220" i="8" l="1"/>
  <c r="I221" i="8"/>
  <c r="M221" i="8" l="1"/>
  <c r="I222" i="8"/>
  <c r="M222" i="8" l="1"/>
  <c r="I223" i="8"/>
  <c r="M223" i="8" l="1"/>
  <c r="I224" i="8"/>
  <c r="M224" i="8" l="1"/>
  <c r="I225" i="8"/>
  <c r="M225" i="8" l="1"/>
  <c r="I226" i="8"/>
  <c r="M226" i="8" l="1"/>
  <c r="I227" i="8"/>
  <c r="M227" i="8" l="1"/>
  <c r="I228" i="8"/>
  <c r="M228" i="8" l="1"/>
  <c r="I229" i="8"/>
  <c r="M229" i="8" l="1"/>
  <c r="I230" i="8"/>
  <c r="M230" i="8" l="1"/>
  <c r="I231" i="8"/>
  <c r="M231" i="8" l="1"/>
  <c r="I232" i="8"/>
  <c r="M232" i="8" l="1"/>
  <c r="I233" i="8"/>
  <c r="M233" i="8" l="1"/>
  <c r="I234" i="8"/>
  <c r="M234" i="8" l="1"/>
  <c r="I235" i="8"/>
  <c r="M235" i="8" l="1"/>
  <c r="I236" i="8"/>
  <c r="M236" i="8" l="1"/>
  <c r="I237" i="8"/>
  <c r="I238" i="8" l="1"/>
  <c r="M237" i="8"/>
  <c r="I239" i="8" l="1"/>
  <c r="M238" i="8"/>
  <c r="I240" i="8" l="1"/>
  <c r="M239" i="8"/>
  <c r="I241" i="8" l="1"/>
  <c r="M240" i="8"/>
  <c r="I242" i="8" l="1"/>
  <c r="M241" i="8"/>
  <c r="I243" i="8" l="1"/>
  <c r="M242" i="8"/>
  <c r="I244" i="8" l="1"/>
  <c r="M243" i="8"/>
  <c r="I245" i="8" l="1"/>
  <c r="M244" i="8"/>
  <c r="M245" i="8" l="1"/>
  <c r="I246" i="8"/>
  <c r="M246" i="8" l="1"/>
  <c r="I247" i="8"/>
  <c r="M247" i="8" l="1"/>
  <c r="I248" i="8"/>
  <c r="M248" i="8" l="1"/>
  <c r="I249" i="8"/>
  <c r="I250" i="8" l="1"/>
  <c r="M249" i="8"/>
  <c r="M250" i="8" l="1"/>
  <c r="I251" i="8"/>
  <c r="M251" i="8" l="1"/>
  <c r="I252" i="8"/>
  <c r="M252" i="8" l="1"/>
  <c r="I253" i="8"/>
  <c r="M253" i="8" l="1"/>
  <c r="I254" i="8"/>
  <c r="M254" i="8" l="1"/>
  <c r="I255" i="8"/>
  <c r="M255" i="8" l="1"/>
  <c r="I256" i="8"/>
  <c r="M256" i="8" l="1"/>
  <c r="I257" i="8"/>
  <c r="M257" i="8" l="1"/>
  <c r="I258" i="8"/>
  <c r="M258" i="8" l="1"/>
  <c r="I259" i="8"/>
  <c r="I260" i="8" l="1"/>
  <c r="M259" i="8"/>
  <c r="M260" i="8" l="1"/>
  <c r="I261" i="8"/>
  <c r="I262" i="8" l="1"/>
  <c r="M261" i="8"/>
  <c r="I263" i="8" l="1"/>
  <c r="M262" i="8"/>
  <c r="I264" i="8" l="1"/>
  <c r="M263" i="8"/>
  <c r="I265" i="8" l="1"/>
  <c r="M264" i="8"/>
  <c r="I266" i="8" l="1"/>
  <c r="M265" i="8"/>
  <c r="I267" i="8" l="1"/>
  <c r="M266" i="8"/>
  <c r="I268" i="8" l="1"/>
  <c r="M267" i="8"/>
  <c r="I269" i="8" l="1"/>
  <c r="M268" i="8"/>
  <c r="I270" i="8" l="1"/>
  <c r="M269" i="8"/>
  <c r="I271" i="8" l="1"/>
  <c r="M270" i="8"/>
  <c r="I272" i="8" l="1"/>
  <c r="M271" i="8"/>
  <c r="I273" i="8" l="1"/>
  <c r="M272" i="8"/>
  <c r="I274" i="8" l="1"/>
  <c r="M273" i="8"/>
  <c r="I275" i="8" l="1"/>
  <c r="M274" i="8"/>
  <c r="I276" i="8" l="1"/>
  <c r="M275" i="8"/>
  <c r="I277" i="8" l="1"/>
  <c r="M276" i="8"/>
  <c r="I278" i="8" l="1"/>
  <c r="M277" i="8"/>
  <c r="I279" i="8" l="1"/>
  <c r="M278" i="8"/>
  <c r="I280" i="8" l="1"/>
  <c r="M279" i="8"/>
  <c r="I281" i="8" l="1"/>
  <c r="M280" i="8"/>
  <c r="I282" i="8" l="1"/>
  <c r="M281" i="8"/>
  <c r="I283" i="8" l="1"/>
  <c r="M282" i="8"/>
  <c r="I284" i="8" l="1"/>
  <c r="M283" i="8"/>
  <c r="I285" i="8" l="1"/>
  <c r="M284" i="8"/>
  <c r="I286" i="8" l="1"/>
  <c r="M285" i="8"/>
  <c r="I287" i="8" l="1"/>
  <c r="M286" i="8"/>
  <c r="I288" i="8" l="1"/>
  <c r="M287" i="8"/>
  <c r="I289" i="8" l="1"/>
  <c r="M288" i="8"/>
  <c r="I290" i="8" l="1"/>
  <c r="M289" i="8"/>
  <c r="I291" i="8" l="1"/>
  <c r="M290" i="8"/>
  <c r="I292" i="8" l="1"/>
  <c r="M291" i="8"/>
  <c r="I293" i="8" l="1"/>
  <c r="M292" i="8"/>
  <c r="I294" i="8" l="1"/>
  <c r="M293" i="8"/>
  <c r="I295" i="8" l="1"/>
  <c r="M294" i="8"/>
  <c r="I296" i="8" l="1"/>
  <c r="M295" i="8"/>
  <c r="I297" i="8" l="1"/>
  <c r="M296" i="8"/>
  <c r="I298" i="8" l="1"/>
  <c r="M297" i="8"/>
  <c r="I299" i="8" l="1"/>
  <c r="M298" i="8"/>
  <c r="I300" i="8" l="1"/>
  <c r="M300" i="8" s="1"/>
  <c r="M299" i="8"/>
</calcChain>
</file>

<file path=xl/comments1.xml><?xml version="1.0" encoding="utf-8"?>
<comments xmlns="http://schemas.openxmlformats.org/spreadsheetml/2006/main" xmlns:mc="http://schemas.openxmlformats.org/markup-compatibility/2006" xmlns:xr="http://schemas.microsoft.com/office/spreadsheetml/2014/revision" mc:Ignorable="xr">
  <authors>
    <author>Catherine Sullivan</author>
  </authors>
  <commentList>
    <comment ref="L2" authorId="0" shapeId="0" xr:uid="{00000000-0006-0000-0200-000001000000}">
      <text>
        <r>
          <rPr>
            <b/>
            <sz val="9"/>
            <color indexed="81"/>
            <rFont val="Tahoma"/>
            <family val="2"/>
          </rPr>
          <t>Catherine Sullivan:</t>
        </r>
        <r>
          <rPr>
            <sz val="9"/>
            <color indexed="81"/>
            <rFont val="Tahoma"/>
            <family val="2"/>
          </rPr>
          <t xml:space="preserve">
indicate CMS LOGIN if agent has NO BADGE ID</t>
        </r>
      </text>
    </comment>
    <comment ref="C36" authorId="0" shapeId="0" xr:uid="{B644BDF0-1F48-401C-9F62-76E6A20D23A2}">
      <text>
        <r>
          <rPr>
            <b/>
            <sz val="9"/>
            <color indexed="81"/>
            <rFont val="Tahoma"/>
            <family val="2"/>
          </rPr>
          <t>Catherine Sullivan:</t>
        </r>
        <r>
          <rPr>
            <sz val="9"/>
            <color indexed="81"/>
            <rFont val="Tahoma"/>
            <family val="2"/>
          </rPr>
          <t xml:space="preserve">
this option is included in the MIXED irregularities section only</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Catherine Sullivan</author>
    <author>TEWEWEN</author>
  </authors>
  <commentList>
    <comment ref="J13" authorId="0" shapeId="0" xr:uid="{00000000-0006-0000-0000-000001000000}">
      <text>
        <r>
          <rPr>
            <b/>
            <sz val="9"/>
            <color indexed="81"/>
            <rFont val="Tahoma"/>
            <family val="2"/>
          </rPr>
          <t>Catherine Sullivan:</t>
        </r>
        <r>
          <rPr>
            <sz val="9"/>
            <color indexed="81"/>
            <rFont val="Tahoma"/>
            <family val="2"/>
          </rPr>
          <t xml:space="preserve">
Select MIXED, if there are 2 or more irregularities noted</t>
        </r>
      </text>
    </comment>
    <comment ref="E16" authorId="1" shapeId="0" xr:uid="{00000000-0006-0000-0000-000002000000}">
      <text>
        <r>
          <rPr>
            <sz val="9"/>
            <color indexed="81"/>
            <rFont val="Tahoma"/>
            <family val="2"/>
          </rPr>
          <t>Indicate the reason why customer had to contact us
e.g. customer did not receive replacement device today as promised</t>
        </r>
      </text>
    </comment>
    <comment ref="E17" authorId="1" shapeId="0" xr:uid="{00000000-0006-0000-0000-000003000000}">
      <text>
        <r>
          <rPr>
            <sz val="9"/>
            <color indexed="81"/>
            <rFont val="Tahoma"/>
            <family val="2"/>
          </rPr>
          <t>Indicate gender, age/age bracket, level of technical knowledge, scope of influence, etc.</t>
        </r>
      </text>
    </comment>
    <comment ref="E74" authorId="0" shapeId="0" xr:uid="{4A660E24-7FC3-48C7-8E01-A2D09B3E2AFA}">
      <text>
        <r>
          <rPr>
            <sz val="9"/>
            <color indexed="81"/>
            <rFont val="Tahoma"/>
            <family val="2"/>
          </rPr>
          <t>The concern is part of the product feature but not supported by the agent, like it's for CAT or SET</t>
        </r>
        <r>
          <rPr>
            <sz val="9"/>
            <color indexed="81"/>
            <rFont val="Tahoma"/>
            <family val="2"/>
          </rPr>
          <t xml:space="preserve">
</t>
        </r>
      </text>
    </comment>
    <comment ref="J91" authorId="0" shapeId="0" xr:uid="{00000000-0006-0000-0000-000004000000}">
      <text>
        <r>
          <rPr>
            <b/>
            <sz val="9"/>
            <color indexed="81"/>
            <rFont val="Tahoma"/>
            <family val="2"/>
          </rPr>
          <t>Catherine Sullivan:</t>
        </r>
        <r>
          <rPr>
            <sz val="9"/>
            <color indexed="81"/>
            <rFont val="Tahoma"/>
            <family val="2"/>
          </rPr>
          <t xml:space="preserve">
If there's no 3rd IR, please mark NONE</t>
        </r>
      </text>
    </comment>
    <comment ref="J92" authorId="0" shapeId="0" xr:uid="{00000000-0006-0000-0000-000005000000}">
      <text>
        <r>
          <rPr>
            <b/>
            <sz val="9"/>
            <color indexed="81"/>
            <rFont val="Tahoma"/>
            <family val="2"/>
          </rPr>
          <t>Catherine Sullivan:</t>
        </r>
        <r>
          <rPr>
            <sz val="9"/>
            <color indexed="81"/>
            <rFont val="Tahoma"/>
            <family val="2"/>
          </rPr>
          <t xml:space="preserve">
If there's no 4th IR, please mark NONE</t>
        </r>
      </text>
    </comment>
    <comment ref="J93" authorId="0" shapeId="0" xr:uid="{00000000-0006-0000-0000-000006000000}">
      <text>
        <r>
          <rPr>
            <b/>
            <sz val="9"/>
            <color indexed="81"/>
            <rFont val="Tahoma"/>
            <family val="2"/>
          </rPr>
          <t>Catherine Sullivan:</t>
        </r>
        <r>
          <rPr>
            <sz val="9"/>
            <color indexed="81"/>
            <rFont val="Tahoma"/>
            <family val="2"/>
          </rPr>
          <t xml:space="preserve">
If there's no 5th IR, please mark NONE</t>
        </r>
      </text>
    </comment>
  </commentList>
</comments>
</file>

<file path=xl/sharedStrings.xml><?xml version="1.0" encoding="utf-8"?>
<sst xmlns="http://schemas.openxmlformats.org/spreadsheetml/2006/main" count="1088" uniqueCount="694">
  <si>
    <t>QUALITY SCORE</t>
  </si>
  <si>
    <t>BADGE ID</t>
  </si>
  <si>
    <t>AGENT NAME</t>
  </si>
  <si>
    <t>Evaluator's Badge Number</t>
  </si>
  <si>
    <t>TEAM</t>
  </si>
  <si>
    <t>EVALUATOR'S NAME</t>
  </si>
  <si>
    <t>SUPERVISOR</t>
  </si>
  <si>
    <t>MANAGER</t>
  </si>
  <si>
    <t>AUTO-ZERO</t>
  </si>
  <si>
    <t>Process</t>
  </si>
  <si>
    <t>Communication</t>
  </si>
  <si>
    <t>Resolution</t>
  </si>
  <si>
    <t>IRREGULARITY</t>
  </si>
  <si>
    <t>Filename format</t>
  </si>
  <si>
    <t>(agent's last name &amp; first name initial)_(evaluator's last name &amp; first name initial)_date monitored (YYMMDD)_product model</t>
  </si>
  <si>
    <t>AUDIT TYPE</t>
  </si>
  <si>
    <t>Customer Demographics</t>
  </si>
  <si>
    <t>THEATRE</t>
  </si>
  <si>
    <t>OPS Team Compo</t>
  </si>
  <si>
    <t>Badge ID</t>
  </si>
  <si>
    <t>NAME</t>
  </si>
  <si>
    <t>Customer Service</t>
  </si>
  <si>
    <t>RECORDING FILENAME</t>
  </si>
  <si>
    <t>Total</t>
  </si>
  <si>
    <t>Support Type</t>
  </si>
  <si>
    <t>Evaluator Team Compo</t>
  </si>
  <si>
    <t>Support Team Options</t>
  </si>
  <si>
    <t>Chat</t>
  </si>
  <si>
    <t>International</t>
  </si>
  <si>
    <t>FINDINGS</t>
  </si>
  <si>
    <t>CONCLUSION</t>
  </si>
  <si>
    <t>Evaluator's Name</t>
  </si>
  <si>
    <t>Type</t>
  </si>
  <si>
    <t>QA</t>
  </si>
  <si>
    <t>MARAVILLAS, CATHERINE</t>
  </si>
  <si>
    <t>LOPEZ, MARIA LOURDES</t>
  </si>
  <si>
    <t>RAYMUNDO, LALAINE</t>
  </si>
  <si>
    <t>TPR Name</t>
  </si>
  <si>
    <t>CHECK SPECIFIC OPPORTUNITIES</t>
  </si>
  <si>
    <r>
      <rPr>
        <sz val="10"/>
        <color theme="1"/>
        <rFont val="Calibri"/>
        <family val="2"/>
        <scheme val="minor"/>
      </rPr>
      <t xml:space="preserve">Please copy the transcript from Salesforce starting at the line that says </t>
    </r>
    <r>
      <rPr>
        <sz val="10"/>
        <color rgb="FFC00000"/>
        <rFont val="Calibri"/>
        <family val="2"/>
        <scheme val="minor"/>
      </rPr>
      <t>"</t>
    </r>
    <r>
      <rPr>
        <b/>
        <i/>
        <sz val="10"/>
        <color rgb="FFC00000"/>
        <rFont val="Calibri"/>
        <family val="2"/>
        <scheme val="minor"/>
      </rPr>
      <t>Chat Started</t>
    </r>
    <r>
      <rPr>
        <sz val="10"/>
        <color rgb="FFC00000"/>
        <rFont val="Calibri"/>
        <family val="2"/>
        <scheme val="minor"/>
      </rPr>
      <t>"</t>
    </r>
  </si>
  <si>
    <t>Line #</t>
  </si>
  <si>
    <t>Chat Transcript</t>
  </si>
  <si>
    <t>Time difference</t>
  </si>
  <si>
    <t>Evaluator's notes</t>
  </si>
  <si>
    <t>Time</t>
  </si>
  <si>
    <t>Hour</t>
  </si>
  <si>
    <t>Minute</t>
  </si>
  <si>
    <t>Second</t>
  </si>
  <si>
    <t>Line ID</t>
  </si>
  <si>
    <t>Blank</t>
  </si>
  <si>
    <t>ID</t>
  </si>
  <si>
    <t>Difference</t>
  </si>
  <si>
    <t>No1</t>
  </si>
  <si>
    <t>RESOLUTION STATUS</t>
  </si>
  <si>
    <t>Random Call</t>
  </si>
  <si>
    <t>ARR</t>
  </si>
  <si>
    <t>Complaint</t>
  </si>
  <si>
    <t>CSAT</t>
  </si>
  <si>
    <t>DSAT</t>
  </si>
  <si>
    <t>FCR</t>
  </si>
  <si>
    <t>Audit type</t>
  </si>
  <si>
    <t>BACKGROUND NOISE SOURCE</t>
  </si>
  <si>
    <t>LOCAL LANGUAGE SOURCE</t>
  </si>
  <si>
    <t>UNRESOLVED 
 (properly isolated)</t>
  </si>
  <si>
    <t>UNRESOLVED
 (with Missing Steps)</t>
  </si>
  <si>
    <t>UNRESOLVED
 (Wrong Troubleshooting path)</t>
  </si>
  <si>
    <t>Unresolved (Declined Sales Pitch valid)</t>
  </si>
  <si>
    <t>Unresolved (Declined Sales Pitch - Invalid)</t>
  </si>
  <si>
    <t>Unresolved (Disconnected/Line Release)</t>
  </si>
  <si>
    <t>RESOLVED</t>
  </si>
  <si>
    <t>CASE STATUS TYPE</t>
  </si>
  <si>
    <t>First about the concern</t>
  </si>
  <si>
    <t>Second about the concern</t>
  </si>
  <si>
    <t>Third about the concern</t>
  </si>
  <si>
    <t>Transaction duration</t>
  </si>
  <si>
    <t>Case Tagging</t>
  </si>
  <si>
    <t>CAT</t>
  </si>
  <si>
    <t>Call Type</t>
  </si>
  <si>
    <t>COMPETENCY</t>
  </si>
  <si>
    <t>QUALITY ITEM</t>
  </si>
  <si>
    <t>TARGET SCORE</t>
  </si>
  <si>
    <t>ACTUAL SCORE</t>
  </si>
  <si>
    <t>RATING</t>
  </si>
  <si>
    <t>REMARKS</t>
  </si>
  <si>
    <t>More than 3x about the concern</t>
  </si>
  <si>
    <t>PRODUCT</t>
  </si>
  <si>
    <t>Indicate findings of investigation done</t>
  </si>
  <si>
    <t>SPECIFIC OPPORTUNITIES</t>
  </si>
  <si>
    <t>CHECKBOX CATEGORY NAMES</t>
  </si>
  <si>
    <t>CSAT Score</t>
  </si>
  <si>
    <t>Line item</t>
  </si>
  <si>
    <t>Target QA score</t>
  </si>
  <si>
    <t>ITEM WEIGHT</t>
  </si>
  <si>
    <t>Name range</t>
  </si>
  <si>
    <t>Target QA Score</t>
  </si>
  <si>
    <t>ITEM WEIGHT REFERENCE</t>
  </si>
  <si>
    <t>Hlookup ID#</t>
  </si>
  <si>
    <t>Hlookup lookup_value</t>
  </si>
  <si>
    <t>ITEM WEIGHT %</t>
  </si>
  <si>
    <t>STATUS</t>
  </si>
  <si>
    <t>TENURE</t>
  </si>
  <si>
    <t>CMS LOGIN</t>
  </si>
  <si>
    <t>VERONILLA, ELLAINE</t>
  </si>
  <si>
    <t>WABE, CHRISTIAN PAUL</t>
  </si>
  <si>
    <t>GALES, VENUS</t>
  </si>
  <si>
    <t>TUBA, EXEQUIEL DOONE</t>
  </si>
  <si>
    <t>DECENA, IMIE GRACE</t>
  </si>
  <si>
    <t>COLIMA, CHRIS</t>
  </si>
  <si>
    <t>DUHAYLUNGSOD, LOWELLA</t>
  </si>
  <si>
    <t>BEDRO, RHEA</t>
  </si>
  <si>
    <t>LOBERANES, SUNSHINE</t>
  </si>
  <si>
    <t>DE SALES, RAIAN</t>
  </si>
  <si>
    <t>Background noise</t>
  </si>
  <si>
    <t>Local language</t>
  </si>
  <si>
    <t>Agents taking calls</t>
  </si>
  <si>
    <t>Passerby</t>
  </si>
  <si>
    <t>Team member</t>
  </si>
  <si>
    <t>PA System</t>
  </si>
  <si>
    <t>Agents chit-chatting</t>
  </si>
  <si>
    <t>Supervisor/Manager</t>
  </si>
  <si>
    <t>Discrete</t>
  </si>
  <si>
    <t>Other agents</t>
  </si>
  <si>
    <t>PA Announcer</t>
  </si>
  <si>
    <t>MD Category</t>
  </si>
  <si>
    <t>Areas for improvement reference</t>
  </si>
  <si>
    <t>SUMMARY of SPECIFIC OPPORTUNITIES</t>
  </si>
  <si>
    <t>SPECIFIC OPPORTUNITIES COMMENTS</t>
  </si>
  <si>
    <t>VALMORES, ANGELICA</t>
  </si>
  <si>
    <t>GUCOR, ARGIE</t>
  </si>
  <si>
    <t>PETALLAR, MARY JOY</t>
  </si>
  <si>
    <t>Scheduled/Side-by-side</t>
  </si>
  <si>
    <t>PEOPLE</t>
  </si>
  <si>
    <t>Process Adherence</t>
  </si>
  <si>
    <t>PROCESS</t>
  </si>
  <si>
    <t>Case Documentation</t>
  </si>
  <si>
    <t>Professionalism</t>
  </si>
  <si>
    <t>Message</t>
  </si>
  <si>
    <t>ATTRIBUTE</t>
  </si>
  <si>
    <t>Troubleshooting</t>
  </si>
  <si>
    <t>Sales</t>
  </si>
  <si>
    <t>RMA</t>
  </si>
  <si>
    <t>Refund</t>
  </si>
  <si>
    <t>Logistics</t>
  </si>
  <si>
    <t>Performance</t>
  </si>
  <si>
    <t>Aesthetics</t>
  </si>
  <si>
    <t>SYSTEM</t>
  </si>
  <si>
    <t>Wemo</t>
  </si>
  <si>
    <t>SMB</t>
  </si>
  <si>
    <t>OTHER ROOT CAUSES</t>
  </si>
  <si>
    <t>A</t>
  </si>
  <si>
    <t>B</t>
  </si>
  <si>
    <t>C</t>
  </si>
  <si>
    <t>D</t>
  </si>
  <si>
    <t>E</t>
  </si>
  <si>
    <t>F</t>
  </si>
  <si>
    <t>G</t>
  </si>
  <si>
    <t>H</t>
  </si>
  <si>
    <t>I</t>
  </si>
  <si>
    <t>Belkin</t>
  </si>
  <si>
    <t>N/A</t>
  </si>
  <si>
    <t>Valid RMA?</t>
  </si>
  <si>
    <t>Replacement approved?</t>
  </si>
  <si>
    <t>Device deemed defective?</t>
  </si>
  <si>
    <t>Velop</t>
  </si>
  <si>
    <t>Social Media</t>
  </si>
  <si>
    <t>SET</t>
  </si>
  <si>
    <t>SMRT</t>
  </si>
  <si>
    <t>Support Channel</t>
  </si>
  <si>
    <t>Team</t>
  </si>
  <si>
    <t>Supervisor</t>
  </si>
  <si>
    <t>Manager</t>
  </si>
  <si>
    <t>Compatibility</t>
  </si>
  <si>
    <t>Voice</t>
  </si>
  <si>
    <t>YES</t>
  </si>
  <si>
    <t>CASE NUMBER</t>
  </si>
  <si>
    <t>Select Account</t>
  </si>
  <si>
    <t>Support Team / LOB</t>
  </si>
  <si>
    <t>Homestore</t>
  </si>
  <si>
    <t>Linksys</t>
  </si>
  <si>
    <t>Support Channel Options</t>
  </si>
  <si>
    <t>Amazon Q&amp;A</t>
  </si>
  <si>
    <t>Backoffice</t>
  </si>
  <si>
    <t>Community Forum</t>
  </si>
  <si>
    <t>Email</t>
  </si>
  <si>
    <t>Facebook</t>
  </si>
  <si>
    <t>Reviews</t>
  </si>
  <si>
    <t>Twitter</t>
  </si>
  <si>
    <t>Product Model &amp; Version No.</t>
  </si>
  <si>
    <t>Product's Warranty Status</t>
  </si>
  <si>
    <t>WARRANTY</t>
  </si>
  <si>
    <t>Skill/Split</t>
  </si>
  <si>
    <t>Problem Details</t>
  </si>
  <si>
    <t>Problem Category</t>
  </si>
  <si>
    <t>Interaction Type</t>
  </si>
  <si>
    <t>@Company Email Usage Spot Check</t>
  </si>
  <si>
    <t>Bounceback Spot Check</t>
  </si>
  <si>
    <t>Calibration</t>
  </si>
  <si>
    <t>Email Alteration Spot Check</t>
  </si>
  <si>
    <t>Ghost or Disconnected Contact Spot Check</t>
  </si>
  <si>
    <t>Investigation</t>
  </si>
  <si>
    <t>Misdirected Contact Spot Check</t>
  </si>
  <si>
    <t>Refunds Spot Check</t>
  </si>
  <si>
    <t>Service Offering Spot Check</t>
  </si>
  <si>
    <t>Spot check for Newbies</t>
  </si>
  <si>
    <t>If you were the customer, how would you rate the over-all experience?</t>
  </si>
  <si>
    <t>Reason for the CSAT score provided</t>
  </si>
  <si>
    <t>QA SCORE without Auto-Zero</t>
  </si>
  <si>
    <t>A.  Call/Session Abandonment</t>
  </si>
  <si>
    <t>B.  Call/Session Avoidance/Evasion</t>
  </si>
  <si>
    <t>C.  Discourtesy</t>
  </si>
  <si>
    <t>D.  Escalation</t>
  </si>
  <si>
    <t>E.  Failure to ask for the email address</t>
  </si>
  <si>
    <t>F.  Fraud</t>
  </si>
  <si>
    <t>G.  Hard-selling</t>
  </si>
  <si>
    <t>H.  Line Release</t>
  </si>
  <si>
    <t>I.  Non-Adherence to Callback Hours</t>
  </si>
  <si>
    <t>J. Non-Adherence to PCI and Information Security Standards</t>
  </si>
  <si>
    <t>K. Non-First Call Resolution</t>
  </si>
  <si>
    <t>J</t>
  </si>
  <si>
    <t>K</t>
  </si>
  <si>
    <t>1ST IRREGULARITY</t>
  </si>
  <si>
    <t>2ND IRREGULARITY</t>
  </si>
  <si>
    <t>3RD IRREGULARITY</t>
  </si>
  <si>
    <t>4TH IRREGULARITY</t>
  </si>
  <si>
    <t>5TH IRREGULARITY</t>
  </si>
  <si>
    <t>PEOPLE-OTHER INVOLVED IN CASE</t>
  </si>
  <si>
    <t>PEOPLE-RELATED ROOT CAUSE</t>
  </si>
  <si>
    <t>[ Indicate agent name/s ]</t>
  </si>
  <si>
    <t>SITE</t>
  </si>
  <si>
    <t>Date Monitored (PST)</t>
  </si>
  <si>
    <t>Transaction Date (PST)</t>
  </si>
  <si>
    <t>Transaction Time (PST)</t>
  </si>
  <si>
    <t>Adherence to Callback Hours</t>
  </si>
  <si>
    <t>Adherence to PCI</t>
  </si>
  <si>
    <t>Manner</t>
  </si>
  <si>
    <t>Critical Thinking</t>
  </si>
  <si>
    <t>CS</t>
  </si>
  <si>
    <t>DOGENO, MERVYN</t>
  </si>
  <si>
    <t>LANGAM, JOVILYN</t>
  </si>
  <si>
    <t>MAESTRADO, PAMELA BIANCA</t>
  </si>
  <si>
    <t>ARBON, CLAUDINE FRANCES</t>
  </si>
  <si>
    <t>ROMA, ABIGAIL</t>
  </si>
  <si>
    <t>AZARON, APPLE JANE</t>
  </si>
  <si>
    <t>VALDERRAMA, JARA</t>
  </si>
  <si>
    <t>Instructions</t>
  </si>
  <si>
    <t>Timeline</t>
  </si>
  <si>
    <t>Terms and Conditions</t>
  </si>
  <si>
    <t>Follow through</t>
  </si>
  <si>
    <t>Call back</t>
  </si>
  <si>
    <t>Limited Warranty</t>
  </si>
  <si>
    <t>Charging Process</t>
  </si>
  <si>
    <t>Out of Process Scope</t>
  </si>
  <si>
    <t>Beyond Support Scope</t>
  </si>
  <si>
    <t>Specific IRC</t>
  </si>
  <si>
    <t>Difficult to Install</t>
  </si>
  <si>
    <t>Defective device</t>
  </si>
  <si>
    <t>Poor Performance</t>
  </si>
  <si>
    <t>Product Design</t>
  </si>
  <si>
    <t>Beyond Product Support Scope</t>
  </si>
  <si>
    <t>Public</t>
  </si>
  <si>
    <t>Website</t>
  </si>
  <si>
    <t>App/Cloud</t>
  </si>
  <si>
    <t>IVR</t>
  </si>
  <si>
    <t>Internal</t>
  </si>
  <si>
    <t>Salesforce</t>
  </si>
  <si>
    <t>CSC</t>
  </si>
  <si>
    <t>Oracle</t>
  </si>
  <si>
    <t>Agent Portal</t>
  </si>
  <si>
    <t>SN Look up</t>
  </si>
  <si>
    <t>WEMmmDDYYYY</t>
  </si>
  <si>
    <t>Brand</t>
  </si>
  <si>
    <t>QUALITY SCORE
(w/o AUTOZERO)</t>
  </si>
  <si>
    <t>Date Monitored PST</t>
  </si>
  <si>
    <t>With Irregularities</t>
  </si>
  <si>
    <t>REFERENCE NUMBER</t>
  </si>
  <si>
    <t>PRODUCT MODEL</t>
  </si>
  <si>
    <t>WARRANTY PERIOD</t>
  </si>
  <si>
    <t>WARRANTY STATUS</t>
  </si>
  <si>
    <t>Interaction Log Type / Sentiment (SMRT)</t>
  </si>
  <si>
    <t>CUSTOMER'S CONCERN</t>
  </si>
  <si>
    <t>Transaction Date PST</t>
  </si>
  <si>
    <t>Transaction Time PST</t>
  </si>
  <si>
    <t>PROCESS - ADHERENCE TO CALLBACK HOURS</t>
  </si>
  <si>
    <t>PROCESS - ADHERENCE TO PCI</t>
  </si>
  <si>
    <t>PROCESS - CASE TAGGING</t>
  </si>
  <si>
    <t>PROCESS - CASE DOCUMENTATION</t>
  </si>
  <si>
    <t>PROCESS - SALES</t>
  </si>
  <si>
    <t>CUSTOMER SERVICE - PROFESSIONALISM</t>
  </si>
  <si>
    <t>COMMUNICATION - MESSAGE</t>
  </si>
  <si>
    <t>COMMUNICATION - MANNER</t>
  </si>
  <si>
    <t>RESOLUTION - PROCESS ADHERENCE</t>
  </si>
  <si>
    <t>RESOLUTION - CRITICAL THINKING</t>
  </si>
  <si>
    <t>TROUBLESHOOTING - INSTRUCTIONS</t>
  </si>
  <si>
    <t>TROUBLESHOOTING - TIMELINE</t>
  </si>
  <si>
    <t>RMA - LOGISTICS</t>
  </si>
  <si>
    <t>RMA - TIMELINE</t>
  </si>
  <si>
    <t>RMA - TERMS AND CONDITIONS</t>
  </si>
  <si>
    <t>REFUND - LOGISTICS</t>
  </si>
  <si>
    <t>REFUND - TIMELINE</t>
  </si>
  <si>
    <t>REFUND - TERMS AND CONDITIONS</t>
  </si>
  <si>
    <t>FOLLOW THROUGH - CALL BACK</t>
  </si>
  <si>
    <t>FOLLOW THROUGH - TIMELINE</t>
  </si>
  <si>
    <t>SALES - LIMITED WARRANTY</t>
  </si>
  <si>
    <t>SALES - CHARGING PROCESS</t>
  </si>
  <si>
    <t>OUT OF PROCESS SCOPE - BEYOND SUPPORT SCOPE</t>
  </si>
  <si>
    <t>PERFORMANCE - SPECIFIC IRC</t>
  </si>
  <si>
    <t>PERFORMANCE - DIFFICULT TO INSTALL</t>
  </si>
  <si>
    <t>PERFORMANCE - DEFECTIVE DEVICE</t>
  </si>
  <si>
    <t>PERFORMANCE - POOR PERFORMANCE</t>
  </si>
  <si>
    <t>PRODUCT DESIGN - AESTHETICS</t>
  </si>
  <si>
    <t>PRODUCT DESIGN - COMPATIBILITY</t>
  </si>
  <si>
    <t>OUT OF SCOPE - BEYOND PRODUCT SUPPORT SCOPE</t>
  </si>
  <si>
    <t>PUBLIC - WEBSITE</t>
  </si>
  <si>
    <t>PUBLIC - APP/CLOUD</t>
  </si>
  <si>
    <t>PUBLIC - IVR</t>
  </si>
  <si>
    <t>INTERNAL - SALESFORCE</t>
  </si>
  <si>
    <t>INTERNAL - CSC</t>
  </si>
  <si>
    <t>INTERNAL - ORACLE</t>
  </si>
  <si>
    <t>INTERNAL - AGENT PORTAL</t>
  </si>
  <si>
    <t>INTERNAL - SN LOOK UP</t>
  </si>
  <si>
    <t>A.  Discourtesy</t>
  </si>
  <si>
    <t>C.  Failure to ask for the email address</t>
  </si>
  <si>
    <t>D.  Non-First Call Resolution</t>
  </si>
  <si>
    <t>E.  Escalation</t>
  </si>
  <si>
    <t>F.  Call/Session Abandonment</t>
  </si>
  <si>
    <t>G.  Line Release</t>
  </si>
  <si>
    <t>H.  Fraud</t>
  </si>
  <si>
    <t>I.  Hard selling</t>
  </si>
  <si>
    <t>J. Non-Adherence to Callback Hours</t>
  </si>
  <si>
    <t>K. Non-Adherence to PCI and Information Security Standards</t>
  </si>
  <si>
    <t>Sales Process Adherence</t>
  </si>
  <si>
    <t>RMA and Refund</t>
  </si>
  <si>
    <t>Out of Product Support Scope</t>
  </si>
  <si>
    <t>Public tools</t>
  </si>
  <si>
    <t>Internal Tools</t>
  </si>
  <si>
    <t>Process - Adherence to Callback Hours</t>
  </si>
  <si>
    <t>Documented confidential information</t>
  </si>
  <si>
    <t>Repeated confidential information</t>
  </si>
  <si>
    <t>Unauthorized Processing of Sales</t>
  </si>
  <si>
    <t>Asset</t>
  </si>
  <si>
    <t>Warranty Start Date</t>
  </si>
  <si>
    <t>Hardware Warranty</t>
  </si>
  <si>
    <t>Service Offering</t>
  </si>
  <si>
    <t>Place of Purchase</t>
  </si>
  <si>
    <t>Subscription Return Call</t>
  </si>
  <si>
    <t>Problem Categories levels</t>
  </si>
  <si>
    <t>Initial Installation</t>
  </si>
  <si>
    <t>Velop Web UI</t>
  </si>
  <si>
    <t>Solution Categories</t>
  </si>
  <si>
    <t>ISP</t>
  </si>
  <si>
    <t>Interaction Log Type</t>
  </si>
  <si>
    <t>Bubble up tick box</t>
  </si>
  <si>
    <t>Bubble up Category</t>
  </si>
  <si>
    <t>Escalation Type Reason and Priority level</t>
  </si>
  <si>
    <t>Status</t>
  </si>
  <si>
    <t>Case Record Type</t>
  </si>
  <si>
    <t>Case Origin</t>
  </si>
  <si>
    <t>Theatre</t>
  </si>
  <si>
    <t>RMA Activation</t>
  </si>
  <si>
    <t>Product Details</t>
  </si>
  <si>
    <t>Social Media Memo</t>
  </si>
  <si>
    <t>Sentiment</t>
  </si>
  <si>
    <t>Customer name</t>
  </si>
  <si>
    <t>Customer phone number</t>
  </si>
  <si>
    <t>Customer email address</t>
  </si>
  <si>
    <t>Device Serial Number</t>
  </si>
  <si>
    <t>Webex Session ID</t>
  </si>
  <si>
    <t>Subject line</t>
  </si>
  <si>
    <t>IR number</t>
  </si>
  <si>
    <t>Parent case ID</t>
  </si>
  <si>
    <t>ISP Other</t>
  </si>
  <si>
    <t>Agent assist PIN</t>
  </si>
  <si>
    <t>Coupon provided</t>
  </si>
  <si>
    <t>Escalation Notes</t>
  </si>
  <si>
    <t>Mailing address</t>
  </si>
  <si>
    <t>Case notes (content focused)</t>
  </si>
  <si>
    <t>Billing address</t>
  </si>
  <si>
    <t>Shipping address</t>
  </si>
  <si>
    <t>Poor sentence structure causing confusion</t>
  </si>
  <si>
    <t>Lacked confidence</t>
  </si>
  <si>
    <t>Displayed poor competence</t>
  </si>
  <si>
    <t>Indifference and/or any form of rudeness</t>
  </si>
  <si>
    <t>Unauthorized call release</t>
  </si>
  <si>
    <t>Performing non-business activities</t>
  </si>
  <si>
    <t>Delayed SLA for action and/or follow through</t>
  </si>
  <si>
    <t>Escalation RMA Refund Product Safety Process</t>
  </si>
  <si>
    <t>Missed to ask enough relevant questions</t>
  </si>
  <si>
    <t>Asked irrelevant questions</t>
  </si>
  <si>
    <t>Performed unnecessary steps</t>
  </si>
  <si>
    <t>Physical - Wrong cable used</t>
  </si>
  <si>
    <t>Physical - Device/s were not correctly reset</t>
  </si>
  <si>
    <t>Physical - NIC/Port status was not checked</t>
  </si>
  <si>
    <t>Physical - Device drivers were not installed</t>
  </si>
  <si>
    <t>Physical - Physical connection was not properly established</t>
  </si>
  <si>
    <t>Physical - Devices were not confirmed to be powered ON</t>
  </si>
  <si>
    <t>Physical - LED lights were not confirmed to be properly lit</t>
  </si>
  <si>
    <t>Physical - Power adapter specs were not confirmed</t>
  </si>
  <si>
    <t>Physical - Physical obstruction was not considered</t>
  </si>
  <si>
    <t>Physical - Devices were not rebooted (Power Cycle)</t>
  </si>
  <si>
    <t>Physical - Placement of devices were not verified</t>
  </si>
  <si>
    <t>Physical - Antennas were not installed/oriented</t>
  </si>
  <si>
    <t>Physical - USB/Ethernet Port was not identified</t>
  </si>
  <si>
    <t>Data Link - Wireless channel was not adjusted</t>
  </si>
  <si>
    <t>Data Link - Link speed was not checked</t>
  </si>
  <si>
    <t>Data Link - Wireless password was input incorrectly</t>
  </si>
  <si>
    <t>Data Link - Wireless settings were not configured correctly</t>
  </si>
  <si>
    <t>Data Link - Wired/wireless standard was not checked</t>
  </si>
  <si>
    <t>Data Link - Signal strength was not determined</t>
  </si>
  <si>
    <t>Data Link - MAC Address was not captured/validated/filtered</t>
  </si>
  <si>
    <t>Data Link - MAC Address clone was not performed</t>
  </si>
  <si>
    <t>Data Link - Incorrect Internet Connection Type/Settings</t>
  </si>
  <si>
    <t>Data Link - Device was not confirmed to be on the same network</t>
  </si>
  <si>
    <t>Data Link - Device was not connected wirelessly to the SSID</t>
  </si>
  <si>
    <t>Data Link - WPS/5 Press Setup was not utilized</t>
  </si>
  <si>
    <t>Network - IP Address was not checked</t>
  </si>
  <si>
    <t>Network - WAN IP Address was not checked</t>
  </si>
  <si>
    <t>Network - Ping communication was not verified</t>
  </si>
  <si>
    <t>Network - Static IP Address was not assigned</t>
  </si>
  <si>
    <t>Network - DHCP reservation was not performed</t>
  </si>
  <si>
    <t>Transport - Incorrect port number/s used</t>
  </si>
  <si>
    <t>Transport - Incorrect protocol/s used (TCP/UDP)</t>
  </si>
  <si>
    <t>Application - Internet speed was not checked (modem, router, gateway, etc)</t>
  </si>
  <si>
    <t>Application - Username and/or password were not validated/recovered</t>
  </si>
  <si>
    <t>Application - Firmware was not checked/updated</t>
  </si>
  <si>
    <t>Application - App settings were not configured correctly</t>
  </si>
  <si>
    <t>No article/Outdated Article</t>
  </si>
  <si>
    <t>Multiple Articles</t>
  </si>
  <si>
    <t>Incorrect solution on article</t>
  </si>
  <si>
    <t>Too many product Safety Questions</t>
  </si>
  <si>
    <t>Instructions are verbose and ambigious</t>
  </si>
  <si>
    <t>Offline Steps Required</t>
  </si>
  <si>
    <t>Troubleshooting - Timeline</t>
  </si>
  <si>
    <t>Troubleshooting requirement (recurring issue)</t>
  </si>
  <si>
    <t>No warehouse in Region</t>
  </si>
  <si>
    <t>Unable to send correct Hardware version</t>
  </si>
  <si>
    <t>Extra unit was shipped</t>
  </si>
  <si>
    <t>Missing item(s)</t>
  </si>
  <si>
    <t>Order cancelled but was still delivered</t>
  </si>
  <si>
    <t>Wrong product shipped</t>
  </si>
  <si>
    <t>Beyond SLA</t>
  </si>
  <si>
    <t>Shipping timeframe (7-10 days)</t>
  </si>
  <si>
    <t>Cannot expedite shipment for battery</t>
  </si>
  <si>
    <t>Product not shipped/Not received in a timely manner</t>
  </si>
  <si>
    <t>Paying for shipping of defective unit</t>
  </si>
  <si>
    <t>CC hold on advance RMA</t>
  </si>
  <si>
    <t>Limited Lifetime Warranty Limitations</t>
  </si>
  <si>
    <t>No shipping to PO box</t>
  </si>
  <si>
    <t>Regional policies</t>
  </si>
  <si>
    <t>Whole unit replacement</t>
  </si>
  <si>
    <t>EOL (webcredit)</t>
  </si>
  <si>
    <t>EOL with Limited Lifetime Warranty</t>
  </si>
  <si>
    <t>Comparable replacement</t>
  </si>
  <si>
    <t>Back Order</t>
  </si>
  <si>
    <t>Model Upgrade</t>
  </si>
  <si>
    <t>Model Exchange</t>
  </si>
  <si>
    <t>Credit Card Limitation</t>
  </si>
  <si>
    <t>Charge for expedited shipping</t>
  </si>
  <si>
    <t>Need to send the defective product</t>
  </si>
  <si>
    <t>POP required for RMA approval</t>
  </si>
  <si>
    <t>Replacement denied</t>
  </si>
  <si>
    <t>Pre-Paid Label</t>
  </si>
  <si>
    <t>Refund - Logistics</t>
  </si>
  <si>
    <t>Bank Time frame</t>
  </si>
  <si>
    <t>Refund SLA - Cheque or Credit Card</t>
  </si>
  <si>
    <t>Refund denied (local store purchase)</t>
  </si>
  <si>
    <t>Warranty Coverage</t>
  </si>
  <si>
    <t>No Refund from Retail Store</t>
  </si>
  <si>
    <t>No Refund to tax</t>
  </si>
  <si>
    <t>US and Canada Exchange Rate</t>
  </si>
  <si>
    <t>State tax</t>
  </si>
  <si>
    <t>Destination tax</t>
  </si>
  <si>
    <t>Associated credits from card labels</t>
  </si>
  <si>
    <t>EOL (refund)</t>
  </si>
  <si>
    <t>Online Purchase</t>
  </si>
  <si>
    <t>Case for Observation</t>
  </si>
  <si>
    <t>Callout Threshold</t>
  </si>
  <si>
    <t>Regional Regulations</t>
  </si>
  <si>
    <t>Queue volume - Beyond SLA</t>
  </si>
  <si>
    <t>Undefined SLA</t>
  </si>
  <si>
    <t>Poor Tracking</t>
  </si>
  <si>
    <t>Scope of Support: DC/DCU</t>
  </si>
  <si>
    <t>Scope of Support: PC/6</t>
  </si>
  <si>
    <t>Price: DC/DCU</t>
  </si>
  <si>
    <t>Price: PC/6</t>
  </si>
  <si>
    <t>Price: Tech Refresh</t>
  </si>
  <si>
    <t>Shipping Days: Tech Refresh</t>
  </si>
  <si>
    <t>Service Offerings</t>
  </si>
  <si>
    <t>Warranty Issue</t>
  </si>
  <si>
    <t>Web Referral</t>
  </si>
  <si>
    <t>Sales - Charging Process</t>
  </si>
  <si>
    <t>Third Party Support Referral</t>
  </si>
  <si>
    <t>Scope of Support</t>
  </si>
  <si>
    <t>Performance - Specific IRC</t>
  </si>
  <si>
    <t>Performance - Difficult to Install</t>
  </si>
  <si>
    <t>DOA</t>
  </si>
  <si>
    <t>Recurring Issue</t>
  </si>
  <si>
    <t>Features - missing/not working</t>
  </si>
  <si>
    <t>Product Safety Issues</t>
  </si>
  <si>
    <t>Design</t>
  </si>
  <si>
    <t>Color</t>
  </si>
  <si>
    <t>Product Limitation</t>
  </si>
  <si>
    <t>Out of Scope - Beyond Product Support Scope</t>
  </si>
  <si>
    <t>Information not available</t>
  </si>
  <si>
    <t>Information difficult to find</t>
  </si>
  <si>
    <t>Website is down</t>
  </si>
  <si>
    <t>Offline (Unable to access CHAT or EMAIL)</t>
  </si>
  <si>
    <t>Product Registration</t>
  </si>
  <si>
    <t>Driver/Firmware/App Availability</t>
  </si>
  <si>
    <t>Product Availability (Website)</t>
  </si>
  <si>
    <t>Smart Wifi is not accessible</t>
  </si>
  <si>
    <t>Cisco Connect is not working</t>
  </si>
  <si>
    <t>Alexa is not working</t>
  </si>
  <si>
    <t>Wemo App is not working</t>
  </si>
  <si>
    <t>Not happy about hold music</t>
  </si>
  <si>
    <t>No hold music heard while waiting</t>
  </si>
  <si>
    <t>Too many advertisements</t>
  </si>
  <si>
    <t>Customer routed to incorrect support</t>
  </si>
  <si>
    <t>Poor line quality while in IVR</t>
  </si>
  <si>
    <t>Too many prompts before getting a technician</t>
  </si>
  <si>
    <t>Prompts ending in a loop</t>
  </si>
  <si>
    <t>Missing footprint on changes made on the case</t>
  </si>
  <si>
    <t>Error Codes</t>
  </si>
  <si>
    <t>Features - missing/not working (Salesforce)</t>
  </si>
  <si>
    <t>Duplicate Case</t>
  </si>
  <si>
    <t>Create Case Wizard</t>
  </si>
  <si>
    <t>Case Interface Limitation</t>
  </si>
  <si>
    <t>Missing footprint (not available for all)</t>
  </si>
  <si>
    <t>Profile Limitations</t>
  </si>
  <si>
    <t>Missing Categories</t>
  </si>
  <si>
    <t>Irrelevant links</t>
  </si>
  <si>
    <t>Chat System</t>
  </si>
  <si>
    <t>Slow connection</t>
  </si>
  <si>
    <t>Incorrect theatre</t>
  </si>
  <si>
    <t>Incorrect Brand</t>
  </si>
  <si>
    <t>Sales Not Registering</t>
  </si>
  <si>
    <t>Java error</t>
  </si>
  <si>
    <t>Product Inventory Not sync with Oracle</t>
  </si>
  <si>
    <t>Can't Update Mailing Address</t>
  </si>
  <si>
    <t>Region-based limitation (broken link)</t>
  </si>
  <si>
    <t>Credit Card Limitation (CSC)</t>
  </si>
  <si>
    <t>Failure/Hard to key-in card number</t>
  </si>
  <si>
    <t>Multiple transfer</t>
  </si>
  <si>
    <t>Multiple Charging (System Issue)</t>
  </si>
  <si>
    <t>Product Availability</t>
  </si>
  <si>
    <t>IVR Issues</t>
  </si>
  <si>
    <t>Brand update needed in SFDC to check orders</t>
  </si>
  <si>
    <t>Charged for CC hold - product already receive</t>
  </si>
  <si>
    <t>Error in Web RMA</t>
  </si>
  <si>
    <t>Incorrect amount for CC hold</t>
  </si>
  <si>
    <t>POP not received</t>
  </si>
  <si>
    <t>RMA notification emails</t>
  </si>
  <si>
    <t>Slow connection (Oracle)</t>
  </si>
  <si>
    <t>Device hardware version not visible</t>
  </si>
  <si>
    <t>Keyword search not working</t>
  </si>
  <si>
    <t>Small Font</t>
  </si>
  <si>
    <t>Process not uploaded</t>
  </si>
  <si>
    <t>Process not updated</t>
  </si>
  <si>
    <t>Multiple Process uploaded</t>
  </si>
  <si>
    <t>Small Picture</t>
  </si>
  <si>
    <t>Incorrect content</t>
  </si>
  <si>
    <t>Repetitive login required</t>
  </si>
  <si>
    <t>Outdated Simulator</t>
  </si>
  <si>
    <t>Missing Simulator</t>
  </si>
  <si>
    <t>Internal - SN Look up</t>
  </si>
  <si>
    <t>Compliance Critical Items</t>
  </si>
  <si>
    <t>Business Critical Items</t>
  </si>
  <si>
    <t xml:space="preserve">End - User Critical </t>
  </si>
  <si>
    <t>Background Noise - Agents taking calls</t>
  </si>
  <si>
    <t>Background Noise - Passerby</t>
  </si>
  <si>
    <t>Background Noise - PA System</t>
  </si>
  <si>
    <t>Background Noise - Agents chit-chatting</t>
  </si>
  <si>
    <t>Background Noise - Discrete</t>
  </si>
  <si>
    <t>Local Language - Team member</t>
  </si>
  <si>
    <t>Local Language - Other agents</t>
  </si>
  <si>
    <t>Local Language - Passerby</t>
  </si>
  <si>
    <t>Local Language - PA Anouncer</t>
  </si>
  <si>
    <t>Local Language - Supervisor/Manager</t>
  </si>
  <si>
    <t>Local Language - Discrete</t>
  </si>
  <si>
    <t>CSAT Score based on evaluator's perspective</t>
  </si>
  <si>
    <t>Justification of CSAT score</t>
  </si>
  <si>
    <t>AGENT INVOLVED IN CASE</t>
  </si>
  <si>
    <t>AGENT-RELATED ROOT CAUSE</t>
  </si>
  <si>
    <t>Non-Prompt Response</t>
  </si>
  <si>
    <t>Non Documentation</t>
  </si>
  <si>
    <t>Non-Adherence to Escalation Process</t>
  </si>
  <si>
    <t>Non-Adherence to Callback/ Follow-through Process</t>
  </si>
  <si>
    <t>Non-Adherence to RMA Process</t>
  </si>
  <si>
    <t>Non-Adherence to Refund Process</t>
  </si>
  <si>
    <t>Transaction Abandonment</t>
  </si>
  <si>
    <t>Transaction Avoidance</t>
  </si>
  <si>
    <t>Transaction Evasion</t>
  </si>
  <si>
    <t>Line Release</t>
  </si>
  <si>
    <t>Inaccurate Documentation (Account Name, Phone Number)</t>
  </si>
  <si>
    <t>Inaccurate Documentation (@Company Address)</t>
  </si>
  <si>
    <t>Inaccurate Documentation (Unique Email Address)</t>
  </si>
  <si>
    <t>Inaccurate Documentation (Product Information)</t>
  </si>
  <si>
    <t>Inaccurate Documentation (Service Offering)</t>
  </si>
  <si>
    <t>Inaccurate Documentation (Problem Categories)</t>
  </si>
  <si>
    <t>Inaccurate Documentation (Solution Category)</t>
  </si>
  <si>
    <t>Inaccurate Documentation
(ISP and OS)</t>
  </si>
  <si>
    <t>Inaccurate Documentation
(All other fields)</t>
  </si>
  <si>
    <t>Documenting Confidential Information (full CC number + CVN)</t>
  </si>
  <si>
    <t>Documenting Confidential Information (all else)</t>
  </si>
  <si>
    <t>Sales-Related Irregularities</t>
  </si>
  <si>
    <t>Providing Misleading Information</t>
  </si>
  <si>
    <t>Not Providing Important Information</t>
  </si>
  <si>
    <t>Any act of Fraud</t>
  </si>
  <si>
    <t>Discourtesy</t>
  </si>
  <si>
    <t>Non Resolution</t>
  </si>
  <si>
    <t>Engaging In Non-Productive Work</t>
  </si>
  <si>
    <t>Offense Against Confidentiality Of CNX/Client Information</t>
  </si>
  <si>
    <t>Unauthorized Credit Card Use</t>
  </si>
  <si>
    <t>Using An Unofficial Email Address When Replying To The Customer</t>
  </si>
  <si>
    <t>Survey Manipulation</t>
  </si>
  <si>
    <t>Non-compliance to Account Norms</t>
  </si>
  <si>
    <t>None</t>
  </si>
  <si>
    <t>Mixed</t>
  </si>
  <si>
    <t>Engaging in Non-Productive Work</t>
  </si>
  <si>
    <t>Inaccurate Documentation (All other fields)</t>
  </si>
  <si>
    <t>Inaccurate Documentation (ISP and OS)</t>
  </si>
  <si>
    <t>Non-Documentation</t>
  </si>
  <si>
    <t>Non-Resolution</t>
  </si>
  <si>
    <t>CALL DETAILS</t>
  </si>
  <si>
    <t>PEOPLE COMMENTS</t>
  </si>
  <si>
    <t>PROCESS COMMENTS</t>
  </si>
  <si>
    <t>PRODUCT COMMENTS</t>
  </si>
  <si>
    <t>SYSTEM COMMENTS</t>
  </si>
  <si>
    <t>AUTO-ZERO SCORES</t>
  </si>
  <si>
    <t>AUTO-ZERO COMMENTS</t>
  </si>
  <si>
    <t>COMPETENCY SCORES</t>
  </si>
  <si>
    <t>Process - Adherence to PCI</t>
  </si>
  <si>
    <t>Process - Case Tagging</t>
  </si>
  <si>
    <t>Process - Case Documentation</t>
  </si>
  <si>
    <t>Communication - Message</t>
  </si>
  <si>
    <t>Communication - Manner</t>
  </si>
  <si>
    <t>Customer Service - Professionalism</t>
  </si>
  <si>
    <t>Resolution - Process Adherence</t>
  </si>
  <si>
    <t>Resolution - Critical Thinking</t>
  </si>
  <si>
    <t>Troubleshooting - Instructions</t>
  </si>
  <si>
    <t>RMA - Logistics</t>
  </si>
  <si>
    <t>RMA - Timeline</t>
  </si>
  <si>
    <t>RMA - Terms and Conditions</t>
  </si>
  <si>
    <t>Refund - Timeline</t>
  </si>
  <si>
    <t>Refund - Terms and Conditions</t>
  </si>
  <si>
    <t>Follow through - Call back</t>
  </si>
  <si>
    <t>Follow through - Timeline</t>
  </si>
  <si>
    <t>Sales - Limited Warranty</t>
  </si>
  <si>
    <t>Out of Process Scope - Beyond Support Scope</t>
  </si>
  <si>
    <t>Performance - Defective device</t>
  </si>
  <si>
    <t>Performance - Poor Performance</t>
  </si>
  <si>
    <t>Product Design - Aesthetics</t>
  </si>
  <si>
    <t>Product Design - Compatibility</t>
  </si>
  <si>
    <t>Public - Website</t>
  </si>
  <si>
    <t>Public - App/Cloud</t>
  </si>
  <si>
    <t>Public - IVR</t>
  </si>
  <si>
    <t>Internal - Salesforce</t>
  </si>
  <si>
    <t>Internal - CSC</t>
  </si>
  <si>
    <t>Internal - Oracle</t>
  </si>
  <si>
    <t>Internal - Agent Portal</t>
  </si>
  <si>
    <t>CRITICAL ERRORs</t>
  </si>
  <si>
    <t>BACKGROUND NOISE</t>
  </si>
  <si>
    <t>LOCAL LANGUAGE</t>
  </si>
  <si>
    <t>CSAT per EVALUATOR PERSPECTIVE</t>
  </si>
  <si>
    <t>INVESTIGATION</t>
  </si>
  <si>
    <t>Irregularities</t>
  </si>
  <si>
    <t>Neutral</t>
  </si>
  <si>
    <t>Tech Support</t>
  </si>
  <si>
    <t>Outbound</t>
  </si>
  <si>
    <t>TE00132422</t>
  </si>
  <si>
    <t>NA</t>
  </si>
  <si>
    <t>MX6200</t>
  </si>
  <si>
    <t>3 years</t>
  </si>
  <si>
    <t>Eligible</t>
  </si>
  <si>
    <t>Initial set up</t>
  </si>
  <si>
    <t>Male</t>
  </si>
  <si>
    <t>Customer Call Out</t>
  </si>
  <si>
    <t>No</t>
  </si>
  <si>
    <t>Paolo Ebora</t>
  </si>
  <si>
    <t>CX-CDO</t>
  </si>
  <si>
    <t>CNX CDO CHAT - Connectivity Champions</t>
  </si>
  <si>
    <t>Marc Joseph M. Baynos</t>
  </si>
  <si>
    <t>Joey Agao</t>
  </si>
  <si>
    <t>QA_GUCOR, ARGIE</t>
  </si>
  <si>
    <t>internal-10138-+19402300087-20260609-091821-1781021937.7683686</t>
  </si>
  <si>
    <t>No opportunities were observed with case documentation and tagging accuracy. All relevant and applicable HappyFox fields were properly completed, including the necessary product details and issue categorization, reflecting compliance with documentation standards.</t>
  </si>
  <si>
    <t>There were no opportunities observed. All the applicable fields were accurately documented based on this transaction. This includes the customer's details and case notes documentation.</t>
  </si>
  <si>
    <t>There were no opportunities observed from this call. The concern is not related to sales.</t>
  </si>
  <si>
    <t>This is not applicable to this call. There was no callback initiated by the agent since it was not necessary.</t>
  </si>
  <si>
    <t xml:space="preserve">There were no confidential information related to credit card shared, stored and verbalised during the call. </t>
  </si>
  <si>
    <t>There were some grammar errors and informal language observed in the agent's responses. For example, phrases like "you can ignore them" and "I thought you don’t have that" could be phrased more formally. Additionally, some sentences were incomplete or lacked proper structure. However, the meaning was generally clear despite these issues.</t>
  </si>
  <si>
    <t>The agent consistently demonstrated politeness and professionalism throughout the interaction. They used respectful language, addressed the caller appropriately, and provided clear guidance while maintaining a supportive tone. The agent also expressed appreciation for the caller's patience and ensured they understood the setup process.</t>
  </si>
  <si>
    <t>The agent demonstrated confidence and competence in their message delivery. They spoke clearly and fluently without any stammering, stuttering, or mumbling. The agent's tone was professional, and there is no indication that their accent negatively affected the customer's understanding. Overall, the communication was effective and contributed to a positive experience for the caller.</t>
  </si>
  <si>
    <t>The agent generally adhered to standards in follow-through and provided appropriate guidance throughout the interaction. He effectively guided the caller through the setup process and addressed concerns about the product. However, there were a few minor clarity gaps, particularly in the technical explanations regarding the node statuses and the setup process. There was no mention of RMA/refund disclosure or specific product safety guidelines in the conversation, so it’s unclear if those standards were addressed. Overall, the agent maintained a supportive approach while providing assistance.</t>
  </si>
  <si>
    <t>The agent displayed competence in troubleshooting while assisting the caller with the issue. He provided clear instructions on how to check the node statuses, reset devices, and relocate them for optimal performance. The agent effectively guided the caller through the troubleshooting steps and explained the reasoning behind each action, which helped in resolving the connectivity issues. His knowledge of the product and troubleshooting process contributed to a successful outcome.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</si>
</sst>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8">
    <numFmt numFmtId="43" formatCode="_(* #,##0.00_);_(* \(#,##0.00\);_(* &quot;-&quot;??_);_(@_)"/>
    <numFmt numFmtId="164" formatCode="[$-F800]dddd\,\ mmmm\ dd\,\ yyyy"/>
    <numFmt numFmtId="165" formatCode="h:mm:ss;@"/>
    <numFmt numFmtId="166" formatCode="_-* #,##0.00\ _$_-;\-* #,##0.00\ _$_-;_-* &quot;-&quot;??\ _$_-;_-@_-"/>
    <numFmt numFmtId="167" formatCode="hh:mm:ss;@"/>
    <numFmt numFmtId="168" formatCode="[$-3409]General"/>
    <numFmt numFmtId="169" formatCode="[h]:mm:ss;@"/>
    <numFmt numFmtId="170" formatCode="[$-3409]dd\-mmm\-yy;@"/>
  </numFmts>
  <fonts count="77">
    <font>
      <sz val="11"/>
      <color theme="1"/>
      <name val="Calibri"/>
      <family val="2"/>
      <scheme val="minor"/>
    </font>
    <font>
      <b/>
      <sz val="11"/>
      <color theme="1"/>
      <name val="Calibri"/>
      <family val="2"/>
      <scheme val="minor"/>
    </font>
    <font>
      <sz val="8"/>
      <color rgb="FF000000"/>
      <name val="Tahoma"/>
      <family val="2"/>
    </font>
    <font>
      <sz val="9"/>
      <color theme="1"/>
      <name val="Calibri"/>
      <family val="2"/>
      <scheme val="minor"/>
    </font>
    <font>
      <b/>
      <sz val="12"/>
      <color theme="1"/>
      <name val="Calibri"/>
      <family val="2"/>
      <scheme val="minor"/>
    </font>
    <font>
      <b/>
      <i/>
      <sz val="10"/>
      <color theme="1"/>
      <name val="Calibri"/>
      <family val="2"/>
      <scheme val="minor"/>
    </font>
    <font>
      <sz val="10"/>
      <color rgb="FF0D0D0D"/>
      <name val="Calibri"/>
      <family val="2"/>
      <scheme val="minor"/>
    </font>
    <font>
      <sz val="10"/>
      <color theme="1"/>
      <name val="Calibri"/>
      <family val="2"/>
      <scheme val="minor"/>
    </font>
    <font>
      <sz val="10"/>
      <color theme="0"/>
      <name val="Calibri"/>
      <family val="2"/>
      <scheme val="minor"/>
    </font>
    <font>
      <sz val="10"/>
      <color rgb="FFC00000"/>
      <name val="Calibri"/>
      <family val="2"/>
      <scheme val="minor"/>
    </font>
    <font>
      <sz val="9"/>
      <color indexed="81"/>
      <name val="Tahoma"/>
      <family val="2"/>
    </font>
    <font>
      <sz val="11"/>
      <color indexed="8"/>
      <name val="Calibri"/>
      <family val="2"/>
    </font>
    <font>
      <b/>
      <sz val="10"/>
      <color rgb="FF0D0D0D"/>
      <name val="Calibri"/>
      <family val="2"/>
      <scheme val="minor"/>
    </font>
    <font>
      <b/>
      <sz val="10"/>
      <color rgb="FFC00000"/>
      <name val="Calibri"/>
      <family val="2"/>
      <scheme val="minor"/>
    </font>
    <font>
      <b/>
      <sz val="10"/>
      <color theme="1"/>
      <name val="Calibri"/>
      <family val="2"/>
      <scheme val="minor"/>
    </font>
    <font>
      <b/>
      <sz val="11"/>
      <color rgb="FFC00000"/>
      <name val="Calibri"/>
      <family val="2"/>
      <scheme val="minor"/>
    </font>
    <font>
      <sz val="11"/>
      <color theme="1"/>
      <name val="Calibri"/>
      <family val="2"/>
      <scheme val="minor"/>
    </font>
    <font>
      <sz val="8"/>
      <color theme="1"/>
      <name val="Calibri"/>
      <family val="2"/>
      <scheme val="minor"/>
    </font>
    <font>
      <b/>
      <sz val="8"/>
      <color theme="1"/>
      <name val="Calibri"/>
      <family val="2"/>
      <scheme val="minor"/>
    </font>
    <font>
      <sz val="8"/>
      <color theme="0" tint="-4.9989318521683403E-2"/>
      <name val="Calibri"/>
      <family val="2"/>
      <scheme val="minor"/>
    </font>
    <font>
      <b/>
      <i/>
      <sz val="10"/>
      <color rgb="FFC00000"/>
      <name val="Calibri"/>
      <family val="2"/>
      <scheme val="minor"/>
    </font>
    <font>
      <sz val="10"/>
      <color rgb="FFFF0000"/>
      <name val="Calibri"/>
      <family val="2"/>
      <scheme val="minor"/>
    </font>
    <font>
      <sz val="11"/>
      <color indexed="29"/>
      <name val="Calibri"/>
      <family val="2"/>
    </font>
    <font>
      <sz val="11"/>
      <color indexed="20"/>
      <name val="Calibri"/>
      <family val="2"/>
    </font>
    <font>
      <b/>
      <sz val="11"/>
      <color indexed="52"/>
      <name val="Calibri"/>
      <family val="2"/>
    </font>
    <font>
      <b/>
      <sz val="11"/>
      <color indexed="29"/>
      <name val="Calibri"/>
      <family val="2"/>
    </font>
    <font>
      <sz val="8"/>
      <name val="Arial"/>
      <family val="2"/>
    </font>
    <font>
      <sz val="10"/>
      <name val="Arial"/>
      <family val="2"/>
    </font>
    <font>
      <i/>
      <sz val="11"/>
      <color indexed="23"/>
      <name val="Calibri"/>
      <family val="2"/>
    </font>
    <font>
      <sz val="11"/>
      <color indexed="17"/>
      <name val="Calibri"/>
      <family val="2"/>
    </font>
    <font>
      <b/>
      <sz val="15"/>
      <color indexed="62"/>
      <name val="Calibri"/>
      <family val="2"/>
    </font>
    <font>
      <b/>
      <sz val="13"/>
      <color indexed="62"/>
      <name val="Calibri"/>
      <family val="2"/>
    </font>
    <font>
      <b/>
      <sz val="11"/>
      <color indexed="62"/>
      <name val="Calibri"/>
      <family val="2"/>
    </font>
    <font>
      <u/>
      <sz val="10"/>
      <color indexed="12"/>
      <name val="Arial"/>
      <family val="2"/>
    </font>
    <font>
      <u/>
      <sz val="10"/>
      <color theme="10"/>
      <name val="Arial"/>
      <family val="2"/>
    </font>
    <font>
      <sz val="11"/>
      <color indexed="62"/>
      <name val="Calibri"/>
      <family val="2"/>
    </font>
    <font>
      <sz val="11"/>
      <color indexed="52"/>
      <name val="Calibri"/>
      <family val="2"/>
    </font>
    <font>
      <sz val="11"/>
      <color indexed="60"/>
      <name val="Calibri"/>
      <family val="2"/>
    </font>
    <font>
      <b/>
      <sz val="11"/>
      <color indexed="63"/>
      <name val="Calibri"/>
      <family val="2"/>
    </font>
    <font>
      <b/>
      <sz val="18"/>
      <color indexed="62"/>
      <name val="Cambria"/>
      <family val="2"/>
    </font>
    <font>
      <b/>
      <sz val="11"/>
      <color indexed="8"/>
      <name val="Calibri"/>
      <family val="2"/>
    </font>
    <font>
      <sz val="11"/>
      <color indexed="10"/>
      <name val="Calibri"/>
      <family val="2"/>
    </font>
    <font>
      <sz val="10"/>
      <color theme="3" tint="-0.499984740745262"/>
      <name val="Calibri"/>
      <family val="2"/>
      <scheme val="minor"/>
    </font>
    <font>
      <b/>
      <sz val="10"/>
      <color theme="3" tint="-0.499984740745262"/>
      <name val="Calibri"/>
      <family val="2"/>
      <scheme val="minor"/>
    </font>
    <font>
      <b/>
      <sz val="11"/>
      <color theme="0"/>
      <name val="Calibri"/>
      <family val="2"/>
      <scheme val="minor"/>
    </font>
    <font>
      <b/>
      <sz val="12"/>
      <color rgb="FFC00000"/>
      <name val="Calibri"/>
      <family val="2"/>
      <scheme val="minor"/>
    </font>
    <font>
      <b/>
      <sz val="10"/>
      <color theme="0"/>
      <name val="Calibri"/>
      <family val="2"/>
      <scheme val="minor"/>
    </font>
    <font>
      <b/>
      <sz val="9"/>
      <color indexed="81"/>
      <name val="Tahoma"/>
      <family val="2"/>
    </font>
    <font>
      <b/>
      <u/>
      <sz val="16"/>
      <color theme="1"/>
      <name val="Calibri"/>
      <family val="2"/>
      <scheme val="minor"/>
    </font>
    <font>
      <sz val="10"/>
      <color theme="0" tint="-0.249977111117893"/>
      <name val="Calibri"/>
      <family val="2"/>
      <scheme val="minor"/>
    </font>
    <font>
      <sz val="9"/>
      <color theme="1"/>
      <name val="Arial"/>
      <family val="2"/>
    </font>
    <font>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sz val="11"/>
      <color rgb="FFFF0000"/>
      <name val="Calibri"/>
      <family val="2"/>
      <scheme val="minor"/>
    </font>
    <font>
      <i/>
      <sz val="11"/>
      <color rgb="FF7F7F7F"/>
      <name val="Calibri"/>
      <family val="2"/>
      <scheme val="minor"/>
    </font>
    <font>
      <sz val="11"/>
      <color theme="0"/>
      <name val="Calibri"/>
      <family val="2"/>
      <scheme val="minor"/>
    </font>
    <font>
      <sz val="10"/>
      <color theme="1"/>
      <name val="Segoe UI"/>
      <family val="2"/>
    </font>
    <font>
      <sz val="11"/>
      <color rgb="FF800000"/>
      <name val="Calibri"/>
      <family val="2"/>
    </font>
    <font>
      <sz val="8"/>
      <color indexed="8"/>
      <name val="Sans"/>
    </font>
    <font>
      <sz val="10"/>
      <color indexed="8"/>
      <name val="Arial"/>
      <family val="2"/>
    </font>
    <font>
      <sz val="10"/>
      <name val="Trebuchet MS"/>
      <family val="2"/>
    </font>
    <font>
      <b/>
      <sz val="11"/>
      <color indexed="55"/>
      <name val="Calibri"/>
      <family val="2"/>
      <charset val="1"/>
    </font>
    <font>
      <b/>
      <sz val="18"/>
      <color theme="3"/>
      <name val="Cambria"/>
      <family val="2"/>
      <scheme val="major"/>
    </font>
    <font>
      <sz val="11"/>
      <color rgb="FF9C6500"/>
      <name val="Calibri"/>
      <family val="2"/>
      <scheme val="minor"/>
    </font>
    <font>
      <sz val="11"/>
      <color rgb="FF000000"/>
      <name val="Calibri"/>
      <family val="2"/>
      <charset val="1"/>
    </font>
    <font>
      <b/>
      <sz val="11"/>
      <color rgb="FF969696"/>
      <name val="Calibri"/>
      <family val="2"/>
      <charset val="1"/>
    </font>
    <font>
      <b/>
      <sz val="13"/>
      <color theme="3" tint="-0.249977111117893"/>
      <name val="Calibri"/>
      <family val="2"/>
      <scheme val="minor"/>
    </font>
    <font>
      <i/>
      <sz val="10"/>
      <color theme="0" tint="-0.499984740745262"/>
      <name val="Calibri"/>
      <family val="2"/>
      <scheme val="minor"/>
    </font>
    <font>
      <i/>
      <sz val="8"/>
      <color rgb="FFFF0000"/>
      <name val="Calibri"/>
      <family val="2"/>
      <scheme val="minor"/>
    </font>
  </fonts>
  <fills count="86">
    <fill>
      <patternFill patternType="none"/>
    </fill>
    <fill>
      <patternFill patternType="gray125"/>
    </fill>
    <fill>
      <patternFill patternType="solid">
        <fgColor theme="4"/>
        <bgColor rgb="FF000000"/>
      </patternFill>
    </fill>
    <fill>
      <patternFill patternType="solid">
        <fgColor theme="8"/>
        <bgColor indexed="64"/>
      </patternFill>
    </fill>
    <fill>
      <patternFill patternType="solid">
        <fgColor theme="5"/>
        <bgColor indexed="64"/>
      </patternFill>
    </fill>
    <fill>
      <patternFill patternType="solid">
        <fgColor theme="9"/>
        <bgColor indexed="64"/>
      </patternFill>
    </fill>
    <fill>
      <patternFill patternType="solid">
        <fgColor theme="4" tint="0.79998168889431442"/>
        <bgColor indexed="64"/>
      </patternFill>
    </fill>
    <fill>
      <patternFill patternType="solid">
        <fgColor theme="6" tint="0.79998168889431442"/>
        <bgColor indexed="64"/>
      </patternFill>
    </fill>
    <fill>
      <patternFill patternType="solid">
        <fgColor theme="8" tint="0.79998168889431442"/>
        <bgColor indexed="64"/>
      </patternFill>
    </fill>
    <fill>
      <patternFill patternType="solid">
        <fgColor theme="5" tint="0.79998168889431442"/>
        <bgColor indexed="64"/>
      </patternFill>
    </fill>
    <fill>
      <patternFill patternType="solid">
        <fgColor theme="9" tint="0.79998168889431442"/>
        <bgColor indexed="64"/>
      </patternFill>
    </fill>
    <fill>
      <patternFill patternType="solid">
        <fgColor theme="9" tint="0.39997558519241921"/>
        <bgColor indexed="64"/>
      </patternFill>
    </fill>
    <fill>
      <patternFill patternType="solid">
        <fgColor rgb="FFFFFF00"/>
        <bgColor indexed="64"/>
      </patternFill>
    </fill>
    <fill>
      <patternFill patternType="solid">
        <fgColor theme="6"/>
        <bgColor indexed="64"/>
      </patternFill>
    </fill>
    <fill>
      <patternFill patternType="solid">
        <fgColor theme="7"/>
        <bgColor indexed="64"/>
      </patternFill>
    </fill>
    <fill>
      <patternFill patternType="solid">
        <fgColor theme="5" tint="0.59999389629810485"/>
        <bgColor indexed="64"/>
      </patternFill>
    </fill>
    <fill>
      <patternFill patternType="solid">
        <fgColor theme="6" tint="0.39997558519241921"/>
        <bgColor indexed="64"/>
      </patternFill>
    </fill>
    <fill>
      <patternFill patternType="solid">
        <fgColor theme="7" tint="0.79998168889431442"/>
        <bgColor indexed="64"/>
      </patternFill>
    </fill>
    <fill>
      <patternFill patternType="solid">
        <fgColor theme="9" tint="0.59999389629810485"/>
        <bgColor indexed="64"/>
      </patternFill>
    </fill>
    <fill>
      <patternFill patternType="solid">
        <fgColor theme="6" tint="0.59999389629810485"/>
        <bgColor indexed="64"/>
      </patternFill>
    </fill>
    <fill>
      <patternFill patternType="solid">
        <fgColor rgb="FFFFC000"/>
        <bgColor indexed="64"/>
      </patternFill>
    </fill>
    <fill>
      <patternFill patternType="solid">
        <fgColor theme="0" tint="-4.9989318521683403E-2"/>
        <bgColor indexed="64"/>
      </patternFill>
    </fill>
    <fill>
      <patternFill patternType="solid">
        <fgColor theme="4"/>
        <bgColor indexed="64"/>
      </patternFill>
    </fill>
    <fill>
      <patternFill patternType="solid">
        <fgColor rgb="FFFFC000"/>
        <bgColor rgb="FF000000"/>
      </patternFill>
    </fill>
    <fill>
      <patternFill patternType="solid">
        <fgColor rgb="FFFFFF00"/>
        <bgColor rgb="FF000000"/>
      </patternFill>
    </fill>
    <fill>
      <patternFill patternType="solid">
        <fgColor theme="1"/>
        <bgColor indexed="64"/>
      </patternFill>
    </fill>
    <fill>
      <patternFill patternType="solid">
        <fgColor indexed="9"/>
      </patternFill>
    </fill>
    <fill>
      <patternFill patternType="solid">
        <fgColor indexed="47"/>
      </patternFill>
    </fill>
    <fill>
      <patternFill patternType="solid">
        <fgColor indexed="26"/>
      </patternFill>
    </fill>
    <fill>
      <patternFill patternType="solid">
        <fgColor indexed="27"/>
      </patternFill>
    </fill>
    <fill>
      <patternFill patternType="solid">
        <fgColor indexed="22"/>
      </patternFill>
    </fill>
    <fill>
      <patternFill patternType="solid">
        <fgColor indexed="29"/>
      </patternFill>
    </fill>
    <fill>
      <patternFill patternType="solid">
        <fgColor indexed="43"/>
      </patternFill>
    </fill>
    <fill>
      <patternFill patternType="solid">
        <fgColor indexed="44"/>
      </patternFill>
    </fill>
    <fill>
      <patternFill patternType="solid">
        <fgColor indexed="49"/>
      </patternFill>
    </fill>
    <fill>
      <patternFill patternType="solid">
        <fgColor indexed="10"/>
      </patternFill>
    </fill>
    <fill>
      <patternFill patternType="solid">
        <fgColor indexed="57"/>
      </patternFill>
    </fill>
    <fill>
      <patternFill patternType="solid">
        <fgColor indexed="54"/>
      </patternFill>
    </fill>
    <fill>
      <patternFill patternType="solid">
        <fgColor indexed="53"/>
      </patternFill>
    </fill>
    <fill>
      <patternFill patternType="solid">
        <fgColor indexed="45"/>
      </patternFill>
    </fill>
    <fill>
      <patternFill patternType="solid">
        <fgColor indexed="55"/>
      </patternFill>
    </fill>
    <fill>
      <patternFill patternType="solid">
        <fgColor indexed="42"/>
      </patternFill>
    </fill>
    <fill>
      <patternFill patternType="solid">
        <fgColor theme="4" tint="0.59999389629810485"/>
        <bgColor rgb="FF000000"/>
      </patternFill>
    </fill>
    <fill>
      <patternFill patternType="solid">
        <fgColor theme="0" tint="-0.14999847407452621"/>
        <bgColor indexed="64"/>
      </patternFill>
    </fill>
    <fill>
      <patternFill patternType="solid">
        <fgColor rgb="FF92D050"/>
        <bgColor indexed="64"/>
      </patternFill>
    </fill>
    <fill>
      <patternFill patternType="solid">
        <fgColor theme="4" tint="0.39997558519241921"/>
        <bgColor indexed="64"/>
      </patternFill>
    </fill>
    <fill>
      <patternFill patternType="solid">
        <fgColor theme="5" tint="0.39997558519241921"/>
        <bgColor indexed="64"/>
      </patternFill>
    </fill>
    <fill>
      <patternFill patternType="solid">
        <fgColor rgb="FF00B050"/>
        <bgColor indexed="64"/>
      </patternFill>
    </fill>
    <fill>
      <patternFill patternType="solid">
        <fgColor theme="6"/>
        <bgColor rgb="FF000000"/>
      </patternFill>
    </fill>
    <fill>
      <patternFill patternType="solid">
        <fgColor rgb="FF00B050"/>
        <bgColor rgb="FF000000"/>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tint="-0.249977111117893"/>
        <bgColor indexed="64"/>
      </patternFill>
    </fill>
    <fill>
      <patternFill patternType="solid">
        <fgColor theme="0" tint="-0.34998626667073579"/>
        <bgColor indexed="64"/>
      </patternFill>
    </fill>
    <fill>
      <patternFill patternType="solid">
        <fgColor theme="4" tint="0.59999389629810485"/>
        <bgColor indexed="64"/>
      </patternFill>
    </fill>
    <fill>
      <patternFill patternType="solid">
        <fgColor theme="8" tint="0.39997558519241921"/>
        <bgColor indexed="64"/>
      </patternFill>
    </fill>
    <fill>
      <patternFill patternType="solid">
        <fgColor theme="8" tint="0.59999389629810485"/>
        <bgColor indexed="64"/>
      </patternFill>
    </fill>
  </fills>
  <borders count="45">
    <border>
      <left/>
      <right/>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style="thin">
        <color theme="0" tint="-0.34998626667073579"/>
      </right>
      <top style="thin">
        <color theme="0" tint="-0.34998626667073579"/>
      </top>
      <bottom/>
      <diagonal/>
    </border>
    <border>
      <left style="thin">
        <color theme="0" tint="-0.34998626667073579"/>
      </left>
      <right style="thin">
        <color theme="0" tint="-0.34998626667073579"/>
      </right>
      <top/>
      <bottom/>
      <diagonal/>
    </border>
    <border>
      <left style="thin">
        <color theme="0" tint="-0.34998626667073579"/>
      </left>
      <right style="thin">
        <color theme="0" tint="-0.34998626667073579"/>
      </right>
      <top/>
      <bottom style="thin">
        <color theme="0" tint="-0.34998626667073579"/>
      </bottom>
      <diagonal/>
    </border>
    <border>
      <left/>
      <right/>
      <top/>
      <bottom style="thin">
        <color theme="0" tint="-0.34998626667073579"/>
      </bottom>
      <diagonal/>
    </border>
    <border>
      <left style="thin">
        <color theme="0" tint="-0.34998626667073579"/>
      </left>
      <right/>
      <top style="thin">
        <color theme="0" tint="-0.34998626667073579"/>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tint="-0.34998626667073579"/>
      </left>
      <right/>
      <top/>
      <bottom/>
      <diagonal/>
    </border>
    <border>
      <left/>
      <right style="thin">
        <color theme="0" tint="-0.34998626667073579"/>
      </right>
      <top/>
      <bottom/>
      <diagonal/>
    </border>
    <border>
      <left style="thin">
        <color theme="0" tint="-0.34998626667073579"/>
      </left>
      <right/>
      <top/>
      <bottom style="thin">
        <color theme="0" tint="-0.34998626667073579"/>
      </bottom>
      <diagonal/>
    </border>
    <border>
      <left/>
      <right/>
      <top style="thin">
        <color theme="0" tint="-0.34998626667073579"/>
      </top>
      <bottom style="thin">
        <color theme="0" tint="-0.34998626667073579"/>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49"/>
      </bottom>
      <diagonal/>
    </border>
    <border>
      <left/>
      <right/>
      <top/>
      <bottom style="thick">
        <color indexed="22"/>
      </bottom>
      <diagonal/>
    </border>
    <border>
      <left/>
      <right/>
      <top/>
      <bottom style="medium">
        <color indexed="49"/>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49"/>
      </top>
      <bottom style="double">
        <color indexed="49"/>
      </bottom>
      <diagonal/>
    </border>
    <border>
      <left style="thin">
        <color theme="0" tint="-0.34998626667073579"/>
      </left>
      <right/>
      <top style="thin">
        <color theme="0" tint="-0.34998626667073579"/>
      </top>
      <bottom/>
      <diagonal/>
    </border>
    <border>
      <left/>
      <right style="thin">
        <color theme="0" tint="-0.34998626667073579"/>
      </right>
      <top style="thin">
        <color theme="0" tint="-0.34998626667073579"/>
      </top>
      <bottom/>
      <diagonal/>
    </border>
    <border>
      <left/>
      <right style="thin">
        <color theme="0" tint="-0.34998626667073579"/>
      </right>
      <top/>
      <bottom style="thin">
        <color theme="0" tint="-0.34998626667073579"/>
      </bottom>
      <diagonal/>
    </border>
    <border>
      <left/>
      <right/>
      <top style="thin">
        <color theme="0" tint="-0.34998626667073579"/>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top style="thin">
        <color theme="0" tint="-0.499984740745262"/>
      </top>
      <bottom style="thin">
        <color theme="0" tint="-0.34998626667073579"/>
      </bottom>
      <diagonal/>
    </border>
    <border>
      <left/>
      <right/>
      <top style="thin">
        <color theme="0" tint="-0.499984740745262"/>
      </top>
      <bottom style="thin">
        <color theme="0" tint="-0.34998626667073579"/>
      </bottom>
      <diagonal/>
    </border>
    <border>
      <left/>
      <right style="thin">
        <color theme="0" tint="-0.34998626667073579"/>
      </right>
      <top style="thin">
        <color theme="0" tint="-0.499984740745262"/>
      </top>
      <bottom style="thin">
        <color theme="0" tint="-0.34998626667073579"/>
      </bottom>
      <diagonal/>
    </border>
    <border>
      <left style="thin">
        <color theme="0" tint="-0.34998626667073579"/>
      </left>
      <right/>
      <top style="thin">
        <color theme="0" tint="-0.499984740745262"/>
      </top>
      <bottom style="thin">
        <color theme="0" tint="-0.34998626667073579"/>
      </bottom>
      <diagonal/>
    </border>
    <border>
      <left style="thin">
        <color theme="0" tint="-0.34998626667073579"/>
      </left>
      <right/>
      <top style="thin">
        <color theme="0" tint="-0.499984740745262"/>
      </top>
      <bottom/>
      <diagonal/>
    </border>
    <border>
      <left/>
      <right/>
      <top style="thin">
        <color theme="0" tint="-0.499984740745262"/>
      </top>
      <bottom/>
      <diagonal/>
    </border>
    <border>
      <left style="thin">
        <color theme="0" tint="-0.34998626667073579"/>
      </left>
      <right style="thin">
        <color theme="0" tint="-0.34998626667073579"/>
      </right>
      <top style="thin">
        <color theme="0" tint="-0.499984740745262"/>
      </top>
      <bottom style="thin">
        <color theme="0" tint="-0.34998626667073579"/>
      </bottom>
      <diagonal/>
    </border>
    <border>
      <left style="thin">
        <color theme="0" tint="-0.34998626667073579"/>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s>
  <cellStyleXfs count="235">
    <xf numFmtId="0" fontId="0" fillId="0" borderId="0"/>
    <xf numFmtId="9" fontId="11" fillId="0" borderId="0" applyFont="0" applyFill="0" applyBorder="0" applyAlignment="0" applyProtection="0"/>
    <xf numFmtId="0" fontId="11" fillId="26" borderId="0" applyNumberFormat="0" applyBorder="0" applyAlignment="0" applyProtection="0"/>
    <xf numFmtId="0" fontId="11" fillId="26" borderId="0" applyNumberFormat="0" applyBorder="0" applyAlignment="0" applyProtection="0"/>
    <xf numFmtId="0" fontId="11" fillId="27" borderId="0" applyNumberFormat="0" applyBorder="0" applyAlignment="0" applyProtection="0"/>
    <xf numFmtId="0" fontId="11" fillId="27" borderId="0" applyNumberFormat="0" applyBorder="0" applyAlignment="0" applyProtection="0"/>
    <xf numFmtId="0" fontId="11" fillId="28" borderId="0" applyNumberFormat="0" applyBorder="0" applyAlignment="0" applyProtection="0"/>
    <xf numFmtId="0" fontId="11" fillId="28" borderId="0" applyNumberFormat="0" applyBorder="0" applyAlignment="0" applyProtection="0"/>
    <xf numFmtId="0" fontId="11" fillId="26" borderId="0" applyNumberFormat="0" applyBorder="0" applyAlignment="0" applyProtection="0"/>
    <xf numFmtId="0" fontId="11" fillId="26" borderId="0" applyNumberFormat="0" applyBorder="0" applyAlignment="0" applyProtection="0"/>
    <xf numFmtId="0" fontId="11" fillId="29" borderId="0" applyNumberFormat="0" applyBorder="0" applyAlignment="0" applyProtection="0"/>
    <xf numFmtId="0" fontId="11" fillId="29" borderId="0" applyNumberFormat="0" applyBorder="0" applyAlignment="0" applyProtection="0"/>
    <xf numFmtId="0" fontId="11" fillId="27" borderId="0" applyNumberFormat="0" applyBorder="0" applyAlignment="0" applyProtection="0"/>
    <xf numFmtId="0" fontId="11" fillId="27" borderId="0" applyNumberFormat="0" applyBorder="0" applyAlignment="0" applyProtection="0"/>
    <xf numFmtId="0" fontId="11" fillId="30" borderId="0" applyNumberFormat="0" applyBorder="0" applyAlignment="0" applyProtection="0"/>
    <xf numFmtId="0" fontId="11" fillId="30" borderId="0" applyNumberFormat="0" applyBorder="0" applyAlignment="0" applyProtection="0"/>
    <xf numFmtId="0" fontId="11" fillId="31" borderId="0" applyNumberFormat="0" applyBorder="0" applyAlignment="0" applyProtection="0"/>
    <xf numFmtId="0" fontId="11" fillId="31" borderId="0" applyNumberFormat="0" applyBorder="0" applyAlignment="0" applyProtection="0"/>
    <xf numFmtId="0" fontId="11" fillId="32" borderId="0" applyNumberFormat="0" applyBorder="0" applyAlignment="0" applyProtection="0"/>
    <xf numFmtId="0" fontId="11" fillId="32" borderId="0" applyNumberFormat="0" applyBorder="0" applyAlignment="0" applyProtection="0"/>
    <xf numFmtId="0" fontId="11" fillId="30" borderId="0" applyNumberFormat="0" applyBorder="0" applyAlignment="0" applyProtection="0"/>
    <xf numFmtId="0" fontId="11" fillId="30" borderId="0" applyNumberFormat="0" applyBorder="0" applyAlignment="0" applyProtection="0"/>
    <xf numFmtId="0" fontId="11" fillId="33" borderId="0" applyNumberFormat="0" applyBorder="0" applyAlignment="0" applyProtection="0"/>
    <xf numFmtId="0" fontId="11" fillId="33" borderId="0" applyNumberFormat="0" applyBorder="0" applyAlignment="0" applyProtection="0"/>
    <xf numFmtId="0" fontId="11" fillId="27" borderId="0" applyNumberFormat="0" applyBorder="0" applyAlignment="0" applyProtection="0"/>
    <xf numFmtId="0" fontId="11" fillId="27" borderId="0" applyNumberFormat="0" applyBorder="0" applyAlignment="0" applyProtection="0"/>
    <xf numFmtId="0" fontId="22" fillId="34" borderId="0" applyNumberFormat="0" applyBorder="0" applyAlignment="0" applyProtection="0"/>
    <xf numFmtId="0" fontId="22" fillId="34"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2" borderId="0" applyNumberFormat="0" applyBorder="0" applyAlignment="0" applyProtection="0"/>
    <xf numFmtId="0" fontId="22" fillId="32"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4" borderId="0" applyNumberFormat="0" applyBorder="0" applyAlignment="0" applyProtection="0"/>
    <xf numFmtId="0" fontId="22" fillId="34"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34" borderId="0" applyNumberFormat="0" applyBorder="0" applyAlignment="0" applyProtection="0"/>
    <xf numFmtId="0" fontId="22" fillId="34" borderId="0" applyNumberFormat="0" applyBorder="0" applyAlignment="0" applyProtection="0"/>
    <xf numFmtId="0" fontId="22" fillId="35" borderId="0" applyNumberFormat="0" applyBorder="0" applyAlignment="0" applyProtection="0"/>
    <xf numFmtId="0" fontId="22" fillId="35" borderId="0" applyNumberFormat="0" applyBorder="0" applyAlignment="0" applyProtection="0"/>
    <xf numFmtId="0" fontId="22" fillId="36" borderId="0" applyNumberFormat="0" applyBorder="0" applyAlignment="0" applyProtection="0"/>
    <xf numFmtId="0" fontId="22" fillId="36" borderId="0" applyNumberFormat="0" applyBorder="0" applyAlignment="0" applyProtection="0"/>
    <xf numFmtId="0" fontId="22" fillId="37" borderId="0" applyNumberFormat="0" applyBorder="0" applyAlignment="0" applyProtection="0"/>
    <xf numFmtId="0" fontId="22" fillId="37" borderId="0" applyNumberFormat="0" applyBorder="0" applyAlignment="0" applyProtection="0"/>
    <xf numFmtId="0" fontId="22" fillId="34" borderId="0" applyNumberFormat="0" applyBorder="0" applyAlignment="0" applyProtection="0"/>
    <xf numFmtId="0" fontId="22" fillId="34" borderId="0" applyNumberFormat="0" applyBorder="0" applyAlignment="0" applyProtection="0"/>
    <xf numFmtId="0" fontId="22" fillId="38" borderId="0" applyNumberFormat="0" applyBorder="0" applyAlignment="0" applyProtection="0"/>
    <xf numFmtId="0" fontId="22" fillId="38" borderId="0" applyNumberFormat="0" applyBorder="0" applyAlignment="0" applyProtection="0"/>
    <xf numFmtId="0" fontId="23" fillId="39" borderId="0" applyNumberFormat="0" applyBorder="0" applyAlignment="0" applyProtection="0"/>
    <xf numFmtId="0" fontId="23" fillId="39" borderId="0" applyNumberFormat="0" applyBorder="0" applyAlignment="0" applyProtection="0"/>
    <xf numFmtId="0" fontId="24" fillId="26" borderId="12" applyNumberFormat="0" applyAlignment="0" applyProtection="0"/>
    <xf numFmtId="0" fontId="24" fillId="26" borderId="12" applyNumberFormat="0" applyAlignment="0" applyProtection="0"/>
    <xf numFmtId="0" fontId="25" fillId="40" borderId="13" applyNumberFormat="0" applyAlignment="0" applyProtection="0"/>
    <xf numFmtId="0" fontId="25" fillId="40" borderId="13" applyNumberFormat="0" applyAlignment="0" applyProtection="0"/>
    <xf numFmtId="43" fontId="26" fillId="0" borderId="0" applyFont="0" applyFill="0" applyBorder="0" applyAlignment="0" applyProtection="0"/>
    <xf numFmtId="43" fontId="26" fillId="0" borderId="0" applyFont="0" applyFill="0" applyBorder="0" applyAlignment="0" applyProtection="0"/>
    <xf numFmtId="166" fontId="27" fillId="0" borderId="0" applyFon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9" fillId="41" borderId="0" applyNumberFormat="0" applyBorder="0" applyAlignment="0" applyProtection="0"/>
    <xf numFmtId="0" fontId="29" fillId="41" borderId="0" applyNumberFormat="0" applyBorder="0" applyAlignment="0" applyProtection="0"/>
    <xf numFmtId="0" fontId="30" fillId="0" borderId="14" applyNumberFormat="0" applyFill="0" applyAlignment="0" applyProtection="0"/>
    <xf numFmtId="0" fontId="30" fillId="0" borderId="14" applyNumberFormat="0" applyFill="0" applyAlignment="0" applyProtection="0"/>
    <xf numFmtId="0" fontId="31" fillId="0" borderId="15" applyNumberFormat="0" applyFill="0" applyAlignment="0" applyProtection="0"/>
    <xf numFmtId="0" fontId="31" fillId="0" borderId="15" applyNumberFormat="0" applyFill="0" applyAlignment="0" applyProtection="0"/>
    <xf numFmtId="0" fontId="32" fillId="0" borderId="16" applyNumberFormat="0" applyFill="0" applyAlignment="0" applyProtection="0"/>
    <xf numFmtId="0" fontId="32" fillId="0" borderId="16" applyNumberFormat="0" applyFill="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3" fillId="0" borderId="0" applyNumberFormat="0" applyFill="0" applyBorder="0" applyAlignment="0" applyProtection="0">
      <alignment vertical="top"/>
      <protection locked="0"/>
    </xf>
    <xf numFmtId="0" fontId="34" fillId="0" borderId="0" applyNumberFormat="0" applyFill="0" applyBorder="0" applyAlignment="0" applyProtection="0">
      <alignment vertical="top"/>
      <protection locked="0"/>
    </xf>
    <xf numFmtId="0" fontId="34" fillId="0" borderId="0" applyNumberFormat="0" applyFill="0" applyBorder="0" applyAlignment="0" applyProtection="0"/>
    <xf numFmtId="0" fontId="35" fillId="27" borderId="12" applyNumberFormat="0" applyAlignment="0" applyProtection="0"/>
    <xf numFmtId="0" fontId="35" fillId="27" borderId="12" applyNumberFormat="0" applyAlignment="0" applyProtection="0"/>
    <xf numFmtId="0" fontId="36" fillId="0" borderId="17" applyNumberFormat="0" applyFill="0" applyAlignment="0" applyProtection="0"/>
    <xf numFmtId="0" fontId="36" fillId="0" borderId="17" applyNumberFormat="0" applyFill="0" applyAlignment="0" applyProtection="0"/>
    <xf numFmtId="0" fontId="37" fillId="32" borderId="0" applyNumberFormat="0" applyBorder="0" applyAlignment="0" applyProtection="0"/>
    <xf numFmtId="0" fontId="37" fillId="32" borderId="0" applyNumberFormat="0" applyBorder="0" applyAlignment="0" applyProtection="0"/>
    <xf numFmtId="0" fontId="16" fillId="0" borderId="0"/>
    <xf numFmtId="0" fontId="27" fillId="0" borderId="0"/>
    <xf numFmtId="0" fontId="16" fillId="0" borderId="0"/>
    <xf numFmtId="0" fontId="27" fillId="0" borderId="0" applyNumberFormat="0" applyFill="0" applyBorder="0" applyAlignment="0" applyProtection="0"/>
    <xf numFmtId="0" fontId="27" fillId="0" borderId="0"/>
    <xf numFmtId="0" fontId="27" fillId="0" borderId="0"/>
    <xf numFmtId="0" fontId="27" fillId="0" borderId="0"/>
    <xf numFmtId="0" fontId="27" fillId="0" borderId="0"/>
    <xf numFmtId="0" fontId="27" fillId="0" borderId="0"/>
    <xf numFmtId="0" fontId="27" fillId="0" borderId="0" applyNumberFormat="0" applyFill="0" applyBorder="0" applyAlignment="0" applyProtection="0"/>
    <xf numFmtId="0" fontId="27" fillId="0" borderId="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xf numFmtId="0" fontId="27" fillId="0" borderId="0"/>
    <xf numFmtId="0" fontId="16" fillId="0" borderId="0"/>
    <xf numFmtId="0" fontId="27" fillId="0" borderId="0" applyNumberFormat="0" applyFill="0" applyBorder="0" applyAlignment="0" applyProtection="0"/>
    <xf numFmtId="0" fontId="27" fillId="0" borderId="0"/>
    <xf numFmtId="0" fontId="27" fillId="0" borderId="0"/>
    <xf numFmtId="0" fontId="27" fillId="0" borderId="0"/>
    <xf numFmtId="0" fontId="27" fillId="28" borderId="18" applyNumberFormat="0" applyFont="0" applyAlignment="0" applyProtection="0"/>
    <xf numFmtId="0" fontId="27" fillId="28" borderId="18" applyNumberFormat="0" applyFont="0" applyAlignment="0" applyProtection="0"/>
    <xf numFmtId="0" fontId="38" fillId="26" borderId="19" applyNumberFormat="0" applyAlignment="0" applyProtection="0"/>
    <xf numFmtId="0" fontId="38" fillId="26" borderId="19" applyNumberFormat="0" applyAlignment="0" applyProtection="0"/>
    <xf numFmtId="9" fontId="27" fillId="0" borderId="0" applyFont="0" applyFill="0" applyBorder="0" applyAlignment="0" applyProtection="0"/>
    <xf numFmtId="9" fontId="27" fillId="0" borderId="0" applyFont="0" applyFill="0" applyBorder="0" applyAlignment="0" applyProtection="0"/>
    <xf numFmtId="9" fontId="27" fillId="0" borderId="0" applyFont="0" applyFill="0" applyBorder="0" applyAlignment="0" applyProtection="0"/>
    <xf numFmtId="9" fontId="27" fillId="0" borderId="0" applyFont="0" applyFill="0" applyBorder="0" applyAlignment="0" applyProtection="0"/>
    <xf numFmtId="9" fontId="27" fillId="0" borderId="0" applyFont="0" applyFill="0" applyBorder="0" applyAlignment="0" applyProtection="0"/>
    <xf numFmtId="9" fontId="27" fillId="0" borderId="0" applyFont="0" applyFill="0" applyBorder="0" applyAlignment="0" applyProtection="0"/>
    <xf numFmtId="9" fontId="27" fillId="0" borderId="0" applyFon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Protection="0">
      <alignment horizontal="fill" wrapText="1"/>
    </xf>
    <xf numFmtId="0" fontId="27" fillId="0" borderId="0" applyNumberFormat="0" applyFill="0" applyBorder="0" applyProtection="0">
      <alignment horizontal="fill" wrapText="1"/>
    </xf>
    <xf numFmtId="0" fontId="27" fillId="0" borderId="0" applyNumberFormat="0" applyFill="0" applyBorder="0" applyProtection="0">
      <alignment horizontal="fill" wrapText="1"/>
    </xf>
    <xf numFmtId="0" fontId="39" fillId="0" borderId="0" applyNumberFormat="0" applyFill="0" applyBorder="0" applyAlignment="0" applyProtection="0"/>
    <xf numFmtId="0" fontId="39" fillId="0" borderId="0" applyNumberFormat="0" applyFill="0" applyBorder="0" applyAlignment="0" applyProtection="0"/>
    <xf numFmtId="0" fontId="40" fillId="0" borderId="20" applyNumberFormat="0" applyFill="0" applyAlignment="0" applyProtection="0"/>
    <xf numFmtId="0" fontId="40" fillId="0" borderId="20" applyNumberFormat="0" applyFill="0" applyAlignment="0" applyProtection="0"/>
    <xf numFmtId="0" fontId="41" fillId="0" borderId="0" applyNumberFormat="0" applyFill="0" applyBorder="0" applyAlignment="0" applyProtection="0"/>
    <xf numFmtId="0" fontId="41" fillId="0" borderId="0" applyNumberFormat="0" applyFill="0" applyBorder="0" applyAlignment="0" applyProtection="0"/>
    <xf numFmtId="9" fontId="16" fillId="0" borderId="0" applyFont="0" applyFill="0" applyBorder="0" applyAlignment="0" applyProtection="0"/>
    <xf numFmtId="0" fontId="52" fillId="0" borderId="25" applyNumberFormat="0" applyFill="0" applyAlignment="0" applyProtection="0"/>
    <xf numFmtId="0" fontId="53" fillId="0" borderId="26" applyNumberFormat="0" applyFill="0" applyAlignment="0" applyProtection="0"/>
    <xf numFmtId="0" fontId="54" fillId="0" borderId="27" applyNumberFormat="0" applyFill="0" applyAlignment="0" applyProtection="0"/>
    <xf numFmtId="0" fontId="54" fillId="0" borderId="0" applyNumberFormat="0" applyFill="0" applyBorder="0" applyAlignment="0" applyProtection="0"/>
    <xf numFmtId="0" fontId="55" fillId="50" borderId="0" applyNumberFormat="0" applyBorder="0" applyAlignment="0" applyProtection="0"/>
    <xf numFmtId="0" fontId="56" fillId="51" borderId="0" applyNumberFormat="0" applyBorder="0" applyAlignment="0" applyProtection="0"/>
    <xf numFmtId="0" fontId="57" fillId="53" borderId="28" applyNumberFormat="0" applyAlignment="0" applyProtection="0"/>
    <xf numFmtId="0" fontId="58" fillId="54" borderId="29" applyNumberFormat="0" applyAlignment="0" applyProtection="0"/>
    <xf numFmtId="0" fontId="59" fillId="54" borderId="28" applyNumberFormat="0" applyAlignment="0" applyProtection="0"/>
    <xf numFmtId="0" fontId="60" fillId="0" borderId="30" applyNumberFormat="0" applyFill="0" applyAlignment="0" applyProtection="0"/>
    <xf numFmtId="0" fontId="44" fillId="55" borderId="31" applyNumberFormat="0" applyAlignment="0" applyProtection="0"/>
    <xf numFmtId="0" fontId="61" fillId="0" borderId="0" applyNumberFormat="0" applyFill="0" applyBorder="0" applyAlignment="0" applyProtection="0"/>
    <xf numFmtId="0" fontId="16" fillId="56" borderId="32" applyNumberFormat="0" applyFont="0" applyAlignment="0" applyProtection="0"/>
    <xf numFmtId="0" fontId="62" fillId="0" borderId="0" applyNumberFormat="0" applyFill="0" applyBorder="0" applyAlignment="0" applyProtection="0"/>
    <xf numFmtId="0" fontId="1" fillId="0" borderId="33" applyNumberFormat="0" applyFill="0" applyAlignment="0" applyProtection="0"/>
    <xf numFmtId="0" fontId="63" fillId="57" borderId="0" applyNumberFormat="0" applyBorder="0" applyAlignment="0" applyProtection="0"/>
    <xf numFmtId="0" fontId="16" fillId="58" borderId="0" applyNumberFormat="0" applyBorder="0" applyAlignment="0" applyProtection="0"/>
    <xf numFmtId="0" fontId="16" fillId="59" borderId="0" applyNumberFormat="0" applyBorder="0" applyAlignment="0" applyProtection="0"/>
    <xf numFmtId="0" fontId="63" fillId="61" borderId="0" applyNumberFormat="0" applyBorder="0" applyAlignment="0" applyProtection="0"/>
    <xf numFmtId="0" fontId="16" fillId="62" borderId="0" applyNumberFormat="0" applyBorder="0" applyAlignment="0" applyProtection="0"/>
    <xf numFmtId="0" fontId="16" fillId="63" borderId="0" applyNumberFormat="0" applyBorder="0" applyAlignment="0" applyProtection="0"/>
    <xf numFmtId="0" fontId="63" fillId="65" borderId="0" applyNumberFormat="0" applyBorder="0" applyAlignment="0" applyProtection="0"/>
    <xf numFmtId="0" fontId="16" fillId="66" borderId="0" applyNumberFormat="0" applyBorder="0" applyAlignment="0" applyProtection="0"/>
    <xf numFmtId="0" fontId="16" fillId="67" borderId="0" applyNumberFormat="0" applyBorder="0" applyAlignment="0" applyProtection="0"/>
    <xf numFmtId="0" fontId="63" fillId="69" borderId="0" applyNumberFormat="0" applyBorder="0" applyAlignment="0" applyProtection="0"/>
    <xf numFmtId="0" fontId="16" fillId="70" borderId="0" applyNumberFormat="0" applyBorder="0" applyAlignment="0" applyProtection="0"/>
    <xf numFmtId="0" fontId="16" fillId="71" borderId="0" applyNumberFormat="0" applyBorder="0" applyAlignment="0" applyProtection="0"/>
    <xf numFmtId="0" fontId="63" fillId="73" borderId="0" applyNumberFormat="0" applyBorder="0" applyAlignment="0" applyProtection="0"/>
    <xf numFmtId="0" fontId="16" fillId="74" borderId="0" applyNumberFormat="0" applyBorder="0" applyAlignment="0" applyProtection="0"/>
    <xf numFmtId="0" fontId="16" fillId="75" borderId="0" applyNumberFormat="0" applyBorder="0" applyAlignment="0" applyProtection="0"/>
    <xf numFmtId="0" fontId="63" fillId="77" borderId="0" applyNumberFormat="0" applyBorder="0" applyAlignment="0" applyProtection="0"/>
    <xf numFmtId="0" fontId="16" fillId="78" borderId="0" applyNumberFormat="0" applyBorder="0" applyAlignment="0" applyProtection="0"/>
    <xf numFmtId="0" fontId="16" fillId="79" borderId="0" applyNumberFormat="0" applyBorder="0" applyAlignment="0" applyProtection="0"/>
    <xf numFmtId="0" fontId="24" fillId="26" borderId="12" applyNumberFormat="0" applyAlignment="0" applyProtection="0"/>
    <xf numFmtId="0" fontId="24" fillId="26" borderId="12" applyNumberFormat="0" applyAlignment="0" applyProtection="0"/>
    <xf numFmtId="168" fontId="65" fillId="0" borderId="0"/>
    <xf numFmtId="0" fontId="35" fillId="27" borderId="12" applyNumberFormat="0" applyAlignment="0" applyProtection="0"/>
    <xf numFmtId="0" fontId="35" fillId="27" borderId="12" applyNumberFormat="0" applyAlignment="0" applyProtection="0"/>
    <xf numFmtId="0" fontId="27" fillId="0" borderId="0"/>
    <xf numFmtId="0" fontId="66" fillId="0" borderId="0" applyFill="0" applyProtection="0"/>
    <xf numFmtId="0" fontId="11" fillId="0" borderId="0"/>
    <xf numFmtId="0" fontId="27" fillId="0" borderId="0"/>
    <xf numFmtId="0" fontId="67" fillId="0" borderId="0">
      <alignment vertical="top"/>
    </xf>
    <xf numFmtId="0" fontId="68" fillId="0" borderId="0"/>
    <xf numFmtId="0" fontId="16" fillId="0" borderId="0"/>
    <xf numFmtId="0" fontId="67" fillId="0" borderId="0">
      <alignment vertical="top"/>
    </xf>
    <xf numFmtId="0" fontId="27" fillId="0" borderId="0"/>
    <xf numFmtId="0" fontId="16" fillId="0" borderId="0"/>
    <xf numFmtId="0" fontId="67" fillId="0" borderId="0">
      <alignment vertical="top"/>
    </xf>
    <xf numFmtId="0" fontId="66" fillId="0" borderId="0"/>
    <xf numFmtId="0" fontId="11" fillId="0" borderId="0"/>
    <xf numFmtId="0" fontId="16" fillId="0" borderId="0"/>
    <xf numFmtId="0" fontId="11" fillId="0" borderId="0"/>
    <xf numFmtId="0" fontId="67" fillId="0" borderId="0">
      <alignment vertical="top"/>
    </xf>
    <xf numFmtId="0" fontId="16" fillId="0" borderId="0"/>
    <xf numFmtId="0" fontId="27" fillId="28" borderId="18" applyNumberFormat="0" applyFont="0" applyAlignment="0" applyProtection="0"/>
    <xf numFmtId="0" fontId="27" fillId="28" borderId="18" applyNumberFormat="0" applyFont="0" applyAlignment="0" applyProtection="0"/>
    <xf numFmtId="0" fontId="38" fillId="26" borderId="19" applyNumberFormat="0" applyAlignment="0" applyProtection="0"/>
    <xf numFmtId="0" fontId="38" fillId="26" borderId="19" applyNumberFormat="0" applyAlignment="0" applyProtection="0"/>
    <xf numFmtId="0" fontId="38" fillId="26" borderId="19" applyNumberFormat="0" applyAlignment="0" applyProtection="0"/>
    <xf numFmtId="0" fontId="38" fillId="26" borderId="19" applyNumberFormat="0" applyAlignment="0" applyProtection="0"/>
    <xf numFmtId="9" fontId="11" fillId="0" borderId="0" applyFont="0" applyFill="0" applyBorder="0" applyAlignment="0" applyProtection="0"/>
    <xf numFmtId="0" fontId="69" fillId="0" borderId="0"/>
    <xf numFmtId="0" fontId="40" fillId="0" borderId="20" applyNumberFormat="0" applyFill="0" applyAlignment="0" applyProtection="0"/>
    <xf numFmtId="0" fontId="40" fillId="0" borderId="20" applyNumberFormat="0" applyFill="0" applyAlignment="0" applyProtection="0"/>
    <xf numFmtId="0" fontId="71" fillId="52" borderId="0" applyNumberFormat="0" applyBorder="0" applyAlignment="0" applyProtection="0"/>
    <xf numFmtId="0" fontId="63" fillId="60" borderId="0" applyNumberFormat="0" applyBorder="0" applyAlignment="0" applyProtection="0"/>
    <xf numFmtId="0" fontId="63" fillId="64" borderId="0" applyNumberFormat="0" applyBorder="0" applyAlignment="0" applyProtection="0"/>
    <xf numFmtId="0" fontId="63" fillId="68" borderId="0" applyNumberFormat="0" applyBorder="0" applyAlignment="0" applyProtection="0"/>
    <xf numFmtId="0" fontId="63" fillId="72" borderId="0" applyNumberFormat="0" applyBorder="0" applyAlignment="0" applyProtection="0"/>
    <xf numFmtId="0" fontId="63" fillId="76" borderId="0" applyNumberFormat="0" applyBorder="0" applyAlignment="0" applyProtection="0"/>
    <xf numFmtId="0" fontId="63" fillId="80" borderId="0" applyNumberFormat="0" applyBorder="0" applyAlignment="0" applyProtection="0"/>
    <xf numFmtId="0" fontId="7" fillId="0" borderId="0"/>
    <xf numFmtId="0" fontId="8" fillId="77" borderId="0" applyNumberFormat="0" applyBorder="0" applyAlignment="0" applyProtection="0"/>
    <xf numFmtId="9" fontId="7" fillId="0" borderId="0" applyFont="0" applyFill="0" applyBorder="0" applyAlignment="0" applyProtection="0"/>
    <xf numFmtId="0" fontId="27" fillId="0" borderId="0" applyNumberFormat="0" applyFill="0" applyBorder="0" applyAlignment="0" applyProtection="0"/>
    <xf numFmtId="0" fontId="27" fillId="0" borderId="0"/>
    <xf numFmtId="0" fontId="27" fillId="0" borderId="0"/>
    <xf numFmtId="0" fontId="27" fillId="0" borderId="0"/>
    <xf numFmtId="0" fontId="27" fillId="0" borderId="0" applyNumberFormat="0" applyFill="0" applyBorder="0" applyAlignment="0" applyProtection="0"/>
    <xf numFmtId="0" fontId="27" fillId="0" borderId="0" applyNumberFormat="0" applyFill="0" applyBorder="0" applyAlignment="0" applyProtection="0"/>
    <xf numFmtId="9" fontId="27" fillId="0" borderId="0" applyFont="0" applyFill="0" applyBorder="0" applyAlignment="0" applyProtection="0"/>
    <xf numFmtId="0" fontId="36" fillId="0" borderId="17" applyNumberFormat="0" applyFill="0" applyAlignment="0" applyProtection="0"/>
    <xf numFmtId="0" fontId="36" fillId="0" borderId="17" applyNumberFormat="0" applyFill="0" applyAlignment="0" applyProtection="0"/>
    <xf numFmtId="0" fontId="24" fillId="26" borderId="12" applyNumberFormat="0" applyAlignment="0" applyProtection="0"/>
    <xf numFmtId="0" fontId="24" fillId="26" borderId="12" applyNumberFormat="0" applyAlignment="0" applyProtection="0"/>
    <xf numFmtId="0" fontId="35" fillId="27" borderId="12" applyNumberFormat="0" applyAlignment="0" applyProtection="0"/>
    <xf numFmtId="0" fontId="35" fillId="27" borderId="12" applyNumberFormat="0" applyAlignment="0" applyProtection="0"/>
    <xf numFmtId="0" fontId="27" fillId="28" borderId="18" applyNumberFormat="0" applyFont="0" applyAlignment="0" applyProtection="0"/>
    <xf numFmtId="0" fontId="27" fillId="28" borderId="18" applyNumberFormat="0" applyFont="0" applyAlignment="0" applyProtection="0"/>
    <xf numFmtId="0" fontId="40" fillId="0" borderId="20" applyNumberFormat="0" applyFill="0" applyAlignment="0" applyProtection="0"/>
    <xf numFmtId="0" fontId="40" fillId="0" borderId="20" applyNumberFormat="0" applyFill="0" applyAlignment="0" applyProtection="0"/>
    <xf numFmtId="0" fontId="51" fillId="0" borderId="0" applyNumberFormat="0" applyFill="0" applyBorder="0" applyAlignment="0" applyProtection="0"/>
    <xf numFmtId="0" fontId="16" fillId="0" borderId="0"/>
    <xf numFmtId="0" fontId="67" fillId="0" borderId="0">
      <alignment vertical="top"/>
    </xf>
    <xf numFmtId="0" fontId="51" fillId="0" borderId="0" applyNumberFormat="0" applyFill="0" applyBorder="0" applyAlignment="0" applyProtection="0"/>
    <xf numFmtId="0" fontId="71" fillId="52" borderId="0" applyNumberFormat="0" applyBorder="0" applyAlignment="0" applyProtection="0"/>
    <xf numFmtId="0" fontId="63" fillId="60" borderId="0" applyNumberFormat="0" applyBorder="0" applyAlignment="0" applyProtection="0"/>
    <xf numFmtId="0" fontId="63" fillId="64" borderId="0" applyNumberFormat="0" applyBorder="0" applyAlignment="0" applyProtection="0"/>
    <xf numFmtId="0" fontId="63" fillId="68" borderId="0" applyNumberFormat="0" applyBorder="0" applyAlignment="0" applyProtection="0"/>
    <xf numFmtId="0" fontId="63" fillId="72" borderId="0" applyNumberFormat="0" applyBorder="0" applyAlignment="0" applyProtection="0"/>
    <xf numFmtId="0" fontId="63" fillId="76" borderId="0" applyNumberFormat="0" applyBorder="0" applyAlignment="0" applyProtection="0"/>
    <xf numFmtId="0" fontId="63" fillId="80" borderId="0" applyNumberFormat="0" applyBorder="0" applyAlignment="0" applyProtection="0"/>
    <xf numFmtId="0" fontId="70" fillId="0" borderId="0" applyNumberFormat="0" applyFill="0" applyBorder="0" applyAlignment="0" applyProtection="0"/>
    <xf numFmtId="0" fontId="72" fillId="0" borderId="0"/>
    <xf numFmtId="9" fontId="72" fillId="0" borderId="0" applyBorder="0" applyProtection="0"/>
    <xf numFmtId="0" fontId="73" fillId="0" borderId="0"/>
    <xf numFmtId="0" fontId="16" fillId="0" borderId="0"/>
    <xf numFmtId="0" fontId="64" fillId="0" borderId="0"/>
  </cellStyleXfs>
  <cellXfs count="272">
    <xf numFmtId="0" fontId="0" fillId="0" borderId="0" xfId="0"/>
    <xf numFmtId="0" fontId="0" fillId="0" borderId="0" xfId="0" applyAlignment="1">
      <alignment horizontal="center" vertical="center"/>
    </xf>
    <xf numFmtId="0" fontId="0" fillId="0" borderId="0" xfId="0" applyAlignment="1">
      <alignment vertical="center"/>
    </xf>
    <xf numFmtId="0" fontId="6" fillId="0" borderId="1" xfId="0" applyFont="1" applyBorder="1" applyAlignment="1">
      <alignment horizontal="left" vertical="top" wrapText="1"/>
    </xf>
    <xf numFmtId="0" fontId="7" fillId="10" borderId="1" xfId="0" applyFont="1" applyFill="1" applyBorder="1" applyAlignment="1">
      <alignment horizontal="center" vertical="top"/>
    </xf>
    <xf numFmtId="0" fontId="7" fillId="7" borderId="1" xfId="0" applyFont="1" applyFill="1" applyBorder="1" applyAlignment="1">
      <alignment horizontal="center" vertical="top"/>
    </xf>
    <xf numFmtId="0" fontId="3" fillId="0" borderId="0" xfId="0" applyFont="1" applyAlignment="1">
      <alignment horizontal="center" vertical="center" wrapText="1"/>
    </xf>
    <xf numFmtId="0" fontId="0" fillId="0" borderId="0" xfId="0" applyAlignment="1">
      <alignment horizontal="center"/>
    </xf>
    <xf numFmtId="0" fontId="14" fillId="0" borderId="1" xfId="0" applyFont="1" applyBorder="1" applyAlignment="1">
      <alignment horizontal="center" vertical="center" wrapText="1"/>
    </xf>
    <xf numFmtId="0" fontId="7" fillId="0" borderId="1" xfId="0" applyFont="1" applyBorder="1" applyAlignment="1">
      <alignment horizontal="center" vertical="center" wrapText="1"/>
    </xf>
    <xf numFmtId="164" fontId="7" fillId="0" borderId="1" xfId="0" applyNumberFormat="1" applyFont="1" applyBorder="1" applyAlignment="1">
      <alignment horizontal="center" vertical="center" wrapText="1"/>
    </xf>
    <xf numFmtId="18" fontId="7" fillId="0" borderId="1" xfId="0" applyNumberFormat="1" applyFont="1" applyBorder="1" applyAlignment="1">
      <alignment horizontal="center" vertical="center" wrapText="1"/>
    </xf>
    <xf numFmtId="0" fontId="7" fillId="0" borderId="0" xfId="0" applyFont="1" applyAlignment="1">
      <alignment vertical="center"/>
    </xf>
    <xf numFmtId="0" fontId="6" fillId="0" borderId="1" xfId="0" applyFont="1" applyBorder="1" applyAlignment="1">
      <alignment vertical="top" wrapText="1"/>
    </xf>
    <xf numFmtId="0" fontId="17" fillId="0" borderId="0" xfId="0" applyFont="1"/>
    <xf numFmtId="0" fontId="18" fillId="15" borderId="0" xfId="0" applyFont="1" applyFill="1" applyAlignment="1">
      <alignment horizontal="left" vertical="top"/>
    </xf>
    <xf numFmtId="0" fontId="17" fillId="9" borderId="0" xfId="0" applyFont="1" applyFill="1" applyAlignment="1">
      <alignment horizontal="left" vertical="top"/>
    </xf>
    <xf numFmtId="0" fontId="17" fillId="0" borderId="0" xfId="0" applyFont="1" applyAlignment="1">
      <alignment vertical="top"/>
    </xf>
    <xf numFmtId="0" fontId="19" fillId="14" borderId="0" xfId="0" applyFont="1" applyFill="1" applyAlignment="1">
      <alignment horizontal="center" vertical="top"/>
    </xf>
    <xf numFmtId="0" fontId="17" fillId="17" borderId="0" xfId="0" applyFont="1" applyFill="1" applyAlignment="1">
      <alignment horizontal="center" vertical="top"/>
    </xf>
    <xf numFmtId="0" fontId="17" fillId="0" borderId="0" xfId="0" applyFont="1" applyAlignment="1">
      <alignment horizontal="center" vertical="top"/>
    </xf>
    <xf numFmtId="0" fontId="17" fillId="11" borderId="0" xfId="0" applyFont="1" applyFill="1" applyAlignment="1">
      <alignment horizontal="left" vertical="center"/>
    </xf>
    <xf numFmtId="0" fontId="17" fillId="16" borderId="0" xfId="0" applyFont="1" applyFill="1" applyAlignment="1">
      <alignment horizontal="left" vertical="center"/>
    </xf>
    <xf numFmtId="0" fontId="17" fillId="18" borderId="0" xfId="0" applyFont="1" applyFill="1" applyAlignment="1">
      <alignment horizontal="center" vertical="center"/>
    </xf>
    <xf numFmtId="0" fontId="17" fillId="19" borderId="0" xfId="0" applyFont="1" applyFill="1" applyAlignment="1">
      <alignment horizontal="center" vertical="center"/>
    </xf>
    <xf numFmtId="0" fontId="17" fillId="19" borderId="0" xfId="0" applyFont="1" applyFill="1" applyAlignment="1">
      <alignment vertical="center"/>
    </xf>
    <xf numFmtId="0" fontId="17" fillId="10" borderId="0" xfId="0" applyFont="1" applyFill="1" applyAlignment="1">
      <alignment horizontal="center" vertical="center"/>
    </xf>
    <xf numFmtId="0" fontId="17" fillId="10" borderId="0" xfId="0" applyFont="1" applyFill="1" applyAlignment="1">
      <alignment horizontal="left" vertical="center"/>
    </xf>
    <xf numFmtId="0" fontId="17" fillId="7" borderId="0" xfId="0" applyFont="1" applyFill="1" applyAlignment="1">
      <alignment horizontal="center" vertical="center"/>
    </xf>
    <xf numFmtId="0" fontId="17" fillId="7" borderId="0" xfId="0" applyFont="1" applyFill="1" applyAlignment="1">
      <alignment horizontal="left" vertical="center"/>
    </xf>
    <xf numFmtId="0" fontId="17" fillId="7" borderId="0" xfId="0" applyFont="1" applyFill="1" applyAlignment="1">
      <alignment vertical="center"/>
    </xf>
    <xf numFmtId="0" fontId="17" fillId="0" borderId="0" xfId="0" applyFont="1" applyAlignment="1">
      <alignment horizontal="left" vertical="center"/>
    </xf>
    <xf numFmtId="0" fontId="7" fillId="0" borderId="0" xfId="0" applyFont="1" applyAlignment="1">
      <alignment horizontal="center" vertical="center"/>
    </xf>
    <xf numFmtId="21" fontId="7" fillId="10" borderId="0" xfId="0" applyNumberFormat="1" applyFont="1" applyFill="1" applyAlignment="1">
      <alignment horizontal="center" vertical="center"/>
    </xf>
    <xf numFmtId="0" fontId="7" fillId="6" borderId="0" xfId="0" applyFont="1" applyFill="1" applyAlignment="1">
      <alignment vertical="center" wrapText="1"/>
    </xf>
    <xf numFmtId="165" fontId="7" fillId="0" borderId="0" xfId="0" applyNumberFormat="1" applyFont="1" applyAlignment="1">
      <alignment horizontal="center" vertical="center"/>
    </xf>
    <xf numFmtId="0" fontId="7" fillId="8" borderId="0" xfId="0" applyFont="1" applyFill="1" applyAlignment="1">
      <alignment vertical="center" wrapText="1"/>
    </xf>
    <xf numFmtId="0" fontId="17" fillId="13" borderId="0" xfId="0" applyFont="1" applyFill="1" applyAlignment="1">
      <alignment horizontal="center" vertical="top"/>
    </xf>
    <xf numFmtId="0" fontId="17" fillId="7" borderId="0" xfId="0" applyFont="1" applyFill="1" applyAlignment="1">
      <alignment horizontal="center" vertical="top"/>
    </xf>
    <xf numFmtId="0" fontId="7" fillId="0" borderId="1" xfId="0" applyFont="1" applyBorder="1" applyAlignment="1">
      <alignment horizontal="center" vertical="center"/>
    </xf>
    <xf numFmtId="167" fontId="7" fillId="0" borderId="1" xfId="0" applyNumberFormat="1" applyFont="1" applyBorder="1" applyAlignment="1">
      <alignment horizontal="center" vertical="center" wrapText="1"/>
    </xf>
    <xf numFmtId="0" fontId="7" fillId="7" borderId="0" xfId="0" applyFont="1" applyFill="1" applyAlignment="1">
      <alignment horizontal="center" vertical="center"/>
    </xf>
    <xf numFmtId="0" fontId="9" fillId="0" borderId="0" xfId="0" applyFont="1" applyAlignment="1">
      <alignment vertical="center" wrapText="1"/>
    </xf>
    <xf numFmtId="0" fontId="7" fillId="0" borderId="0" xfId="0" applyFont="1" applyAlignment="1">
      <alignment vertical="center" wrapText="1"/>
    </xf>
    <xf numFmtId="0" fontId="7" fillId="10" borderId="0" xfId="0" applyFont="1" applyFill="1" applyAlignment="1">
      <alignment horizontal="center" vertical="center"/>
    </xf>
    <xf numFmtId="0" fontId="7" fillId="13" borderId="0" xfId="0" applyFont="1" applyFill="1" applyAlignment="1">
      <alignment horizontal="center" vertical="center"/>
    </xf>
    <xf numFmtId="0" fontId="7" fillId="3" borderId="0" xfId="0" applyFont="1" applyFill="1" applyAlignment="1">
      <alignment vertical="center" wrapText="1"/>
    </xf>
    <xf numFmtId="0" fontId="7" fillId="5" borderId="0" xfId="0" applyFont="1" applyFill="1" applyAlignment="1">
      <alignment horizontal="center" vertical="center"/>
    </xf>
    <xf numFmtId="0" fontId="8" fillId="22" borderId="0" xfId="0" applyFont="1" applyFill="1" applyAlignment="1">
      <alignment horizontal="center" vertical="center" wrapText="1"/>
    </xf>
    <xf numFmtId="0" fontId="8" fillId="25" borderId="0" xfId="0" applyFont="1" applyFill="1" applyAlignment="1">
      <alignment horizontal="center" vertical="center"/>
    </xf>
    <xf numFmtId="0" fontId="7" fillId="0" borderId="0" xfId="0" applyFont="1" applyAlignment="1">
      <alignment horizontal="center"/>
    </xf>
    <xf numFmtId="0" fontId="7" fillId="0" borderId="0" xfId="0" applyFont="1" applyAlignment="1">
      <alignment horizontal="center" vertical="center" wrapText="1"/>
    </xf>
    <xf numFmtId="0" fontId="7" fillId="0" borderId="0" xfId="0" applyFont="1"/>
    <xf numFmtId="0" fontId="13" fillId="0" borderId="0" xfId="0" applyFont="1" applyAlignment="1">
      <alignment horizontal="left" vertical="center"/>
    </xf>
    <xf numFmtId="0" fontId="42" fillId="0" borderId="0" xfId="0" applyFont="1" applyAlignment="1">
      <alignment horizontal="right" vertical="center"/>
    </xf>
    <xf numFmtId="0" fontId="7" fillId="0" borderId="0" xfId="0" applyFont="1" applyAlignment="1">
      <alignment horizontal="left" vertical="center"/>
    </xf>
    <xf numFmtId="0" fontId="43" fillId="0" borderId="0" xfId="0" applyFont="1" applyAlignment="1">
      <alignment horizontal="right" vertical="center"/>
    </xf>
    <xf numFmtId="0" fontId="7" fillId="0" borderId="0" xfId="0" applyFont="1" applyAlignment="1">
      <alignment horizontal="center" vertical="top"/>
    </xf>
    <xf numFmtId="0" fontId="14" fillId="0" borderId="0" xfId="0" applyFont="1" applyAlignment="1">
      <alignment horizontal="center" vertical="top"/>
    </xf>
    <xf numFmtId="0" fontId="7" fillId="0" borderId="0" xfId="0" applyFont="1" applyAlignment="1">
      <alignment horizontal="right" vertical="center"/>
    </xf>
    <xf numFmtId="0" fontId="14" fillId="23" borderId="11" xfId="0" applyFont="1" applyFill="1" applyBorder="1" applyAlignment="1">
      <alignment vertical="top" wrapText="1"/>
    </xf>
    <xf numFmtId="0" fontId="14" fillId="23" borderId="7" xfId="0" applyFont="1" applyFill="1" applyBorder="1" applyAlignment="1">
      <alignment vertical="top" wrapText="1"/>
    </xf>
    <xf numFmtId="0" fontId="7" fillId="20" borderId="11" xfId="0" applyFont="1" applyFill="1" applyBorder="1"/>
    <xf numFmtId="0" fontId="7" fillId="12" borderId="11" xfId="0" applyFont="1" applyFill="1" applyBorder="1"/>
    <xf numFmtId="0" fontId="7" fillId="12" borderId="7" xfId="0" applyFont="1" applyFill="1" applyBorder="1"/>
    <xf numFmtId="0" fontId="6" fillId="10" borderId="11" xfId="0" applyFont="1" applyFill="1" applyBorder="1" applyAlignment="1">
      <alignment vertical="top" wrapText="1"/>
    </xf>
    <xf numFmtId="0" fontId="6" fillId="10" borderId="7" xfId="0" applyFont="1" applyFill="1" applyBorder="1" applyAlignment="1">
      <alignment vertical="top" wrapText="1"/>
    </xf>
    <xf numFmtId="0" fontId="6" fillId="10" borderId="6" xfId="0" applyFont="1" applyFill="1" applyBorder="1" applyAlignment="1">
      <alignment vertical="top" wrapText="1"/>
    </xf>
    <xf numFmtId="0" fontId="45" fillId="0" borderId="0" xfId="0" applyFont="1" applyAlignment="1">
      <alignment horizontal="right" vertical="center"/>
    </xf>
    <xf numFmtId="0" fontId="4" fillId="0" borderId="1" xfId="0" applyFont="1" applyBorder="1" applyAlignment="1">
      <alignment horizontal="center" vertical="center" wrapText="1"/>
    </xf>
    <xf numFmtId="0" fontId="44" fillId="2" borderId="2" xfId="0" applyFont="1" applyFill="1" applyBorder="1" applyAlignment="1">
      <alignment horizontal="center" vertical="top" wrapText="1"/>
    </xf>
    <xf numFmtId="0" fontId="44" fillId="2" borderId="1" xfId="0" applyFont="1" applyFill="1" applyBorder="1" applyAlignment="1">
      <alignment horizontal="center" vertical="top" wrapText="1"/>
    </xf>
    <xf numFmtId="0" fontId="44" fillId="4" borderId="1" xfId="0" applyFont="1" applyFill="1" applyBorder="1" applyAlignment="1">
      <alignment horizontal="center" vertical="top" wrapText="1"/>
    </xf>
    <xf numFmtId="0" fontId="1" fillId="23" borderId="6" xfId="0" applyFont="1" applyFill="1" applyBorder="1" applyAlignment="1">
      <alignment vertical="top"/>
    </xf>
    <xf numFmtId="0" fontId="14" fillId="9" borderId="1" xfId="0" applyFont="1" applyFill="1" applyBorder="1" applyAlignment="1">
      <alignment horizontal="center" vertical="top" wrapText="1"/>
    </xf>
    <xf numFmtId="0" fontId="15" fillId="0" borderId="0" xfId="0" applyFont="1" applyAlignment="1">
      <alignment horizontal="left" vertical="center"/>
    </xf>
    <xf numFmtId="0" fontId="1" fillId="42" borderId="1" xfId="0" applyFont="1" applyFill="1" applyBorder="1" applyAlignment="1">
      <alignment horizontal="center" vertical="top" wrapText="1"/>
    </xf>
    <xf numFmtId="0" fontId="15" fillId="0" borderId="0" xfId="0" applyFont="1" applyAlignment="1">
      <alignment horizontal="left" vertical="center" indent="4"/>
    </xf>
    <xf numFmtId="0" fontId="14" fillId="21" borderId="1" xfId="0" applyFont="1" applyFill="1" applyBorder="1" applyAlignment="1">
      <alignment horizontal="center" vertical="center" wrapText="1"/>
    </xf>
    <xf numFmtId="0" fontId="1" fillId="24" borderId="6" xfId="0" applyFont="1" applyFill="1" applyBorder="1" applyAlignment="1">
      <alignment vertical="top"/>
    </xf>
    <xf numFmtId="0" fontId="43" fillId="0" borderId="0" xfId="0" applyFont="1" applyAlignment="1">
      <alignment horizontal="right" vertical="center" indent="1"/>
    </xf>
    <xf numFmtId="9" fontId="7" fillId="0" borderId="0" xfId="0" applyNumberFormat="1" applyFont="1" applyAlignment="1">
      <alignment horizontal="center" vertical="center"/>
    </xf>
    <xf numFmtId="0" fontId="7" fillId="16" borderId="2" xfId="0" applyFont="1" applyFill="1" applyBorder="1" applyAlignment="1">
      <alignment horizontal="center" vertical="top" wrapText="1"/>
    </xf>
    <xf numFmtId="0" fontId="7" fillId="16" borderId="2" xfId="0" applyFont="1" applyFill="1" applyBorder="1" applyAlignment="1">
      <alignment horizontal="center" vertical="center"/>
    </xf>
    <xf numFmtId="0" fontId="7" fillId="7" borderId="3" xfId="0" applyFont="1" applyFill="1" applyBorder="1" applyAlignment="1">
      <alignment horizontal="center" vertical="center" wrapText="1"/>
    </xf>
    <xf numFmtId="0" fontId="7" fillId="7" borderId="4" xfId="0" applyFont="1" applyFill="1" applyBorder="1" applyAlignment="1">
      <alignment horizontal="center" vertical="center" wrapText="1"/>
    </xf>
    <xf numFmtId="0" fontId="14" fillId="13" borderId="1" xfId="0" applyFont="1" applyFill="1" applyBorder="1" applyAlignment="1">
      <alignment horizontal="center" vertical="center" wrapText="1"/>
    </xf>
    <xf numFmtId="0" fontId="14" fillId="5" borderId="1" xfId="0" applyFont="1" applyFill="1" applyBorder="1" applyAlignment="1">
      <alignment horizontal="center" vertical="center" wrapText="1"/>
    </xf>
    <xf numFmtId="0" fontId="7" fillId="13" borderId="0" xfId="0" applyFont="1" applyFill="1" applyAlignment="1">
      <alignment vertical="center"/>
    </xf>
    <xf numFmtId="0" fontId="14" fillId="13" borderId="0" xfId="0" applyFont="1" applyFill="1" applyAlignment="1">
      <alignment vertical="center"/>
    </xf>
    <xf numFmtId="0" fontId="7" fillId="19" borderId="0" xfId="0" applyFont="1" applyFill="1" applyAlignment="1">
      <alignment horizontal="center" vertical="center"/>
    </xf>
    <xf numFmtId="0" fontId="14" fillId="0" borderId="0" xfId="0" applyFont="1" applyAlignment="1">
      <alignment horizontal="center" vertical="center"/>
    </xf>
    <xf numFmtId="0" fontId="14" fillId="44" borderId="1" xfId="0" quotePrefix="1" applyFont="1" applyFill="1" applyBorder="1" applyAlignment="1">
      <alignment horizontal="center" vertical="center"/>
    </xf>
    <xf numFmtId="0" fontId="14" fillId="7" borderId="1" xfId="0" quotePrefix="1" applyFont="1" applyFill="1" applyBorder="1" applyAlignment="1">
      <alignment horizontal="center" vertical="center"/>
    </xf>
    <xf numFmtId="10" fontId="14" fillId="7" borderId="1" xfId="125" quotePrefix="1" applyNumberFormat="1" applyFont="1" applyFill="1" applyBorder="1" applyAlignment="1">
      <alignment horizontal="center" vertical="center"/>
    </xf>
    <xf numFmtId="0" fontId="14" fillId="0" borderId="0" xfId="0" applyFont="1" applyAlignment="1">
      <alignment horizontal="right" vertical="center" indent="1"/>
    </xf>
    <xf numFmtId="0" fontId="7" fillId="11" borderId="2" xfId="0" applyFont="1" applyFill="1" applyBorder="1" applyAlignment="1">
      <alignment horizontal="center" vertical="center"/>
    </xf>
    <xf numFmtId="0" fontId="7" fillId="11" borderId="2" xfId="0" applyFont="1" applyFill="1" applyBorder="1" applyAlignment="1">
      <alignment horizontal="center" vertical="top" wrapText="1"/>
    </xf>
    <xf numFmtId="0" fontId="14" fillId="5" borderId="0" xfId="0" applyFont="1" applyFill="1" applyAlignment="1">
      <alignment vertical="center"/>
    </xf>
    <xf numFmtId="0" fontId="7" fillId="5" borderId="0" xfId="0" applyFont="1" applyFill="1" applyAlignment="1">
      <alignment vertical="center"/>
    </xf>
    <xf numFmtId="0" fontId="7" fillId="10" borderId="3" xfId="0" applyFont="1" applyFill="1" applyBorder="1" applyAlignment="1">
      <alignment horizontal="center" vertical="center" wrapText="1"/>
    </xf>
    <xf numFmtId="0" fontId="7" fillId="10" borderId="4" xfId="0" applyFont="1" applyFill="1" applyBorder="1" applyAlignment="1">
      <alignment horizontal="center" vertical="center" wrapText="1"/>
    </xf>
    <xf numFmtId="10" fontId="14" fillId="0" borderId="0" xfId="125" applyNumberFormat="1" applyFont="1" applyAlignment="1">
      <alignment horizontal="center" vertical="center"/>
    </xf>
    <xf numFmtId="0" fontId="7" fillId="18" borderId="0" xfId="0" applyFont="1" applyFill="1" applyAlignment="1">
      <alignment horizontal="center" vertical="center"/>
    </xf>
    <xf numFmtId="10" fontId="7" fillId="0" borderId="0" xfId="0" applyNumberFormat="1" applyFont="1" applyAlignment="1">
      <alignment horizontal="center" vertical="center"/>
    </xf>
    <xf numFmtId="0" fontId="17" fillId="16" borderId="0" xfId="0" applyFont="1" applyFill="1" applyAlignment="1">
      <alignment horizontal="center" vertical="center"/>
    </xf>
    <xf numFmtId="0" fontId="17" fillId="0" borderId="0" xfId="0" applyFont="1" applyAlignment="1">
      <alignment horizontal="center" vertical="center"/>
    </xf>
    <xf numFmtId="0" fontId="17" fillId="0" borderId="0" xfId="0" applyFont="1" applyAlignment="1">
      <alignment horizontal="center"/>
    </xf>
    <xf numFmtId="0" fontId="18" fillId="11" borderId="0" xfId="0" applyFont="1" applyFill="1" applyAlignment="1">
      <alignment horizontal="left" vertical="center"/>
    </xf>
    <xf numFmtId="0" fontId="46" fillId="4" borderId="1" xfId="0" applyFont="1" applyFill="1" applyBorder="1" applyAlignment="1">
      <alignment horizontal="center" vertical="center" wrapText="1"/>
    </xf>
    <xf numFmtId="0" fontId="7" fillId="46" borderId="1" xfId="0" applyFont="1" applyFill="1" applyBorder="1" applyAlignment="1">
      <alignment horizontal="center" vertical="center"/>
    </xf>
    <xf numFmtId="0" fontId="0" fillId="0" borderId="0" xfId="0" applyAlignment="1">
      <alignment horizontal="right" vertical="center"/>
    </xf>
    <xf numFmtId="0" fontId="7" fillId="0" borderId="0" xfId="0" applyFont="1" applyAlignment="1">
      <alignment horizontal="right" vertical="center" wrapText="1"/>
    </xf>
    <xf numFmtId="0" fontId="1" fillId="49" borderId="6" xfId="0" applyFont="1" applyFill="1" applyBorder="1" applyAlignment="1">
      <alignment vertical="top"/>
    </xf>
    <xf numFmtId="0" fontId="6" fillId="7" borderId="1" xfId="0" applyFont="1" applyFill="1" applyBorder="1" applyAlignment="1">
      <alignment vertical="top" wrapText="1"/>
    </xf>
    <xf numFmtId="0" fontId="1" fillId="48" borderId="1" xfId="0" applyFont="1" applyFill="1" applyBorder="1" applyAlignment="1">
      <alignment horizontal="center" vertical="top"/>
    </xf>
    <xf numFmtId="0" fontId="7" fillId="47" borderId="11" xfId="0" applyFont="1" applyFill="1" applyBorder="1"/>
    <xf numFmtId="0" fontId="7" fillId="47" borderId="7" xfId="0" applyFont="1" applyFill="1" applyBorder="1"/>
    <xf numFmtId="0" fontId="5" fillId="6" borderId="2" xfId="0" applyFont="1" applyFill="1" applyBorder="1" applyAlignment="1">
      <alignment horizontal="center" vertical="top" wrapText="1"/>
    </xf>
    <xf numFmtId="0" fontId="7" fillId="0" borderId="0" xfId="0" applyFont="1" applyAlignment="1">
      <alignment wrapText="1"/>
    </xf>
    <xf numFmtId="0" fontId="7" fillId="9" borderId="1" xfId="0" applyFont="1" applyFill="1" applyBorder="1" applyAlignment="1">
      <alignment horizontal="center" vertical="top" wrapText="1"/>
    </xf>
    <xf numFmtId="0" fontId="5" fillId="6" borderId="3" xfId="0" applyFont="1" applyFill="1" applyBorder="1" applyAlignment="1">
      <alignment horizontal="center" vertical="top" wrapText="1"/>
    </xf>
    <xf numFmtId="0" fontId="5" fillId="6" borderId="4" xfId="0" applyFont="1" applyFill="1" applyBorder="1" applyAlignment="1">
      <alignment horizontal="center" vertical="top" wrapText="1"/>
    </xf>
    <xf numFmtId="0" fontId="7" fillId="0" borderId="0" xfId="0" applyFont="1" applyAlignment="1">
      <alignment horizontal="left" vertical="center" wrapText="1"/>
    </xf>
    <xf numFmtId="0" fontId="7" fillId="7" borderId="0" xfId="0" applyFont="1" applyFill="1" applyAlignment="1">
      <alignment horizontal="center" vertical="center" wrapText="1"/>
    </xf>
    <xf numFmtId="165" fontId="7" fillId="10" borderId="0" xfId="0" applyNumberFormat="1" applyFont="1" applyFill="1" applyAlignment="1">
      <alignment horizontal="center" vertical="center" wrapText="1"/>
    </xf>
    <xf numFmtId="0" fontId="21" fillId="0" borderId="0" xfId="0" applyFont="1" applyAlignment="1">
      <alignment horizontal="center" vertical="center" wrapText="1"/>
    </xf>
    <xf numFmtId="165" fontId="7" fillId="0" borderId="0" xfId="0" applyNumberFormat="1" applyFont="1" applyAlignment="1">
      <alignment horizontal="center" vertical="center" wrapText="1"/>
    </xf>
    <xf numFmtId="0" fontId="6" fillId="0" borderId="6" xfId="0" applyFont="1" applyBorder="1" applyAlignment="1">
      <alignment horizontal="left" vertical="top" wrapText="1"/>
    </xf>
    <xf numFmtId="0" fontId="48" fillId="0" borderId="0" xfId="0" applyFont="1" applyAlignment="1">
      <alignment horizontal="center" vertical="center"/>
    </xf>
    <xf numFmtId="0" fontId="12" fillId="0" borderId="11" xfId="0" applyFont="1" applyBorder="1" applyAlignment="1">
      <alignment horizontal="center" vertical="top" wrapText="1"/>
    </xf>
    <xf numFmtId="0" fontId="46" fillId="0" borderId="7" xfId="0" applyFont="1" applyBorder="1" applyAlignment="1">
      <alignment horizontal="center" vertical="top" wrapText="1"/>
    </xf>
    <xf numFmtId="10" fontId="7" fillId="7" borderId="1" xfId="125" applyNumberFormat="1" applyFont="1" applyFill="1" applyBorder="1" applyAlignment="1">
      <alignment horizontal="center" vertical="top" wrapText="1"/>
    </xf>
    <xf numFmtId="10" fontId="7" fillId="10" borderId="1" xfId="125" applyNumberFormat="1" applyFont="1" applyFill="1" applyBorder="1" applyAlignment="1">
      <alignment horizontal="center" vertical="top" wrapText="1"/>
    </xf>
    <xf numFmtId="10" fontId="12" fillId="0" borderId="1" xfId="125" applyNumberFormat="1" applyFont="1" applyFill="1" applyBorder="1" applyAlignment="1">
      <alignment horizontal="center" vertical="top" wrapText="1"/>
    </xf>
    <xf numFmtId="0" fontId="5" fillId="6" borderId="1" xfId="0" applyFont="1" applyFill="1" applyBorder="1" applyAlignment="1">
      <alignment horizontal="center" vertical="top" wrapText="1"/>
    </xf>
    <xf numFmtId="0" fontId="0" fillId="8" borderId="0" xfId="0" applyFill="1" applyAlignment="1">
      <alignment wrapText="1"/>
    </xf>
    <xf numFmtId="0" fontId="50" fillId="8" borderId="0" xfId="0" applyFont="1" applyFill="1" applyAlignment="1">
      <alignment horizontal="center" vertical="center" wrapText="1"/>
    </xf>
    <xf numFmtId="0" fontId="50" fillId="8" borderId="0" xfId="0" applyFont="1" applyFill="1" applyAlignment="1">
      <alignment wrapText="1"/>
    </xf>
    <xf numFmtId="0" fontId="7" fillId="0" borderId="3" xfId="125" applyNumberFormat="1" applyFont="1" applyBorder="1" applyAlignment="1">
      <alignment horizontal="center" vertical="center" wrapText="1"/>
    </xf>
    <xf numFmtId="0" fontId="7" fillId="0" borderId="4" xfId="125" applyNumberFormat="1" applyFont="1" applyBorder="1" applyAlignment="1">
      <alignment horizontal="center" vertical="center" wrapText="1"/>
    </xf>
    <xf numFmtId="0" fontId="7" fillId="0" borderId="0" xfId="125" applyNumberFormat="1" applyFont="1" applyAlignment="1">
      <alignment horizontal="center" vertical="center"/>
    </xf>
    <xf numFmtId="0" fontId="14" fillId="0" borderId="0" xfId="125" applyNumberFormat="1" applyFont="1" applyAlignment="1">
      <alignment horizontal="center" vertical="center"/>
    </xf>
    <xf numFmtId="10" fontId="7" fillId="0" borderId="3" xfId="125" applyNumberFormat="1" applyFont="1" applyFill="1" applyBorder="1" applyAlignment="1">
      <alignment horizontal="center" vertical="center" wrapText="1"/>
    </xf>
    <xf numFmtId="10" fontId="7" fillId="0" borderId="4" xfId="125" applyNumberFormat="1" applyFont="1" applyFill="1" applyBorder="1" applyAlignment="1">
      <alignment horizontal="center" vertical="center" wrapText="1"/>
    </xf>
    <xf numFmtId="0" fontId="12" fillId="6" borderId="1" xfId="0" applyFont="1" applyFill="1" applyBorder="1" applyAlignment="1">
      <alignment horizontal="center" vertical="top" wrapText="1"/>
    </xf>
    <xf numFmtId="0" fontId="17" fillId="3" borderId="0" xfId="0" applyFont="1" applyFill="1" applyAlignment="1">
      <alignment horizontal="center" vertical="top"/>
    </xf>
    <xf numFmtId="0" fontId="17" fillId="8" borderId="0" xfId="0" applyFont="1" applyFill="1" applyAlignment="1">
      <alignment horizontal="center" vertical="top"/>
    </xf>
    <xf numFmtId="0" fontId="14" fillId="0" borderId="0" xfId="0" applyFont="1" applyAlignment="1">
      <alignment horizontal="right" vertical="center"/>
    </xf>
    <xf numFmtId="0" fontId="49" fillId="0" borderId="0" xfId="0" applyFont="1"/>
    <xf numFmtId="0" fontId="1" fillId="0" borderId="0" xfId="0" applyFont="1" applyAlignment="1">
      <alignment vertical="center"/>
    </xf>
    <xf numFmtId="0" fontId="13" fillId="0" borderId="0" xfId="0" applyFont="1" applyAlignment="1">
      <alignment vertical="center"/>
    </xf>
    <xf numFmtId="0" fontId="74" fillId="0" borderId="0" xfId="0" applyFont="1" applyAlignment="1">
      <alignment horizontal="right" vertical="center"/>
    </xf>
    <xf numFmtId="10" fontId="4" fillId="0" borderId="1" xfId="0" applyNumberFormat="1" applyFont="1" applyBorder="1" applyAlignment="1">
      <alignment horizontal="center" vertical="center" wrapText="1"/>
    </xf>
    <xf numFmtId="0" fontId="75" fillId="0" borderId="0" xfId="0" applyFont="1" applyAlignment="1">
      <alignment horizontal="right" vertical="center"/>
    </xf>
    <xf numFmtId="0" fontId="15" fillId="0" borderId="0" xfId="0" applyFont="1" applyAlignment="1">
      <alignment vertical="center"/>
    </xf>
    <xf numFmtId="167" fontId="75" fillId="81" borderId="1" xfId="0" applyNumberFormat="1" applyFont="1" applyFill="1" applyBorder="1" applyAlignment="1">
      <alignment horizontal="center" vertical="center" wrapText="1"/>
    </xf>
    <xf numFmtId="10" fontId="14" fillId="0" borderId="1" xfId="0" applyNumberFormat="1" applyFont="1" applyBorder="1" applyAlignment="1">
      <alignment horizontal="center" vertical="center" wrapText="1"/>
    </xf>
    <xf numFmtId="0" fontId="17" fillId="82" borderId="0" xfId="0" applyFont="1" applyFill="1" applyAlignment="1">
      <alignment horizontal="center" vertical="top"/>
    </xf>
    <xf numFmtId="0" fontId="17" fillId="43" borderId="0" xfId="0" applyFont="1" applyFill="1" applyAlignment="1">
      <alignment horizontal="center" vertical="top"/>
    </xf>
    <xf numFmtId="0" fontId="12" fillId="6" borderId="2" xfId="0" applyFont="1" applyFill="1" applyBorder="1" applyAlignment="1">
      <alignment horizontal="center" vertical="top" wrapText="1"/>
    </xf>
    <xf numFmtId="0" fontId="12" fillId="6" borderId="3" xfId="0" applyFont="1" applyFill="1" applyBorder="1" applyAlignment="1">
      <alignment horizontal="center" vertical="top" wrapText="1"/>
    </xf>
    <xf numFmtId="0" fontId="12" fillId="6" borderId="4" xfId="0" applyFont="1" applyFill="1" applyBorder="1" applyAlignment="1">
      <alignment horizontal="center" vertical="top" wrapText="1"/>
    </xf>
    <xf numFmtId="0" fontId="12" fillId="6" borderId="23" xfId="0" applyFont="1" applyFill="1" applyBorder="1" applyAlignment="1">
      <alignment horizontal="center" vertical="top" wrapText="1"/>
    </xf>
    <xf numFmtId="0" fontId="9" fillId="0" borderId="1" xfId="0" applyFont="1" applyBorder="1" applyAlignment="1">
      <alignment horizontal="center" vertical="center" wrapText="1"/>
    </xf>
    <xf numFmtId="0" fontId="17" fillId="6" borderId="34" xfId="0" applyFont="1" applyFill="1" applyBorder="1" applyAlignment="1">
      <alignment horizontal="center" vertical="top" wrapText="1"/>
    </xf>
    <xf numFmtId="10" fontId="18" fillId="6" borderId="34" xfId="125" applyNumberFormat="1" applyFont="1" applyFill="1" applyBorder="1" applyAlignment="1">
      <alignment horizontal="center" vertical="top" wrapText="1"/>
    </xf>
    <xf numFmtId="10" fontId="17" fillId="12" borderId="34" xfId="125" applyNumberFormat="1" applyFont="1" applyFill="1" applyBorder="1" applyAlignment="1">
      <alignment horizontal="center" vertical="top" wrapText="1"/>
    </xf>
    <xf numFmtId="0" fontId="17" fillId="83" borderId="34" xfId="0" applyFont="1" applyFill="1" applyBorder="1" applyAlignment="1">
      <alignment horizontal="center" vertical="top" wrapText="1"/>
    </xf>
    <xf numFmtId="169" fontId="17" fillId="6" borderId="34" xfId="0" applyNumberFormat="1" applyFont="1" applyFill="1" applyBorder="1" applyAlignment="1">
      <alignment horizontal="center" vertical="top" wrapText="1"/>
    </xf>
    <xf numFmtId="0" fontId="17" fillId="12" borderId="34" xfId="0" applyFont="1" applyFill="1" applyBorder="1" applyAlignment="1">
      <alignment horizontal="center" vertical="top" wrapText="1"/>
    </xf>
    <xf numFmtId="0" fontId="17" fillId="7" borderId="34" xfId="0" applyFont="1" applyFill="1" applyBorder="1" applyAlignment="1">
      <alignment horizontal="center" vertical="top" wrapText="1"/>
    </xf>
    <xf numFmtId="0" fontId="17" fillId="8" borderId="34" xfId="0" applyFont="1" applyFill="1" applyBorder="1" applyAlignment="1">
      <alignment horizontal="center" vertical="top" wrapText="1"/>
    </xf>
    <xf numFmtId="0" fontId="17" fillId="10" borderId="34" xfId="0" applyFont="1" applyFill="1" applyBorder="1" applyAlignment="1">
      <alignment horizontal="center" vertical="top" wrapText="1"/>
    </xf>
    <xf numFmtId="0" fontId="17" fillId="11" borderId="34" xfId="0" applyFont="1" applyFill="1" applyBorder="1" applyAlignment="1">
      <alignment horizontal="center" vertical="top" wrapText="1"/>
    </xf>
    <xf numFmtId="0" fontId="17" fillId="43" borderId="34" xfId="0" applyFont="1" applyFill="1" applyBorder="1" applyAlignment="1">
      <alignment horizontal="center" vertical="top" wrapText="1"/>
    </xf>
    <xf numFmtId="0" fontId="17" fillId="9" borderId="34" xfId="0" applyFont="1" applyFill="1" applyBorder="1" applyAlignment="1">
      <alignment horizontal="center" vertical="top" wrapText="1"/>
    </xf>
    <xf numFmtId="0" fontId="17" fillId="0" borderId="34" xfId="0" applyFont="1" applyBorder="1" applyAlignment="1">
      <alignment horizontal="center" vertical="top" wrapText="1"/>
    </xf>
    <xf numFmtId="0" fontId="76" fillId="9" borderId="0" xfId="0" applyFont="1" applyFill="1" applyAlignment="1">
      <alignment horizontal="left" vertical="top"/>
    </xf>
    <xf numFmtId="0" fontId="8" fillId="0" borderId="0" xfId="0" applyFont="1" applyAlignment="1">
      <alignment horizontal="left" vertical="center"/>
    </xf>
    <xf numFmtId="0" fontId="8" fillId="0" borderId="0" xfId="0" applyFont="1"/>
    <xf numFmtId="18" fontId="17" fillId="0" borderId="0" xfId="0" applyNumberFormat="1" applyFont="1"/>
    <xf numFmtId="10" fontId="17" fillId="0" borderId="0" xfId="125" applyNumberFormat="1" applyFont="1"/>
    <xf numFmtId="170" fontId="17" fillId="0" borderId="0" xfId="0" applyNumberFormat="1" applyFont="1"/>
    <xf numFmtId="46" fontId="17" fillId="0" borderId="0" xfId="0" applyNumberFormat="1" applyFont="1"/>
    <xf numFmtId="0" fontId="18" fillId="11" borderId="38" xfId="0" applyFont="1" applyFill="1" applyBorder="1" applyAlignment="1">
      <alignment vertical="center"/>
    </xf>
    <xf numFmtId="0" fontId="18" fillId="10" borderId="36" xfId="0" applyFont="1" applyFill="1" applyBorder="1" applyAlignment="1">
      <alignment vertical="center"/>
    </xf>
    <xf numFmtId="0" fontId="18" fillId="11" borderId="36" xfId="0" applyFont="1" applyFill="1" applyBorder="1" applyAlignment="1">
      <alignment vertical="center"/>
    </xf>
    <xf numFmtId="0" fontId="18" fillId="6" borderId="37" xfId="0" applyFont="1" applyFill="1" applyBorder="1" applyAlignment="1">
      <alignment vertical="center"/>
    </xf>
    <xf numFmtId="0" fontId="18" fillId="46" borderId="40" xfId="0" applyFont="1" applyFill="1" applyBorder="1" applyAlignment="1">
      <alignment horizontal="center" vertical="center"/>
    </xf>
    <xf numFmtId="0" fontId="6" fillId="0" borderId="6" xfId="0" applyFont="1" applyBorder="1" applyAlignment="1">
      <alignment horizontal="left" vertical="top" wrapText="1"/>
    </xf>
    <xf numFmtId="0" fontId="6" fillId="0" borderId="7" xfId="0" applyFont="1" applyBorder="1" applyAlignment="1">
      <alignment horizontal="left" vertical="top" wrapText="1"/>
    </xf>
    <xf numFmtId="0" fontId="44" fillId="2" borderId="6" xfId="0" applyFont="1" applyFill="1" applyBorder="1" applyAlignment="1">
      <alignment horizontal="center" vertical="top" wrapText="1"/>
    </xf>
    <xf numFmtId="0" fontId="44" fillId="2" borderId="7" xfId="0" applyFont="1" applyFill="1" applyBorder="1" applyAlignment="1">
      <alignment horizontal="center" vertical="top" wrapText="1"/>
    </xf>
    <xf numFmtId="0" fontId="44" fillId="2" borderId="11" xfId="0" applyFont="1" applyFill="1" applyBorder="1" applyAlignment="1">
      <alignment horizontal="center" vertical="top" wrapText="1"/>
    </xf>
    <xf numFmtId="0" fontId="6" fillId="0" borderId="6" xfId="0" applyFont="1" applyBorder="1" applyAlignment="1">
      <alignment horizontal="center" vertical="top" wrapText="1"/>
    </xf>
    <xf numFmtId="0" fontId="6" fillId="0" borderId="11" xfId="0" applyFont="1" applyBorder="1" applyAlignment="1">
      <alignment horizontal="center" vertical="top" wrapText="1"/>
    </xf>
    <xf numFmtId="0" fontId="6" fillId="0" borderId="7" xfId="0" applyFont="1" applyBorder="1" applyAlignment="1">
      <alignment horizontal="center" vertical="top" wrapText="1"/>
    </xf>
    <xf numFmtId="0" fontId="12" fillId="6" borderId="2" xfId="0" applyFont="1" applyFill="1" applyBorder="1" applyAlignment="1">
      <alignment horizontal="center" vertical="top" wrapText="1"/>
    </xf>
    <xf numFmtId="0" fontId="12" fillId="6" borderId="3" xfId="0" applyFont="1" applyFill="1" applyBorder="1" applyAlignment="1">
      <alignment horizontal="center" vertical="top" wrapText="1"/>
    </xf>
    <xf numFmtId="0" fontId="12" fillId="6" borderId="4" xfId="0" applyFont="1" applyFill="1" applyBorder="1" applyAlignment="1">
      <alignment horizontal="center" vertical="top" wrapText="1"/>
    </xf>
    <xf numFmtId="0" fontId="12" fillId="6" borderId="1" xfId="0" applyFont="1" applyFill="1" applyBorder="1" applyAlignment="1">
      <alignment horizontal="center" vertical="top" wrapText="1"/>
    </xf>
    <xf numFmtId="0" fontId="14" fillId="5" borderId="6" xfId="0" applyFont="1" applyFill="1" applyBorder="1" applyAlignment="1">
      <alignment horizontal="center" vertical="center" wrapText="1"/>
    </xf>
    <xf numFmtId="0" fontId="14" fillId="5" borderId="11" xfId="0" applyFont="1" applyFill="1" applyBorder="1" applyAlignment="1">
      <alignment horizontal="center" vertical="center" wrapText="1"/>
    </xf>
    <xf numFmtId="0" fontId="14" fillId="13" borderId="10" xfId="0" applyFont="1" applyFill="1" applyBorder="1" applyAlignment="1">
      <alignment horizontal="center" vertical="center" wrapText="1"/>
    </xf>
    <xf numFmtId="0" fontId="14" fillId="13" borderId="5" xfId="0" applyFont="1" applyFill="1" applyBorder="1" applyAlignment="1">
      <alignment horizontal="center" vertical="center" wrapText="1"/>
    </xf>
    <xf numFmtId="0" fontId="1" fillId="45" borderId="6" xfId="0" applyFont="1" applyFill="1" applyBorder="1" applyAlignment="1">
      <alignment horizontal="center" vertical="center"/>
    </xf>
    <xf numFmtId="0" fontId="1" fillId="45" borderId="11" xfId="0" applyFont="1" applyFill="1" applyBorder="1" applyAlignment="1">
      <alignment horizontal="center" vertical="center"/>
    </xf>
    <xf numFmtId="0" fontId="1" fillId="45" borderId="7" xfId="0" applyFont="1" applyFill="1" applyBorder="1" applyAlignment="1">
      <alignment horizontal="center" vertical="center"/>
    </xf>
    <xf numFmtId="0" fontId="7" fillId="0" borderId="21" xfId="0" applyFont="1" applyBorder="1" applyAlignment="1">
      <alignment horizontal="left" vertical="center" wrapText="1"/>
    </xf>
    <xf numFmtId="0" fontId="7" fillId="0" borderId="24" xfId="0" applyFont="1" applyBorder="1" applyAlignment="1">
      <alignment horizontal="left" vertical="center" wrapText="1"/>
    </xf>
    <xf numFmtId="0" fontId="7" fillId="0" borderId="22" xfId="0" applyFont="1" applyBorder="1" applyAlignment="1">
      <alignment horizontal="left" vertical="center" wrapText="1"/>
    </xf>
    <xf numFmtId="0" fontId="7" fillId="0" borderId="8" xfId="0" applyFont="1" applyBorder="1" applyAlignment="1">
      <alignment horizontal="left" vertical="center" wrapText="1"/>
    </xf>
    <xf numFmtId="0" fontId="7" fillId="0" borderId="0" xfId="0" applyFont="1" applyAlignment="1">
      <alignment horizontal="left" vertical="center" wrapText="1"/>
    </xf>
    <xf numFmtId="0" fontId="7" fillId="0" borderId="9" xfId="0" applyFont="1" applyBorder="1" applyAlignment="1">
      <alignment horizontal="left" vertical="center" wrapText="1"/>
    </xf>
    <xf numFmtId="0" fontId="7" fillId="0" borderId="10" xfId="0" applyFont="1" applyBorder="1" applyAlignment="1">
      <alignment horizontal="left" vertical="center" wrapText="1"/>
    </xf>
    <xf numFmtId="0" fontId="7" fillId="0" borderId="5" xfId="0" applyFont="1" applyBorder="1" applyAlignment="1">
      <alignment horizontal="left" vertical="center" wrapText="1"/>
    </xf>
    <xf numFmtId="0" fontId="7" fillId="0" borderId="23" xfId="0" applyFont="1" applyBorder="1" applyAlignment="1">
      <alignment horizontal="left" vertical="center" wrapText="1"/>
    </xf>
    <xf numFmtId="0" fontId="1" fillId="15" borderId="6" xfId="0" applyFont="1" applyFill="1" applyBorder="1" applyAlignment="1">
      <alignment horizontal="center" vertical="center"/>
    </xf>
    <xf numFmtId="0" fontId="1" fillId="15" borderId="11" xfId="0" applyFont="1" applyFill="1" applyBorder="1" applyAlignment="1">
      <alignment horizontal="center" vertical="center"/>
    </xf>
    <xf numFmtId="0" fontId="1" fillId="15" borderId="7" xfId="0" applyFont="1" applyFill="1" applyBorder="1" applyAlignment="1">
      <alignment horizontal="center" vertical="center"/>
    </xf>
    <xf numFmtId="0" fontId="14" fillId="0" borderId="6" xfId="0" applyFont="1" applyBorder="1" applyAlignment="1">
      <alignment horizontal="center" vertical="center"/>
    </xf>
    <xf numFmtId="0" fontId="14" fillId="0" borderId="11" xfId="0" applyFont="1" applyBorder="1" applyAlignment="1">
      <alignment horizontal="center" vertical="center"/>
    </xf>
    <xf numFmtId="0" fontId="14" fillId="0" borderId="7" xfId="0" applyFont="1" applyBorder="1" applyAlignment="1">
      <alignment horizontal="center" vertical="center"/>
    </xf>
    <xf numFmtId="0" fontId="7" fillId="21" borderId="21" xfId="0" applyFont="1" applyFill="1" applyBorder="1" applyAlignment="1">
      <alignment horizontal="center"/>
    </xf>
    <xf numFmtId="0" fontId="7" fillId="21" borderId="24" xfId="0" applyFont="1" applyFill="1" applyBorder="1" applyAlignment="1">
      <alignment horizontal="center"/>
    </xf>
    <xf numFmtId="0" fontId="7" fillId="21" borderId="22" xfId="0" applyFont="1" applyFill="1" applyBorder="1" applyAlignment="1">
      <alignment horizontal="center"/>
    </xf>
    <xf numFmtId="0" fontId="7" fillId="21" borderId="8" xfId="0" applyFont="1" applyFill="1" applyBorder="1" applyAlignment="1">
      <alignment horizontal="center"/>
    </xf>
    <xf numFmtId="0" fontId="7" fillId="21" borderId="0" xfId="0" applyFont="1" applyFill="1" applyAlignment="1">
      <alignment horizontal="center"/>
    </xf>
    <xf numFmtId="0" fontId="7" fillId="21" borderId="9" xfId="0" applyFont="1" applyFill="1" applyBorder="1" applyAlignment="1">
      <alignment horizontal="center"/>
    </xf>
    <xf numFmtId="0" fontId="7" fillId="21" borderId="10" xfId="0" applyFont="1" applyFill="1" applyBorder="1" applyAlignment="1">
      <alignment horizontal="center"/>
    </xf>
    <xf numFmtId="0" fontId="7" fillId="21" borderId="5" xfId="0" applyFont="1" applyFill="1" applyBorder="1" applyAlignment="1">
      <alignment horizontal="center"/>
    </xf>
    <xf numFmtId="0" fontId="7" fillId="21" borderId="23" xfId="0" applyFont="1" applyFill="1" applyBorder="1" applyAlignment="1">
      <alignment horizontal="center"/>
    </xf>
    <xf numFmtId="0" fontId="7" fillId="21" borderId="6" xfId="0" applyFont="1" applyFill="1" applyBorder="1" applyAlignment="1">
      <alignment horizontal="center"/>
    </xf>
    <xf numFmtId="0" fontId="7" fillId="21" borderId="11" xfId="0" applyFont="1" applyFill="1" applyBorder="1" applyAlignment="1">
      <alignment horizontal="center"/>
    </xf>
    <xf numFmtId="0" fontId="7" fillId="21" borderId="7" xfId="0" applyFont="1" applyFill="1" applyBorder="1" applyAlignment="1">
      <alignment horizontal="center"/>
    </xf>
    <xf numFmtId="0" fontId="18" fillId="45" borderId="41" xfId="0" applyFont="1" applyFill="1" applyBorder="1" applyAlignment="1">
      <alignment horizontal="center" vertical="center"/>
    </xf>
    <xf numFmtId="0" fontId="18" fillId="83" borderId="41" xfId="0" applyFont="1" applyFill="1" applyBorder="1" applyAlignment="1">
      <alignment horizontal="center" vertical="center"/>
    </xf>
    <xf numFmtId="0" fontId="18" fillId="45" borderId="38" xfId="0" applyFont="1" applyFill="1" applyBorder="1" applyAlignment="1">
      <alignment horizontal="center" vertical="center"/>
    </xf>
    <xf numFmtId="0" fontId="18" fillId="45" borderId="36" xfId="0" applyFont="1" applyFill="1" applyBorder="1" applyAlignment="1">
      <alignment horizontal="center" vertical="center"/>
    </xf>
    <xf numFmtId="0" fontId="18" fillId="45" borderId="37" xfId="0" applyFont="1" applyFill="1" applyBorder="1" applyAlignment="1">
      <alignment horizontal="center" vertical="center"/>
    </xf>
    <xf numFmtId="0" fontId="18" fillId="81" borderId="42" xfId="0" applyFont="1" applyFill="1" applyBorder="1" applyAlignment="1">
      <alignment horizontal="center" vertical="center"/>
    </xf>
    <xf numFmtId="0" fontId="18" fillId="81" borderId="43" xfId="0" applyFont="1" applyFill="1" applyBorder="1" applyAlignment="1">
      <alignment horizontal="center" vertical="center"/>
    </xf>
    <xf numFmtId="0" fontId="18" fillId="81" borderId="44" xfId="0" applyFont="1" applyFill="1" applyBorder="1" applyAlignment="1">
      <alignment horizontal="center" vertical="center"/>
    </xf>
    <xf numFmtId="0" fontId="18" fillId="11" borderId="36" xfId="0" applyFont="1" applyFill="1" applyBorder="1" applyAlignment="1">
      <alignment horizontal="center" vertical="center"/>
    </xf>
    <xf numFmtId="0" fontId="18" fillId="11" borderId="37" xfId="0" applyFont="1" applyFill="1" applyBorder="1" applyAlignment="1">
      <alignment horizontal="center" vertical="center"/>
    </xf>
    <xf numFmtId="0" fontId="18" fillId="10" borderId="38" xfId="0" applyFont="1" applyFill="1" applyBorder="1" applyAlignment="1">
      <alignment horizontal="center" vertical="center"/>
    </xf>
    <xf numFmtId="0" fontId="18" fillId="10" borderId="36" xfId="0" applyFont="1" applyFill="1" applyBorder="1" applyAlignment="1">
      <alignment horizontal="center" vertical="center"/>
    </xf>
    <xf numFmtId="0" fontId="18" fillId="81" borderId="40" xfId="0" applyFont="1" applyFill="1" applyBorder="1" applyAlignment="1">
      <alignment horizontal="center" vertical="center"/>
    </xf>
    <xf numFmtId="0" fontId="18" fillId="11" borderId="38" xfId="0" applyFont="1" applyFill="1" applyBorder="1" applyAlignment="1">
      <alignment horizontal="center" vertical="center"/>
    </xf>
    <xf numFmtId="0" fontId="18" fillId="85" borderId="38" xfId="0" applyFont="1" applyFill="1" applyBorder="1" applyAlignment="1">
      <alignment horizontal="center" vertical="center"/>
    </xf>
    <xf numFmtId="0" fontId="18" fillId="85" borderId="36" xfId="0" applyFont="1" applyFill="1" applyBorder="1" applyAlignment="1">
      <alignment horizontal="center" vertical="center"/>
    </xf>
    <xf numFmtId="0" fontId="18" fillId="85" borderId="37" xfId="0" applyFont="1" applyFill="1" applyBorder="1" applyAlignment="1">
      <alignment horizontal="center" vertical="center"/>
    </xf>
    <xf numFmtId="0" fontId="18" fillId="84" borderId="38" xfId="0" applyFont="1" applyFill="1" applyBorder="1" applyAlignment="1">
      <alignment horizontal="center" vertical="center"/>
    </xf>
    <xf numFmtId="0" fontId="18" fillId="84" borderId="36" xfId="0" applyFont="1" applyFill="1" applyBorder="1" applyAlignment="1">
      <alignment horizontal="center" vertical="center"/>
    </xf>
    <xf numFmtId="0" fontId="18" fillId="84" borderId="37" xfId="0" applyFont="1" applyFill="1" applyBorder="1" applyAlignment="1">
      <alignment horizontal="center" vertical="center"/>
    </xf>
    <xf numFmtId="0" fontId="18" fillId="13" borderId="39" xfId="0" applyFont="1" applyFill="1" applyBorder="1" applyAlignment="1">
      <alignment horizontal="center" vertical="center"/>
    </xf>
    <xf numFmtId="0" fontId="18" fillId="13" borderId="40" xfId="0" applyFont="1" applyFill="1" applyBorder="1" applyAlignment="1">
      <alignment horizontal="center" vertical="center"/>
    </xf>
    <xf numFmtId="0" fontId="18" fillId="3" borderId="40" xfId="0" applyFont="1" applyFill="1" applyBorder="1" applyAlignment="1">
      <alignment horizontal="center" vertical="center"/>
    </xf>
    <xf numFmtId="0" fontId="18" fillId="22" borderId="36" xfId="0" applyFont="1" applyFill="1" applyBorder="1" applyAlignment="1">
      <alignment horizontal="center" vertical="center"/>
    </xf>
    <xf numFmtId="0" fontId="18" fillId="22" borderId="37" xfId="0" applyFont="1" applyFill="1" applyBorder="1" applyAlignment="1">
      <alignment horizontal="center" vertical="center"/>
    </xf>
    <xf numFmtId="0" fontId="18" fillId="10" borderId="37" xfId="0" applyFont="1" applyFill="1" applyBorder="1" applyAlignment="1">
      <alignment horizontal="center" vertical="center"/>
    </xf>
    <xf numFmtId="0" fontId="18" fillId="45" borderId="35" xfId="0" applyFont="1" applyFill="1" applyBorder="1" applyAlignment="1">
      <alignment horizontal="center" vertical="center"/>
    </xf>
    <xf numFmtId="0" fontId="18" fillId="12" borderId="36" xfId="0" applyFont="1" applyFill="1" applyBorder="1" applyAlignment="1">
      <alignment horizontal="center" vertical="center"/>
    </xf>
    <xf numFmtId="0" fontId="18" fillId="12" borderId="37" xfId="0" applyFont="1" applyFill="1" applyBorder="1" applyAlignment="1">
      <alignment horizontal="center" vertical="center"/>
    </xf>
    <xf numFmtId="0" fontId="18" fillId="16" borderId="38" xfId="0" applyFont="1" applyFill="1" applyBorder="1" applyAlignment="1">
      <alignment horizontal="center" vertical="center"/>
    </xf>
    <xf numFmtId="0" fontId="18" fillId="16" borderId="36" xfId="0" applyFont="1" applyFill="1" applyBorder="1" applyAlignment="1">
      <alignment horizontal="center" vertical="center"/>
    </xf>
    <xf numFmtId="0" fontId="18" fillId="19" borderId="38" xfId="0" applyFont="1" applyFill="1" applyBorder="1" applyAlignment="1">
      <alignment horizontal="center" vertical="center"/>
    </xf>
    <xf numFmtId="0" fontId="18" fillId="19" borderId="36" xfId="0" applyFont="1" applyFill="1" applyBorder="1" applyAlignment="1">
      <alignment horizontal="center" vertical="center"/>
    </xf>
    <xf numFmtId="0" fontId="18" fillId="19" borderId="37" xfId="0" applyFont="1" applyFill="1" applyBorder="1" applyAlignment="1">
      <alignment horizontal="center" vertical="center"/>
    </xf>
    <xf numFmtId="0" fontId="18" fillId="16" borderId="37" xfId="0" applyFont="1" applyFill="1" applyBorder="1" applyAlignment="1">
      <alignment horizontal="center" vertical="center"/>
    </xf>
    <xf numFmtId="0" fontId="7" fillId="0" borderId="1" xfId="0" applyFont="1" applyBorder="1" applyAlignment="1">
      <alignment horizontal="center" vertical="top" wrapText="1"/>
    </xf>
  </cellXfs>
  <cellStyles count="235">
    <cellStyle name="20% - Accent1" xfId="142" builtinId="30" customBuiltin="1"/>
    <cellStyle name="20% - Accent1 2" xfId="2" xr:uid="{00000000-0005-0000-0000-000001000000}"/>
    <cellStyle name="20% - Accent1 3" xfId="3" xr:uid="{00000000-0005-0000-0000-000002000000}"/>
    <cellStyle name="20% - Accent2" xfId="145" builtinId="34" customBuiltin="1"/>
    <cellStyle name="20% - Accent2 2" xfId="4" xr:uid="{00000000-0005-0000-0000-000004000000}"/>
    <cellStyle name="20% - Accent2 3" xfId="5" xr:uid="{00000000-0005-0000-0000-000005000000}"/>
    <cellStyle name="20% - Accent3" xfId="148" builtinId="38" customBuiltin="1"/>
    <cellStyle name="20% - Accent3 2" xfId="6" xr:uid="{00000000-0005-0000-0000-000007000000}"/>
    <cellStyle name="20% - Accent3 3" xfId="7" xr:uid="{00000000-0005-0000-0000-000008000000}"/>
    <cellStyle name="20% - Accent4" xfId="151" builtinId="42" customBuiltin="1"/>
    <cellStyle name="20% - Accent4 2" xfId="8" xr:uid="{00000000-0005-0000-0000-00000A000000}"/>
    <cellStyle name="20% - Accent4 3" xfId="9" xr:uid="{00000000-0005-0000-0000-00000B000000}"/>
    <cellStyle name="20% - Accent5" xfId="154" builtinId="46" customBuiltin="1"/>
    <cellStyle name="20% - Accent5 2" xfId="10" xr:uid="{00000000-0005-0000-0000-00000D000000}"/>
    <cellStyle name="20% - Accent5 3" xfId="11" xr:uid="{00000000-0005-0000-0000-00000E000000}"/>
    <cellStyle name="20% - Accent6" xfId="157" builtinId="50" customBuiltin="1"/>
    <cellStyle name="20% - Accent6 2" xfId="12" xr:uid="{00000000-0005-0000-0000-000010000000}"/>
    <cellStyle name="20% - Accent6 3" xfId="13" xr:uid="{00000000-0005-0000-0000-000011000000}"/>
    <cellStyle name="40% - Accent1" xfId="143" builtinId="31" customBuiltin="1"/>
    <cellStyle name="40% - Accent1 2" xfId="14" xr:uid="{00000000-0005-0000-0000-000013000000}"/>
    <cellStyle name="40% - Accent1 3" xfId="15" xr:uid="{00000000-0005-0000-0000-000014000000}"/>
    <cellStyle name="40% - Accent2" xfId="146" builtinId="35" customBuiltin="1"/>
    <cellStyle name="40% - Accent2 2" xfId="16" xr:uid="{00000000-0005-0000-0000-000016000000}"/>
    <cellStyle name="40% - Accent2 3" xfId="17" xr:uid="{00000000-0005-0000-0000-000017000000}"/>
    <cellStyle name="40% - Accent3" xfId="149" builtinId="39" customBuiltin="1"/>
    <cellStyle name="40% - Accent3 2" xfId="18" xr:uid="{00000000-0005-0000-0000-000019000000}"/>
    <cellStyle name="40% - Accent3 3" xfId="19" xr:uid="{00000000-0005-0000-0000-00001A000000}"/>
    <cellStyle name="40% - Accent4" xfId="152" builtinId="43" customBuiltin="1"/>
    <cellStyle name="40% - Accent4 2" xfId="20" xr:uid="{00000000-0005-0000-0000-00001C000000}"/>
    <cellStyle name="40% - Accent4 3" xfId="21" xr:uid="{00000000-0005-0000-0000-00001D000000}"/>
    <cellStyle name="40% - Accent5" xfId="155" builtinId="47" customBuiltin="1"/>
    <cellStyle name="40% - Accent5 2" xfId="22" xr:uid="{00000000-0005-0000-0000-00001F000000}"/>
    <cellStyle name="40% - Accent5 3" xfId="23" xr:uid="{00000000-0005-0000-0000-000020000000}"/>
    <cellStyle name="40% - Accent6" xfId="158" builtinId="51" customBuiltin="1"/>
    <cellStyle name="40% - Accent6 2" xfId="24" xr:uid="{00000000-0005-0000-0000-000022000000}"/>
    <cellStyle name="40% - Accent6 3" xfId="25" xr:uid="{00000000-0005-0000-0000-000023000000}"/>
    <cellStyle name="60% - Accent1 2" xfId="26" xr:uid="{00000000-0005-0000-0000-000024000000}"/>
    <cellStyle name="60% - Accent1 2 2" xfId="223" xr:uid="{00000000-0005-0000-0000-000025000000}"/>
    <cellStyle name="60% - Accent1 3" xfId="27" xr:uid="{00000000-0005-0000-0000-000026000000}"/>
    <cellStyle name="60% - Accent1 4" xfId="192" xr:uid="{00000000-0005-0000-0000-000027000000}"/>
    <cellStyle name="60% - Accent2 2" xfId="28" xr:uid="{00000000-0005-0000-0000-000028000000}"/>
    <cellStyle name="60% - Accent2 2 2" xfId="224" xr:uid="{00000000-0005-0000-0000-000029000000}"/>
    <cellStyle name="60% - Accent2 3" xfId="29" xr:uid="{00000000-0005-0000-0000-00002A000000}"/>
    <cellStyle name="60% - Accent2 4" xfId="193" xr:uid="{00000000-0005-0000-0000-00002B000000}"/>
    <cellStyle name="60% - Accent3 2" xfId="30" xr:uid="{00000000-0005-0000-0000-00002C000000}"/>
    <cellStyle name="60% - Accent3 2 2" xfId="225" xr:uid="{00000000-0005-0000-0000-00002D000000}"/>
    <cellStyle name="60% - Accent3 3" xfId="31" xr:uid="{00000000-0005-0000-0000-00002E000000}"/>
    <cellStyle name="60% - Accent3 4" xfId="194" xr:uid="{00000000-0005-0000-0000-00002F000000}"/>
    <cellStyle name="60% - Accent4 2" xfId="32" xr:uid="{00000000-0005-0000-0000-000030000000}"/>
    <cellStyle name="60% - Accent4 2 2" xfId="226" xr:uid="{00000000-0005-0000-0000-000031000000}"/>
    <cellStyle name="60% - Accent4 3" xfId="33" xr:uid="{00000000-0005-0000-0000-000032000000}"/>
    <cellStyle name="60% - Accent4 4" xfId="195" xr:uid="{00000000-0005-0000-0000-000033000000}"/>
    <cellStyle name="60% - Accent5 2" xfId="34" xr:uid="{00000000-0005-0000-0000-000034000000}"/>
    <cellStyle name="60% - Accent5 2 2" xfId="227" xr:uid="{00000000-0005-0000-0000-000035000000}"/>
    <cellStyle name="60% - Accent5 3" xfId="35" xr:uid="{00000000-0005-0000-0000-000036000000}"/>
    <cellStyle name="60% - Accent5 4" xfId="196" xr:uid="{00000000-0005-0000-0000-000037000000}"/>
    <cellStyle name="60% - Accent6 2" xfId="36" xr:uid="{00000000-0005-0000-0000-000038000000}"/>
    <cellStyle name="60% - Accent6 2 2" xfId="228" xr:uid="{00000000-0005-0000-0000-000039000000}"/>
    <cellStyle name="60% - Accent6 3" xfId="37" xr:uid="{00000000-0005-0000-0000-00003A000000}"/>
    <cellStyle name="60% - Accent6 4" xfId="197" xr:uid="{00000000-0005-0000-0000-00003B000000}"/>
    <cellStyle name="Accent1" xfId="141" builtinId="29" customBuiltin="1"/>
    <cellStyle name="Accent1 2" xfId="38" xr:uid="{00000000-0005-0000-0000-00003D000000}"/>
    <cellStyle name="Accent1 3" xfId="39" xr:uid="{00000000-0005-0000-0000-00003E000000}"/>
    <cellStyle name="Accent2" xfId="144" builtinId="33" customBuiltin="1"/>
    <cellStyle name="Accent2 2" xfId="40" xr:uid="{00000000-0005-0000-0000-000040000000}"/>
    <cellStyle name="Accent2 3" xfId="41" xr:uid="{00000000-0005-0000-0000-000041000000}"/>
    <cellStyle name="Accent3" xfId="147" builtinId="37" customBuiltin="1"/>
    <cellStyle name="Accent3 2" xfId="42" xr:uid="{00000000-0005-0000-0000-000043000000}"/>
    <cellStyle name="Accent3 3" xfId="43" xr:uid="{00000000-0005-0000-0000-000044000000}"/>
    <cellStyle name="Accent4" xfId="150" builtinId="41" customBuiltin="1"/>
    <cellStyle name="Accent4 2" xfId="44" xr:uid="{00000000-0005-0000-0000-000046000000}"/>
    <cellStyle name="Accent4 3" xfId="45" xr:uid="{00000000-0005-0000-0000-000047000000}"/>
    <cellStyle name="Accent5" xfId="153" builtinId="45" customBuiltin="1"/>
    <cellStyle name="Accent5 2" xfId="46" xr:uid="{00000000-0005-0000-0000-000049000000}"/>
    <cellStyle name="Accent5 3" xfId="47" xr:uid="{00000000-0005-0000-0000-00004A000000}"/>
    <cellStyle name="Accent6" xfId="156" builtinId="49" customBuiltin="1"/>
    <cellStyle name="Accent6 2" xfId="48" xr:uid="{00000000-0005-0000-0000-00004C000000}"/>
    <cellStyle name="Accent6 3" xfId="49" xr:uid="{00000000-0005-0000-0000-00004D000000}"/>
    <cellStyle name="Accent6 4" xfId="199" xr:uid="{00000000-0005-0000-0000-00004E000000}"/>
    <cellStyle name="Bad" xfId="131" builtinId="27" customBuiltin="1"/>
    <cellStyle name="Bad 2" xfId="50" xr:uid="{00000000-0005-0000-0000-000050000000}"/>
    <cellStyle name="Bad 3" xfId="51" xr:uid="{00000000-0005-0000-0000-000051000000}"/>
    <cellStyle name="Calculation" xfId="134" builtinId="22" customBuiltin="1"/>
    <cellStyle name="Calculation 2" xfId="52" xr:uid="{00000000-0005-0000-0000-000053000000}"/>
    <cellStyle name="Calculation 2 2" xfId="159" xr:uid="{00000000-0005-0000-0000-000054000000}"/>
    <cellStyle name="Calculation 2 2 2" xfId="210" xr:uid="{00000000-0005-0000-0000-000055000000}"/>
    <cellStyle name="Calculation 3" xfId="53" xr:uid="{00000000-0005-0000-0000-000056000000}"/>
    <cellStyle name="Calculation 3 2" xfId="160" xr:uid="{00000000-0005-0000-0000-000057000000}"/>
    <cellStyle name="Calculation 3 2 2" xfId="211" xr:uid="{00000000-0005-0000-0000-000058000000}"/>
    <cellStyle name="Check Cell" xfId="136" builtinId="23" customBuiltin="1"/>
    <cellStyle name="Check Cell 2" xfId="54" xr:uid="{00000000-0005-0000-0000-00005A000000}"/>
    <cellStyle name="Check Cell 3" xfId="55" xr:uid="{00000000-0005-0000-0000-00005B000000}"/>
    <cellStyle name="Comma 2" xfId="56" xr:uid="{00000000-0005-0000-0000-00005C000000}"/>
    <cellStyle name="Comma 2 2" xfId="57" xr:uid="{00000000-0005-0000-0000-00005D000000}"/>
    <cellStyle name="Comma 3" xfId="58" xr:uid="{00000000-0005-0000-0000-00005E000000}"/>
    <cellStyle name="Excel Built-in Normal" xfId="161" xr:uid="{00000000-0005-0000-0000-00005F000000}"/>
    <cellStyle name="Explanatory Text" xfId="139" builtinId="53" customBuiltin="1"/>
    <cellStyle name="Explanatory Text 2" xfId="59" xr:uid="{00000000-0005-0000-0000-000061000000}"/>
    <cellStyle name="Explanatory Text 3" xfId="60" xr:uid="{00000000-0005-0000-0000-000062000000}"/>
    <cellStyle name="Good" xfId="130" builtinId="26" customBuiltin="1"/>
    <cellStyle name="Good 2" xfId="61" xr:uid="{00000000-0005-0000-0000-000064000000}"/>
    <cellStyle name="Good 3" xfId="62" xr:uid="{00000000-0005-0000-0000-000065000000}"/>
    <cellStyle name="Heading 1" xfId="126" builtinId="16" customBuiltin="1"/>
    <cellStyle name="Heading 1 2" xfId="63" xr:uid="{00000000-0005-0000-0000-000067000000}"/>
    <cellStyle name="Heading 1 3" xfId="64" xr:uid="{00000000-0005-0000-0000-000068000000}"/>
    <cellStyle name="Heading 2" xfId="127" builtinId="17" customBuiltin="1"/>
    <cellStyle name="Heading 2 2" xfId="65" xr:uid="{00000000-0005-0000-0000-00006A000000}"/>
    <cellStyle name="Heading 2 3" xfId="66" xr:uid="{00000000-0005-0000-0000-00006B000000}"/>
    <cellStyle name="Heading 3" xfId="128" builtinId="18" customBuiltin="1"/>
    <cellStyle name="Heading 3 2" xfId="67" xr:uid="{00000000-0005-0000-0000-00006D000000}"/>
    <cellStyle name="Heading 3 3" xfId="68" xr:uid="{00000000-0005-0000-0000-00006E000000}"/>
    <cellStyle name="Heading 4" xfId="129" builtinId="19" customBuiltin="1"/>
    <cellStyle name="Heading 4 2" xfId="69" xr:uid="{00000000-0005-0000-0000-000070000000}"/>
    <cellStyle name="Heading 4 3" xfId="70" xr:uid="{00000000-0005-0000-0000-000071000000}"/>
    <cellStyle name="Hyperlink 2" xfId="71" xr:uid="{00000000-0005-0000-0000-000072000000}"/>
    <cellStyle name="Hyperlink 3" xfId="72" xr:uid="{00000000-0005-0000-0000-000073000000}"/>
    <cellStyle name="Hyperlink 4" xfId="73" xr:uid="{00000000-0005-0000-0000-000074000000}"/>
    <cellStyle name="Input" xfId="132" builtinId="20" customBuiltin="1"/>
    <cellStyle name="Input 2" xfId="74" xr:uid="{00000000-0005-0000-0000-000076000000}"/>
    <cellStyle name="Input 2 2" xfId="162" xr:uid="{00000000-0005-0000-0000-000077000000}"/>
    <cellStyle name="Input 2 2 2" xfId="212" xr:uid="{00000000-0005-0000-0000-000078000000}"/>
    <cellStyle name="Input 3" xfId="75" xr:uid="{00000000-0005-0000-0000-000079000000}"/>
    <cellStyle name="Input 3 2" xfId="163" xr:uid="{00000000-0005-0000-0000-00007A000000}"/>
    <cellStyle name="Input 3 2 2" xfId="213" xr:uid="{00000000-0005-0000-0000-00007B000000}"/>
    <cellStyle name="Linked Cell" xfId="135" builtinId="24" customBuiltin="1"/>
    <cellStyle name="Linked Cell 2" xfId="76" xr:uid="{00000000-0005-0000-0000-00007D000000}"/>
    <cellStyle name="Linked Cell 2 2" xfId="208" xr:uid="{00000000-0005-0000-0000-00007E000000}"/>
    <cellStyle name="Linked Cell 3" xfId="77" xr:uid="{00000000-0005-0000-0000-00007F000000}"/>
    <cellStyle name="Linked Cell 3 2" xfId="209" xr:uid="{00000000-0005-0000-0000-000080000000}"/>
    <cellStyle name="Neutral 2" xfId="78" xr:uid="{00000000-0005-0000-0000-000081000000}"/>
    <cellStyle name="Neutral 2 2" xfId="222" xr:uid="{00000000-0005-0000-0000-000082000000}"/>
    <cellStyle name="Neutral 3" xfId="79" xr:uid="{00000000-0005-0000-0000-000083000000}"/>
    <cellStyle name="Neutral 4" xfId="191" xr:uid="{00000000-0005-0000-0000-000084000000}"/>
    <cellStyle name="Normal" xfId="0" builtinId="0"/>
    <cellStyle name="Normal 10" xfId="164" xr:uid="{00000000-0005-0000-0000-000086000000}"/>
    <cellStyle name="Normal 10 6" xfId="234" xr:uid="{00000000-0005-0000-0000-000087000000}"/>
    <cellStyle name="Normal 11" xfId="165" xr:uid="{00000000-0005-0000-0000-000088000000}"/>
    <cellStyle name="Normal 12" xfId="80" xr:uid="{00000000-0005-0000-0000-000089000000}"/>
    <cellStyle name="Normal 12 2" xfId="166" xr:uid="{00000000-0005-0000-0000-00008A000000}"/>
    <cellStyle name="Normal 13" xfId="198" xr:uid="{00000000-0005-0000-0000-00008B000000}"/>
    <cellStyle name="Normal 14" xfId="81" xr:uid="{00000000-0005-0000-0000-00008C000000}"/>
    <cellStyle name="Normal 14 2" xfId="167" xr:uid="{00000000-0005-0000-0000-00008D000000}"/>
    <cellStyle name="Normal 2" xfId="82" xr:uid="{00000000-0005-0000-0000-00008E000000}"/>
    <cellStyle name="Normal 2 2" xfId="83" xr:uid="{00000000-0005-0000-0000-00008F000000}"/>
    <cellStyle name="Normal 2 2 2" xfId="84" xr:uid="{00000000-0005-0000-0000-000090000000}"/>
    <cellStyle name="Normal 2 2 3" xfId="168" xr:uid="{00000000-0005-0000-0000-000091000000}"/>
    <cellStyle name="Normal 2 2 4" xfId="201" xr:uid="{00000000-0005-0000-0000-000092000000}"/>
    <cellStyle name="Normal 2 3" xfId="85" xr:uid="{00000000-0005-0000-0000-000093000000}"/>
    <cellStyle name="Normal 2 3 2" xfId="169" xr:uid="{00000000-0005-0000-0000-000094000000}"/>
    <cellStyle name="Normal 2 3 3" xfId="202" xr:uid="{00000000-0005-0000-0000-000095000000}"/>
    <cellStyle name="Normal 2 4" xfId="170" xr:uid="{00000000-0005-0000-0000-000096000000}"/>
    <cellStyle name="Normal 2 4 2" xfId="171" xr:uid="{00000000-0005-0000-0000-000097000000}"/>
    <cellStyle name="Normal 2 4 3" xfId="172" xr:uid="{00000000-0005-0000-0000-000098000000}"/>
    <cellStyle name="Normal 2 5" xfId="173" xr:uid="{00000000-0005-0000-0000-000099000000}"/>
    <cellStyle name="Normal 2 6" xfId="174" xr:uid="{00000000-0005-0000-0000-00009A000000}"/>
    <cellStyle name="Normal 2 7" xfId="175" xr:uid="{00000000-0005-0000-0000-00009B000000}"/>
    <cellStyle name="Normal 2 8" xfId="233" xr:uid="{00000000-0005-0000-0000-00009C000000}"/>
    <cellStyle name="Normal 2_Copy of Copy of Flip QAMF DRAFT ver 050610_EDITED 2 by SSA (2)" xfId="86" xr:uid="{00000000-0005-0000-0000-00009D000000}"/>
    <cellStyle name="Normal 3" xfId="87" xr:uid="{00000000-0005-0000-0000-00009E000000}"/>
    <cellStyle name="Normal 3 2" xfId="88" xr:uid="{00000000-0005-0000-0000-00009F000000}"/>
    <cellStyle name="Normal 3 2 2" xfId="176" xr:uid="{00000000-0005-0000-0000-0000A0000000}"/>
    <cellStyle name="Normal 3 2 3" xfId="204" xr:uid="{00000000-0005-0000-0000-0000A1000000}"/>
    <cellStyle name="Normal 3 3" xfId="89" xr:uid="{00000000-0005-0000-0000-0000A2000000}"/>
    <cellStyle name="Normal 3 3 2" xfId="177" xr:uid="{00000000-0005-0000-0000-0000A3000000}"/>
    <cellStyle name="Normal 3 3 3" xfId="205" xr:uid="{00000000-0005-0000-0000-0000A4000000}"/>
    <cellStyle name="Normal 3 4" xfId="178" xr:uid="{00000000-0005-0000-0000-0000A5000000}"/>
    <cellStyle name="Normal 3 5" xfId="203" xr:uid="{00000000-0005-0000-0000-0000A6000000}"/>
    <cellStyle name="Normal 4" xfId="90" xr:uid="{00000000-0005-0000-0000-0000A7000000}"/>
    <cellStyle name="Normal 4 2" xfId="91" xr:uid="{00000000-0005-0000-0000-0000A8000000}"/>
    <cellStyle name="Normal 4 2 2" xfId="220" xr:uid="{00000000-0005-0000-0000-0000A9000000}"/>
    <cellStyle name="Normal 4 3" xfId="92" xr:uid="{00000000-0005-0000-0000-0000AA000000}"/>
    <cellStyle name="Normal 4 3 2" xfId="219" xr:uid="{00000000-0005-0000-0000-0000AB000000}"/>
    <cellStyle name="Normal 4 4" xfId="179" xr:uid="{00000000-0005-0000-0000-0000AC000000}"/>
    <cellStyle name="Normal 4 5" xfId="180" xr:uid="{00000000-0005-0000-0000-0000AD000000}"/>
    <cellStyle name="Normal 5" xfId="93" xr:uid="{00000000-0005-0000-0000-0000AE000000}"/>
    <cellStyle name="Normal 5 2" xfId="94" xr:uid="{00000000-0005-0000-0000-0000AF000000}"/>
    <cellStyle name="Normal 5 2 2" xfId="95" xr:uid="{00000000-0005-0000-0000-0000B0000000}"/>
    <cellStyle name="Normal 5 3" xfId="96" xr:uid="{00000000-0005-0000-0000-0000B1000000}"/>
    <cellStyle name="Normal 5 4" xfId="206" xr:uid="{00000000-0005-0000-0000-0000B2000000}"/>
    <cellStyle name="Normal 5 5" xfId="230" xr:uid="{00000000-0005-0000-0000-0000B3000000}"/>
    <cellStyle name="Normal 6" xfId="97" xr:uid="{00000000-0005-0000-0000-0000B4000000}"/>
    <cellStyle name="Normal 7" xfId="98" xr:uid="{00000000-0005-0000-0000-0000B5000000}"/>
    <cellStyle name="Normal 8" xfId="99" xr:uid="{00000000-0005-0000-0000-0000B6000000}"/>
    <cellStyle name="Normal 9" xfId="100" xr:uid="{00000000-0005-0000-0000-0000B7000000}"/>
    <cellStyle name="Note" xfId="138" builtinId="10" customBuiltin="1"/>
    <cellStyle name="Note 2" xfId="101" xr:uid="{00000000-0005-0000-0000-0000B9000000}"/>
    <cellStyle name="Note 2 2" xfId="181" xr:uid="{00000000-0005-0000-0000-0000BA000000}"/>
    <cellStyle name="Note 2 2 2" xfId="214" xr:uid="{00000000-0005-0000-0000-0000BB000000}"/>
    <cellStyle name="Note 3" xfId="102" xr:uid="{00000000-0005-0000-0000-0000BC000000}"/>
    <cellStyle name="Note 3 2" xfId="182" xr:uid="{00000000-0005-0000-0000-0000BD000000}"/>
    <cellStyle name="Note 3 2 2" xfId="215" xr:uid="{00000000-0005-0000-0000-0000BE000000}"/>
    <cellStyle name="Output" xfId="133" builtinId="21" customBuiltin="1"/>
    <cellStyle name="Output 2" xfId="103" xr:uid="{00000000-0005-0000-0000-0000C0000000}"/>
    <cellStyle name="Output 2 2" xfId="183" xr:uid="{00000000-0005-0000-0000-0000C1000000}"/>
    <cellStyle name="Output 2 2 2" xfId="184" xr:uid="{00000000-0005-0000-0000-0000C2000000}"/>
    <cellStyle name="Output 3" xfId="104" xr:uid="{00000000-0005-0000-0000-0000C3000000}"/>
    <cellStyle name="Output 3 2" xfId="185" xr:uid="{00000000-0005-0000-0000-0000C4000000}"/>
    <cellStyle name="Output 3 2 2" xfId="186" xr:uid="{00000000-0005-0000-0000-0000C5000000}"/>
    <cellStyle name="Percent" xfId="125" builtinId="5"/>
    <cellStyle name="Percent 2" xfId="105" xr:uid="{00000000-0005-0000-0000-0000C7000000}"/>
    <cellStyle name="Percent 2 2" xfId="106" xr:uid="{00000000-0005-0000-0000-0000C8000000}"/>
    <cellStyle name="Percent 2 2 2" xfId="107" xr:uid="{00000000-0005-0000-0000-0000C9000000}"/>
    <cellStyle name="Percent 2 3" xfId="108" xr:uid="{00000000-0005-0000-0000-0000CA000000}"/>
    <cellStyle name="Percent 2 4" xfId="187" xr:uid="{00000000-0005-0000-0000-0000CB000000}"/>
    <cellStyle name="Percent 2 5" xfId="207" xr:uid="{00000000-0005-0000-0000-0000CC000000}"/>
    <cellStyle name="Percent 3" xfId="109" xr:uid="{00000000-0005-0000-0000-0000CD000000}"/>
    <cellStyle name="Percent 3 2" xfId="110" xr:uid="{00000000-0005-0000-0000-0000CE000000}"/>
    <cellStyle name="Percent 3 3" xfId="231" xr:uid="{00000000-0005-0000-0000-0000CF000000}"/>
    <cellStyle name="Percent 4" xfId="111" xr:uid="{00000000-0005-0000-0000-0000D0000000}"/>
    <cellStyle name="Percent 5" xfId="1" xr:uid="{00000000-0005-0000-0000-0000D1000000}"/>
    <cellStyle name="Percent 6" xfId="200" xr:uid="{00000000-0005-0000-0000-0000D2000000}"/>
    <cellStyle name="Style 1" xfId="112" xr:uid="{00000000-0005-0000-0000-0000D3000000}"/>
    <cellStyle name="Style 1 2" xfId="113" xr:uid="{00000000-0005-0000-0000-0000D4000000}"/>
    <cellStyle name="Style 1 3" xfId="114" xr:uid="{00000000-0005-0000-0000-0000D5000000}"/>
    <cellStyle name="Style 1_Copy of Copy of Flip QAMF DRAFT ver 050610_EDITED 2 by SSA (2)" xfId="115" xr:uid="{00000000-0005-0000-0000-0000D6000000}"/>
    <cellStyle name="TableStyleLight1" xfId="188" xr:uid="{00000000-0005-0000-0000-0000D7000000}"/>
    <cellStyle name="TableStyleLight1 2" xfId="232" xr:uid="{00000000-0005-0000-0000-0000D8000000}"/>
    <cellStyle name="test" xfId="116" xr:uid="{00000000-0005-0000-0000-0000D9000000}"/>
    <cellStyle name="test 2" xfId="117" xr:uid="{00000000-0005-0000-0000-0000DA000000}"/>
    <cellStyle name="test 3" xfId="118" xr:uid="{00000000-0005-0000-0000-0000DB000000}"/>
    <cellStyle name="Title 2" xfId="119" xr:uid="{00000000-0005-0000-0000-0000DC000000}"/>
    <cellStyle name="Title 2 2" xfId="229" xr:uid="{00000000-0005-0000-0000-0000DD000000}"/>
    <cellStyle name="Title 3" xfId="120" xr:uid="{00000000-0005-0000-0000-0000DE000000}"/>
    <cellStyle name="Title 4" xfId="221" xr:uid="{00000000-0005-0000-0000-0000DF000000}"/>
    <cellStyle name="Title 5" xfId="218" xr:uid="{00000000-0005-0000-0000-0000E0000000}"/>
    <cellStyle name="Total" xfId="140" builtinId="25" customBuiltin="1"/>
    <cellStyle name="Total 2" xfId="121" xr:uid="{00000000-0005-0000-0000-0000E2000000}"/>
    <cellStyle name="Total 2 2" xfId="189" xr:uid="{00000000-0005-0000-0000-0000E3000000}"/>
    <cellStyle name="Total 2 2 2" xfId="216" xr:uid="{00000000-0005-0000-0000-0000E4000000}"/>
    <cellStyle name="Total 3" xfId="122" xr:uid="{00000000-0005-0000-0000-0000E5000000}"/>
    <cellStyle name="Total 3 2" xfId="190" xr:uid="{00000000-0005-0000-0000-0000E6000000}"/>
    <cellStyle name="Total 3 2 2" xfId="217" xr:uid="{00000000-0005-0000-0000-0000E7000000}"/>
    <cellStyle name="Warning Text" xfId="137" builtinId="11" customBuiltin="1"/>
    <cellStyle name="Warning Text 2" xfId="123" xr:uid="{00000000-0005-0000-0000-0000E9000000}"/>
    <cellStyle name="Warning Text 3" xfId="124" xr:uid="{00000000-0005-0000-0000-0000EA000000}"/>
  </cellStyles>
  <dxfs count="31">
    <dxf>
      <font>
        <b/>
        <i/>
        <color theme="0"/>
      </font>
      <fill>
        <patternFill>
          <bgColor rgb="FFFF0000"/>
        </patternFill>
      </fill>
    </dxf>
    <dxf>
      <font>
        <b val="0"/>
        <i val="0"/>
        <color theme="0" tint="-4.9989318521683403E-2"/>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b val="0"/>
        <i/>
        <color theme="0"/>
      </font>
      <fill>
        <patternFill>
          <bgColor rgb="FFFF0000"/>
        </patternFill>
      </fill>
    </dxf>
    <dxf>
      <fill>
        <patternFill>
          <bgColor theme="0" tint="-0.14996795556505021"/>
        </patternFill>
      </fill>
    </dxf>
    <dxf>
      <font>
        <b/>
        <i val="0"/>
        <color rgb="FFC00000"/>
      </font>
      <fill>
        <patternFill>
          <bgColor theme="5" tint="0.59996337778862885"/>
        </patternFill>
      </fill>
    </dxf>
    <dxf>
      <fill>
        <patternFill>
          <bgColor theme="0" tint="-0.14996795556505021"/>
        </patternFill>
      </fill>
    </dxf>
    <dxf>
      <fill>
        <patternFill>
          <bgColor theme="5" tint="0.79998168889431442"/>
        </patternFill>
      </fill>
    </dxf>
    <dxf>
      <font>
        <b/>
        <i val="0"/>
        <color rgb="FFC00000"/>
      </font>
      <fill>
        <patternFill patternType="none">
          <bgColor auto="1"/>
        </patternFill>
      </fill>
    </dxf>
    <dxf>
      <font>
        <b/>
        <i val="0"/>
        <color theme="3" tint="-0.499984740745262"/>
      </font>
      <fill>
        <patternFill patternType="none">
          <bgColor auto="1"/>
        </patternFill>
      </fill>
    </dxf>
    <dxf>
      <font>
        <color theme="1" tint="4.9989318521683403E-2"/>
      </font>
    </dxf>
    <dxf>
      <fill>
        <patternFill>
          <bgColor theme="0" tint="-0.14996795556505021"/>
        </patternFill>
      </fill>
    </dxf>
    <dxf>
      <fill>
        <patternFill>
          <bgColor theme="5" tint="0.79998168889431442"/>
        </patternFill>
      </fill>
    </dxf>
    <dxf>
      <font>
        <b/>
        <i val="0"/>
        <color rgb="FFC00000"/>
      </font>
      <fill>
        <patternFill patternType="none">
          <bgColor auto="1"/>
        </patternFill>
      </fill>
    </dxf>
    <dxf>
      <font>
        <b/>
        <i val="0"/>
        <color theme="3" tint="-0.499984740745262"/>
      </font>
      <fill>
        <patternFill patternType="none">
          <bgColor auto="1"/>
        </patternFill>
      </fill>
    </dxf>
    <dxf>
      <font>
        <color theme="0" tint="-0.24994659260841701"/>
      </font>
    </dxf>
    <dxf>
      <font>
        <b/>
        <i val="0"/>
        <color rgb="FFC00000"/>
      </font>
    </dxf>
    <dxf>
      <font>
        <color theme="0" tint="-0.499984740745262"/>
      </font>
    </dxf>
    <dxf>
      <font>
        <color rgb="FF9C0006"/>
      </font>
    </dxf>
    <dxf>
      <font>
        <b/>
        <i val="0"/>
        <color rgb="FFC00000"/>
      </font>
    </dxf>
    <dxf>
      <font>
        <color theme="0" tint="-0.499984740745262"/>
      </font>
    </dxf>
    <dxf>
      <font>
        <color rgb="FFC00000"/>
      </font>
    </dxf>
    <dxf>
      <font>
        <color theme="0" tint="-0.499984740745262"/>
      </font>
    </dxf>
    <dxf>
      <font>
        <color theme="0" tint="-0.499984740745262"/>
      </font>
    </dxf>
    <dxf>
      <font>
        <color theme="0" tint="-0.499984740745262"/>
      </font>
    </dxf>
    <dxf>
      <font>
        <b/>
        <i val="0"/>
        <color rgb="FFC00000"/>
      </font>
      <fill>
        <patternFill>
          <bgColor theme="5" tint="0.59996337778862885"/>
        </patternFill>
      </fill>
    </dxf>
    <dxf>
      <fill>
        <patternFill>
          <bgColor theme="5" tint="0.39994506668294322"/>
        </patternFill>
      </fill>
    </dxf>
    <dxf>
      <fill>
        <patternFill>
          <bgColor theme="9" tint="0.79998168889431442"/>
        </patternFill>
      </fill>
    </dxf>
    <dxf>
      <fill>
        <patternFill>
          <bgColor theme="0" tint="-0.14996795556505021"/>
        </patternFill>
      </fill>
    </dxf>
  </dxfs>
  <tableStyles count="1" defaultTableStyle="TableStyleMedium2" defaultPivotStyle="PivotStyleLight16">
    <tableStyle name="Slicer Style 1" pivot="0" table="0" count="1" xr9:uid="{00000000-0011-0000-FFFF-FFFF00000000}">
      <tableStyleElement type="wholeTable" dxfId="30"/>
    </tableStyle>
  </tableStyles>
  <colors>
    <mruColors>
      <color rgb="FF00FF00"/>
      <color rgb="FF00CC00"/>
      <color rgb="FF0000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ctrlProps/ctrlProp1.xml><?xml version="1.0" encoding="utf-8"?>
<formControlPr xmlns="http://schemas.microsoft.com/office/spreadsheetml/2009/9/main" objectType="CheckBox" fmlaLink="$DB$29" lockText="1"/>
</file>

<file path=xl/ctrlProps/ctrlProp2.xml><?xml version="1.0" encoding="utf-8"?>
<formControlPr xmlns="http://schemas.microsoft.com/office/spreadsheetml/2009/9/main" objectType="CheckBox" fmlaLink="$DC$29" lockText="1"/>
</file>

<file path=xl/ctrlProps/ctrlProp3.xml><?xml version="1.0" encoding="utf-8"?>
<formControlPr xmlns="http://schemas.microsoft.com/office/spreadsheetml/2009/9/main" objectType="CheckBox" fmlaLink="$DD$29" lockText="1"/>
</file>

<file path=xl/ctrlProps/ctrlProp4.xml><?xml version="1.0" encoding="utf-8"?>
<formControlPr xmlns="http://schemas.microsoft.com/office/spreadsheetml/2009/9/main" objectType="CheckBox" fmlaLink="$DB$30" lockText="1"/>
</file>

<file path=xl/ctrlProps/ctrlProp5.xml><?xml version="1.0" encoding="utf-8"?>
<formControlPr xmlns="http://schemas.microsoft.com/office/spreadsheetml/2009/9/main" objectType="CheckBox" fmlaLink="$DC$30" lockText="1"/>
</file>

<file path=xl/ctrlProps/ctrlProp6.xml><?xml version="1.0" encoding="utf-8"?>
<formControlPr xmlns="http://schemas.microsoft.com/office/spreadsheetml/2009/9/main" objectType="CheckBox" fmlaLink="$DD$30" lockText="1"/>
</file>

<file path=xl/ctrlProps/ctrlProp7.xml><?xml version="1.0" encoding="utf-8"?>
<formControlPr xmlns="http://schemas.microsoft.com/office/spreadsheetml/2009/9/main" objectType="CheckBox" fmlaLink="$DE$30" lockText="1"/>
</file>

<file path=xl/ctrlProps/ctrlProp8.xml><?xml version="1.0" encoding="utf-8"?>
<formControlPr xmlns="http://schemas.microsoft.com/office/spreadsheetml/2009/9/main" objectType="CheckBox" fmlaLink="$DF$30" lockText="1"/>
</file>

<file path=xl/ctrlProps/ctrlProp9.xml><?xml version="1.0" encoding="utf-8"?>
<formControlPr xmlns="http://schemas.microsoft.com/office/spreadsheetml/2009/9/main" objectType="CheckBox" fmlaLink="$DG$30" lockText="1"/>
</file>

<file path=xl/ctrlProps/ctrlProp10.xml><?xml version="1.0" encoding="utf-8"?>
<formControlPr xmlns="http://schemas.microsoft.com/office/spreadsheetml/2009/9/main" objectType="CheckBox" fmlaLink="$DH$30" lockText="1"/>
</file>

<file path=xl/ctrlProps/ctrlProp11.xml><?xml version="1.0" encoding="utf-8"?>
<formControlPr xmlns="http://schemas.microsoft.com/office/spreadsheetml/2009/9/main" objectType="CheckBox" fmlaLink="$DI$30" lockText="1"/>
</file>

<file path=xl/ctrlProps/ctrlProp12.xml><?xml version="1.0" encoding="utf-8"?>
<formControlPr xmlns="http://schemas.microsoft.com/office/spreadsheetml/2009/9/main" objectType="CheckBox" fmlaLink="$DJ$30" lockText="1"/>
</file>

<file path=xl/ctrlProps/ctrlProp13.xml><?xml version="1.0" encoding="utf-8"?>
<formControlPr xmlns="http://schemas.microsoft.com/office/spreadsheetml/2009/9/main" objectType="CheckBox" fmlaLink="$DK$30" lockText="1"/>
</file>

<file path=xl/ctrlProps/ctrlProp14.xml><?xml version="1.0" encoding="utf-8"?>
<formControlPr xmlns="http://schemas.microsoft.com/office/spreadsheetml/2009/9/main" objectType="CheckBox" fmlaLink="$DL$30" lockText="1"/>
</file>

<file path=xl/ctrlProps/ctrlProp15.xml><?xml version="1.0" encoding="utf-8"?>
<formControlPr xmlns="http://schemas.microsoft.com/office/spreadsheetml/2009/9/main" objectType="CheckBox" fmlaLink="$DM$30" lockText="1"/>
</file>

<file path=xl/ctrlProps/ctrlProp16.xml><?xml version="1.0" encoding="utf-8"?>
<formControlPr xmlns="http://schemas.microsoft.com/office/spreadsheetml/2009/9/main" objectType="CheckBox" fmlaLink="$DN$30" lockText="1"/>
</file>

<file path=xl/ctrlProps/ctrlProp17.xml><?xml version="1.0" encoding="utf-8"?>
<formControlPr xmlns="http://schemas.microsoft.com/office/spreadsheetml/2009/9/main" objectType="CheckBox" fmlaLink="$DO$30" lockText="1"/>
</file>

<file path=xl/ctrlProps/ctrlProp18.xml><?xml version="1.0" encoding="utf-8"?>
<formControlPr xmlns="http://schemas.microsoft.com/office/spreadsheetml/2009/9/main" objectType="CheckBox" fmlaLink="$DP$30" lockText="1"/>
</file>

<file path=xl/ctrlProps/ctrlProp19.xml><?xml version="1.0" encoding="utf-8"?>
<formControlPr xmlns="http://schemas.microsoft.com/office/spreadsheetml/2009/9/main" objectType="CheckBox" fmlaLink="$DQ$30" lockText="1"/>
</file>

<file path=xl/ctrlProps/ctrlProp20.xml><?xml version="1.0" encoding="utf-8"?>
<formControlPr xmlns="http://schemas.microsoft.com/office/spreadsheetml/2009/9/main" objectType="CheckBox" fmlaLink="$DR$30" lockText="1"/>
</file>

<file path=xl/ctrlProps/ctrlProp21.xml><?xml version="1.0" encoding="utf-8"?>
<formControlPr xmlns="http://schemas.microsoft.com/office/spreadsheetml/2009/9/main" objectType="CheckBox" fmlaLink="$DS$30" lockText="1"/>
</file>

<file path=xl/ctrlProps/ctrlProp22.xml><?xml version="1.0" encoding="utf-8"?>
<formControlPr xmlns="http://schemas.microsoft.com/office/spreadsheetml/2009/9/main" objectType="CheckBox" fmlaLink="$DT$30" lockText="1"/>
</file>

<file path=xl/ctrlProps/ctrlProp23.xml><?xml version="1.0" encoding="utf-8"?>
<formControlPr xmlns="http://schemas.microsoft.com/office/spreadsheetml/2009/9/main" objectType="CheckBox" fmlaLink="$DU$30" lockText="1"/>
</file>

<file path=xl/ctrlProps/ctrlProp24.xml><?xml version="1.0" encoding="utf-8"?>
<formControlPr xmlns="http://schemas.microsoft.com/office/spreadsheetml/2009/9/main" objectType="CheckBox" fmlaLink="$DB$31" lockText="1"/>
</file>

<file path=xl/ctrlProps/ctrlProp25.xml><?xml version="1.0" encoding="utf-8"?>
<formControlPr xmlns="http://schemas.microsoft.com/office/spreadsheetml/2009/9/main" objectType="CheckBox" fmlaLink="$DC$31" lockText="1"/>
</file>

<file path=xl/ctrlProps/ctrlProp26.xml><?xml version="1.0" encoding="utf-8"?>
<formControlPr xmlns="http://schemas.microsoft.com/office/spreadsheetml/2009/9/main" objectType="CheckBox" fmlaLink="$DD$31" lockText="1"/>
</file>

<file path=xl/ctrlProps/ctrlProp27.xml><?xml version="1.0" encoding="utf-8"?>
<formControlPr xmlns="http://schemas.microsoft.com/office/spreadsheetml/2009/9/main" objectType="CheckBox" fmlaLink="$DE$31" lockText="1"/>
</file>

<file path=xl/ctrlProps/ctrlProp28.xml><?xml version="1.0" encoding="utf-8"?>
<formControlPr xmlns="http://schemas.microsoft.com/office/spreadsheetml/2009/9/main" objectType="CheckBox" fmlaLink="$DF$31" lockText="1"/>
</file>

<file path=xl/ctrlProps/ctrlProp29.xml><?xml version="1.0" encoding="utf-8"?>
<formControlPr xmlns="http://schemas.microsoft.com/office/spreadsheetml/2009/9/main" objectType="CheckBox" fmlaLink="$DG$31" lockText="1"/>
</file>

<file path=xl/ctrlProps/ctrlProp30.xml><?xml version="1.0" encoding="utf-8"?>
<formControlPr xmlns="http://schemas.microsoft.com/office/spreadsheetml/2009/9/main" objectType="CheckBox" fmlaLink="$DH$31" lockText="1"/>
</file>

<file path=xl/ctrlProps/ctrlProp31.xml><?xml version="1.0" encoding="utf-8"?>
<formControlPr xmlns="http://schemas.microsoft.com/office/spreadsheetml/2009/9/main" objectType="CheckBox" fmlaLink="$DI$31" lockText="1"/>
</file>

<file path=xl/ctrlProps/ctrlProp32.xml><?xml version="1.0" encoding="utf-8"?>
<formControlPr xmlns="http://schemas.microsoft.com/office/spreadsheetml/2009/9/main" objectType="CheckBox" fmlaLink="$DJ$31" lockText="1"/>
</file>

<file path=xl/ctrlProps/ctrlProp33.xml><?xml version="1.0" encoding="utf-8"?>
<formControlPr xmlns="http://schemas.microsoft.com/office/spreadsheetml/2009/9/main" objectType="CheckBox" fmlaLink="$DK$31" lockText="1"/>
</file>

<file path=xl/ctrlProps/ctrlProp34.xml><?xml version="1.0" encoding="utf-8"?>
<formControlPr xmlns="http://schemas.microsoft.com/office/spreadsheetml/2009/9/main" objectType="CheckBox" fmlaLink="$DL$31" lockText="1"/>
</file>

<file path=xl/ctrlProps/ctrlProp35.xml><?xml version="1.0" encoding="utf-8"?>
<formControlPr xmlns="http://schemas.microsoft.com/office/spreadsheetml/2009/9/main" objectType="CheckBox" fmlaLink="$DM$31" lockText="1"/>
</file>

<file path=xl/ctrlProps/ctrlProp36.xml><?xml version="1.0" encoding="utf-8"?>
<formControlPr xmlns="http://schemas.microsoft.com/office/spreadsheetml/2009/9/main" objectType="CheckBox" fmlaLink="$DN$31" lockText="1"/>
</file>

<file path=xl/ctrlProps/ctrlProp37.xml><?xml version="1.0" encoding="utf-8"?>
<formControlPr xmlns="http://schemas.microsoft.com/office/spreadsheetml/2009/9/main" objectType="CheckBox" fmlaLink="$DO$31" lockText="1"/>
</file>

<file path=xl/ctrlProps/ctrlProp38.xml><?xml version="1.0" encoding="utf-8"?>
<formControlPr xmlns="http://schemas.microsoft.com/office/spreadsheetml/2009/9/main" objectType="CheckBox" fmlaLink="$DP$31" lockText="1"/>
</file>

<file path=xl/ctrlProps/ctrlProp39.xml><?xml version="1.0" encoding="utf-8"?>
<formControlPr xmlns="http://schemas.microsoft.com/office/spreadsheetml/2009/9/main" objectType="CheckBox" fmlaLink="$DQ$31" lockText="1"/>
</file>

<file path=xl/ctrlProps/ctrlProp40.xml><?xml version="1.0" encoding="utf-8"?>
<formControlPr xmlns="http://schemas.microsoft.com/office/spreadsheetml/2009/9/main" objectType="CheckBox" fmlaLink="$DB$33" lockText="1"/>
</file>

<file path=xl/ctrlProps/ctrlProp41.xml><?xml version="1.0" encoding="utf-8"?>
<formControlPr xmlns="http://schemas.microsoft.com/office/spreadsheetml/2009/9/main" objectType="CheckBox" fmlaLink="$DB$34" lockText="1"/>
</file>

<file path=xl/ctrlProps/ctrlProp42.xml><?xml version="1.0" encoding="utf-8"?>
<formControlPr xmlns="http://schemas.microsoft.com/office/spreadsheetml/2009/9/main" objectType="CheckBox" fmlaLink="$DC$34" lockText="1"/>
</file>

<file path=xl/ctrlProps/ctrlProp43.xml><?xml version="1.0" encoding="utf-8"?>
<formControlPr xmlns="http://schemas.microsoft.com/office/spreadsheetml/2009/9/main" objectType="CheckBox" fmlaLink="$DB$35" lockText="1"/>
</file>

<file path=xl/ctrlProps/ctrlProp44.xml><?xml version="1.0" encoding="utf-8"?>
<formControlPr xmlns="http://schemas.microsoft.com/office/spreadsheetml/2009/9/main" objectType="CheckBox" fmlaLink="$DC$35" lockText="1"/>
</file>

<file path=xl/ctrlProps/ctrlProp45.xml><?xml version="1.0" encoding="utf-8"?>
<formControlPr xmlns="http://schemas.microsoft.com/office/spreadsheetml/2009/9/main" objectType="CheckBox" fmlaLink="$DD$35" lockText="1"/>
</file>

<file path=xl/ctrlProps/ctrlProp46.xml><?xml version="1.0" encoding="utf-8"?>
<formControlPr xmlns="http://schemas.microsoft.com/office/spreadsheetml/2009/9/main" objectType="CheckBox" fmlaLink="$DB$36" lockText="1"/>
</file>

<file path=xl/ctrlProps/ctrlProp47.xml><?xml version="1.0" encoding="utf-8"?>
<formControlPr xmlns="http://schemas.microsoft.com/office/spreadsheetml/2009/9/main" objectType="CheckBox" fmlaLink="$DC$36" lockText="1"/>
</file>

<file path=xl/ctrlProps/ctrlProp48.xml><?xml version="1.0" encoding="utf-8"?>
<formControlPr xmlns="http://schemas.microsoft.com/office/spreadsheetml/2009/9/main" objectType="CheckBox" fmlaLink="$DB$37" lockText="1"/>
</file>

<file path=xl/ctrlProps/ctrlProp49.xml><?xml version="1.0" encoding="utf-8"?>
<formControlPr xmlns="http://schemas.microsoft.com/office/spreadsheetml/2009/9/main" objectType="CheckBox" fmlaLink="$DC$37" lockText="1"/>
</file>

<file path=xl/ctrlProps/ctrlProp50.xml><?xml version="1.0" encoding="utf-8"?>
<formControlPr xmlns="http://schemas.microsoft.com/office/spreadsheetml/2009/9/main" objectType="CheckBox" fmlaLink="$DD$37" lockText="1"/>
</file>

<file path=xl/ctrlProps/ctrlProp51.xml><?xml version="1.0" encoding="utf-8"?>
<formControlPr xmlns="http://schemas.microsoft.com/office/spreadsheetml/2009/9/main" objectType="CheckBox" fmlaLink="$DE$37" lockText="1"/>
</file>

<file path=xl/ctrlProps/ctrlProp52.xml><?xml version="1.0" encoding="utf-8"?>
<formControlPr xmlns="http://schemas.microsoft.com/office/spreadsheetml/2009/9/main" objectType="CheckBox" fmlaLink="$DF$37" lockText="1"/>
</file>

<file path=xl/ctrlProps/ctrlProp53.xml><?xml version="1.0" encoding="utf-8"?>
<formControlPr xmlns="http://schemas.microsoft.com/office/spreadsheetml/2009/9/main" objectType="CheckBox" lockText="1"/>
</file>

<file path=xl/ctrlProps/ctrlProp54.xml><?xml version="1.0" encoding="utf-8"?>
<formControlPr xmlns="http://schemas.microsoft.com/office/spreadsheetml/2009/9/main" objectType="CheckBox" lockText="1"/>
</file>

<file path=xl/ctrlProps/ctrlProp55.xml><?xml version="1.0" encoding="utf-8"?>
<formControlPr xmlns="http://schemas.microsoft.com/office/spreadsheetml/2009/9/main" objectType="CheckBox" lockText="1"/>
</file>

<file path=xl/ctrlProps/ctrlProp56.xml><?xml version="1.0" encoding="utf-8"?>
<formControlPr xmlns="http://schemas.microsoft.com/office/spreadsheetml/2009/9/main" objectType="CheckBox" lockText="1"/>
</file>

<file path=xl/ctrlProps/ctrlProp57.xml><?xml version="1.0" encoding="utf-8"?>
<formControlPr xmlns="http://schemas.microsoft.com/office/spreadsheetml/2009/9/main" objectType="CheckBox" lockText="1"/>
</file>

<file path=xl/ctrlProps/ctrlProp58.xml><?xml version="1.0" encoding="utf-8"?>
<formControlPr xmlns="http://schemas.microsoft.com/office/spreadsheetml/2009/9/main" objectType="CheckBox" lockText="1"/>
</file>

<file path=xl/ctrlProps/ctrlProp59.xml><?xml version="1.0" encoding="utf-8"?>
<formControlPr xmlns="http://schemas.microsoft.com/office/spreadsheetml/2009/9/main" objectType="CheckBox" lockText="1"/>
</file>

<file path=xl/ctrlProps/ctrlProp60.xml><?xml version="1.0" encoding="utf-8"?>
<formControlPr xmlns="http://schemas.microsoft.com/office/spreadsheetml/2009/9/main" objectType="CheckBox" lockText="1"/>
</file>

<file path=xl/ctrlProps/ctrlProp61.xml><?xml version="1.0" encoding="utf-8"?>
<formControlPr xmlns="http://schemas.microsoft.com/office/spreadsheetml/2009/9/main" objectType="CheckBox" lockText="1"/>
</file>

<file path=xl/ctrlProps/ctrlProp62.xml><?xml version="1.0" encoding="utf-8"?>
<formControlPr xmlns="http://schemas.microsoft.com/office/spreadsheetml/2009/9/main" objectType="CheckBox" fmlaLink="$Q$90" lockText="1"/>
</file>

<file path=xl/ctrlProps/ctrlProp63.xml><?xml version="1.0" encoding="utf-8"?>
<formControlPr xmlns="http://schemas.microsoft.com/office/spreadsheetml/2009/9/main" objectType="CheckBox" fmlaLink="$R$90" lockText="1"/>
</file>

<file path=xl/ctrlProps/ctrlProp64.xml><?xml version="1.0" encoding="utf-8"?>
<formControlPr xmlns="http://schemas.microsoft.com/office/spreadsheetml/2009/9/main" objectType="CheckBox" fmlaLink="$S$90" lockText="1"/>
</file>

<file path=xl/ctrlProps/ctrlProp65.xml><?xml version="1.0" encoding="utf-8"?>
<formControlPr xmlns="http://schemas.microsoft.com/office/spreadsheetml/2009/9/main" objectType="CheckBox" fmlaLink="$T$90" lockText="1"/>
</file>

<file path=xl/ctrlProps/ctrlProp66.xml><?xml version="1.0" encoding="utf-8"?>
<formControlPr xmlns="http://schemas.microsoft.com/office/spreadsheetml/2009/9/main" objectType="CheckBox" fmlaLink="$Q$93" lockText="1"/>
</file>

<file path=xl/ctrlProps/ctrlProp67.xml><?xml version="1.0" encoding="utf-8"?>
<formControlPr xmlns="http://schemas.microsoft.com/office/spreadsheetml/2009/9/main" objectType="CheckBox" fmlaLink="$R$93" lockText="1"/>
</file>

<file path=xl/ctrlProps/ctrlProp68.xml><?xml version="1.0" encoding="utf-8"?>
<formControlPr xmlns="http://schemas.microsoft.com/office/spreadsheetml/2009/9/main" objectType="CheckBox" fmlaLink="$S$93" lockText="1"/>
</file>

<file path=xl/ctrlProps/ctrlProp69.xml><?xml version="1.0" encoding="utf-8"?>
<formControlPr xmlns="http://schemas.microsoft.com/office/spreadsheetml/2009/9/main" objectType="CheckBox" fmlaLink="$T$93" lockText="1"/>
</file>

<file path=xl/ctrlProps/ctrlProp70.xml><?xml version="1.0" encoding="utf-8"?>
<formControlPr xmlns="http://schemas.microsoft.com/office/spreadsheetml/2009/9/main" objectType="CheckBox" fmlaLink="$U$93" lockText="1"/>
</file>

<file path=xl/ctrlProps/ctrlProp71.xml><?xml version="1.0" encoding="utf-8"?>
<formControlPr xmlns="http://schemas.microsoft.com/office/spreadsheetml/2009/9/main" objectType="CheckBox" fmlaLink="$V$93" lockText="1"/>
</file>

<file path=xl/ctrlProps/ctrlProp72.xml><?xml version="1.0" encoding="utf-8"?>
<formControlPr xmlns="http://schemas.microsoft.com/office/spreadsheetml/2009/9/main" objectType="CheckBox" fmlaLink="$U$90" lockText="1"/>
</file>

<file path=xl/ctrlProps/ctrlProp73.xml><?xml version="1.0" encoding="utf-8"?>
<formControlPr xmlns="http://schemas.microsoft.com/office/spreadsheetml/2009/9/main" objectType="CheckBox" fmlaLink="$DF$37" lockText="1"/>
</file>

<file path=xl/ctrlProps/ctrlProp74.xml><?xml version="1.0" encoding="utf-8"?>
<formControlPr xmlns="http://schemas.microsoft.com/office/spreadsheetml/2009/9/main" objectType="CheckBox" fmlaLink="$DF$37" lockText="1"/>
</file>

<file path=xl/ctrlProps/ctrlProp75.xml><?xml version="1.0" encoding="utf-8"?>
<formControlPr xmlns="http://schemas.microsoft.com/office/spreadsheetml/2009/9/main" objectType="CheckBox" fmlaLink="$DF$37" lockText="1"/>
</file>

<file path=xl/ctrlProps/ctrlProp76.xml><?xml version="1.0" encoding="utf-8"?>
<formControlPr xmlns="http://schemas.microsoft.com/office/spreadsheetml/2009/9/main" objectType="CheckBox" fmlaLink="$DF$37" lockText="1"/>
</file>

<file path=xl/ctrlProps/ctrlProp77.xml><?xml version="1.0" encoding="utf-8"?>
<formControlPr xmlns="http://schemas.microsoft.com/office/spreadsheetml/2009/9/main" objectType="CheckBox" fmlaLink="$DF$37" lockText="1"/>
</file>

<file path=xl/ctrlProps/ctrlProp78.xml><?xml version="1.0" encoding="utf-8"?>
<formControlPr xmlns="http://schemas.microsoft.com/office/spreadsheetml/2009/9/main" objectType="CheckBox" fmlaLink="$DB$37" lockText="1"/>
</file>

<file path=xl/ctrlProps/ctrlProp79.xml><?xml version="1.0" encoding="utf-8"?>
<formControlPr xmlns="http://schemas.microsoft.com/office/spreadsheetml/2009/9/main" objectType="CheckBox" fmlaLink="$DC$37" lockText="1"/>
</file>

<file path=xl/ctrlProps/ctrlProp80.xml><?xml version="1.0" encoding="utf-8"?>
<formControlPr xmlns="http://schemas.microsoft.com/office/spreadsheetml/2009/9/main" objectType="CheckBox" fmlaLink="$DD$37" lockText="1"/>
</file>

<file path=xl/ctrlProps/ctrlProp81.xml><?xml version="1.0" encoding="utf-8"?>
<formControlPr xmlns="http://schemas.microsoft.com/office/spreadsheetml/2009/9/main" objectType="CheckBox" fmlaLink="$DE$37" lockText="1"/>
</file>

<file path=xl/ctrlProps/ctrlProp82.xml><?xml version="1.0" encoding="utf-8"?>
<formControlPr xmlns="http://schemas.microsoft.com/office/spreadsheetml/2009/9/main" objectType="CheckBox" fmlaLink="$DF$37" lockText="1"/>
</file>

<file path=xl/ctrlProps/ctrlProp83.xml><?xml version="1.0" encoding="utf-8"?>
<formControlPr xmlns="http://schemas.microsoft.com/office/spreadsheetml/2009/9/main" objectType="CheckBox" fmlaLink="$DF$37" lockText="1"/>
</file>

<file path=xl/ctrlProps/ctrlProp84.xml><?xml version="1.0" encoding="utf-8"?>
<formControlPr xmlns="http://schemas.microsoft.com/office/spreadsheetml/2009/9/main" objectType="CheckBox" fmlaLink="$DF$37" lockText="1"/>
</file>

<file path=xl/ctrlProps/ctrlProp85.xml><?xml version="1.0" encoding="utf-8"?>
<formControlPr xmlns="http://schemas.microsoft.com/office/spreadsheetml/2009/9/main" objectType="CheckBox" fmlaLink="$DF$37" lockText="1"/>
</file>

<file path=xl/ctrlProps/ctrlProp86.xml><?xml version="1.0" encoding="utf-8"?>
<formControlPr xmlns="http://schemas.microsoft.com/office/spreadsheetml/2009/9/main" objectType="CheckBox" fmlaLink="$DF$37" lockText="1"/>
</file>

<file path=xl/ctrlProps/ctrlProp87.xml><?xml version="1.0" encoding="utf-8"?>
<formControlPr xmlns="http://schemas.microsoft.com/office/spreadsheetml/2009/9/main" objectType="CheckBox" fmlaLink="$DF$37" lockText="1"/>
</file>

<file path=xl/ctrlProps/ctrlProp88.xml><?xml version="1.0" encoding="utf-8"?>
<formControlPr xmlns="http://schemas.microsoft.com/office/spreadsheetml/2009/9/main" objectType="CheckBox" fmlaLink="$DB$37" lockText="1"/>
</file>

<file path=xl/ctrlProps/ctrlProp89.xml><?xml version="1.0" encoding="utf-8"?>
<formControlPr xmlns="http://schemas.microsoft.com/office/spreadsheetml/2009/9/main" objectType="CheckBox" fmlaLink="$DC$37" lockText="1"/>
</file>

<file path=xl/ctrlProps/ctrlProp90.xml><?xml version="1.0" encoding="utf-8"?>
<formControlPr xmlns="http://schemas.microsoft.com/office/spreadsheetml/2009/9/main" objectType="CheckBox" fmlaLink="$DD$37" lockText="1"/>
</file>

<file path=xl/ctrlProps/ctrlProp91.xml><?xml version="1.0" encoding="utf-8"?>
<formControlPr xmlns="http://schemas.microsoft.com/office/spreadsheetml/2009/9/main" objectType="CheckBox" fmlaLink="$DE$37" lockText="1"/>
</file>

<file path=xl/ctrlProps/ctrlProp92.xml><?xml version="1.0" encoding="utf-8"?>
<formControlPr xmlns="http://schemas.microsoft.com/office/spreadsheetml/2009/9/main" objectType="CheckBox" fmlaLink="$DF$37" lockText="1"/>
</file>

<file path=xl/ctrlProps/ctrlProp93.xml><?xml version="1.0" encoding="utf-8"?>
<formControlPr xmlns="http://schemas.microsoft.com/office/spreadsheetml/2009/9/main" objectType="CheckBox" fmlaLink="$DF$37" lockText="1"/>
</file>

<file path=xl/ctrlProps/ctrlProp94.xml><?xml version="1.0" encoding="utf-8"?>
<formControlPr xmlns="http://schemas.microsoft.com/office/spreadsheetml/2009/9/main" objectType="CheckBox" fmlaLink="$DF$37" lockText="1"/>
</file>

<file path=xl/ctrlProps/ctrlProp95.xml><?xml version="1.0" encoding="utf-8"?>
<formControlPr xmlns="http://schemas.microsoft.com/office/spreadsheetml/2009/9/main" objectType="CheckBox" fmlaLink="$DF$37" lockText="1"/>
</file>

<file path=xl/ctrlProps/ctrlProp96.xml><?xml version="1.0" encoding="utf-8"?>
<formControlPr xmlns="http://schemas.microsoft.com/office/spreadsheetml/2009/9/main" objectType="CheckBox" fmlaLink="$DF$37" lockText="1"/>
</file>

<file path=xl/ctrlProps/ctrlProp97.xml><?xml version="1.0" encoding="utf-8"?>
<formControlPr xmlns="http://schemas.microsoft.com/office/spreadsheetml/2009/9/main" objectType="CheckBox" fmlaLink="$DF$37" lockText="1"/>
</file>

<file path=xl/ctrlProps/ctrlProp98.xml><?xml version="1.0" encoding="utf-8"?>
<formControlPr xmlns="http://schemas.microsoft.com/office/spreadsheetml/2009/9/main" objectType="CheckBox" fmlaLink="$DB$37" lockText="1"/>
</file>

<file path=xl/ctrlProps/ctrlProp99.xml><?xml version="1.0" encoding="utf-8"?>
<formControlPr xmlns="http://schemas.microsoft.com/office/spreadsheetml/2009/9/main" objectType="CheckBox" fmlaLink="$DC$37" lockText="1"/>
</file>

<file path=xl/ctrlProps/ctrlProp100.xml><?xml version="1.0" encoding="utf-8"?>
<formControlPr xmlns="http://schemas.microsoft.com/office/spreadsheetml/2009/9/main" objectType="CheckBox" fmlaLink="$DD$37" lockText="1"/>
</file>

<file path=xl/ctrlProps/ctrlProp101.xml><?xml version="1.0" encoding="utf-8"?>
<formControlPr xmlns="http://schemas.microsoft.com/office/spreadsheetml/2009/9/main" objectType="CheckBox" fmlaLink="$DE$37" lockText="1"/>
</file>

<file path=xl/ctrlProps/ctrlProp102.xml><?xml version="1.0" encoding="utf-8"?>
<formControlPr xmlns="http://schemas.microsoft.com/office/spreadsheetml/2009/9/main" objectType="CheckBox" fmlaLink="$DF$37" lockText="1"/>
</file>

<file path=xl/ctrlProps/ctrlProp103.xml><?xml version="1.0" encoding="utf-8"?>
<formControlPr xmlns="http://schemas.microsoft.com/office/spreadsheetml/2009/9/main" objectType="CheckBox" fmlaLink="$DF$37" lockText="1"/>
</file>

<file path=xl/ctrlProps/ctrlProp104.xml><?xml version="1.0" encoding="utf-8"?>
<formControlPr xmlns="http://schemas.microsoft.com/office/spreadsheetml/2009/9/main" objectType="CheckBox" fmlaLink="$DF$37" lockText="1"/>
</file>

<file path=xl/ctrlProps/ctrlProp105.xml><?xml version="1.0" encoding="utf-8"?>
<formControlPr xmlns="http://schemas.microsoft.com/office/spreadsheetml/2009/9/main" objectType="CheckBox" fmlaLink="$DF$37" lockText="1"/>
</file>

<file path=xl/ctrlProps/ctrlProp106.xml><?xml version="1.0" encoding="utf-8"?>
<formControlPr xmlns="http://schemas.microsoft.com/office/spreadsheetml/2009/9/main" objectType="CheckBox" fmlaLink="$DF$37" lockText="1"/>
</file>

<file path=xl/ctrlProps/ctrlProp107.xml><?xml version="1.0" encoding="utf-8"?>
<formControlPr xmlns="http://schemas.microsoft.com/office/spreadsheetml/2009/9/main" objectType="CheckBox" fmlaLink="$DV$30" lockText="1"/>
</file>

<file path=xl/ctrlProps/ctrlProp108.xml><?xml version="1.0" encoding="utf-8"?>
<formControlPr xmlns="http://schemas.microsoft.com/office/spreadsheetml/2009/9/main" objectType="CheckBox" fmlaLink="$DW$30" lockText="1"/>
</file>

<file path=xl/ctrlProps/ctrlProp109.xml><?xml version="1.0" encoding="utf-8"?>
<formControlPr xmlns="http://schemas.microsoft.com/office/spreadsheetml/2009/9/main" objectType="CheckBox" fmlaLink="$DX$30" lockText="1"/>
</file>

<file path=xl/ctrlProps/ctrlProp110.xml><?xml version="1.0" encoding="utf-8"?>
<formControlPr xmlns="http://schemas.microsoft.com/office/spreadsheetml/2009/9/main" objectType="CheckBox" fmlaLink="$DY$30" lockText="1"/>
</file>

<file path=xl/ctrlProps/ctrlProp111.xml><?xml version="1.0" encoding="utf-8"?>
<formControlPr xmlns="http://schemas.microsoft.com/office/spreadsheetml/2009/9/main" objectType="CheckBox" fmlaLink="$DB$37" lockText="1"/>
</file>

<file path=xl/ctrlProps/ctrlProp112.xml><?xml version="1.0" encoding="utf-8"?>
<formControlPr xmlns="http://schemas.microsoft.com/office/spreadsheetml/2009/9/main" objectType="CheckBox" fmlaLink="$DC$37" lockText="1"/>
</file>

<file path=xl/ctrlProps/ctrlProp113.xml><?xml version="1.0" encoding="utf-8"?>
<formControlPr xmlns="http://schemas.microsoft.com/office/spreadsheetml/2009/9/main" objectType="CheckBox" fmlaLink="$DB$30" lockText="1"/>
</file>

<file path=xl/ctrlProps/ctrlProp114.xml><?xml version="1.0" encoding="utf-8"?>
<formControlPr xmlns="http://schemas.microsoft.com/office/spreadsheetml/2009/9/main" objectType="CheckBox" fmlaLink="$DC$30" lockText="1"/>
</file>

<file path=xl/ctrlProps/ctrlProp115.xml><?xml version="1.0" encoding="utf-8"?>
<formControlPr xmlns="http://schemas.microsoft.com/office/spreadsheetml/2009/9/main" objectType="CheckBox" fmlaLink="$DD$30" lockText="1"/>
</file>

<file path=xl/ctrlProps/ctrlProp116.xml><?xml version="1.0" encoding="utf-8"?>
<formControlPr xmlns="http://schemas.microsoft.com/office/spreadsheetml/2009/9/main" objectType="CheckBox" fmlaLink="$DG$30" lockText="1"/>
</file>

<file path=xl/ctrlProps/ctrlProp117.xml><?xml version="1.0" encoding="utf-8"?>
<formControlPr xmlns="http://schemas.microsoft.com/office/spreadsheetml/2009/9/main" objectType="CheckBox" fmlaLink="$DH$30" lockText="1"/>
</file>

<file path=xl/ctrlProps/ctrlProp118.xml><?xml version="1.0" encoding="utf-8"?>
<formControlPr xmlns="http://schemas.microsoft.com/office/spreadsheetml/2009/9/main" objectType="CheckBox" fmlaLink="$DI$30" lockText="1"/>
</file>

<file path=xl/ctrlProps/ctrlProp119.xml><?xml version="1.0" encoding="utf-8"?>
<formControlPr xmlns="http://schemas.microsoft.com/office/spreadsheetml/2009/9/main" objectType="CheckBox" fmlaLink="$DB$30" lockText="1"/>
</file>

<file path=xl/ctrlProps/ctrlProp120.xml><?xml version="1.0" encoding="utf-8"?>
<formControlPr xmlns="http://schemas.microsoft.com/office/spreadsheetml/2009/9/main" objectType="CheckBox" fmlaLink="$DC$30" lockText="1"/>
</file>

<file path=xl/ctrlProps/ctrlProp121.xml><?xml version="1.0" encoding="utf-8"?>
<formControlPr xmlns="http://schemas.microsoft.com/office/spreadsheetml/2009/9/main" objectType="CheckBox" fmlaLink="$DD$30" lockText="1"/>
</file>

<file path=xl/ctrlProps/ctrlProp122.xml><?xml version="1.0" encoding="utf-8"?>
<formControlPr xmlns="http://schemas.microsoft.com/office/spreadsheetml/2009/9/main" objectType="CheckBox" fmlaLink="$DE$30" lockText="1"/>
</file>

<file path=xl/ctrlProps/ctrlProp123.xml><?xml version="1.0" encoding="utf-8"?>
<formControlPr xmlns="http://schemas.microsoft.com/office/spreadsheetml/2009/9/main" objectType="CheckBox" fmlaLink="$DB$30" lockText="1"/>
</file>

<file path=xl/ctrlProps/ctrlProp124.xml><?xml version="1.0" encoding="utf-8"?>
<formControlPr xmlns="http://schemas.microsoft.com/office/spreadsheetml/2009/9/main" objectType="CheckBox" fmlaLink="$DC$30" lockText="1"/>
</file>

<file path=xl/ctrlProps/ctrlProp125.xml><?xml version="1.0" encoding="utf-8"?>
<formControlPr xmlns="http://schemas.microsoft.com/office/spreadsheetml/2009/9/main" objectType="CheckBox" fmlaLink="$DG$30" lockText="1"/>
</file>

<file path=xl/ctrlProps/ctrlProp126.xml><?xml version="1.0" encoding="utf-8"?>
<formControlPr xmlns="http://schemas.microsoft.com/office/spreadsheetml/2009/9/main" objectType="CheckBox" fmlaLink="$DH$30" lockText="1"/>
</file>

<file path=xl/ctrlProps/ctrlProp127.xml><?xml version="1.0" encoding="utf-8"?>
<formControlPr xmlns="http://schemas.microsoft.com/office/spreadsheetml/2009/9/main" objectType="CheckBox" fmlaLink="$DB$31" lockText="1"/>
</file>

<file path=xl/ctrlProps/ctrlProp128.xml><?xml version="1.0" encoding="utf-8"?>
<formControlPr xmlns="http://schemas.microsoft.com/office/spreadsheetml/2009/9/main" objectType="CheckBox" fmlaLink="$DC$31" lockText="1"/>
</file>

<file path=xl/ctrlProps/ctrlProp129.xml><?xml version="1.0" encoding="utf-8"?>
<formControlPr xmlns="http://schemas.microsoft.com/office/spreadsheetml/2009/9/main" objectType="CheckBox" fmlaLink="$DD$31" lockText="1"/>
</file>

<file path=xl/ctrlProps/ctrlProp130.xml><?xml version="1.0" encoding="utf-8"?>
<formControlPr xmlns="http://schemas.microsoft.com/office/spreadsheetml/2009/9/main" objectType="CheckBox" fmlaLink="$DE$31" lockText="1"/>
</file>

<file path=xl/ctrlProps/ctrlProp131.xml><?xml version="1.0" encoding="utf-8"?>
<formControlPr xmlns="http://schemas.microsoft.com/office/spreadsheetml/2009/9/main" objectType="CheckBox" fmlaLink="$DF$31" lockText="1"/>
</file>

<file path=xl/ctrlProps/ctrlProp132.xml><?xml version="1.0" encoding="utf-8"?>
<formControlPr xmlns="http://schemas.microsoft.com/office/spreadsheetml/2009/9/main" objectType="CheckBox" fmlaLink="$DG$31" lockText="1"/>
</file>

<file path=xl/ctrlProps/ctrlProp133.xml><?xml version="1.0" encoding="utf-8"?>
<formControlPr xmlns="http://schemas.microsoft.com/office/spreadsheetml/2009/9/main" objectType="CheckBox" fmlaLink="$DH$31" lockText="1"/>
</file>

<file path=xl/ctrlProps/ctrlProp134.xml><?xml version="1.0" encoding="utf-8"?>
<formControlPr xmlns="http://schemas.microsoft.com/office/spreadsheetml/2009/9/main" objectType="CheckBox" fmlaLink="$DI$31" lockText="1"/>
</file>

<file path=xl/ctrlProps/ctrlProp135.xml><?xml version="1.0" encoding="utf-8"?>
<formControlPr xmlns="http://schemas.microsoft.com/office/spreadsheetml/2009/9/main" objectType="CheckBox" fmlaLink="$DJ$31" lockText="1"/>
</file>

<file path=xl/ctrlProps/ctrlProp136.xml><?xml version="1.0" encoding="utf-8"?>
<formControlPr xmlns="http://schemas.microsoft.com/office/spreadsheetml/2009/9/main" objectType="CheckBox" fmlaLink="$DK$31" lockText="1"/>
</file>

<file path=xl/ctrlProps/ctrlProp137.xml><?xml version="1.0" encoding="utf-8"?>
<formControlPr xmlns="http://schemas.microsoft.com/office/spreadsheetml/2009/9/main" objectType="CheckBox" fmlaLink="$DL$31" lockText="1"/>
</file>

<file path=xl/ctrlProps/ctrlProp138.xml><?xml version="1.0" encoding="utf-8"?>
<formControlPr xmlns="http://schemas.microsoft.com/office/spreadsheetml/2009/9/main" objectType="CheckBox" fmlaLink="$DM$31" lockText="1"/>
</file>

<file path=xl/ctrlProps/ctrlProp139.xml><?xml version="1.0" encoding="utf-8"?>
<formControlPr xmlns="http://schemas.microsoft.com/office/spreadsheetml/2009/9/main" objectType="CheckBox" fmlaLink="$DN$31" lockText="1"/>
</file>

<file path=xl/ctrlProps/ctrlProp140.xml><?xml version="1.0" encoding="utf-8"?>
<formControlPr xmlns="http://schemas.microsoft.com/office/spreadsheetml/2009/9/main" objectType="CheckBox" fmlaLink="$DO$31" lockText="1"/>
</file>

<file path=xl/ctrlProps/ctrlProp141.xml><?xml version="1.0" encoding="utf-8"?>
<formControlPr xmlns="http://schemas.microsoft.com/office/spreadsheetml/2009/9/main" objectType="CheckBox" fmlaLink="$DP$31" lockText="1"/>
</file>

<file path=xl/ctrlProps/ctrlProp142.xml><?xml version="1.0" encoding="utf-8"?>
<formControlPr xmlns="http://schemas.microsoft.com/office/spreadsheetml/2009/9/main" objectType="CheckBox" fmlaLink="$DL$31" lockText="1"/>
</file>

<file path=xl/ctrlProps/ctrlProp143.xml><?xml version="1.0" encoding="utf-8"?>
<formControlPr xmlns="http://schemas.microsoft.com/office/spreadsheetml/2009/9/main" objectType="CheckBox" fmlaLink="$DM$31" lockText="1"/>
</file>

<file path=xl/ctrlProps/ctrlProp144.xml><?xml version="1.0" encoding="utf-8"?>
<formControlPr xmlns="http://schemas.microsoft.com/office/spreadsheetml/2009/9/main" objectType="CheckBox" fmlaLink="$DN$31" lockText="1"/>
</file>

<file path=xl/ctrlProps/ctrlProp145.xml><?xml version="1.0" encoding="utf-8"?>
<formControlPr xmlns="http://schemas.microsoft.com/office/spreadsheetml/2009/9/main" objectType="CheckBox" fmlaLink="$DB$30" lockText="1"/>
</file>

<file path=xl/ctrlProps/ctrlProp146.xml><?xml version="1.0" encoding="utf-8"?>
<formControlPr xmlns="http://schemas.microsoft.com/office/spreadsheetml/2009/9/main" objectType="CheckBox" fmlaLink="$DC$30" lockText="1"/>
</file>

<file path=xl/ctrlProps/ctrlProp147.xml><?xml version="1.0" encoding="utf-8"?>
<formControlPr xmlns="http://schemas.microsoft.com/office/spreadsheetml/2009/9/main" objectType="CheckBox" fmlaLink="$DB$31" lockText="1"/>
</file>

<file path=xl/ctrlProps/ctrlProp148.xml><?xml version="1.0" encoding="utf-8"?>
<formControlPr xmlns="http://schemas.microsoft.com/office/spreadsheetml/2009/9/main" objectType="CheckBox" fmlaLink="$DC$31" lockText="1"/>
</file>

<file path=xl/ctrlProps/ctrlProp149.xml><?xml version="1.0" encoding="utf-8"?>
<formControlPr xmlns="http://schemas.microsoft.com/office/spreadsheetml/2009/9/main" objectType="CheckBox" fmlaLink="$DD$31" lockText="1"/>
</file>

<file path=xl/ctrlProps/ctrlProp150.xml><?xml version="1.0" encoding="utf-8"?>
<formControlPr xmlns="http://schemas.microsoft.com/office/spreadsheetml/2009/9/main" objectType="CheckBox" fmlaLink="$DB$31" lockText="1"/>
</file>

<file path=xl/ctrlProps/ctrlProp151.xml><?xml version="1.0" encoding="utf-8"?>
<formControlPr xmlns="http://schemas.microsoft.com/office/spreadsheetml/2009/9/main" objectType="CheckBox" fmlaLink="$DC$31" lockText="1"/>
</file>

<file path=xl/ctrlProps/ctrlProp152.xml><?xml version="1.0" encoding="utf-8"?>
<formControlPr xmlns="http://schemas.microsoft.com/office/spreadsheetml/2009/9/main" objectType="CheckBox" fmlaLink="$DD$31" lockText="1"/>
</file>

<file path=xl/ctrlProps/ctrlProp153.xml><?xml version="1.0" encoding="utf-8"?>
<formControlPr xmlns="http://schemas.microsoft.com/office/spreadsheetml/2009/9/main" objectType="CheckBox" fmlaLink="$DB$31" lockText="1"/>
</file>

<file path=xl/ctrlProps/ctrlProp154.xml><?xml version="1.0" encoding="utf-8"?>
<formControlPr xmlns="http://schemas.microsoft.com/office/spreadsheetml/2009/9/main" objectType="CheckBox" fmlaLink="$DC$31" lockText="1"/>
</file>

<file path=xl/ctrlProps/ctrlProp155.xml><?xml version="1.0" encoding="utf-8"?>
<formControlPr xmlns="http://schemas.microsoft.com/office/spreadsheetml/2009/9/main" objectType="CheckBox" fmlaLink="$DD$31" lockText="1"/>
</file>

<file path=xl/ctrlProps/ctrlProp156.xml><?xml version="1.0" encoding="utf-8"?>
<formControlPr xmlns="http://schemas.microsoft.com/office/spreadsheetml/2009/9/main" objectType="CheckBox" fmlaLink="$DB$31" lockText="1"/>
</file>

<file path=xl/ctrlProps/ctrlProp157.xml><?xml version="1.0" encoding="utf-8"?>
<formControlPr xmlns="http://schemas.microsoft.com/office/spreadsheetml/2009/9/main" objectType="CheckBox" fmlaLink="$DC$31" lockText="1"/>
</file>

<file path=xl/ctrlProps/ctrlProp158.xml><?xml version="1.0" encoding="utf-8"?>
<formControlPr xmlns="http://schemas.microsoft.com/office/spreadsheetml/2009/9/main" objectType="CheckBox" fmlaLink="$DD$31" lockText="1"/>
</file>

<file path=xl/ctrlProps/ctrlProp159.xml><?xml version="1.0" encoding="utf-8"?>
<formControlPr xmlns="http://schemas.microsoft.com/office/spreadsheetml/2009/9/main" objectType="CheckBox" fmlaLink="$DB$31" lockText="1"/>
</file>

<file path=xl/ctrlProps/ctrlProp160.xml><?xml version="1.0" encoding="utf-8"?>
<formControlPr xmlns="http://schemas.microsoft.com/office/spreadsheetml/2009/9/main" objectType="CheckBox" fmlaLink="$DC$31" lockText="1"/>
</file>

<file path=xl/ctrlProps/ctrlProp161.xml><?xml version="1.0" encoding="utf-8"?>
<formControlPr xmlns="http://schemas.microsoft.com/office/spreadsheetml/2009/9/main" objectType="CheckBox" fmlaLink="$DD$31" lockText="1"/>
</file>

<file path=xl/ctrlProps/ctrlProp162.xml><?xml version="1.0" encoding="utf-8"?>
<formControlPr xmlns="http://schemas.microsoft.com/office/spreadsheetml/2009/9/main" objectType="CheckBox" fmlaLink="$DB$30" lockText="1"/>
</file>

<file path=xl/ctrlProps/ctrlProp163.xml><?xml version="1.0" encoding="utf-8"?>
<formControlPr xmlns="http://schemas.microsoft.com/office/spreadsheetml/2009/9/main" objectType="CheckBox" fmlaLink="$DC$30" lockText="1"/>
</file>

<file path=xl/ctrlProps/ctrlProp164.xml><?xml version="1.0" encoding="utf-8"?>
<formControlPr xmlns="http://schemas.microsoft.com/office/spreadsheetml/2009/9/main" objectType="CheckBox" fmlaLink="$DB$30" lockText="1"/>
</file>

<file path=xl/ctrlProps/ctrlProp165.xml><?xml version="1.0" encoding="utf-8"?>
<formControlPr xmlns="http://schemas.microsoft.com/office/spreadsheetml/2009/9/main" objectType="CheckBox" fmlaLink="$DB$31" lockText="1"/>
</file>

<file path=xl/ctrlProps/ctrlProp166.xml><?xml version="1.0" encoding="utf-8"?>
<formControlPr xmlns="http://schemas.microsoft.com/office/spreadsheetml/2009/9/main" objectType="CheckBox" fmlaLink="$DC$31" lockText="1"/>
</file>

<file path=xl/ctrlProps/ctrlProp167.xml><?xml version="1.0" encoding="utf-8"?>
<formControlPr xmlns="http://schemas.microsoft.com/office/spreadsheetml/2009/9/main" objectType="CheckBox" fmlaLink="$DB$31" lockText="1"/>
</file>

<file path=xl/ctrlProps/ctrlProp168.xml><?xml version="1.0" encoding="utf-8"?>
<formControlPr xmlns="http://schemas.microsoft.com/office/spreadsheetml/2009/9/main" objectType="CheckBox" fmlaLink="$DC$31" lockText="1"/>
</file>

<file path=xl/ctrlProps/ctrlProp169.xml><?xml version="1.0" encoding="utf-8"?>
<formControlPr xmlns="http://schemas.microsoft.com/office/spreadsheetml/2009/9/main" objectType="CheckBox" fmlaLink="$DD$31" lockText="1"/>
</file>

<file path=xl/ctrlProps/ctrlProp170.xml><?xml version="1.0" encoding="utf-8"?>
<formControlPr xmlns="http://schemas.microsoft.com/office/spreadsheetml/2009/9/main" objectType="CheckBox" fmlaLink="$DB$31" lockText="1"/>
</file>

<file path=xl/ctrlProps/ctrlProp171.xml><?xml version="1.0" encoding="utf-8"?>
<formControlPr xmlns="http://schemas.microsoft.com/office/spreadsheetml/2009/9/main" objectType="CheckBox" fmlaLink="$DB$31" lockText="1"/>
</file>

<file path=xl/ctrlProps/ctrlProp172.xml><?xml version="1.0" encoding="utf-8"?>
<formControlPr xmlns="http://schemas.microsoft.com/office/spreadsheetml/2009/9/main" objectType="CheckBox" fmlaLink="$DC$31" lockText="1"/>
</file>

<file path=xl/ctrlProps/ctrlProp173.xml><?xml version="1.0" encoding="utf-8"?>
<formControlPr xmlns="http://schemas.microsoft.com/office/spreadsheetml/2009/9/main" objectType="CheckBox" fmlaLink="$DD$31" lockText="1"/>
</file>

<file path=xl/ctrlProps/ctrlProp174.xml><?xml version="1.0" encoding="utf-8"?>
<formControlPr xmlns="http://schemas.microsoft.com/office/spreadsheetml/2009/9/main" objectType="CheckBox" fmlaLink="$DE$31" lockText="1"/>
</file>

<file path=xl/ctrlProps/ctrlProp175.xml><?xml version="1.0" encoding="utf-8"?>
<formControlPr xmlns="http://schemas.microsoft.com/office/spreadsheetml/2009/9/main" objectType="CheckBox" fmlaLink="$DG$31" lockText="1"/>
</file>

<file path=xl/ctrlProps/ctrlProp176.xml><?xml version="1.0" encoding="utf-8"?>
<formControlPr xmlns="http://schemas.microsoft.com/office/spreadsheetml/2009/9/main" objectType="CheckBox" fmlaLink="$DH$31" lockText="1"/>
</file>

<file path=xl/ctrlProps/ctrlProp177.xml><?xml version="1.0" encoding="utf-8"?>
<formControlPr xmlns="http://schemas.microsoft.com/office/spreadsheetml/2009/9/main" objectType="CheckBox" fmlaLink="$DI$31" lockText="1"/>
</file>

<file path=xl/ctrlProps/ctrlProp178.xml><?xml version="1.0" encoding="utf-8"?>
<formControlPr xmlns="http://schemas.microsoft.com/office/spreadsheetml/2009/9/main" objectType="CheckBox" fmlaLink="$DB$30" lockText="1"/>
</file>

<file path=xl/ctrlProps/ctrlProp179.xml><?xml version="1.0" encoding="utf-8"?>
<formControlPr xmlns="http://schemas.microsoft.com/office/spreadsheetml/2009/9/main" objectType="CheckBox" fmlaLink="$DC$30" lockText="1"/>
</file>

<file path=xl/ctrlProps/ctrlProp180.xml><?xml version="1.0" encoding="utf-8"?>
<formControlPr xmlns="http://schemas.microsoft.com/office/spreadsheetml/2009/9/main" objectType="CheckBox" fmlaLink="$DG$30" lockText="1"/>
</file>

<file path=xl/ctrlProps/ctrlProp181.xml><?xml version="1.0" encoding="utf-8"?>
<formControlPr xmlns="http://schemas.microsoft.com/office/spreadsheetml/2009/9/main" objectType="CheckBox" fmlaLink="$DH$30" lockText="1"/>
</file>

<file path=xl/ctrlProps/ctrlProp182.xml><?xml version="1.0" encoding="utf-8"?>
<formControlPr xmlns="http://schemas.microsoft.com/office/spreadsheetml/2009/9/main" objectType="CheckBox" fmlaLink="$DB$31" lockText="1"/>
</file>

<file path=xl/ctrlProps/ctrlProp183.xml><?xml version="1.0" encoding="utf-8"?>
<formControlPr xmlns="http://schemas.microsoft.com/office/spreadsheetml/2009/9/main" objectType="CheckBox" fmlaLink="$DB$31" lockText="1"/>
</file>

<file path=xl/ctrlProps/ctrlProp184.xml><?xml version="1.0" encoding="utf-8"?>
<formControlPr xmlns="http://schemas.microsoft.com/office/spreadsheetml/2009/9/main" objectType="CheckBox" fmlaLink="$DC$31" lockText="1"/>
</file>

<file path=xl/ctrlProps/ctrlProp185.xml><?xml version="1.0" encoding="utf-8"?>
<formControlPr xmlns="http://schemas.microsoft.com/office/spreadsheetml/2009/9/main" objectType="CheckBox" fmlaLink="$DD$31" lockText="1"/>
</file>

<file path=xl/ctrlProps/ctrlProp186.xml><?xml version="1.0" encoding="utf-8"?>
<formControlPr xmlns="http://schemas.microsoft.com/office/spreadsheetml/2009/9/main" objectType="CheckBox" fmlaLink="$DG$31" lockText="1"/>
</file>

<file path=xl/ctrlProps/ctrlProp187.xml><?xml version="1.0" encoding="utf-8"?>
<formControlPr xmlns="http://schemas.microsoft.com/office/spreadsheetml/2009/9/main" objectType="CheckBox" fmlaLink="$DH$31" lockText="1"/>
</file>

<file path=xl/ctrlProps/ctrlProp188.xml><?xml version="1.0" encoding="utf-8"?>
<formControlPr xmlns="http://schemas.microsoft.com/office/spreadsheetml/2009/9/main" objectType="CheckBox" fmlaLink="$DI$31" lockText="1"/>
</file>

<file path=xl/ctrlProps/ctrlProp189.xml><?xml version="1.0" encoding="utf-8"?>
<formControlPr xmlns="http://schemas.microsoft.com/office/spreadsheetml/2009/9/main" objectType="CheckBox" fmlaLink="$DB$31" lockText="1"/>
</file>

<file path=xl/ctrlProps/ctrlProp190.xml><?xml version="1.0" encoding="utf-8"?>
<formControlPr xmlns="http://schemas.microsoft.com/office/spreadsheetml/2009/9/main" objectType="CheckBox" fmlaLink="$DB$31" lockText="1"/>
</file>

<file path=xl/ctrlProps/ctrlProp191.xml><?xml version="1.0" encoding="utf-8"?>
<formControlPr xmlns="http://schemas.microsoft.com/office/spreadsheetml/2009/9/main" objectType="CheckBox" fmlaLink="$DC$31" lockText="1"/>
</file>

<file path=xl/ctrlProps/ctrlProp192.xml><?xml version="1.0" encoding="utf-8"?>
<formControlPr xmlns="http://schemas.microsoft.com/office/spreadsheetml/2009/9/main" objectType="CheckBox" fmlaLink="$DD$31" lockText="1"/>
</file>

<file path=xl/ctrlProps/ctrlProp193.xml><?xml version="1.0" encoding="utf-8"?>
<formControlPr xmlns="http://schemas.microsoft.com/office/spreadsheetml/2009/9/main" objectType="CheckBox" fmlaLink="$DE$31" lockText="1"/>
</file>

<file path=xl/ctrlProps/ctrlProp194.xml><?xml version="1.0" encoding="utf-8"?>
<formControlPr xmlns="http://schemas.microsoft.com/office/spreadsheetml/2009/9/main" objectType="CheckBox" fmlaLink="$DG$31" lockText="1"/>
</file>

<file path=xl/ctrlProps/ctrlProp195.xml><?xml version="1.0" encoding="utf-8"?>
<formControlPr xmlns="http://schemas.microsoft.com/office/spreadsheetml/2009/9/main" objectType="CheckBox" fmlaLink="$DH$31" lockText="1"/>
</file>

<file path=xl/ctrlProps/ctrlProp196.xml><?xml version="1.0" encoding="utf-8"?>
<formControlPr xmlns="http://schemas.microsoft.com/office/spreadsheetml/2009/9/main" objectType="CheckBox" fmlaLink="$DI$31" lockText="1"/>
</file>

<file path=xl/ctrlProps/ctrlProp197.xml><?xml version="1.0" encoding="utf-8"?>
<formControlPr xmlns="http://schemas.microsoft.com/office/spreadsheetml/2009/9/main" objectType="CheckBox" fmlaLink="$DJ$31" lockText="1"/>
</file>

<file path=xl/ctrlProps/ctrlProp198.xml><?xml version="1.0" encoding="utf-8"?>
<formControlPr xmlns="http://schemas.microsoft.com/office/spreadsheetml/2009/9/main" objectType="CheckBox" fmlaLink="$DL$31" lockText="1"/>
</file>

<file path=xl/ctrlProps/ctrlProp199.xml><?xml version="1.0" encoding="utf-8"?>
<formControlPr xmlns="http://schemas.microsoft.com/office/spreadsheetml/2009/9/main" objectType="CheckBox" fmlaLink="$DM$31" lockText="1"/>
</file>

<file path=xl/ctrlProps/ctrlProp200.xml><?xml version="1.0" encoding="utf-8"?>
<formControlPr xmlns="http://schemas.microsoft.com/office/spreadsheetml/2009/9/main" objectType="CheckBox" fmlaLink="$DN$31" lockText="1"/>
</file>

<file path=xl/ctrlProps/ctrlProp201.xml><?xml version="1.0" encoding="utf-8"?>
<formControlPr xmlns="http://schemas.microsoft.com/office/spreadsheetml/2009/9/main" objectType="CheckBox" fmlaLink="$DO$31" lockText="1"/>
</file>

<file path=xl/ctrlProps/ctrlProp202.xml><?xml version="1.0" encoding="utf-8"?>
<formControlPr xmlns="http://schemas.microsoft.com/office/spreadsheetml/2009/9/main" objectType="CheckBox" fmlaLink="$DB$31" lockText="1"/>
</file>

<file path=xl/ctrlProps/ctrlProp203.xml><?xml version="1.0" encoding="utf-8"?>
<formControlPr xmlns="http://schemas.microsoft.com/office/spreadsheetml/2009/9/main" objectType="CheckBox" fmlaLink="$DC$31" lockText="1"/>
</file>

<file path=xl/ctrlProps/ctrlProp204.xml><?xml version="1.0" encoding="utf-8"?>
<formControlPr xmlns="http://schemas.microsoft.com/office/spreadsheetml/2009/9/main" objectType="CheckBox" fmlaLink="$DD$31" lockText="1"/>
</file>

<file path=xl/ctrlProps/ctrlProp205.xml><?xml version="1.0" encoding="utf-8"?>
<formControlPr xmlns="http://schemas.microsoft.com/office/spreadsheetml/2009/9/main" objectType="CheckBox" fmlaLink="$DE$31" lockText="1"/>
</file>

<file path=xl/ctrlProps/ctrlProp206.xml><?xml version="1.0" encoding="utf-8"?>
<formControlPr xmlns="http://schemas.microsoft.com/office/spreadsheetml/2009/9/main" objectType="CheckBox" fmlaLink="$DG$31" lockText="1"/>
</file>

<file path=xl/ctrlProps/ctrlProp207.xml><?xml version="1.0" encoding="utf-8"?>
<formControlPr xmlns="http://schemas.microsoft.com/office/spreadsheetml/2009/9/main" objectType="CheckBox" fmlaLink="$DH$31" lockText="1"/>
</file>

<file path=xl/ctrlProps/ctrlProp208.xml><?xml version="1.0" encoding="utf-8"?>
<formControlPr xmlns="http://schemas.microsoft.com/office/spreadsheetml/2009/9/main" objectType="CheckBox" fmlaLink="$DI$31" lockText="1"/>
</file>

<file path=xl/ctrlProps/ctrlProp209.xml><?xml version="1.0" encoding="utf-8"?>
<formControlPr xmlns="http://schemas.microsoft.com/office/spreadsheetml/2009/9/main" objectType="CheckBox" fmlaLink="$DJ$31" lockText="1"/>
</file>

<file path=xl/ctrlProps/ctrlProp210.xml><?xml version="1.0" encoding="utf-8"?>
<formControlPr xmlns="http://schemas.microsoft.com/office/spreadsheetml/2009/9/main" objectType="CheckBox" fmlaLink="$DL$31" lockText="1"/>
</file>

<file path=xl/ctrlProps/ctrlProp211.xml><?xml version="1.0" encoding="utf-8"?>
<formControlPr xmlns="http://schemas.microsoft.com/office/spreadsheetml/2009/9/main" objectType="CheckBox" fmlaLink="$DM$31" lockText="1"/>
</file>

<file path=xl/ctrlProps/ctrlProp212.xml><?xml version="1.0" encoding="utf-8"?>
<formControlPr xmlns="http://schemas.microsoft.com/office/spreadsheetml/2009/9/main" objectType="CheckBox" fmlaLink="$DG$30" lockText="1"/>
</file>

<file path=xl/ctrlProps/ctrlProp213.xml><?xml version="1.0" encoding="utf-8"?>
<formControlPr xmlns="http://schemas.microsoft.com/office/spreadsheetml/2009/9/main" objectType="CheckBox" fmlaLink="$DH$30" lockText="1"/>
</file>

<file path=xl/ctrlProps/ctrlProp214.xml><?xml version="1.0" encoding="utf-8"?>
<formControlPr xmlns="http://schemas.microsoft.com/office/spreadsheetml/2009/9/main" objectType="CheckBox" fmlaLink="$DI$30" lockText="1"/>
</file>

<file path=xl/ctrlProps/ctrlProp215.xml><?xml version="1.0" encoding="utf-8"?>
<formControlPr xmlns="http://schemas.microsoft.com/office/spreadsheetml/2009/9/main" objectType="CheckBox" fmlaLink="$DB$31" lockText="1"/>
</file>

<file path=xl/ctrlProps/ctrlProp216.xml><?xml version="1.0" encoding="utf-8"?>
<formControlPr xmlns="http://schemas.microsoft.com/office/spreadsheetml/2009/9/main" objectType="CheckBox" fmlaLink="$DC$31" lockText="1"/>
</file>

<file path=xl/ctrlProps/ctrlProp217.xml><?xml version="1.0" encoding="utf-8"?>
<formControlPr xmlns="http://schemas.microsoft.com/office/spreadsheetml/2009/9/main" objectType="CheckBox" fmlaLink="$DD$31" lockText="1"/>
</file>

<file path=xl/ctrlProps/ctrlProp218.xml><?xml version="1.0" encoding="utf-8"?>
<formControlPr xmlns="http://schemas.microsoft.com/office/spreadsheetml/2009/9/main" objectType="CheckBox" fmlaLink="$DB$31" lockText="1"/>
</file>

<file path=xl/ctrlProps/ctrlProp219.xml><?xml version="1.0" encoding="utf-8"?>
<formControlPr xmlns="http://schemas.microsoft.com/office/spreadsheetml/2009/9/main" objectType="CheckBox" fmlaLink="$DC$31" lockText="1"/>
</file>

<file path=xl/ctrlProps/ctrlProp220.xml><?xml version="1.0" encoding="utf-8"?>
<formControlPr xmlns="http://schemas.microsoft.com/office/spreadsheetml/2009/9/main" objectType="CheckBox" fmlaLink="$DD$31" lockText="1"/>
</file>

<file path=xl/ctrlProps/ctrlProp221.xml><?xml version="1.0" encoding="utf-8"?>
<formControlPr xmlns="http://schemas.microsoft.com/office/spreadsheetml/2009/9/main" objectType="CheckBox" fmlaLink="$DB$31" lockText="1"/>
</file>

<file path=xl/ctrlProps/ctrlProp222.xml><?xml version="1.0" encoding="utf-8"?>
<formControlPr xmlns="http://schemas.microsoft.com/office/spreadsheetml/2009/9/main" objectType="CheckBox" fmlaLink="$DC$31" lockText="1"/>
</file>

<file path=xl/ctrlProps/ctrlProp223.xml><?xml version="1.0" encoding="utf-8"?>
<formControlPr xmlns="http://schemas.microsoft.com/office/spreadsheetml/2009/9/main" objectType="CheckBox" fmlaLink="$DD$31" lockText="1"/>
</file>

<file path=xl/ctrlProps/ctrlProp224.xml><?xml version="1.0" encoding="utf-8"?>
<formControlPr xmlns="http://schemas.microsoft.com/office/spreadsheetml/2009/9/main" objectType="CheckBox" fmlaLink="$DC$37" lockText="1"/>
</file>

<file path=xl/drawings/drawing1.xml><?xml version="1.0" encoding="utf-8"?>
<xdr:wsDr xmlns:xdr="http://schemas.openxmlformats.org/drawingml/2006/spreadsheetDrawing" xmlns:a="http://schemas.openxmlformats.org/drawingml/2006/main">
  <xdr:twoCellAnchor>
    <xdr:from>
      <xdr:col>3</xdr:col>
      <xdr:colOff>0</xdr:colOff>
      <xdr:row>1</xdr:row>
      <xdr:rowOff>0</xdr:rowOff>
    </xdr:from>
    <xdr:to>
      <xdr:col>5</xdr:col>
      <xdr:colOff>363801</xdr:colOff>
      <xdr:row>2</xdr:row>
      <xdr:rowOff>31313</xdr:rowOff>
    </xdr:to>
    <xdr:sp macro="" textlink="">
      <xdr:nvSpPr>
        <xdr:cNvPr id="2" name="TextBox 1">
          <a:extLst>
            <a:ext uri="{FF2B5EF4-FFF2-40B4-BE49-F238E27FC236}">
              <a16:creationId xmlns:a16="http://schemas.microsoft.com/office/drawing/2014/main" id="{00000000-0008-0000-0200-000002000000}"/>
            </a:ext>
          </a:extLst>
        </xdr:cNvPr>
        <xdr:cNvSpPr txBox="1"/>
      </xdr:nvSpPr>
      <xdr:spPr>
        <a:xfrm>
          <a:off x="876300" y="209550"/>
          <a:ext cx="4792926" cy="34563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PH" sz="2000" b="1" u="sng">
              <a:solidFill>
                <a:srgbClr val="0070C0"/>
              </a:solidFill>
              <a:latin typeface="Aharoni" pitchFamily="2" charset="-79"/>
              <a:cs typeface="Aharoni" pitchFamily="2" charset="-79"/>
            </a:rPr>
            <a:t>QA</a:t>
          </a:r>
          <a:r>
            <a:rPr lang="en-PH" sz="2000" b="1" u="sng" baseline="0">
              <a:solidFill>
                <a:srgbClr val="0070C0"/>
              </a:solidFill>
              <a:latin typeface="Aharoni" pitchFamily="2" charset="-79"/>
              <a:cs typeface="Aharoni" pitchFamily="2" charset="-79"/>
            </a:rPr>
            <a:t> EVALUATION FORM</a:t>
          </a:r>
        </a:p>
      </xdr:txBody>
    </xdr:sp>
    <xdr:clientData/>
  </xdr:twoCellAnchor>
  <mc:AlternateContent xmlns:mc="http://schemas.openxmlformats.org/markup-compatibility/2006">
    <mc:Choice xmlns:a14="http://schemas.microsoft.com/office/drawing/2010/main" Requires="a14">
      <xdr:twoCellAnchor>
        <xdr:from>
          <xdr:col>11</xdr:col>
          <xdr:colOff>47625</xdr:colOff>
          <xdr:row>28</xdr:row>
          <xdr:rowOff>9525</xdr:rowOff>
        </xdr:from>
        <xdr:to>
          <xdr:col>11</xdr:col>
          <xdr:colOff>2009775</xdr:colOff>
          <xdr:row>28</xdr:row>
          <xdr:rowOff>190500</xdr:rowOff>
        </xdr:to>
        <xdr:sp macro="" textlink="">
          <xdr:nvSpPr>
            <xdr:cNvPr id="43034" name="Check Box 26" descr="Documented confidential information" hidden="1">
              <a:extLst>
                <a:ext uri="{63B3BB69-23CF-44E3-9099-C40C66FF867C}">
                  <a14:compatExt spid="_x0000_s43034"/>
                </a:ext>
                <a:ext uri="{FF2B5EF4-FFF2-40B4-BE49-F238E27FC236}">
                  <a16:creationId xmlns:a16="http://schemas.microsoft.com/office/drawing/2014/main" id="{00000000-0008-0000-0200-00001AA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Tahoma"/>
                  <a:ea typeface="Tahoma"/>
                  <a:cs typeface="Tahoma"/>
                </a:rPr>
                <a:t>Documented confidential information</a:t>
              </a:r>
            </a:p>
          </xdr:txBody>
        </xdr:sp>
        <xdr:clientData/>
      </xdr:twoCellAnchor>
    </mc:Choice>
    <mc:Fallback/>
  </mc:AlternateContent>
  <mc:AlternateContent xmlns:mc="http://schemas.openxmlformats.org/markup-compatibility/2006">
    <mc:Choice xmlns:a14="http://schemas.microsoft.com/office/drawing/2010/main" Requires="a14">
      <xdr:twoCellAnchor>
        <xdr:from>
          <xdr:col>11</xdr:col>
          <xdr:colOff>47625</xdr:colOff>
          <xdr:row>28</xdr:row>
          <xdr:rowOff>171450</xdr:rowOff>
        </xdr:from>
        <xdr:to>
          <xdr:col>11</xdr:col>
          <xdr:colOff>2009775</xdr:colOff>
          <xdr:row>28</xdr:row>
          <xdr:rowOff>352425</xdr:rowOff>
        </xdr:to>
        <xdr:sp macro="" textlink="">
          <xdr:nvSpPr>
            <xdr:cNvPr id="43035" name="Check Box 27" hidden="1">
              <a:extLst>
                <a:ext uri="{63B3BB69-23CF-44E3-9099-C40C66FF867C}">
                  <a14:compatExt spid="_x0000_s43035"/>
                </a:ext>
                <a:ext uri="{FF2B5EF4-FFF2-40B4-BE49-F238E27FC236}">
                  <a16:creationId xmlns:a16="http://schemas.microsoft.com/office/drawing/2014/main" id="{00000000-0008-0000-0200-00001BA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Tahoma"/>
                  <a:ea typeface="Tahoma"/>
                  <a:cs typeface="Tahoma"/>
                </a:rPr>
                <a:t>Repeated confidential information</a:t>
              </a:r>
            </a:p>
          </xdr:txBody>
        </xdr:sp>
        <xdr:clientData/>
      </xdr:twoCellAnchor>
    </mc:Choice>
    <mc:Fallback/>
  </mc:AlternateContent>
  <mc:AlternateContent xmlns:mc="http://schemas.openxmlformats.org/markup-compatibility/2006">
    <mc:Choice xmlns:a14="http://schemas.microsoft.com/office/drawing/2010/main" Requires="a14">
      <xdr:twoCellAnchor>
        <xdr:from>
          <xdr:col>11</xdr:col>
          <xdr:colOff>47625</xdr:colOff>
          <xdr:row>28</xdr:row>
          <xdr:rowOff>342900</xdr:rowOff>
        </xdr:from>
        <xdr:to>
          <xdr:col>11</xdr:col>
          <xdr:colOff>2009775</xdr:colOff>
          <xdr:row>28</xdr:row>
          <xdr:rowOff>523875</xdr:rowOff>
        </xdr:to>
        <xdr:sp macro="" textlink="">
          <xdr:nvSpPr>
            <xdr:cNvPr id="43036" name="Check Box 28" hidden="1">
              <a:extLst>
                <a:ext uri="{63B3BB69-23CF-44E3-9099-C40C66FF867C}">
                  <a14:compatExt spid="_x0000_s43036"/>
                </a:ext>
                <a:ext uri="{FF2B5EF4-FFF2-40B4-BE49-F238E27FC236}">
                  <a16:creationId xmlns:a16="http://schemas.microsoft.com/office/drawing/2014/main" id="{00000000-0008-0000-0200-00001CA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Tahoma"/>
                  <a:ea typeface="Tahoma"/>
                  <a:cs typeface="Tahoma"/>
                </a:rPr>
                <a:t>Unauthorized Processing of Sales</a:t>
              </a:r>
            </a:p>
          </xdr:txBody>
        </xdr:sp>
        <xdr:clientData/>
      </xdr:twoCellAnchor>
    </mc:Choice>
    <mc:Fallback/>
  </mc:AlternateContent>
  <mc:AlternateContent xmlns:mc="http://schemas.openxmlformats.org/markup-compatibility/2006">
    <mc:Choice xmlns:a14="http://schemas.microsoft.com/office/drawing/2010/main" Requires="a14">
      <xdr:twoCellAnchor>
        <xdr:from>
          <xdr:col>11</xdr:col>
          <xdr:colOff>47625</xdr:colOff>
          <xdr:row>29</xdr:row>
          <xdr:rowOff>9525</xdr:rowOff>
        </xdr:from>
        <xdr:to>
          <xdr:col>11</xdr:col>
          <xdr:colOff>2009775</xdr:colOff>
          <xdr:row>29</xdr:row>
          <xdr:rowOff>190500</xdr:rowOff>
        </xdr:to>
        <xdr:sp macro="" textlink="">
          <xdr:nvSpPr>
            <xdr:cNvPr id="43064" name="Check Box 56" hidden="1">
              <a:extLst>
                <a:ext uri="{63B3BB69-23CF-44E3-9099-C40C66FF867C}">
                  <a14:compatExt spid="_x0000_s43064"/>
                </a:ext>
                <a:ext uri="{FF2B5EF4-FFF2-40B4-BE49-F238E27FC236}">
                  <a16:creationId xmlns:a16="http://schemas.microsoft.com/office/drawing/2014/main" id="{00000000-0008-0000-0200-000038A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Tahoma"/>
                  <a:ea typeface="Tahoma"/>
                  <a:cs typeface="Tahoma"/>
                </a:rPr>
                <a:t>Asset</a:t>
              </a:r>
            </a:p>
          </xdr:txBody>
        </xdr:sp>
        <xdr:clientData/>
      </xdr:twoCellAnchor>
    </mc:Choice>
    <mc:Fallback/>
  </mc:AlternateContent>
  <mc:AlternateContent xmlns:mc="http://schemas.openxmlformats.org/markup-compatibility/2006">
    <mc:Choice xmlns:a14="http://schemas.microsoft.com/office/drawing/2010/main" Requires="a14">
      <xdr:twoCellAnchor>
        <xdr:from>
          <xdr:col>11</xdr:col>
          <xdr:colOff>47625</xdr:colOff>
          <xdr:row>29</xdr:row>
          <xdr:rowOff>171450</xdr:rowOff>
        </xdr:from>
        <xdr:to>
          <xdr:col>11</xdr:col>
          <xdr:colOff>2009775</xdr:colOff>
          <xdr:row>29</xdr:row>
          <xdr:rowOff>352425</xdr:rowOff>
        </xdr:to>
        <xdr:sp macro="" textlink="">
          <xdr:nvSpPr>
            <xdr:cNvPr id="43065" name="Check Box 57" hidden="1">
              <a:extLst>
                <a:ext uri="{63B3BB69-23CF-44E3-9099-C40C66FF867C}">
                  <a14:compatExt spid="_x0000_s43065"/>
                </a:ext>
                <a:ext uri="{FF2B5EF4-FFF2-40B4-BE49-F238E27FC236}">
                  <a16:creationId xmlns:a16="http://schemas.microsoft.com/office/drawing/2014/main" id="{00000000-0008-0000-0200-000039A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Tahoma"/>
                  <a:ea typeface="Tahoma"/>
                  <a:cs typeface="Tahoma"/>
                </a:rPr>
                <a:t>Brand</a:t>
              </a:r>
            </a:p>
          </xdr:txBody>
        </xdr:sp>
        <xdr:clientData/>
      </xdr:twoCellAnchor>
    </mc:Choice>
    <mc:Fallback/>
  </mc:AlternateContent>
  <mc:AlternateContent xmlns:mc="http://schemas.openxmlformats.org/markup-compatibility/2006">
    <mc:Choice xmlns:a14="http://schemas.microsoft.com/office/drawing/2010/main" Requires="a14">
      <xdr:twoCellAnchor>
        <xdr:from>
          <xdr:col>11</xdr:col>
          <xdr:colOff>47625</xdr:colOff>
          <xdr:row>29</xdr:row>
          <xdr:rowOff>342900</xdr:rowOff>
        </xdr:from>
        <xdr:to>
          <xdr:col>11</xdr:col>
          <xdr:colOff>2009775</xdr:colOff>
          <xdr:row>29</xdr:row>
          <xdr:rowOff>523875</xdr:rowOff>
        </xdr:to>
        <xdr:sp macro="" textlink="">
          <xdr:nvSpPr>
            <xdr:cNvPr id="43066" name="Check Box 58" hidden="1">
              <a:extLst>
                <a:ext uri="{63B3BB69-23CF-44E3-9099-C40C66FF867C}">
                  <a14:compatExt spid="_x0000_s43066"/>
                </a:ext>
                <a:ext uri="{FF2B5EF4-FFF2-40B4-BE49-F238E27FC236}">
                  <a16:creationId xmlns:a16="http://schemas.microsoft.com/office/drawing/2014/main" id="{00000000-0008-0000-0200-00003AA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Tahoma"/>
                  <a:ea typeface="Tahoma"/>
                  <a:cs typeface="Tahoma"/>
                </a:rPr>
                <a:t>Bubble up Category</a:t>
              </a:r>
            </a:p>
          </xdr:txBody>
        </xdr:sp>
        <xdr:clientData/>
      </xdr:twoCellAnchor>
    </mc:Choice>
    <mc:Fallback/>
  </mc:AlternateContent>
  <mc:AlternateContent xmlns:mc="http://schemas.openxmlformats.org/markup-compatibility/2006">
    <mc:Choice xmlns:a14="http://schemas.microsoft.com/office/drawing/2010/main" Requires="a14">
      <xdr:twoCellAnchor>
        <xdr:from>
          <xdr:col>11</xdr:col>
          <xdr:colOff>47625</xdr:colOff>
          <xdr:row>29</xdr:row>
          <xdr:rowOff>495300</xdr:rowOff>
        </xdr:from>
        <xdr:to>
          <xdr:col>11</xdr:col>
          <xdr:colOff>2009775</xdr:colOff>
          <xdr:row>29</xdr:row>
          <xdr:rowOff>676275</xdr:rowOff>
        </xdr:to>
        <xdr:sp macro="" textlink="">
          <xdr:nvSpPr>
            <xdr:cNvPr id="43067" name="Check Box 59" hidden="1">
              <a:extLst>
                <a:ext uri="{63B3BB69-23CF-44E3-9099-C40C66FF867C}">
                  <a14:compatExt spid="_x0000_s43067"/>
                </a:ext>
                <a:ext uri="{FF2B5EF4-FFF2-40B4-BE49-F238E27FC236}">
                  <a16:creationId xmlns:a16="http://schemas.microsoft.com/office/drawing/2014/main" id="{00000000-0008-0000-0200-00003BA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Tahoma"/>
                  <a:ea typeface="Tahoma"/>
                  <a:cs typeface="Tahoma"/>
                </a:rPr>
                <a:t>Bubble up tick box</a:t>
              </a:r>
            </a:p>
          </xdr:txBody>
        </xdr:sp>
        <xdr:clientData/>
      </xdr:twoCellAnchor>
    </mc:Choice>
    <mc:Fallback/>
  </mc:AlternateContent>
  <mc:AlternateContent xmlns:mc="http://schemas.openxmlformats.org/markup-compatibility/2006">
    <mc:Choice xmlns:a14="http://schemas.microsoft.com/office/drawing/2010/main" Requires="a14">
      <xdr:twoCellAnchor>
        <xdr:from>
          <xdr:col>11</xdr:col>
          <xdr:colOff>47625</xdr:colOff>
          <xdr:row>29</xdr:row>
          <xdr:rowOff>657225</xdr:rowOff>
        </xdr:from>
        <xdr:to>
          <xdr:col>11</xdr:col>
          <xdr:colOff>2009775</xdr:colOff>
          <xdr:row>29</xdr:row>
          <xdr:rowOff>838200</xdr:rowOff>
        </xdr:to>
        <xdr:sp macro="" textlink="">
          <xdr:nvSpPr>
            <xdr:cNvPr id="43068" name="Check Box 60" hidden="1">
              <a:extLst>
                <a:ext uri="{63B3BB69-23CF-44E3-9099-C40C66FF867C}">
                  <a14:compatExt spid="_x0000_s43068"/>
                </a:ext>
                <a:ext uri="{FF2B5EF4-FFF2-40B4-BE49-F238E27FC236}">
                  <a16:creationId xmlns:a16="http://schemas.microsoft.com/office/drawing/2014/main" id="{00000000-0008-0000-0200-00003CA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Tahoma"/>
                  <a:ea typeface="Tahoma"/>
                  <a:cs typeface="Tahoma"/>
                </a:rPr>
                <a:t>Case Origin</a:t>
              </a:r>
            </a:p>
          </xdr:txBody>
        </xdr:sp>
        <xdr:clientData/>
      </xdr:twoCellAnchor>
    </mc:Choice>
    <mc:Fallback/>
  </mc:AlternateContent>
  <mc:AlternateContent xmlns:mc="http://schemas.openxmlformats.org/markup-compatibility/2006">
    <mc:Choice xmlns:a14="http://schemas.microsoft.com/office/drawing/2010/main" Requires="a14">
      <xdr:twoCellAnchor>
        <xdr:from>
          <xdr:col>11</xdr:col>
          <xdr:colOff>2514600</xdr:colOff>
          <xdr:row>29</xdr:row>
          <xdr:rowOff>9525</xdr:rowOff>
        </xdr:from>
        <xdr:to>
          <xdr:col>12</xdr:col>
          <xdr:colOff>762000</xdr:colOff>
          <xdr:row>29</xdr:row>
          <xdr:rowOff>190500</xdr:rowOff>
        </xdr:to>
        <xdr:sp macro="" textlink="">
          <xdr:nvSpPr>
            <xdr:cNvPr id="43069" name="Check Box 61" hidden="1">
              <a:extLst>
                <a:ext uri="{63B3BB69-23CF-44E3-9099-C40C66FF867C}">
                  <a14:compatExt spid="_x0000_s43069"/>
                </a:ext>
                <a:ext uri="{FF2B5EF4-FFF2-40B4-BE49-F238E27FC236}">
                  <a16:creationId xmlns:a16="http://schemas.microsoft.com/office/drawing/2014/main" id="{00000000-0008-0000-0200-00003DA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Tahoma"/>
                  <a:ea typeface="Tahoma"/>
                  <a:cs typeface="Tahoma"/>
                </a:rPr>
                <a:t>Case Record Type</a:t>
              </a:r>
            </a:p>
          </xdr:txBody>
        </xdr:sp>
        <xdr:clientData/>
      </xdr:twoCellAnchor>
    </mc:Choice>
    <mc:Fallback/>
  </mc:AlternateContent>
  <mc:AlternateContent xmlns:mc="http://schemas.openxmlformats.org/markup-compatibility/2006">
    <mc:Choice xmlns:a14="http://schemas.microsoft.com/office/drawing/2010/main" Requires="a14">
      <xdr:twoCellAnchor>
        <xdr:from>
          <xdr:col>11</xdr:col>
          <xdr:colOff>2514600</xdr:colOff>
          <xdr:row>29</xdr:row>
          <xdr:rowOff>171450</xdr:rowOff>
        </xdr:from>
        <xdr:to>
          <xdr:col>12</xdr:col>
          <xdr:colOff>762000</xdr:colOff>
          <xdr:row>29</xdr:row>
          <xdr:rowOff>352425</xdr:rowOff>
        </xdr:to>
        <xdr:sp macro="" textlink="">
          <xdr:nvSpPr>
            <xdr:cNvPr id="43070" name="Check Box 62" hidden="1">
              <a:extLst>
                <a:ext uri="{63B3BB69-23CF-44E3-9099-C40C66FF867C}">
                  <a14:compatExt spid="_x0000_s43070"/>
                </a:ext>
                <a:ext uri="{FF2B5EF4-FFF2-40B4-BE49-F238E27FC236}">
                  <a16:creationId xmlns:a16="http://schemas.microsoft.com/office/drawing/2014/main" id="{00000000-0008-0000-0200-00003EA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Tahoma"/>
                  <a:ea typeface="Tahoma"/>
                  <a:cs typeface="Tahoma"/>
                </a:rPr>
                <a:t>Escalation Type Reason and Priority level</a:t>
              </a:r>
            </a:p>
          </xdr:txBody>
        </xdr:sp>
        <xdr:clientData/>
      </xdr:twoCellAnchor>
    </mc:Choice>
    <mc:Fallback/>
  </mc:AlternateContent>
  <mc:AlternateContent xmlns:mc="http://schemas.openxmlformats.org/markup-compatibility/2006">
    <mc:Choice xmlns:a14="http://schemas.microsoft.com/office/drawing/2010/main" Requires="a14">
      <xdr:twoCellAnchor>
        <xdr:from>
          <xdr:col>11</xdr:col>
          <xdr:colOff>2514600</xdr:colOff>
          <xdr:row>29</xdr:row>
          <xdr:rowOff>342900</xdr:rowOff>
        </xdr:from>
        <xdr:to>
          <xdr:col>12</xdr:col>
          <xdr:colOff>762000</xdr:colOff>
          <xdr:row>29</xdr:row>
          <xdr:rowOff>523875</xdr:rowOff>
        </xdr:to>
        <xdr:sp macro="" textlink="">
          <xdr:nvSpPr>
            <xdr:cNvPr id="43071" name="Check Box 63" hidden="1">
              <a:extLst>
                <a:ext uri="{63B3BB69-23CF-44E3-9099-C40C66FF867C}">
                  <a14:compatExt spid="_x0000_s43071"/>
                </a:ext>
                <a:ext uri="{FF2B5EF4-FFF2-40B4-BE49-F238E27FC236}">
                  <a16:creationId xmlns:a16="http://schemas.microsoft.com/office/drawing/2014/main" id="{00000000-0008-0000-0200-00003FA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Tahoma"/>
                  <a:ea typeface="Tahoma"/>
                  <a:cs typeface="Tahoma"/>
                </a:rPr>
                <a:t>Hardware Warranty</a:t>
              </a:r>
            </a:p>
          </xdr:txBody>
        </xdr:sp>
        <xdr:clientData/>
      </xdr:twoCellAnchor>
    </mc:Choice>
    <mc:Fallback/>
  </mc:AlternateContent>
  <mc:AlternateContent xmlns:mc="http://schemas.openxmlformats.org/markup-compatibility/2006">
    <mc:Choice xmlns:a14="http://schemas.microsoft.com/office/drawing/2010/main" Requires="a14">
      <xdr:twoCellAnchor>
        <xdr:from>
          <xdr:col>11</xdr:col>
          <xdr:colOff>2514600</xdr:colOff>
          <xdr:row>29</xdr:row>
          <xdr:rowOff>495300</xdr:rowOff>
        </xdr:from>
        <xdr:to>
          <xdr:col>12</xdr:col>
          <xdr:colOff>762000</xdr:colOff>
          <xdr:row>29</xdr:row>
          <xdr:rowOff>676275</xdr:rowOff>
        </xdr:to>
        <xdr:sp macro="" textlink="">
          <xdr:nvSpPr>
            <xdr:cNvPr id="43072" name="Check Box 64" hidden="1">
              <a:extLst>
                <a:ext uri="{63B3BB69-23CF-44E3-9099-C40C66FF867C}">
                  <a14:compatExt spid="_x0000_s43072"/>
                </a:ext>
                <a:ext uri="{FF2B5EF4-FFF2-40B4-BE49-F238E27FC236}">
                  <a16:creationId xmlns:a16="http://schemas.microsoft.com/office/drawing/2014/main" id="{00000000-0008-0000-0200-000040A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Tahoma"/>
                  <a:ea typeface="Tahoma"/>
                  <a:cs typeface="Tahoma"/>
                </a:rPr>
                <a:t>Initial Installation</a:t>
              </a:r>
            </a:p>
          </xdr:txBody>
        </xdr:sp>
        <xdr:clientData/>
      </xdr:twoCellAnchor>
    </mc:Choice>
    <mc:Fallback/>
  </mc:AlternateContent>
  <mc:AlternateContent xmlns:mc="http://schemas.openxmlformats.org/markup-compatibility/2006">
    <mc:Choice xmlns:a14="http://schemas.microsoft.com/office/drawing/2010/main" Requires="a14">
      <xdr:twoCellAnchor>
        <xdr:from>
          <xdr:col>11</xdr:col>
          <xdr:colOff>2514600</xdr:colOff>
          <xdr:row>29</xdr:row>
          <xdr:rowOff>657225</xdr:rowOff>
        </xdr:from>
        <xdr:to>
          <xdr:col>12</xdr:col>
          <xdr:colOff>762000</xdr:colOff>
          <xdr:row>29</xdr:row>
          <xdr:rowOff>838200</xdr:rowOff>
        </xdr:to>
        <xdr:sp macro="" textlink="">
          <xdr:nvSpPr>
            <xdr:cNvPr id="43073" name="Check Box 65" hidden="1">
              <a:extLst>
                <a:ext uri="{63B3BB69-23CF-44E3-9099-C40C66FF867C}">
                  <a14:compatExt spid="_x0000_s43073"/>
                </a:ext>
                <a:ext uri="{FF2B5EF4-FFF2-40B4-BE49-F238E27FC236}">
                  <a16:creationId xmlns:a16="http://schemas.microsoft.com/office/drawing/2014/main" id="{00000000-0008-0000-0200-000041A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Tahoma"/>
                  <a:ea typeface="Tahoma"/>
                  <a:cs typeface="Tahoma"/>
                </a:rPr>
                <a:t>Interaction Log Type</a:t>
              </a:r>
            </a:p>
          </xdr:txBody>
        </xdr:sp>
        <xdr:clientData/>
      </xdr:twoCellAnchor>
    </mc:Choice>
    <mc:Fallback/>
  </mc:AlternateContent>
  <mc:AlternateContent xmlns:mc="http://schemas.openxmlformats.org/markup-compatibility/2006">
    <mc:Choice xmlns:a14="http://schemas.microsoft.com/office/drawing/2010/main" Requires="a14">
      <xdr:twoCellAnchor>
        <xdr:from>
          <xdr:col>12</xdr:col>
          <xdr:colOff>1771650</xdr:colOff>
          <xdr:row>29</xdr:row>
          <xdr:rowOff>9525</xdr:rowOff>
        </xdr:from>
        <xdr:to>
          <xdr:col>13</xdr:col>
          <xdr:colOff>19050</xdr:colOff>
          <xdr:row>29</xdr:row>
          <xdr:rowOff>190500</xdr:rowOff>
        </xdr:to>
        <xdr:sp macro="" textlink="">
          <xdr:nvSpPr>
            <xdr:cNvPr id="43074" name="Check Box 66" hidden="1">
              <a:extLst>
                <a:ext uri="{63B3BB69-23CF-44E3-9099-C40C66FF867C}">
                  <a14:compatExt spid="_x0000_s43074"/>
                </a:ext>
                <a:ext uri="{FF2B5EF4-FFF2-40B4-BE49-F238E27FC236}">
                  <a16:creationId xmlns:a16="http://schemas.microsoft.com/office/drawing/2014/main" id="{00000000-0008-0000-0200-000042A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Tahoma"/>
                  <a:ea typeface="Tahoma"/>
                  <a:cs typeface="Tahoma"/>
                </a:rPr>
                <a:t>ISP</a:t>
              </a:r>
            </a:p>
          </xdr:txBody>
        </xdr:sp>
        <xdr:clientData/>
      </xdr:twoCellAnchor>
    </mc:Choice>
    <mc:Fallback/>
  </mc:AlternateContent>
  <mc:AlternateContent xmlns:mc="http://schemas.openxmlformats.org/markup-compatibility/2006">
    <mc:Choice xmlns:a14="http://schemas.microsoft.com/office/drawing/2010/main" Requires="a14">
      <xdr:twoCellAnchor>
        <xdr:from>
          <xdr:col>12</xdr:col>
          <xdr:colOff>1771650</xdr:colOff>
          <xdr:row>29</xdr:row>
          <xdr:rowOff>171450</xdr:rowOff>
        </xdr:from>
        <xdr:to>
          <xdr:col>13</xdr:col>
          <xdr:colOff>19050</xdr:colOff>
          <xdr:row>29</xdr:row>
          <xdr:rowOff>352425</xdr:rowOff>
        </xdr:to>
        <xdr:sp macro="" textlink="">
          <xdr:nvSpPr>
            <xdr:cNvPr id="43075" name="Check Box 67" hidden="1">
              <a:extLst>
                <a:ext uri="{63B3BB69-23CF-44E3-9099-C40C66FF867C}">
                  <a14:compatExt spid="_x0000_s43075"/>
                </a:ext>
                <a:ext uri="{FF2B5EF4-FFF2-40B4-BE49-F238E27FC236}">
                  <a16:creationId xmlns:a16="http://schemas.microsoft.com/office/drawing/2014/main" id="{00000000-0008-0000-0200-000043A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Tahoma"/>
                  <a:ea typeface="Tahoma"/>
                  <a:cs typeface="Tahoma"/>
                </a:rPr>
                <a:t>Place of Purchase</a:t>
              </a:r>
            </a:p>
          </xdr:txBody>
        </xdr:sp>
        <xdr:clientData/>
      </xdr:twoCellAnchor>
    </mc:Choice>
    <mc:Fallback/>
  </mc:AlternateContent>
  <mc:AlternateContent xmlns:mc="http://schemas.openxmlformats.org/markup-compatibility/2006">
    <mc:Choice xmlns:a14="http://schemas.microsoft.com/office/drawing/2010/main" Requires="a14">
      <xdr:twoCellAnchor>
        <xdr:from>
          <xdr:col>12</xdr:col>
          <xdr:colOff>1771650</xdr:colOff>
          <xdr:row>29</xdr:row>
          <xdr:rowOff>342900</xdr:rowOff>
        </xdr:from>
        <xdr:to>
          <xdr:col>13</xdr:col>
          <xdr:colOff>19050</xdr:colOff>
          <xdr:row>29</xdr:row>
          <xdr:rowOff>523875</xdr:rowOff>
        </xdr:to>
        <xdr:sp macro="" textlink="">
          <xdr:nvSpPr>
            <xdr:cNvPr id="43076" name="Check Box 68" hidden="1">
              <a:extLst>
                <a:ext uri="{63B3BB69-23CF-44E3-9099-C40C66FF867C}">
                  <a14:compatExt spid="_x0000_s43076"/>
                </a:ext>
                <a:ext uri="{FF2B5EF4-FFF2-40B4-BE49-F238E27FC236}">
                  <a16:creationId xmlns:a16="http://schemas.microsoft.com/office/drawing/2014/main" id="{00000000-0008-0000-0200-000044A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Tahoma"/>
                  <a:ea typeface="Tahoma"/>
                  <a:cs typeface="Tahoma"/>
                </a:rPr>
                <a:t>Problem Categories levels</a:t>
              </a:r>
            </a:p>
          </xdr:txBody>
        </xdr:sp>
        <xdr:clientData/>
      </xdr:twoCellAnchor>
    </mc:Choice>
    <mc:Fallback/>
  </mc:AlternateContent>
  <mc:AlternateContent xmlns:mc="http://schemas.openxmlformats.org/markup-compatibility/2006">
    <mc:Choice xmlns:a14="http://schemas.microsoft.com/office/drawing/2010/main" Requires="a14">
      <xdr:twoCellAnchor>
        <xdr:from>
          <xdr:col>12</xdr:col>
          <xdr:colOff>1771650</xdr:colOff>
          <xdr:row>29</xdr:row>
          <xdr:rowOff>495300</xdr:rowOff>
        </xdr:from>
        <xdr:to>
          <xdr:col>13</xdr:col>
          <xdr:colOff>19050</xdr:colOff>
          <xdr:row>29</xdr:row>
          <xdr:rowOff>676275</xdr:rowOff>
        </xdr:to>
        <xdr:sp macro="" textlink="">
          <xdr:nvSpPr>
            <xdr:cNvPr id="43077" name="Check Box 69" hidden="1">
              <a:extLst>
                <a:ext uri="{63B3BB69-23CF-44E3-9099-C40C66FF867C}">
                  <a14:compatExt spid="_x0000_s43077"/>
                </a:ext>
                <a:ext uri="{FF2B5EF4-FFF2-40B4-BE49-F238E27FC236}">
                  <a16:creationId xmlns:a16="http://schemas.microsoft.com/office/drawing/2014/main" id="{00000000-0008-0000-0200-000045A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Tahoma"/>
                  <a:ea typeface="Tahoma"/>
                  <a:cs typeface="Tahoma"/>
                </a:rPr>
                <a:t>Product Details</a:t>
              </a:r>
            </a:p>
          </xdr:txBody>
        </xdr:sp>
        <xdr:clientData/>
      </xdr:twoCellAnchor>
    </mc:Choice>
    <mc:Fallback/>
  </mc:AlternateContent>
  <mc:AlternateContent xmlns:mc="http://schemas.openxmlformats.org/markup-compatibility/2006">
    <mc:Choice xmlns:a14="http://schemas.microsoft.com/office/drawing/2010/main" Requires="a14">
      <xdr:twoCellAnchor>
        <xdr:from>
          <xdr:col>12</xdr:col>
          <xdr:colOff>1771650</xdr:colOff>
          <xdr:row>29</xdr:row>
          <xdr:rowOff>657225</xdr:rowOff>
        </xdr:from>
        <xdr:to>
          <xdr:col>13</xdr:col>
          <xdr:colOff>19050</xdr:colOff>
          <xdr:row>29</xdr:row>
          <xdr:rowOff>838200</xdr:rowOff>
        </xdr:to>
        <xdr:sp macro="" textlink="">
          <xdr:nvSpPr>
            <xdr:cNvPr id="43078" name="Check Box 70" hidden="1">
              <a:extLst>
                <a:ext uri="{63B3BB69-23CF-44E3-9099-C40C66FF867C}">
                  <a14:compatExt spid="_x0000_s43078"/>
                </a:ext>
                <a:ext uri="{FF2B5EF4-FFF2-40B4-BE49-F238E27FC236}">
                  <a16:creationId xmlns:a16="http://schemas.microsoft.com/office/drawing/2014/main" id="{00000000-0008-0000-0200-000046A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Tahoma"/>
                  <a:ea typeface="Tahoma"/>
                  <a:cs typeface="Tahoma"/>
                </a:rPr>
                <a:t>RMA Activation</a:t>
              </a:r>
            </a:p>
          </xdr:txBody>
        </xdr:sp>
        <xdr:clientData/>
      </xdr:twoCellAnchor>
    </mc:Choice>
    <mc:Fallback/>
  </mc:AlternateContent>
  <mc:AlternateContent xmlns:mc="http://schemas.openxmlformats.org/markup-compatibility/2006">
    <mc:Choice xmlns:a14="http://schemas.microsoft.com/office/drawing/2010/main" Requires="a14">
      <xdr:twoCellAnchor>
        <xdr:from>
          <xdr:col>13</xdr:col>
          <xdr:colOff>371475</xdr:colOff>
          <xdr:row>29</xdr:row>
          <xdr:rowOff>9525</xdr:rowOff>
        </xdr:from>
        <xdr:to>
          <xdr:col>13</xdr:col>
          <xdr:colOff>2333625</xdr:colOff>
          <xdr:row>29</xdr:row>
          <xdr:rowOff>190500</xdr:rowOff>
        </xdr:to>
        <xdr:sp macro="" textlink="">
          <xdr:nvSpPr>
            <xdr:cNvPr id="43079" name="Check Box 71" hidden="1">
              <a:extLst>
                <a:ext uri="{63B3BB69-23CF-44E3-9099-C40C66FF867C}">
                  <a14:compatExt spid="_x0000_s43079"/>
                </a:ext>
                <a:ext uri="{FF2B5EF4-FFF2-40B4-BE49-F238E27FC236}">
                  <a16:creationId xmlns:a16="http://schemas.microsoft.com/office/drawing/2014/main" id="{00000000-0008-0000-0200-000047A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Tahoma"/>
                  <a:ea typeface="Tahoma"/>
                  <a:cs typeface="Tahoma"/>
                </a:rPr>
                <a:t>Sentiment</a:t>
              </a:r>
            </a:p>
          </xdr:txBody>
        </xdr:sp>
        <xdr:clientData/>
      </xdr:twoCellAnchor>
    </mc:Choice>
    <mc:Fallback/>
  </mc:AlternateContent>
  <mc:AlternateContent xmlns:mc="http://schemas.openxmlformats.org/markup-compatibility/2006">
    <mc:Choice xmlns:a14="http://schemas.microsoft.com/office/drawing/2010/main" Requires="a14">
      <xdr:twoCellAnchor>
        <xdr:from>
          <xdr:col>13</xdr:col>
          <xdr:colOff>371475</xdr:colOff>
          <xdr:row>29</xdr:row>
          <xdr:rowOff>171450</xdr:rowOff>
        </xdr:from>
        <xdr:to>
          <xdr:col>13</xdr:col>
          <xdr:colOff>2333625</xdr:colOff>
          <xdr:row>29</xdr:row>
          <xdr:rowOff>352425</xdr:rowOff>
        </xdr:to>
        <xdr:sp macro="" textlink="">
          <xdr:nvSpPr>
            <xdr:cNvPr id="43080" name="Check Box 72" hidden="1">
              <a:extLst>
                <a:ext uri="{63B3BB69-23CF-44E3-9099-C40C66FF867C}">
                  <a14:compatExt spid="_x0000_s43080"/>
                </a:ext>
                <a:ext uri="{FF2B5EF4-FFF2-40B4-BE49-F238E27FC236}">
                  <a16:creationId xmlns:a16="http://schemas.microsoft.com/office/drawing/2014/main" id="{00000000-0008-0000-0200-000048A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Tahoma"/>
                  <a:ea typeface="Tahoma"/>
                  <a:cs typeface="Tahoma"/>
                </a:rPr>
                <a:t>Service Offering</a:t>
              </a:r>
            </a:p>
          </xdr:txBody>
        </xdr:sp>
        <xdr:clientData/>
      </xdr:twoCellAnchor>
    </mc:Choice>
    <mc:Fallback/>
  </mc:AlternateContent>
  <mc:AlternateContent xmlns:mc="http://schemas.openxmlformats.org/markup-compatibility/2006">
    <mc:Choice xmlns:a14="http://schemas.microsoft.com/office/drawing/2010/main" Requires="a14">
      <xdr:twoCellAnchor>
        <xdr:from>
          <xdr:col>13</xdr:col>
          <xdr:colOff>371475</xdr:colOff>
          <xdr:row>29</xdr:row>
          <xdr:rowOff>342900</xdr:rowOff>
        </xdr:from>
        <xdr:to>
          <xdr:col>13</xdr:col>
          <xdr:colOff>2333625</xdr:colOff>
          <xdr:row>29</xdr:row>
          <xdr:rowOff>523875</xdr:rowOff>
        </xdr:to>
        <xdr:sp macro="" textlink="">
          <xdr:nvSpPr>
            <xdr:cNvPr id="43081" name="Check Box 73" hidden="1">
              <a:extLst>
                <a:ext uri="{63B3BB69-23CF-44E3-9099-C40C66FF867C}">
                  <a14:compatExt spid="_x0000_s43081"/>
                </a:ext>
                <a:ext uri="{FF2B5EF4-FFF2-40B4-BE49-F238E27FC236}">
                  <a16:creationId xmlns:a16="http://schemas.microsoft.com/office/drawing/2014/main" id="{00000000-0008-0000-0200-000049A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Tahoma"/>
                  <a:ea typeface="Tahoma"/>
                  <a:cs typeface="Tahoma"/>
                </a:rPr>
                <a:t>Social Media Memo</a:t>
              </a:r>
            </a:p>
          </xdr:txBody>
        </xdr:sp>
        <xdr:clientData/>
      </xdr:twoCellAnchor>
    </mc:Choice>
    <mc:Fallback/>
  </mc:AlternateContent>
  <mc:AlternateContent xmlns:mc="http://schemas.openxmlformats.org/markup-compatibility/2006">
    <mc:Choice xmlns:a14="http://schemas.microsoft.com/office/drawing/2010/main" Requires="a14">
      <xdr:twoCellAnchor>
        <xdr:from>
          <xdr:col>13</xdr:col>
          <xdr:colOff>371475</xdr:colOff>
          <xdr:row>29</xdr:row>
          <xdr:rowOff>495300</xdr:rowOff>
        </xdr:from>
        <xdr:to>
          <xdr:col>13</xdr:col>
          <xdr:colOff>2333625</xdr:colOff>
          <xdr:row>29</xdr:row>
          <xdr:rowOff>676275</xdr:rowOff>
        </xdr:to>
        <xdr:sp macro="" textlink="">
          <xdr:nvSpPr>
            <xdr:cNvPr id="43082" name="Check Box 74" hidden="1">
              <a:extLst>
                <a:ext uri="{63B3BB69-23CF-44E3-9099-C40C66FF867C}">
                  <a14:compatExt spid="_x0000_s43082"/>
                </a:ext>
                <a:ext uri="{FF2B5EF4-FFF2-40B4-BE49-F238E27FC236}">
                  <a16:creationId xmlns:a16="http://schemas.microsoft.com/office/drawing/2014/main" id="{00000000-0008-0000-0200-00004AA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Tahoma"/>
                  <a:ea typeface="Tahoma"/>
                  <a:cs typeface="Tahoma"/>
                </a:rPr>
                <a:t>Solution Categories</a:t>
              </a:r>
            </a:p>
          </xdr:txBody>
        </xdr:sp>
        <xdr:clientData/>
      </xdr:twoCellAnchor>
    </mc:Choice>
    <mc:Fallback/>
  </mc:AlternateContent>
  <mc:AlternateContent xmlns:mc="http://schemas.openxmlformats.org/markup-compatibility/2006">
    <mc:Choice xmlns:a14="http://schemas.microsoft.com/office/drawing/2010/main" Requires="a14">
      <xdr:twoCellAnchor>
        <xdr:from>
          <xdr:col>13</xdr:col>
          <xdr:colOff>371475</xdr:colOff>
          <xdr:row>29</xdr:row>
          <xdr:rowOff>657225</xdr:rowOff>
        </xdr:from>
        <xdr:to>
          <xdr:col>13</xdr:col>
          <xdr:colOff>2333625</xdr:colOff>
          <xdr:row>29</xdr:row>
          <xdr:rowOff>838200</xdr:rowOff>
        </xdr:to>
        <xdr:sp macro="" textlink="">
          <xdr:nvSpPr>
            <xdr:cNvPr id="43083" name="Check Box 75" hidden="1">
              <a:extLst>
                <a:ext uri="{63B3BB69-23CF-44E3-9099-C40C66FF867C}">
                  <a14:compatExt spid="_x0000_s43083"/>
                </a:ext>
                <a:ext uri="{FF2B5EF4-FFF2-40B4-BE49-F238E27FC236}">
                  <a16:creationId xmlns:a16="http://schemas.microsoft.com/office/drawing/2014/main" id="{00000000-0008-0000-0200-00004BA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Tahoma"/>
                  <a:ea typeface="Tahoma"/>
                  <a:cs typeface="Tahoma"/>
                </a:rPr>
                <a:t>Status</a:t>
              </a:r>
            </a:p>
          </xdr:txBody>
        </xdr:sp>
        <xdr:clientData/>
      </xdr:twoCellAnchor>
    </mc:Choice>
    <mc:Fallback/>
  </mc:AlternateContent>
  <mc:AlternateContent xmlns:mc="http://schemas.openxmlformats.org/markup-compatibility/2006">
    <mc:Choice xmlns:a14="http://schemas.microsoft.com/office/drawing/2010/main" Requires="a14">
      <xdr:twoCellAnchor>
        <xdr:from>
          <xdr:col>11</xdr:col>
          <xdr:colOff>47625</xdr:colOff>
          <xdr:row>30</xdr:row>
          <xdr:rowOff>9525</xdr:rowOff>
        </xdr:from>
        <xdr:to>
          <xdr:col>11</xdr:col>
          <xdr:colOff>2009775</xdr:colOff>
          <xdr:row>30</xdr:row>
          <xdr:rowOff>190500</xdr:rowOff>
        </xdr:to>
        <xdr:sp macro="" textlink="">
          <xdr:nvSpPr>
            <xdr:cNvPr id="43107" name="Check Box 99" hidden="1">
              <a:extLst>
                <a:ext uri="{63B3BB69-23CF-44E3-9099-C40C66FF867C}">
                  <a14:compatExt spid="_x0000_s43107"/>
                </a:ext>
                <a:ext uri="{FF2B5EF4-FFF2-40B4-BE49-F238E27FC236}">
                  <a16:creationId xmlns:a16="http://schemas.microsoft.com/office/drawing/2014/main" id="{00000000-0008-0000-0200-000063A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Tahoma"/>
                  <a:ea typeface="Tahoma"/>
                  <a:cs typeface="Tahoma"/>
                </a:rPr>
                <a:t>Agent assist PIN</a:t>
              </a:r>
            </a:p>
          </xdr:txBody>
        </xdr:sp>
        <xdr:clientData/>
      </xdr:twoCellAnchor>
    </mc:Choice>
    <mc:Fallback/>
  </mc:AlternateContent>
  <mc:AlternateContent xmlns:mc="http://schemas.openxmlformats.org/markup-compatibility/2006">
    <mc:Choice xmlns:a14="http://schemas.microsoft.com/office/drawing/2010/main" Requires="a14">
      <xdr:twoCellAnchor>
        <xdr:from>
          <xdr:col>11</xdr:col>
          <xdr:colOff>47625</xdr:colOff>
          <xdr:row>30</xdr:row>
          <xdr:rowOff>171450</xdr:rowOff>
        </xdr:from>
        <xdr:to>
          <xdr:col>11</xdr:col>
          <xdr:colOff>2009775</xdr:colOff>
          <xdr:row>30</xdr:row>
          <xdr:rowOff>352425</xdr:rowOff>
        </xdr:to>
        <xdr:sp macro="" textlink="">
          <xdr:nvSpPr>
            <xdr:cNvPr id="43108" name="Check Box 100" hidden="1">
              <a:extLst>
                <a:ext uri="{63B3BB69-23CF-44E3-9099-C40C66FF867C}">
                  <a14:compatExt spid="_x0000_s43108"/>
                </a:ext>
                <a:ext uri="{FF2B5EF4-FFF2-40B4-BE49-F238E27FC236}">
                  <a16:creationId xmlns:a16="http://schemas.microsoft.com/office/drawing/2014/main" id="{00000000-0008-0000-0200-000064A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Tahoma"/>
                  <a:ea typeface="Tahoma"/>
                  <a:cs typeface="Tahoma"/>
                </a:rPr>
                <a:t>Billing address</a:t>
              </a:r>
            </a:p>
          </xdr:txBody>
        </xdr:sp>
        <xdr:clientData/>
      </xdr:twoCellAnchor>
    </mc:Choice>
    <mc:Fallback/>
  </mc:AlternateContent>
  <mc:AlternateContent xmlns:mc="http://schemas.openxmlformats.org/markup-compatibility/2006">
    <mc:Choice xmlns:a14="http://schemas.microsoft.com/office/drawing/2010/main" Requires="a14">
      <xdr:twoCellAnchor>
        <xdr:from>
          <xdr:col>11</xdr:col>
          <xdr:colOff>47625</xdr:colOff>
          <xdr:row>30</xdr:row>
          <xdr:rowOff>342900</xdr:rowOff>
        </xdr:from>
        <xdr:to>
          <xdr:col>11</xdr:col>
          <xdr:colOff>2009775</xdr:colOff>
          <xdr:row>30</xdr:row>
          <xdr:rowOff>523875</xdr:rowOff>
        </xdr:to>
        <xdr:sp macro="" textlink="">
          <xdr:nvSpPr>
            <xdr:cNvPr id="43109" name="Check Box 101" hidden="1">
              <a:extLst>
                <a:ext uri="{63B3BB69-23CF-44E3-9099-C40C66FF867C}">
                  <a14:compatExt spid="_x0000_s43109"/>
                </a:ext>
                <a:ext uri="{FF2B5EF4-FFF2-40B4-BE49-F238E27FC236}">
                  <a16:creationId xmlns:a16="http://schemas.microsoft.com/office/drawing/2014/main" id="{00000000-0008-0000-0200-000065A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Tahoma"/>
                  <a:ea typeface="Tahoma"/>
                  <a:cs typeface="Tahoma"/>
                </a:rPr>
                <a:t>Case notes (content focused)</a:t>
              </a:r>
            </a:p>
          </xdr:txBody>
        </xdr:sp>
        <xdr:clientData/>
      </xdr:twoCellAnchor>
    </mc:Choice>
    <mc:Fallback/>
  </mc:AlternateContent>
  <mc:AlternateContent xmlns:mc="http://schemas.openxmlformats.org/markup-compatibility/2006">
    <mc:Choice xmlns:a14="http://schemas.microsoft.com/office/drawing/2010/main" Requires="a14">
      <xdr:twoCellAnchor>
        <xdr:from>
          <xdr:col>11</xdr:col>
          <xdr:colOff>47625</xdr:colOff>
          <xdr:row>30</xdr:row>
          <xdr:rowOff>495300</xdr:rowOff>
        </xdr:from>
        <xdr:to>
          <xdr:col>11</xdr:col>
          <xdr:colOff>2009775</xdr:colOff>
          <xdr:row>30</xdr:row>
          <xdr:rowOff>676275</xdr:rowOff>
        </xdr:to>
        <xdr:sp macro="" textlink="">
          <xdr:nvSpPr>
            <xdr:cNvPr id="43110" name="Check Box 102" hidden="1">
              <a:extLst>
                <a:ext uri="{63B3BB69-23CF-44E3-9099-C40C66FF867C}">
                  <a14:compatExt spid="_x0000_s43110"/>
                </a:ext>
                <a:ext uri="{FF2B5EF4-FFF2-40B4-BE49-F238E27FC236}">
                  <a16:creationId xmlns:a16="http://schemas.microsoft.com/office/drawing/2014/main" id="{00000000-0008-0000-0200-000066A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Tahoma"/>
                  <a:ea typeface="Tahoma"/>
                  <a:cs typeface="Tahoma"/>
                </a:rPr>
                <a:t>Coupon provided</a:t>
              </a:r>
            </a:p>
          </xdr:txBody>
        </xdr:sp>
        <xdr:clientData/>
      </xdr:twoCellAnchor>
    </mc:Choice>
    <mc:Fallback/>
  </mc:AlternateContent>
  <mc:AlternateContent xmlns:mc="http://schemas.openxmlformats.org/markup-compatibility/2006">
    <mc:Choice xmlns:a14="http://schemas.microsoft.com/office/drawing/2010/main" Requires="a14">
      <xdr:twoCellAnchor>
        <xdr:from>
          <xdr:col>11</xdr:col>
          <xdr:colOff>47625</xdr:colOff>
          <xdr:row>30</xdr:row>
          <xdr:rowOff>657225</xdr:rowOff>
        </xdr:from>
        <xdr:to>
          <xdr:col>11</xdr:col>
          <xdr:colOff>2009775</xdr:colOff>
          <xdr:row>30</xdr:row>
          <xdr:rowOff>838200</xdr:rowOff>
        </xdr:to>
        <xdr:sp macro="" textlink="">
          <xdr:nvSpPr>
            <xdr:cNvPr id="43111" name="Check Box 103" hidden="1">
              <a:extLst>
                <a:ext uri="{63B3BB69-23CF-44E3-9099-C40C66FF867C}">
                  <a14:compatExt spid="_x0000_s43111"/>
                </a:ext>
                <a:ext uri="{FF2B5EF4-FFF2-40B4-BE49-F238E27FC236}">
                  <a16:creationId xmlns:a16="http://schemas.microsoft.com/office/drawing/2014/main" id="{00000000-0008-0000-0200-000067A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Tahoma"/>
                  <a:ea typeface="Tahoma"/>
                  <a:cs typeface="Tahoma"/>
                </a:rPr>
                <a:t>Customer email address</a:t>
              </a:r>
            </a:p>
          </xdr:txBody>
        </xdr:sp>
        <xdr:clientData/>
      </xdr:twoCellAnchor>
    </mc:Choice>
    <mc:Fallback/>
  </mc:AlternateContent>
  <mc:AlternateContent xmlns:mc="http://schemas.openxmlformats.org/markup-compatibility/2006">
    <mc:Choice xmlns:a14="http://schemas.microsoft.com/office/drawing/2010/main" Requires="a14">
      <xdr:twoCellAnchor>
        <xdr:from>
          <xdr:col>11</xdr:col>
          <xdr:colOff>2514600</xdr:colOff>
          <xdr:row>30</xdr:row>
          <xdr:rowOff>9525</xdr:rowOff>
        </xdr:from>
        <xdr:to>
          <xdr:col>12</xdr:col>
          <xdr:colOff>762000</xdr:colOff>
          <xdr:row>30</xdr:row>
          <xdr:rowOff>190500</xdr:rowOff>
        </xdr:to>
        <xdr:sp macro="" textlink="">
          <xdr:nvSpPr>
            <xdr:cNvPr id="43112" name="Check Box 104" hidden="1">
              <a:extLst>
                <a:ext uri="{63B3BB69-23CF-44E3-9099-C40C66FF867C}">
                  <a14:compatExt spid="_x0000_s43112"/>
                </a:ext>
                <a:ext uri="{FF2B5EF4-FFF2-40B4-BE49-F238E27FC236}">
                  <a16:creationId xmlns:a16="http://schemas.microsoft.com/office/drawing/2014/main" id="{00000000-0008-0000-0200-000068A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Tahoma"/>
                  <a:ea typeface="Tahoma"/>
                  <a:cs typeface="Tahoma"/>
                </a:rPr>
                <a:t>Customer name</a:t>
              </a:r>
            </a:p>
          </xdr:txBody>
        </xdr:sp>
        <xdr:clientData/>
      </xdr:twoCellAnchor>
    </mc:Choice>
    <mc:Fallback/>
  </mc:AlternateContent>
  <mc:AlternateContent xmlns:mc="http://schemas.openxmlformats.org/markup-compatibility/2006">
    <mc:Choice xmlns:a14="http://schemas.microsoft.com/office/drawing/2010/main" Requires="a14">
      <xdr:twoCellAnchor>
        <xdr:from>
          <xdr:col>11</xdr:col>
          <xdr:colOff>2514600</xdr:colOff>
          <xdr:row>30</xdr:row>
          <xdr:rowOff>171450</xdr:rowOff>
        </xdr:from>
        <xdr:to>
          <xdr:col>12</xdr:col>
          <xdr:colOff>762000</xdr:colOff>
          <xdr:row>30</xdr:row>
          <xdr:rowOff>352425</xdr:rowOff>
        </xdr:to>
        <xdr:sp macro="" textlink="">
          <xdr:nvSpPr>
            <xdr:cNvPr id="43113" name="Check Box 105" hidden="1">
              <a:extLst>
                <a:ext uri="{63B3BB69-23CF-44E3-9099-C40C66FF867C}">
                  <a14:compatExt spid="_x0000_s43113"/>
                </a:ext>
                <a:ext uri="{FF2B5EF4-FFF2-40B4-BE49-F238E27FC236}">
                  <a16:creationId xmlns:a16="http://schemas.microsoft.com/office/drawing/2014/main" id="{00000000-0008-0000-0200-000069A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Tahoma"/>
                  <a:ea typeface="Tahoma"/>
                  <a:cs typeface="Tahoma"/>
                </a:rPr>
                <a:t>Customer phone number</a:t>
              </a:r>
            </a:p>
          </xdr:txBody>
        </xdr:sp>
        <xdr:clientData/>
      </xdr:twoCellAnchor>
    </mc:Choice>
    <mc:Fallback/>
  </mc:AlternateContent>
  <mc:AlternateContent xmlns:mc="http://schemas.openxmlformats.org/markup-compatibility/2006">
    <mc:Choice xmlns:a14="http://schemas.microsoft.com/office/drawing/2010/main" Requires="a14">
      <xdr:twoCellAnchor>
        <xdr:from>
          <xdr:col>11</xdr:col>
          <xdr:colOff>2514600</xdr:colOff>
          <xdr:row>30</xdr:row>
          <xdr:rowOff>342900</xdr:rowOff>
        </xdr:from>
        <xdr:to>
          <xdr:col>12</xdr:col>
          <xdr:colOff>762000</xdr:colOff>
          <xdr:row>30</xdr:row>
          <xdr:rowOff>523875</xdr:rowOff>
        </xdr:to>
        <xdr:sp macro="" textlink="">
          <xdr:nvSpPr>
            <xdr:cNvPr id="43114" name="Check Box 106" hidden="1">
              <a:extLst>
                <a:ext uri="{63B3BB69-23CF-44E3-9099-C40C66FF867C}">
                  <a14:compatExt spid="_x0000_s43114"/>
                </a:ext>
                <a:ext uri="{FF2B5EF4-FFF2-40B4-BE49-F238E27FC236}">
                  <a16:creationId xmlns:a16="http://schemas.microsoft.com/office/drawing/2014/main" id="{00000000-0008-0000-0200-00006AA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Tahoma"/>
                  <a:ea typeface="Tahoma"/>
                  <a:cs typeface="Tahoma"/>
                </a:rPr>
                <a:t>Device Serial Number</a:t>
              </a:r>
            </a:p>
          </xdr:txBody>
        </xdr:sp>
        <xdr:clientData/>
      </xdr:twoCellAnchor>
    </mc:Choice>
    <mc:Fallback/>
  </mc:AlternateContent>
  <mc:AlternateContent xmlns:mc="http://schemas.openxmlformats.org/markup-compatibility/2006">
    <mc:Choice xmlns:a14="http://schemas.microsoft.com/office/drawing/2010/main" Requires="a14">
      <xdr:twoCellAnchor>
        <xdr:from>
          <xdr:col>11</xdr:col>
          <xdr:colOff>2514600</xdr:colOff>
          <xdr:row>30</xdr:row>
          <xdr:rowOff>495300</xdr:rowOff>
        </xdr:from>
        <xdr:to>
          <xdr:col>12</xdr:col>
          <xdr:colOff>762000</xdr:colOff>
          <xdr:row>30</xdr:row>
          <xdr:rowOff>676275</xdr:rowOff>
        </xdr:to>
        <xdr:sp macro="" textlink="">
          <xdr:nvSpPr>
            <xdr:cNvPr id="43115" name="Check Box 107" hidden="1">
              <a:extLst>
                <a:ext uri="{63B3BB69-23CF-44E3-9099-C40C66FF867C}">
                  <a14:compatExt spid="_x0000_s43115"/>
                </a:ext>
                <a:ext uri="{FF2B5EF4-FFF2-40B4-BE49-F238E27FC236}">
                  <a16:creationId xmlns:a16="http://schemas.microsoft.com/office/drawing/2014/main" id="{00000000-0008-0000-0200-00006BA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Tahoma"/>
                  <a:ea typeface="Tahoma"/>
                  <a:cs typeface="Tahoma"/>
                </a:rPr>
                <a:t>Escalation Notes</a:t>
              </a:r>
            </a:p>
          </xdr:txBody>
        </xdr:sp>
        <xdr:clientData/>
      </xdr:twoCellAnchor>
    </mc:Choice>
    <mc:Fallback/>
  </mc:AlternateContent>
  <mc:AlternateContent xmlns:mc="http://schemas.openxmlformats.org/markup-compatibility/2006">
    <mc:Choice xmlns:a14="http://schemas.microsoft.com/office/drawing/2010/main" Requires="a14">
      <xdr:twoCellAnchor>
        <xdr:from>
          <xdr:col>11</xdr:col>
          <xdr:colOff>2514600</xdr:colOff>
          <xdr:row>30</xdr:row>
          <xdr:rowOff>657225</xdr:rowOff>
        </xdr:from>
        <xdr:to>
          <xdr:col>12</xdr:col>
          <xdr:colOff>762000</xdr:colOff>
          <xdr:row>30</xdr:row>
          <xdr:rowOff>838200</xdr:rowOff>
        </xdr:to>
        <xdr:sp macro="" textlink="">
          <xdr:nvSpPr>
            <xdr:cNvPr id="43116" name="Check Box 108" hidden="1">
              <a:extLst>
                <a:ext uri="{63B3BB69-23CF-44E3-9099-C40C66FF867C}">
                  <a14:compatExt spid="_x0000_s43116"/>
                </a:ext>
                <a:ext uri="{FF2B5EF4-FFF2-40B4-BE49-F238E27FC236}">
                  <a16:creationId xmlns:a16="http://schemas.microsoft.com/office/drawing/2014/main" id="{00000000-0008-0000-0200-00006CA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Tahoma"/>
                  <a:ea typeface="Tahoma"/>
                  <a:cs typeface="Tahoma"/>
                </a:rPr>
                <a:t>IR number</a:t>
              </a:r>
            </a:p>
          </xdr:txBody>
        </xdr:sp>
        <xdr:clientData/>
      </xdr:twoCellAnchor>
    </mc:Choice>
    <mc:Fallback/>
  </mc:AlternateContent>
  <mc:AlternateContent xmlns:mc="http://schemas.openxmlformats.org/markup-compatibility/2006">
    <mc:Choice xmlns:a14="http://schemas.microsoft.com/office/drawing/2010/main" Requires="a14">
      <xdr:twoCellAnchor>
        <xdr:from>
          <xdr:col>12</xdr:col>
          <xdr:colOff>1771650</xdr:colOff>
          <xdr:row>30</xdr:row>
          <xdr:rowOff>9525</xdr:rowOff>
        </xdr:from>
        <xdr:to>
          <xdr:col>13</xdr:col>
          <xdr:colOff>19050</xdr:colOff>
          <xdr:row>30</xdr:row>
          <xdr:rowOff>190500</xdr:rowOff>
        </xdr:to>
        <xdr:sp macro="" textlink="">
          <xdr:nvSpPr>
            <xdr:cNvPr id="43117" name="Check Box 109" hidden="1">
              <a:extLst>
                <a:ext uri="{63B3BB69-23CF-44E3-9099-C40C66FF867C}">
                  <a14:compatExt spid="_x0000_s43117"/>
                </a:ext>
                <a:ext uri="{FF2B5EF4-FFF2-40B4-BE49-F238E27FC236}">
                  <a16:creationId xmlns:a16="http://schemas.microsoft.com/office/drawing/2014/main" id="{00000000-0008-0000-0200-00006DA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Tahoma"/>
                  <a:ea typeface="Tahoma"/>
                  <a:cs typeface="Tahoma"/>
                </a:rPr>
                <a:t>ISP Other</a:t>
              </a:r>
            </a:p>
          </xdr:txBody>
        </xdr:sp>
        <xdr:clientData/>
      </xdr:twoCellAnchor>
    </mc:Choice>
    <mc:Fallback/>
  </mc:AlternateContent>
  <mc:AlternateContent xmlns:mc="http://schemas.openxmlformats.org/markup-compatibility/2006">
    <mc:Choice xmlns:a14="http://schemas.microsoft.com/office/drawing/2010/main" Requires="a14">
      <xdr:twoCellAnchor>
        <xdr:from>
          <xdr:col>12</xdr:col>
          <xdr:colOff>1771650</xdr:colOff>
          <xdr:row>30</xdr:row>
          <xdr:rowOff>171450</xdr:rowOff>
        </xdr:from>
        <xdr:to>
          <xdr:col>13</xdr:col>
          <xdr:colOff>19050</xdr:colOff>
          <xdr:row>30</xdr:row>
          <xdr:rowOff>352425</xdr:rowOff>
        </xdr:to>
        <xdr:sp macro="" textlink="">
          <xdr:nvSpPr>
            <xdr:cNvPr id="43118" name="Check Box 110" hidden="1">
              <a:extLst>
                <a:ext uri="{63B3BB69-23CF-44E3-9099-C40C66FF867C}">
                  <a14:compatExt spid="_x0000_s43118"/>
                </a:ext>
                <a:ext uri="{FF2B5EF4-FFF2-40B4-BE49-F238E27FC236}">
                  <a16:creationId xmlns:a16="http://schemas.microsoft.com/office/drawing/2014/main" id="{00000000-0008-0000-0200-00006EA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Tahoma"/>
                  <a:ea typeface="Tahoma"/>
                  <a:cs typeface="Tahoma"/>
                </a:rPr>
                <a:t>Mailing address</a:t>
              </a:r>
            </a:p>
          </xdr:txBody>
        </xdr:sp>
        <xdr:clientData/>
      </xdr:twoCellAnchor>
    </mc:Choice>
    <mc:Fallback/>
  </mc:AlternateContent>
  <mc:AlternateContent xmlns:mc="http://schemas.openxmlformats.org/markup-compatibility/2006">
    <mc:Choice xmlns:a14="http://schemas.microsoft.com/office/drawing/2010/main" Requires="a14">
      <xdr:twoCellAnchor>
        <xdr:from>
          <xdr:col>12</xdr:col>
          <xdr:colOff>1771650</xdr:colOff>
          <xdr:row>30</xdr:row>
          <xdr:rowOff>342900</xdr:rowOff>
        </xdr:from>
        <xdr:to>
          <xdr:col>13</xdr:col>
          <xdr:colOff>19050</xdr:colOff>
          <xdr:row>30</xdr:row>
          <xdr:rowOff>523875</xdr:rowOff>
        </xdr:to>
        <xdr:sp macro="" textlink="">
          <xdr:nvSpPr>
            <xdr:cNvPr id="43119" name="Check Box 111" hidden="1">
              <a:extLst>
                <a:ext uri="{63B3BB69-23CF-44E3-9099-C40C66FF867C}">
                  <a14:compatExt spid="_x0000_s43119"/>
                </a:ext>
                <a:ext uri="{FF2B5EF4-FFF2-40B4-BE49-F238E27FC236}">
                  <a16:creationId xmlns:a16="http://schemas.microsoft.com/office/drawing/2014/main" id="{00000000-0008-0000-0200-00006FA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Tahoma"/>
                  <a:ea typeface="Tahoma"/>
                  <a:cs typeface="Tahoma"/>
                </a:rPr>
                <a:t>Parent case ID</a:t>
              </a:r>
            </a:p>
          </xdr:txBody>
        </xdr:sp>
        <xdr:clientData/>
      </xdr:twoCellAnchor>
    </mc:Choice>
    <mc:Fallback/>
  </mc:AlternateContent>
  <mc:AlternateContent xmlns:mc="http://schemas.openxmlformats.org/markup-compatibility/2006">
    <mc:Choice xmlns:a14="http://schemas.microsoft.com/office/drawing/2010/main" Requires="a14">
      <xdr:twoCellAnchor>
        <xdr:from>
          <xdr:col>12</xdr:col>
          <xdr:colOff>1771650</xdr:colOff>
          <xdr:row>30</xdr:row>
          <xdr:rowOff>495300</xdr:rowOff>
        </xdr:from>
        <xdr:to>
          <xdr:col>13</xdr:col>
          <xdr:colOff>19050</xdr:colOff>
          <xdr:row>30</xdr:row>
          <xdr:rowOff>676275</xdr:rowOff>
        </xdr:to>
        <xdr:sp macro="" textlink="">
          <xdr:nvSpPr>
            <xdr:cNvPr id="43120" name="Check Box 112" hidden="1">
              <a:extLst>
                <a:ext uri="{63B3BB69-23CF-44E3-9099-C40C66FF867C}">
                  <a14:compatExt spid="_x0000_s43120"/>
                </a:ext>
                <a:ext uri="{FF2B5EF4-FFF2-40B4-BE49-F238E27FC236}">
                  <a16:creationId xmlns:a16="http://schemas.microsoft.com/office/drawing/2014/main" id="{00000000-0008-0000-0200-000070A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Tahoma"/>
                  <a:ea typeface="Tahoma"/>
                  <a:cs typeface="Tahoma"/>
                </a:rPr>
                <a:t>Shipping address</a:t>
              </a:r>
            </a:p>
          </xdr:txBody>
        </xdr:sp>
        <xdr:clientData/>
      </xdr:twoCellAnchor>
    </mc:Choice>
    <mc:Fallback/>
  </mc:AlternateContent>
  <mc:AlternateContent xmlns:mc="http://schemas.openxmlformats.org/markup-compatibility/2006">
    <mc:Choice xmlns:a14="http://schemas.microsoft.com/office/drawing/2010/main" Requires="a14">
      <xdr:twoCellAnchor>
        <xdr:from>
          <xdr:col>12</xdr:col>
          <xdr:colOff>1771650</xdr:colOff>
          <xdr:row>30</xdr:row>
          <xdr:rowOff>657225</xdr:rowOff>
        </xdr:from>
        <xdr:to>
          <xdr:col>13</xdr:col>
          <xdr:colOff>19050</xdr:colOff>
          <xdr:row>30</xdr:row>
          <xdr:rowOff>838200</xdr:rowOff>
        </xdr:to>
        <xdr:sp macro="" textlink="">
          <xdr:nvSpPr>
            <xdr:cNvPr id="43121" name="Check Box 113" hidden="1">
              <a:extLst>
                <a:ext uri="{63B3BB69-23CF-44E3-9099-C40C66FF867C}">
                  <a14:compatExt spid="_x0000_s43121"/>
                </a:ext>
                <a:ext uri="{FF2B5EF4-FFF2-40B4-BE49-F238E27FC236}">
                  <a16:creationId xmlns:a16="http://schemas.microsoft.com/office/drawing/2014/main" id="{00000000-0008-0000-0200-000071A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Tahoma"/>
                  <a:ea typeface="Tahoma"/>
                  <a:cs typeface="Tahoma"/>
                </a:rPr>
                <a:t>Subject line</a:t>
              </a:r>
            </a:p>
          </xdr:txBody>
        </xdr:sp>
        <xdr:clientData/>
      </xdr:twoCellAnchor>
    </mc:Choice>
    <mc:Fallback/>
  </mc:AlternateContent>
  <mc:AlternateContent xmlns:mc="http://schemas.openxmlformats.org/markup-compatibility/2006">
    <mc:Choice xmlns:a14="http://schemas.microsoft.com/office/drawing/2010/main" Requires="a14">
      <xdr:twoCellAnchor>
        <xdr:from>
          <xdr:col>13</xdr:col>
          <xdr:colOff>371475</xdr:colOff>
          <xdr:row>30</xdr:row>
          <xdr:rowOff>9525</xdr:rowOff>
        </xdr:from>
        <xdr:to>
          <xdr:col>13</xdr:col>
          <xdr:colOff>2333625</xdr:colOff>
          <xdr:row>30</xdr:row>
          <xdr:rowOff>190500</xdr:rowOff>
        </xdr:to>
        <xdr:sp macro="" textlink="">
          <xdr:nvSpPr>
            <xdr:cNvPr id="43122" name="Check Box 114" hidden="1">
              <a:extLst>
                <a:ext uri="{63B3BB69-23CF-44E3-9099-C40C66FF867C}">
                  <a14:compatExt spid="_x0000_s43122"/>
                </a:ext>
                <a:ext uri="{FF2B5EF4-FFF2-40B4-BE49-F238E27FC236}">
                  <a16:creationId xmlns:a16="http://schemas.microsoft.com/office/drawing/2014/main" id="{00000000-0008-0000-0200-000072A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Tahoma"/>
                  <a:ea typeface="Tahoma"/>
                  <a:cs typeface="Tahoma"/>
                </a:rPr>
                <a:t>Webex Session ID</a:t>
              </a:r>
            </a:p>
          </xdr:txBody>
        </xdr:sp>
        <xdr:clientData/>
      </xdr:twoCellAnchor>
    </mc:Choice>
    <mc:Fallback/>
  </mc:AlternateContent>
  <mc:AlternateContent xmlns:mc="http://schemas.openxmlformats.org/markup-compatibility/2006">
    <mc:Choice xmlns:a14="http://schemas.microsoft.com/office/drawing/2010/main" Requires="a14">
      <xdr:twoCellAnchor>
        <xdr:from>
          <xdr:col>11</xdr:col>
          <xdr:colOff>47625</xdr:colOff>
          <xdr:row>32</xdr:row>
          <xdr:rowOff>9525</xdr:rowOff>
        </xdr:from>
        <xdr:to>
          <xdr:col>11</xdr:col>
          <xdr:colOff>2009775</xdr:colOff>
          <xdr:row>32</xdr:row>
          <xdr:rowOff>190500</xdr:rowOff>
        </xdr:to>
        <xdr:sp macro="" textlink="">
          <xdr:nvSpPr>
            <xdr:cNvPr id="43249" name="Check Box 241" hidden="1">
              <a:extLst>
                <a:ext uri="{63B3BB69-23CF-44E3-9099-C40C66FF867C}">
                  <a14:compatExt spid="_x0000_s43249"/>
                </a:ext>
                <a:ext uri="{FF2B5EF4-FFF2-40B4-BE49-F238E27FC236}">
                  <a16:creationId xmlns:a16="http://schemas.microsoft.com/office/drawing/2014/main" id="{00000000-0008-0000-0200-0000F1A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Tahoma"/>
                  <a:ea typeface="Tahoma"/>
                  <a:cs typeface="Tahoma"/>
                </a:rPr>
                <a:t>Poor sentence structure causing confusion</a:t>
              </a:r>
            </a:p>
          </xdr:txBody>
        </xdr:sp>
        <xdr:clientData/>
      </xdr:twoCellAnchor>
    </mc:Choice>
    <mc:Fallback/>
  </mc:AlternateContent>
  <mc:AlternateContent xmlns:mc="http://schemas.openxmlformats.org/markup-compatibility/2006">
    <mc:Choice xmlns:a14="http://schemas.microsoft.com/office/drawing/2010/main" Requires="a14">
      <xdr:twoCellAnchor>
        <xdr:from>
          <xdr:col>11</xdr:col>
          <xdr:colOff>47625</xdr:colOff>
          <xdr:row>33</xdr:row>
          <xdr:rowOff>9525</xdr:rowOff>
        </xdr:from>
        <xdr:to>
          <xdr:col>11</xdr:col>
          <xdr:colOff>2009775</xdr:colOff>
          <xdr:row>33</xdr:row>
          <xdr:rowOff>190500</xdr:rowOff>
        </xdr:to>
        <xdr:sp macro="" textlink="">
          <xdr:nvSpPr>
            <xdr:cNvPr id="43263" name="Check Box 255" hidden="1">
              <a:extLst>
                <a:ext uri="{63B3BB69-23CF-44E3-9099-C40C66FF867C}">
                  <a14:compatExt spid="_x0000_s43263"/>
                </a:ext>
                <a:ext uri="{FF2B5EF4-FFF2-40B4-BE49-F238E27FC236}">
                  <a16:creationId xmlns:a16="http://schemas.microsoft.com/office/drawing/2014/main" id="{00000000-0008-0000-0200-0000FFA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Tahoma"/>
                  <a:ea typeface="Tahoma"/>
                  <a:cs typeface="Tahoma"/>
                </a:rPr>
                <a:t>Displayed poor competence</a:t>
              </a:r>
            </a:p>
          </xdr:txBody>
        </xdr:sp>
        <xdr:clientData/>
      </xdr:twoCellAnchor>
    </mc:Choice>
    <mc:Fallback/>
  </mc:AlternateContent>
  <mc:AlternateContent xmlns:mc="http://schemas.openxmlformats.org/markup-compatibility/2006">
    <mc:Choice xmlns:a14="http://schemas.microsoft.com/office/drawing/2010/main" Requires="a14">
      <xdr:twoCellAnchor>
        <xdr:from>
          <xdr:col>11</xdr:col>
          <xdr:colOff>47625</xdr:colOff>
          <xdr:row>33</xdr:row>
          <xdr:rowOff>171450</xdr:rowOff>
        </xdr:from>
        <xdr:to>
          <xdr:col>11</xdr:col>
          <xdr:colOff>2009775</xdr:colOff>
          <xdr:row>33</xdr:row>
          <xdr:rowOff>352425</xdr:rowOff>
        </xdr:to>
        <xdr:sp macro="" textlink="">
          <xdr:nvSpPr>
            <xdr:cNvPr id="43264" name="Check Box 256" hidden="1">
              <a:extLst>
                <a:ext uri="{63B3BB69-23CF-44E3-9099-C40C66FF867C}">
                  <a14:compatExt spid="_x0000_s43264"/>
                </a:ext>
                <a:ext uri="{FF2B5EF4-FFF2-40B4-BE49-F238E27FC236}">
                  <a16:creationId xmlns:a16="http://schemas.microsoft.com/office/drawing/2014/main" id="{00000000-0008-0000-0200-000000A9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Tahoma"/>
                  <a:ea typeface="Tahoma"/>
                  <a:cs typeface="Tahoma"/>
                </a:rPr>
                <a:t>Lacked confidence</a:t>
              </a:r>
            </a:p>
          </xdr:txBody>
        </xdr:sp>
        <xdr:clientData/>
      </xdr:twoCellAnchor>
    </mc:Choice>
    <mc:Fallback/>
  </mc:AlternateContent>
  <mc:AlternateContent xmlns:mc="http://schemas.openxmlformats.org/markup-compatibility/2006">
    <mc:Choice xmlns:a14="http://schemas.microsoft.com/office/drawing/2010/main" Requires="a14">
      <xdr:twoCellAnchor>
        <xdr:from>
          <xdr:col>11</xdr:col>
          <xdr:colOff>47625</xdr:colOff>
          <xdr:row>34</xdr:row>
          <xdr:rowOff>9525</xdr:rowOff>
        </xdr:from>
        <xdr:to>
          <xdr:col>11</xdr:col>
          <xdr:colOff>2009775</xdr:colOff>
          <xdr:row>34</xdr:row>
          <xdr:rowOff>190500</xdr:rowOff>
        </xdr:to>
        <xdr:sp macro="" textlink="">
          <xdr:nvSpPr>
            <xdr:cNvPr id="43297" name="Check Box 289" hidden="1">
              <a:extLst>
                <a:ext uri="{63B3BB69-23CF-44E3-9099-C40C66FF867C}">
                  <a14:compatExt spid="_x0000_s43297"/>
                </a:ext>
                <a:ext uri="{FF2B5EF4-FFF2-40B4-BE49-F238E27FC236}">
                  <a16:creationId xmlns:a16="http://schemas.microsoft.com/office/drawing/2014/main" id="{00000000-0008-0000-0200-000021A9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Tahoma"/>
                  <a:ea typeface="Tahoma"/>
                  <a:cs typeface="Tahoma"/>
                </a:rPr>
                <a:t>Indifference and/or any form of rudeness</a:t>
              </a:r>
            </a:p>
          </xdr:txBody>
        </xdr:sp>
        <xdr:clientData/>
      </xdr:twoCellAnchor>
    </mc:Choice>
    <mc:Fallback/>
  </mc:AlternateContent>
  <mc:AlternateContent xmlns:mc="http://schemas.openxmlformats.org/markup-compatibility/2006">
    <mc:Choice xmlns:a14="http://schemas.microsoft.com/office/drawing/2010/main" Requires="a14">
      <xdr:twoCellAnchor>
        <xdr:from>
          <xdr:col>11</xdr:col>
          <xdr:colOff>47625</xdr:colOff>
          <xdr:row>34</xdr:row>
          <xdr:rowOff>171450</xdr:rowOff>
        </xdr:from>
        <xdr:to>
          <xdr:col>11</xdr:col>
          <xdr:colOff>2009775</xdr:colOff>
          <xdr:row>34</xdr:row>
          <xdr:rowOff>352425</xdr:rowOff>
        </xdr:to>
        <xdr:sp macro="" textlink="">
          <xdr:nvSpPr>
            <xdr:cNvPr id="43298" name="Check Box 290" hidden="1">
              <a:extLst>
                <a:ext uri="{63B3BB69-23CF-44E3-9099-C40C66FF867C}">
                  <a14:compatExt spid="_x0000_s43298"/>
                </a:ext>
                <a:ext uri="{FF2B5EF4-FFF2-40B4-BE49-F238E27FC236}">
                  <a16:creationId xmlns:a16="http://schemas.microsoft.com/office/drawing/2014/main" id="{00000000-0008-0000-0200-000022A9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Tahoma"/>
                  <a:ea typeface="Tahoma"/>
                  <a:cs typeface="Tahoma"/>
                </a:rPr>
                <a:t>Performing non-business activities</a:t>
              </a:r>
            </a:p>
          </xdr:txBody>
        </xdr:sp>
        <xdr:clientData/>
      </xdr:twoCellAnchor>
    </mc:Choice>
    <mc:Fallback/>
  </mc:AlternateContent>
  <mc:AlternateContent xmlns:mc="http://schemas.openxmlformats.org/markup-compatibility/2006">
    <mc:Choice xmlns:a14="http://schemas.microsoft.com/office/drawing/2010/main" Requires="a14">
      <xdr:twoCellAnchor>
        <xdr:from>
          <xdr:col>11</xdr:col>
          <xdr:colOff>47625</xdr:colOff>
          <xdr:row>34</xdr:row>
          <xdr:rowOff>342900</xdr:rowOff>
        </xdr:from>
        <xdr:to>
          <xdr:col>11</xdr:col>
          <xdr:colOff>2009775</xdr:colOff>
          <xdr:row>34</xdr:row>
          <xdr:rowOff>523875</xdr:rowOff>
        </xdr:to>
        <xdr:sp macro="" textlink="">
          <xdr:nvSpPr>
            <xdr:cNvPr id="43299" name="Check Box 291" hidden="1">
              <a:extLst>
                <a:ext uri="{63B3BB69-23CF-44E3-9099-C40C66FF867C}">
                  <a14:compatExt spid="_x0000_s43299"/>
                </a:ext>
                <a:ext uri="{FF2B5EF4-FFF2-40B4-BE49-F238E27FC236}">
                  <a16:creationId xmlns:a16="http://schemas.microsoft.com/office/drawing/2014/main" id="{00000000-0008-0000-0200-000023A9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Tahoma"/>
                  <a:ea typeface="Tahoma"/>
                  <a:cs typeface="Tahoma"/>
                </a:rPr>
                <a:t>Unauthorized call release</a:t>
              </a:r>
            </a:p>
          </xdr:txBody>
        </xdr:sp>
        <xdr:clientData/>
      </xdr:twoCellAnchor>
    </mc:Choice>
    <mc:Fallback/>
  </mc:AlternateContent>
  <mc:AlternateContent xmlns:mc="http://schemas.openxmlformats.org/markup-compatibility/2006">
    <mc:Choice xmlns:a14="http://schemas.microsoft.com/office/drawing/2010/main" Requires="a14">
      <xdr:twoCellAnchor>
        <xdr:from>
          <xdr:col>11</xdr:col>
          <xdr:colOff>47625</xdr:colOff>
          <xdr:row>35</xdr:row>
          <xdr:rowOff>9525</xdr:rowOff>
        </xdr:from>
        <xdr:to>
          <xdr:col>11</xdr:col>
          <xdr:colOff>2009775</xdr:colOff>
          <xdr:row>35</xdr:row>
          <xdr:rowOff>190500</xdr:rowOff>
        </xdr:to>
        <xdr:sp macro="" textlink="">
          <xdr:nvSpPr>
            <xdr:cNvPr id="43327" name="Check Box 319" hidden="1">
              <a:extLst>
                <a:ext uri="{63B3BB69-23CF-44E3-9099-C40C66FF867C}">
                  <a14:compatExt spid="_x0000_s43327"/>
                </a:ext>
                <a:ext uri="{FF2B5EF4-FFF2-40B4-BE49-F238E27FC236}">
                  <a16:creationId xmlns:a16="http://schemas.microsoft.com/office/drawing/2014/main" id="{00000000-0008-0000-0200-00003FA9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Tahoma"/>
                  <a:ea typeface="Tahoma"/>
                  <a:cs typeface="Tahoma"/>
                </a:rPr>
                <a:t>Delayed SLA for action and/or follow through</a:t>
              </a:r>
            </a:p>
          </xdr:txBody>
        </xdr:sp>
        <xdr:clientData/>
      </xdr:twoCellAnchor>
    </mc:Choice>
    <mc:Fallback/>
  </mc:AlternateContent>
  <mc:AlternateContent xmlns:mc="http://schemas.openxmlformats.org/markup-compatibility/2006">
    <mc:Choice xmlns:a14="http://schemas.microsoft.com/office/drawing/2010/main" Requires="a14">
      <xdr:twoCellAnchor>
        <xdr:from>
          <xdr:col>11</xdr:col>
          <xdr:colOff>47625</xdr:colOff>
          <xdr:row>35</xdr:row>
          <xdr:rowOff>171450</xdr:rowOff>
        </xdr:from>
        <xdr:to>
          <xdr:col>11</xdr:col>
          <xdr:colOff>2009775</xdr:colOff>
          <xdr:row>35</xdr:row>
          <xdr:rowOff>352425</xdr:rowOff>
        </xdr:to>
        <xdr:sp macro="" textlink="">
          <xdr:nvSpPr>
            <xdr:cNvPr id="43328" name="Check Box 320" hidden="1">
              <a:extLst>
                <a:ext uri="{63B3BB69-23CF-44E3-9099-C40C66FF867C}">
                  <a14:compatExt spid="_x0000_s43328"/>
                </a:ext>
                <a:ext uri="{FF2B5EF4-FFF2-40B4-BE49-F238E27FC236}">
                  <a16:creationId xmlns:a16="http://schemas.microsoft.com/office/drawing/2014/main" id="{00000000-0008-0000-0200-000040A9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Tahoma"/>
                  <a:ea typeface="Tahoma"/>
                  <a:cs typeface="Tahoma"/>
                </a:rPr>
                <a:t>Escalation RMA Refund Product Safety Process</a:t>
              </a:r>
            </a:p>
          </xdr:txBody>
        </xdr:sp>
        <xdr:clientData/>
      </xdr:twoCellAnchor>
    </mc:Choice>
    <mc:Fallback/>
  </mc:AlternateContent>
  <mc:AlternateContent xmlns:mc="http://schemas.openxmlformats.org/markup-compatibility/2006">
    <mc:Choice xmlns:a14="http://schemas.microsoft.com/office/drawing/2010/main" Requires="a14">
      <xdr:twoCellAnchor>
        <xdr:from>
          <xdr:col>11</xdr:col>
          <xdr:colOff>47625</xdr:colOff>
          <xdr:row>36</xdr:row>
          <xdr:rowOff>0</xdr:rowOff>
        </xdr:from>
        <xdr:to>
          <xdr:col>11</xdr:col>
          <xdr:colOff>3048000</xdr:colOff>
          <xdr:row>36</xdr:row>
          <xdr:rowOff>190500</xdr:rowOff>
        </xdr:to>
        <xdr:sp macro="" textlink="">
          <xdr:nvSpPr>
            <xdr:cNvPr id="43351" name="Check Box 343" hidden="1">
              <a:extLst>
                <a:ext uri="{63B3BB69-23CF-44E3-9099-C40C66FF867C}">
                  <a14:compatExt spid="_x0000_s43351"/>
                </a:ext>
                <a:ext uri="{FF2B5EF4-FFF2-40B4-BE49-F238E27FC236}">
                  <a16:creationId xmlns:a16="http://schemas.microsoft.com/office/drawing/2014/main" id="{00000000-0008-0000-0200-000057A9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Tahoma"/>
                  <a:ea typeface="Tahoma"/>
                  <a:cs typeface="Tahoma"/>
                </a:rPr>
                <a:t>Application - App settings were not configured correctly</a:t>
              </a:r>
            </a:p>
          </xdr:txBody>
        </xdr:sp>
        <xdr:clientData/>
      </xdr:twoCellAnchor>
    </mc:Choice>
    <mc:Fallback/>
  </mc:AlternateContent>
  <mc:AlternateContent xmlns:mc="http://schemas.openxmlformats.org/markup-compatibility/2006">
    <mc:Choice xmlns:a14="http://schemas.microsoft.com/office/drawing/2010/main" Requires="a14">
      <xdr:twoCellAnchor>
        <xdr:from>
          <xdr:col>11</xdr:col>
          <xdr:colOff>47625</xdr:colOff>
          <xdr:row>36</xdr:row>
          <xdr:rowOff>180975</xdr:rowOff>
        </xdr:from>
        <xdr:to>
          <xdr:col>11</xdr:col>
          <xdr:colOff>2857500</xdr:colOff>
          <xdr:row>36</xdr:row>
          <xdr:rowOff>352425</xdr:rowOff>
        </xdr:to>
        <xdr:sp macro="" textlink="">
          <xdr:nvSpPr>
            <xdr:cNvPr id="43352" name="Check Box 344" hidden="1">
              <a:extLst>
                <a:ext uri="{63B3BB69-23CF-44E3-9099-C40C66FF867C}">
                  <a14:compatExt spid="_x0000_s43352"/>
                </a:ext>
                <a:ext uri="{FF2B5EF4-FFF2-40B4-BE49-F238E27FC236}">
                  <a16:creationId xmlns:a16="http://schemas.microsoft.com/office/drawing/2014/main" id="{00000000-0008-0000-0200-000058A9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Tahoma"/>
                  <a:ea typeface="Tahoma"/>
                  <a:cs typeface="Tahoma"/>
                </a:rPr>
                <a:t>Application - Firmware was not checked/updated</a:t>
              </a:r>
            </a:p>
          </xdr:txBody>
        </xdr:sp>
        <xdr:clientData/>
      </xdr:twoCellAnchor>
    </mc:Choice>
    <mc:Fallback/>
  </mc:AlternateContent>
  <mc:AlternateContent xmlns:mc="http://schemas.openxmlformats.org/markup-compatibility/2006">
    <mc:Choice xmlns:a14="http://schemas.microsoft.com/office/drawing/2010/main" Requires="a14">
      <xdr:twoCellAnchor>
        <xdr:from>
          <xdr:col>11</xdr:col>
          <xdr:colOff>47625</xdr:colOff>
          <xdr:row>36</xdr:row>
          <xdr:rowOff>342900</xdr:rowOff>
        </xdr:from>
        <xdr:to>
          <xdr:col>12</xdr:col>
          <xdr:colOff>0</xdr:colOff>
          <xdr:row>36</xdr:row>
          <xdr:rowOff>523875</xdr:rowOff>
        </xdr:to>
        <xdr:sp macro="" textlink="">
          <xdr:nvSpPr>
            <xdr:cNvPr id="43353" name="Check Box 345" hidden="1">
              <a:extLst>
                <a:ext uri="{63B3BB69-23CF-44E3-9099-C40C66FF867C}">
                  <a14:compatExt spid="_x0000_s43353"/>
                </a:ext>
                <a:ext uri="{FF2B5EF4-FFF2-40B4-BE49-F238E27FC236}">
                  <a16:creationId xmlns:a16="http://schemas.microsoft.com/office/drawing/2014/main" id="{00000000-0008-0000-0200-000059A9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Tahoma"/>
                  <a:ea typeface="Tahoma"/>
                  <a:cs typeface="Tahoma"/>
                </a:rPr>
                <a:t>Application - Internet speed was not checked (modem, router, gateway, etc)</a:t>
              </a:r>
            </a:p>
          </xdr:txBody>
        </xdr:sp>
        <xdr:clientData/>
      </xdr:twoCellAnchor>
    </mc:Choice>
    <mc:Fallback/>
  </mc:AlternateContent>
  <mc:AlternateContent xmlns:mc="http://schemas.openxmlformats.org/markup-compatibility/2006">
    <mc:Choice xmlns:a14="http://schemas.microsoft.com/office/drawing/2010/main" Requires="a14">
      <xdr:twoCellAnchor>
        <xdr:from>
          <xdr:col>11</xdr:col>
          <xdr:colOff>47625</xdr:colOff>
          <xdr:row>36</xdr:row>
          <xdr:rowOff>514350</xdr:rowOff>
        </xdr:from>
        <xdr:to>
          <xdr:col>12</xdr:col>
          <xdr:colOff>19050</xdr:colOff>
          <xdr:row>36</xdr:row>
          <xdr:rowOff>676275</xdr:rowOff>
        </xdr:to>
        <xdr:sp macro="" textlink="">
          <xdr:nvSpPr>
            <xdr:cNvPr id="43354" name="Check Box 346" hidden="1">
              <a:extLst>
                <a:ext uri="{63B3BB69-23CF-44E3-9099-C40C66FF867C}">
                  <a14:compatExt spid="_x0000_s43354"/>
                </a:ext>
                <a:ext uri="{FF2B5EF4-FFF2-40B4-BE49-F238E27FC236}">
                  <a16:creationId xmlns:a16="http://schemas.microsoft.com/office/drawing/2014/main" id="{00000000-0008-0000-0200-00005AA9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Tahoma"/>
                  <a:ea typeface="Tahoma"/>
                  <a:cs typeface="Tahoma"/>
                </a:rPr>
                <a:t>Application - Username and/or password were not validated/recovered</a:t>
              </a:r>
            </a:p>
          </xdr:txBody>
        </xdr:sp>
        <xdr:clientData/>
      </xdr:twoCellAnchor>
    </mc:Choice>
    <mc:Fallback/>
  </mc:AlternateContent>
  <mc:AlternateContent xmlns:mc="http://schemas.openxmlformats.org/markup-compatibility/2006">
    <mc:Choice xmlns:a14="http://schemas.microsoft.com/office/drawing/2010/main" Requires="a14">
      <xdr:twoCellAnchor>
        <xdr:from>
          <xdr:col>11</xdr:col>
          <xdr:colOff>47625</xdr:colOff>
          <xdr:row>36</xdr:row>
          <xdr:rowOff>666750</xdr:rowOff>
        </xdr:from>
        <xdr:to>
          <xdr:col>11</xdr:col>
          <xdr:colOff>3552825</xdr:colOff>
          <xdr:row>36</xdr:row>
          <xdr:rowOff>838200</xdr:rowOff>
        </xdr:to>
        <xdr:sp macro="" textlink="">
          <xdr:nvSpPr>
            <xdr:cNvPr id="43355" name="Check Box 347" hidden="1">
              <a:extLst>
                <a:ext uri="{63B3BB69-23CF-44E3-9099-C40C66FF867C}">
                  <a14:compatExt spid="_x0000_s43355"/>
                </a:ext>
                <a:ext uri="{FF2B5EF4-FFF2-40B4-BE49-F238E27FC236}">
                  <a16:creationId xmlns:a16="http://schemas.microsoft.com/office/drawing/2014/main" id="{00000000-0008-0000-0200-00005BA9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Tahoma"/>
                  <a:ea typeface="Tahoma"/>
                  <a:cs typeface="Tahoma"/>
                </a:rPr>
                <a:t>Asked irrelevant questions</a:t>
              </a:r>
            </a:p>
          </xdr:txBody>
        </xdr:sp>
        <xdr:clientData/>
      </xdr:twoCellAnchor>
    </mc:Choice>
    <mc:Fallback/>
  </mc:AlternateContent>
  <mc:AlternateContent xmlns:mc="http://schemas.openxmlformats.org/markup-compatibility/2006">
    <mc:Choice xmlns:a14="http://schemas.microsoft.com/office/drawing/2010/main" Requires="a14">
      <xdr:twoCellAnchor>
        <xdr:from>
          <xdr:col>3</xdr:col>
          <xdr:colOff>266700</xdr:colOff>
          <xdr:row>86</xdr:row>
          <xdr:rowOff>0</xdr:rowOff>
        </xdr:from>
        <xdr:to>
          <xdr:col>3</xdr:col>
          <xdr:colOff>495300</xdr:colOff>
          <xdr:row>86</xdr:row>
          <xdr:rowOff>0</xdr:rowOff>
        </xdr:to>
        <xdr:sp macro="" textlink="">
          <xdr:nvSpPr>
            <xdr:cNvPr id="43373" name="Check Box 365" hidden="1">
              <a:extLst>
                <a:ext uri="{63B3BB69-23CF-44E3-9099-C40C66FF867C}">
                  <a14:compatExt spid="_x0000_s43373"/>
                </a:ext>
                <a:ext uri="{FF2B5EF4-FFF2-40B4-BE49-F238E27FC236}">
                  <a16:creationId xmlns:a16="http://schemas.microsoft.com/office/drawing/2014/main" id="{00000000-0008-0000-0200-00006DA9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3</xdr:col>
          <xdr:colOff>266700</xdr:colOff>
          <xdr:row>86</xdr:row>
          <xdr:rowOff>0</xdr:rowOff>
        </xdr:from>
        <xdr:to>
          <xdr:col>3</xdr:col>
          <xdr:colOff>495300</xdr:colOff>
          <xdr:row>86</xdr:row>
          <xdr:rowOff>0</xdr:rowOff>
        </xdr:to>
        <xdr:sp macro="" textlink="">
          <xdr:nvSpPr>
            <xdr:cNvPr id="43374" name="Check Box 366" hidden="1">
              <a:extLst>
                <a:ext uri="{63B3BB69-23CF-44E3-9099-C40C66FF867C}">
                  <a14:compatExt spid="_x0000_s43374"/>
                </a:ext>
                <a:ext uri="{FF2B5EF4-FFF2-40B4-BE49-F238E27FC236}">
                  <a16:creationId xmlns:a16="http://schemas.microsoft.com/office/drawing/2014/main" id="{00000000-0008-0000-0200-00006EA9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3</xdr:col>
          <xdr:colOff>266700</xdr:colOff>
          <xdr:row>86</xdr:row>
          <xdr:rowOff>0</xdr:rowOff>
        </xdr:from>
        <xdr:to>
          <xdr:col>3</xdr:col>
          <xdr:colOff>495300</xdr:colOff>
          <xdr:row>86</xdr:row>
          <xdr:rowOff>0</xdr:rowOff>
        </xdr:to>
        <xdr:sp macro="" textlink="">
          <xdr:nvSpPr>
            <xdr:cNvPr id="43375" name="Check Box 367" hidden="1">
              <a:extLst>
                <a:ext uri="{63B3BB69-23CF-44E3-9099-C40C66FF867C}">
                  <a14:compatExt spid="_x0000_s43375"/>
                </a:ext>
                <a:ext uri="{FF2B5EF4-FFF2-40B4-BE49-F238E27FC236}">
                  <a16:creationId xmlns:a16="http://schemas.microsoft.com/office/drawing/2014/main" id="{00000000-0008-0000-0200-00006FA9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3</xdr:col>
          <xdr:colOff>266700</xdr:colOff>
          <xdr:row>86</xdr:row>
          <xdr:rowOff>0</xdr:rowOff>
        </xdr:from>
        <xdr:to>
          <xdr:col>3</xdr:col>
          <xdr:colOff>495300</xdr:colOff>
          <xdr:row>86</xdr:row>
          <xdr:rowOff>0</xdr:rowOff>
        </xdr:to>
        <xdr:sp macro="" textlink="">
          <xdr:nvSpPr>
            <xdr:cNvPr id="43376" name="Check Box 368" hidden="1">
              <a:extLst>
                <a:ext uri="{63B3BB69-23CF-44E3-9099-C40C66FF867C}">
                  <a14:compatExt spid="_x0000_s43376"/>
                </a:ext>
                <a:ext uri="{FF2B5EF4-FFF2-40B4-BE49-F238E27FC236}">
                  <a16:creationId xmlns:a16="http://schemas.microsoft.com/office/drawing/2014/main" id="{00000000-0008-0000-0200-000070A9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3</xdr:col>
          <xdr:colOff>266700</xdr:colOff>
          <xdr:row>86</xdr:row>
          <xdr:rowOff>0</xdr:rowOff>
        </xdr:from>
        <xdr:to>
          <xdr:col>3</xdr:col>
          <xdr:colOff>495300</xdr:colOff>
          <xdr:row>86</xdr:row>
          <xdr:rowOff>0</xdr:rowOff>
        </xdr:to>
        <xdr:sp macro="" textlink="">
          <xdr:nvSpPr>
            <xdr:cNvPr id="43377" name="Check Box 369" hidden="1">
              <a:extLst>
                <a:ext uri="{63B3BB69-23CF-44E3-9099-C40C66FF867C}">
                  <a14:compatExt spid="_x0000_s43377"/>
                </a:ext>
                <a:ext uri="{FF2B5EF4-FFF2-40B4-BE49-F238E27FC236}">
                  <a16:creationId xmlns:a16="http://schemas.microsoft.com/office/drawing/2014/main" id="{00000000-0008-0000-0200-000071A9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3</xdr:col>
          <xdr:colOff>266700</xdr:colOff>
          <xdr:row>86</xdr:row>
          <xdr:rowOff>0</xdr:rowOff>
        </xdr:from>
        <xdr:to>
          <xdr:col>3</xdr:col>
          <xdr:colOff>495300</xdr:colOff>
          <xdr:row>86</xdr:row>
          <xdr:rowOff>0</xdr:rowOff>
        </xdr:to>
        <xdr:sp macro="" textlink="">
          <xdr:nvSpPr>
            <xdr:cNvPr id="43378" name="Check Box 370" hidden="1">
              <a:extLst>
                <a:ext uri="{63B3BB69-23CF-44E3-9099-C40C66FF867C}">
                  <a14:compatExt spid="_x0000_s43378"/>
                </a:ext>
                <a:ext uri="{FF2B5EF4-FFF2-40B4-BE49-F238E27FC236}">
                  <a16:creationId xmlns:a16="http://schemas.microsoft.com/office/drawing/2014/main" id="{00000000-0008-0000-0200-000072A9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3</xdr:col>
          <xdr:colOff>266700</xdr:colOff>
          <xdr:row>86</xdr:row>
          <xdr:rowOff>0</xdr:rowOff>
        </xdr:from>
        <xdr:to>
          <xdr:col>3</xdr:col>
          <xdr:colOff>495300</xdr:colOff>
          <xdr:row>86</xdr:row>
          <xdr:rowOff>0</xdr:rowOff>
        </xdr:to>
        <xdr:sp macro="" textlink="">
          <xdr:nvSpPr>
            <xdr:cNvPr id="43379" name="Check Box 371" hidden="1">
              <a:extLst>
                <a:ext uri="{63B3BB69-23CF-44E3-9099-C40C66FF867C}">
                  <a14:compatExt spid="_x0000_s43379"/>
                </a:ext>
                <a:ext uri="{FF2B5EF4-FFF2-40B4-BE49-F238E27FC236}">
                  <a16:creationId xmlns:a16="http://schemas.microsoft.com/office/drawing/2014/main" id="{00000000-0008-0000-0200-000073A9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3</xdr:col>
          <xdr:colOff>266700</xdr:colOff>
          <xdr:row>86</xdr:row>
          <xdr:rowOff>0</xdr:rowOff>
        </xdr:from>
        <xdr:to>
          <xdr:col>3</xdr:col>
          <xdr:colOff>495300</xdr:colOff>
          <xdr:row>86</xdr:row>
          <xdr:rowOff>0</xdr:rowOff>
        </xdr:to>
        <xdr:sp macro="" textlink="">
          <xdr:nvSpPr>
            <xdr:cNvPr id="43380" name="Check Box 372" hidden="1">
              <a:extLst>
                <a:ext uri="{63B3BB69-23CF-44E3-9099-C40C66FF867C}">
                  <a14:compatExt spid="_x0000_s43380"/>
                </a:ext>
                <a:ext uri="{FF2B5EF4-FFF2-40B4-BE49-F238E27FC236}">
                  <a16:creationId xmlns:a16="http://schemas.microsoft.com/office/drawing/2014/main" id="{00000000-0008-0000-0200-000074A9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3</xdr:col>
          <xdr:colOff>266700</xdr:colOff>
          <xdr:row>86</xdr:row>
          <xdr:rowOff>0</xdr:rowOff>
        </xdr:from>
        <xdr:to>
          <xdr:col>3</xdr:col>
          <xdr:colOff>495300</xdr:colOff>
          <xdr:row>86</xdr:row>
          <xdr:rowOff>0</xdr:rowOff>
        </xdr:to>
        <xdr:sp macro="" textlink="">
          <xdr:nvSpPr>
            <xdr:cNvPr id="43381" name="Check Box 373" hidden="1">
              <a:extLst>
                <a:ext uri="{63B3BB69-23CF-44E3-9099-C40C66FF867C}">
                  <a14:compatExt spid="_x0000_s43381"/>
                </a:ext>
                <a:ext uri="{FF2B5EF4-FFF2-40B4-BE49-F238E27FC236}">
                  <a16:creationId xmlns:a16="http://schemas.microsoft.com/office/drawing/2014/main" id="{00000000-0008-0000-0200-000075A9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3</xdr:col>
          <xdr:colOff>152400</xdr:colOff>
          <xdr:row>88</xdr:row>
          <xdr:rowOff>47625</xdr:rowOff>
        </xdr:from>
        <xdr:to>
          <xdr:col>4</xdr:col>
          <xdr:colOff>733425</xdr:colOff>
          <xdr:row>88</xdr:row>
          <xdr:rowOff>228600</xdr:rowOff>
        </xdr:to>
        <xdr:sp macro="" textlink="">
          <xdr:nvSpPr>
            <xdr:cNvPr id="43382" name="Check Box 374" hidden="1">
              <a:extLst>
                <a:ext uri="{63B3BB69-23CF-44E3-9099-C40C66FF867C}">
                  <a14:compatExt spid="_x0000_s43382"/>
                </a:ext>
                <a:ext uri="{FF2B5EF4-FFF2-40B4-BE49-F238E27FC236}">
                  <a16:creationId xmlns:a16="http://schemas.microsoft.com/office/drawing/2014/main" id="{00000000-0008-0000-0200-000076A9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Tahoma"/>
                  <a:ea typeface="Tahoma"/>
                  <a:cs typeface="Tahoma"/>
                </a:rPr>
                <a:t>Agents taking calls</a:t>
              </a:r>
            </a:p>
          </xdr:txBody>
        </xdr:sp>
        <xdr:clientData/>
      </xdr:twoCellAnchor>
    </mc:Choice>
    <mc:Fallback/>
  </mc:AlternateContent>
  <mc:AlternateContent xmlns:mc="http://schemas.openxmlformats.org/markup-compatibility/2006">
    <mc:Choice xmlns:a14="http://schemas.microsoft.com/office/drawing/2010/main" Requires="a14">
      <xdr:twoCellAnchor>
        <xdr:from>
          <xdr:col>3</xdr:col>
          <xdr:colOff>152400</xdr:colOff>
          <xdr:row>88</xdr:row>
          <xdr:rowOff>247650</xdr:rowOff>
        </xdr:from>
        <xdr:to>
          <xdr:col>4</xdr:col>
          <xdr:colOff>733425</xdr:colOff>
          <xdr:row>89</xdr:row>
          <xdr:rowOff>180975</xdr:rowOff>
        </xdr:to>
        <xdr:sp macro="" textlink="">
          <xdr:nvSpPr>
            <xdr:cNvPr id="43383" name="Check Box 375" hidden="1">
              <a:extLst>
                <a:ext uri="{63B3BB69-23CF-44E3-9099-C40C66FF867C}">
                  <a14:compatExt spid="_x0000_s43383"/>
                </a:ext>
                <a:ext uri="{FF2B5EF4-FFF2-40B4-BE49-F238E27FC236}">
                  <a16:creationId xmlns:a16="http://schemas.microsoft.com/office/drawing/2014/main" id="{00000000-0008-0000-0200-000077A9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Tahoma"/>
                  <a:ea typeface="Tahoma"/>
                  <a:cs typeface="Tahoma"/>
                </a:rPr>
                <a:t>Passerby</a:t>
              </a:r>
            </a:p>
          </xdr:txBody>
        </xdr:sp>
        <xdr:clientData/>
      </xdr:twoCellAnchor>
    </mc:Choice>
    <mc:Fallback/>
  </mc:AlternateContent>
  <mc:AlternateContent xmlns:mc="http://schemas.openxmlformats.org/markup-compatibility/2006">
    <mc:Choice xmlns:a14="http://schemas.microsoft.com/office/drawing/2010/main" Requires="a14">
      <xdr:twoCellAnchor>
        <xdr:from>
          <xdr:col>3</xdr:col>
          <xdr:colOff>152400</xdr:colOff>
          <xdr:row>89</xdr:row>
          <xdr:rowOff>209550</xdr:rowOff>
        </xdr:from>
        <xdr:to>
          <xdr:col>4</xdr:col>
          <xdr:colOff>733425</xdr:colOff>
          <xdr:row>90</xdr:row>
          <xdr:rowOff>142875</xdr:rowOff>
        </xdr:to>
        <xdr:sp macro="" textlink="">
          <xdr:nvSpPr>
            <xdr:cNvPr id="43385" name="Check Box 377" hidden="1">
              <a:extLst>
                <a:ext uri="{63B3BB69-23CF-44E3-9099-C40C66FF867C}">
                  <a14:compatExt spid="_x0000_s43385"/>
                </a:ext>
                <a:ext uri="{FF2B5EF4-FFF2-40B4-BE49-F238E27FC236}">
                  <a16:creationId xmlns:a16="http://schemas.microsoft.com/office/drawing/2014/main" id="{00000000-0008-0000-0200-000079A9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Tahoma"/>
                  <a:ea typeface="Tahoma"/>
                  <a:cs typeface="Tahoma"/>
                </a:rPr>
                <a:t>PA System</a:t>
              </a:r>
            </a:p>
          </xdr:txBody>
        </xdr:sp>
        <xdr:clientData/>
      </xdr:twoCellAnchor>
    </mc:Choice>
    <mc:Fallback/>
  </mc:AlternateContent>
  <mc:AlternateContent xmlns:mc="http://schemas.openxmlformats.org/markup-compatibility/2006">
    <mc:Choice xmlns:a14="http://schemas.microsoft.com/office/drawing/2010/main" Requires="a14">
      <xdr:twoCellAnchor>
        <xdr:from>
          <xdr:col>4</xdr:col>
          <xdr:colOff>923925</xdr:colOff>
          <xdr:row>88</xdr:row>
          <xdr:rowOff>47625</xdr:rowOff>
        </xdr:from>
        <xdr:to>
          <xdr:col>4</xdr:col>
          <xdr:colOff>2886075</xdr:colOff>
          <xdr:row>88</xdr:row>
          <xdr:rowOff>228600</xdr:rowOff>
        </xdr:to>
        <xdr:sp macro="" textlink="">
          <xdr:nvSpPr>
            <xdr:cNvPr id="43386" name="Check Box 378" hidden="1">
              <a:extLst>
                <a:ext uri="{63B3BB69-23CF-44E3-9099-C40C66FF867C}">
                  <a14:compatExt spid="_x0000_s43386"/>
                </a:ext>
                <a:ext uri="{FF2B5EF4-FFF2-40B4-BE49-F238E27FC236}">
                  <a16:creationId xmlns:a16="http://schemas.microsoft.com/office/drawing/2014/main" id="{00000000-0008-0000-0200-00007AA9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Tahoma"/>
                  <a:ea typeface="Tahoma"/>
                  <a:cs typeface="Tahoma"/>
                </a:rPr>
                <a:t>Agents chit-chatting</a:t>
              </a:r>
            </a:p>
          </xdr:txBody>
        </xdr:sp>
        <xdr:clientData/>
      </xdr:twoCellAnchor>
    </mc:Choice>
    <mc:Fallback/>
  </mc:AlternateContent>
  <mc:AlternateContent xmlns:mc="http://schemas.openxmlformats.org/markup-compatibility/2006">
    <mc:Choice xmlns:a14="http://schemas.microsoft.com/office/drawing/2010/main" Requires="a14">
      <xdr:twoCellAnchor>
        <xdr:from>
          <xdr:col>3</xdr:col>
          <xdr:colOff>152400</xdr:colOff>
          <xdr:row>93</xdr:row>
          <xdr:rowOff>66675</xdr:rowOff>
        </xdr:from>
        <xdr:to>
          <xdr:col>4</xdr:col>
          <xdr:colOff>733425</xdr:colOff>
          <xdr:row>93</xdr:row>
          <xdr:rowOff>247650</xdr:rowOff>
        </xdr:to>
        <xdr:sp macro="" textlink="">
          <xdr:nvSpPr>
            <xdr:cNvPr id="43389" name="Check Box 381" hidden="1">
              <a:extLst>
                <a:ext uri="{63B3BB69-23CF-44E3-9099-C40C66FF867C}">
                  <a14:compatExt spid="_x0000_s43389"/>
                </a:ext>
                <a:ext uri="{FF2B5EF4-FFF2-40B4-BE49-F238E27FC236}">
                  <a16:creationId xmlns:a16="http://schemas.microsoft.com/office/drawing/2014/main" id="{00000000-0008-0000-0200-00007DA9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Tahoma"/>
                  <a:ea typeface="Tahoma"/>
                  <a:cs typeface="Tahoma"/>
                </a:rPr>
                <a:t>Other agents</a:t>
              </a:r>
            </a:p>
          </xdr:txBody>
        </xdr:sp>
        <xdr:clientData/>
      </xdr:twoCellAnchor>
    </mc:Choice>
    <mc:Fallback/>
  </mc:AlternateContent>
  <mc:AlternateContent xmlns:mc="http://schemas.openxmlformats.org/markup-compatibility/2006">
    <mc:Choice xmlns:a14="http://schemas.microsoft.com/office/drawing/2010/main" Requires="a14">
      <xdr:twoCellAnchor>
        <xdr:from>
          <xdr:col>3</xdr:col>
          <xdr:colOff>152400</xdr:colOff>
          <xdr:row>94</xdr:row>
          <xdr:rowOff>28575</xdr:rowOff>
        </xdr:from>
        <xdr:to>
          <xdr:col>4</xdr:col>
          <xdr:colOff>733425</xdr:colOff>
          <xdr:row>94</xdr:row>
          <xdr:rowOff>209550</xdr:rowOff>
        </xdr:to>
        <xdr:sp macro="" textlink="">
          <xdr:nvSpPr>
            <xdr:cNvPr id="43390" name="Check Box 382" hidden="1">
              <a:extLst>
                <a:ext uri="{63B3BB69-23CF-44E3-9099-C40C66FF867C}">
                  <a14:compatExt spid="_x0000_s43390"/>
                </a:ext>
                <a:ext uri="{FF2B5EF4-FFF2-40B4-BE49-F238E27FC236}">
                  <a16:creationId xmlns:a16="http://schemas.microsoft.com/office/drawing/2014/main" id="{00000000-0008-0000-0200-00007EA9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Tahoma"/>
                  <a:ea typeface="Tahoma"/>
                  <a:cs typeface="Tahoma"/>
                </a:rPr>
                <a:t>Passerby</a:t>
              </a:r>
            </a:p>
          </xdr:txBody>
        </xdr:sp>
        <xdr:clientData/>
      </xdr:twoCellAnchor>
    </mc:Choice>
    <mc:Fallback/>
  </mc:AlternateContent>
  <mc:AlternateContent xmlns:mc="http://schemas.openxmlformats.org/markup-compatibility/2006">
    <mc:Choice xmlns:a14="http://schemas.microsoft.com/office/drawing/2010/main" Requires="a14">
      <xdr:twoCellAnchor>
        <xdr:from>
          <xdr:col>3</xdr:col>
          <xdr:colOff>152400</xdr:colOff>
          <xdr:row>94</xdr:row>
          <xdr:rowOff>228600</xdr:rowOff>
        </xdr:from>
        <xdr:to>
          <xdr:col>4</xdr:col>
          <xdr:colOff>733425</xdr:colOff>
          <xdr:row>95</xdr:row>
          <xdr:rowOff>161925</xdr:rowOff>
        </xdr:to>
        <xdr:sp macro="" textlink="">
          <xdr:nvSpPr>
            <xdr:cNvPr id="43391" name="Check Box 383" hidden="1">
              <a:extLst>
                <a:ext uri="{63B3BB69-23CF-44E3-9099-C40C66FF867C}">
                  <a14:compatExt spid="_x0000_s43391"/>
                </a:ext>
                <a:ext uri="{FF2B5EF4-FFF2-40B4-BE49-F238E27FC236}">
                  <a16:creationId xmlns:a16="http://schemas.microsoft.com/office/drawing/2014/main" id="{00000000-0008-0000-0200-00007FA9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Tahoma"/>
                  <a:ea typeface="Tahoma"/>
                  <a:cs typeface="Tahoma"/>
                </a:rPr>
                <a:t>Team member</a:t>
              </a:r>
            </a:p>
          </xdr:txBody>
        </xdr:sp>
        <xdr:clientData/>
      </xdr:twoCellAnchor>
    </mc:Choice>
    <mc:Fallback/>
  </mc:AlternateContent>
  <mc:AlternateContent xmlns:mc="http://schemas.openxmlformats.org/markup-compatibility/2006">
    <mc:Choice xmlns:a14="http://schemas.microsoft.com/office/drawing/2010/main" Requires="a14">
      <xdr:twoCellAnchor>
        <xdr:from>
          <xdr:col>4</xdr:col>
          <xdr:colOff>923925</xdr:colOff>
          <xdr:row>93</xdr:row>
          <xdr:rowOff>76200</xdr:rowOff>
        </xdr:from>
        <xdr:to>
          <xdr:col>4</xdr:col>
          <xdr:colOff>2886075</xdr:colOff>
          <xdr:row>94</xdr:row>
          <xdr:rowOff>9525</xdr:rowOff>
        </xdr:to>
        <xdr:sp macro="" textlink="">
          <xdr:nvSpPr>
            <xdr:cNvPr id="43392" name="Check Box 384" hidden="1">
              <a:extLst>
                <a:ext uri="{63B3BB69-23CF-44E3-9099-C40C66FF867C}">
                  <a14:compatExt spid="_x0000_s43392"/>
                </a:ext>
                <a:ext uri="{FF2B5EF4-FFF2-40B4-BE49-F238E27FC236}">
                  <a16:creationId xmlns:a16="http://schemas.microsoft.com/office/drawing/2014/main" id="{00000000-0008-0000-0200-000080A9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Tahoma"/>
                  <a:ea typeface="Tahoma"/>
                  <a:cs typeface="Tahoma"/>
                </a:rPr>
                <a:t>PA Announcer</a:t>
              </a:r>
            </a:p>
          </xdr:txBody>
        </xdr:sp>
        <xdr:clientData/>
      </xdr:twoCellAnchor>
    </mc:Choice>
    <mc:Fallback/>
  </mc:AlternateContent>
  <mc:AlternateContent xmlns:mc="http://schemas.openxmlformats.org/markup-compatibility/2006">
    <mc:Choice xmlns:a14="http://schemas.microsoft.com/office/drawing/2010/main" Requires="a14">
      <xdr:twoCellAnchor>
        <xdr:from>
          <xdr:col>4</xdr:col>
          <xdr:colOff>923925</xdr:colOff>
          <xdr:row>94</xdr:row>
          <xdr:rowOff>38100</xdr:rowOff>
        </xdr:from>
        <xdr:to>
          <xdr:col>4</xdr:col>
          <xdr:colOff>2886075</xdr:colOff>
          <xdr:row>94</xdr:row>
          <xdr:rowOff>219075</xdr:rowOff>
        </xdr:to>
        <xdr:sp macro="" textlink="">
          <xdr:nvSpPr>
            <xdr:cNvPr id="43393" name="Check Box 385" hidden="1">
              <a:extLst>
                <a:ext uri="{63B3BB69-23CF-44E3-9099-C40C66FF867C}">
                  <a14:compatExt spid="_x0000_s43393"/>
                </a:ext>
                <a:ext uri="{FF2B5EF4-FFF2-40B4-BE49-F238E27FC236}">
                  <a16:creationId xmlns:a16="http://schemas.microsoft.com/office/drawing/2014/main" id="{00000000-0008-0000-0200-000081A9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Tahoma"/>
                  <a:ea typeface="Tahoma"/>
                  <a:cs typeface="Tahoma"/>
                </a:rPr>
                <a:t>Supervisor/Manager</a:t>
              </a:r>
            </a:p>
          </xdr:txBody>
        </xdr:sp>
        <xdr:clientData/>
      </xdr:twoCellAnchor>
    </mc:Choice>
    <mc:Fallback/>
  </mc:AlternateContent>
  <mc:AlternateContent xmlns:mc="http://schemas.openxmlformats.org/markup-compatibility/2006">
    <mc:Choice xmlns:a14="http://schemas.microsoft.com/office/drawing/2010/main" Requires="a14">
      <xdr:twoCellAnchor>
        <xdr:from>
          <xdr:col>4</xdr:col>
          <xdr:colOff>923925</xdr:colOff>
          <xdr:row>94</xdr:row>
          <xdr:rowOff>238125</xdr:rowOff>
        </xdr:from>
        <xdr:to>
          <xdr:col>4</xdr:col>
          <xdr:colOff>2886075</xdr:colOff>
          <xdr:row>95</xdr:row>
          <xdr:rowOff>171450</xdr:rowOff>
        </xdr:to>
        <xdr:sp macro="" textlink="">
          <xdr:nvSpPr>
            <xdr:cNvPr id="43394" name="Check Box 386" hidden="1">
              <a:extLst>
                <a:ext uri="{63B3BB69-23CF-44E3-9099-C40C66FF867C}">
                  <a14:compatExt spid="_x0000_s43394"/>
                </a:ext>
                <a:ext uri="{FF2B5EF4-FFF2-40B4-BE49-F238E27FC236}">
                  <a16:creationId xmlns:a16="http://schemas.microsoft.com/office/drawing/2014/main" id="{00000000-0008-0000-0200-000082A9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Tahoma"/>
                  <a:ea typeface="Tahoma"/>
                  <a:cs typeface="Tahoma"/>
                </a:rPr>
                <a:t>Discrete</a:t>
              </a:r>
            </a:p>
          </xdr:txBody>
        </xdr:sp>
        <xdr:clientData/>
      </xdr:twoCellAnchor>
    </mc:Choice>
    <mc:Fallback/>
  </mc:AlternateContent>
  <xdr:twoCellAnchor>
    <xdr:from>
      <xdr:col>3</xdr:col>
      <xdr:colOff>0</xdr:colOff>
      <xdr:row>98</xdr:row>
      <xdr:rowOff>0</xdr:rowOff>
    </xdr:from>
    <xdr:to>
      <xdr:col>4</xdr:col>
      <xdr:colOff>1210903</xdr:colOff>
      <xdr:row>98</xdr:row>
      <xdr:rowOff>240856</xdr:rowOff>
    </xdr:to>
    <xdr:sp macro="" textlink="">
      <xdr:nvSpPr>
        <xdr:cNvPr id="423" name="TextBox 422">
          <a:extLst>
            <a:ext uri="{FF2B5EF4-FFF2-40B4-BE49-F238E27FC236}">
              <a16:creationId xmlns:a16="http://schemas.microsoft.com/office/drawing/2014/main" id="{00000000-0008-0000-0200-0000A7010000}"/>
            </a:ext>
          </a:extLst>
        </xdr:cNvPr>
        <xdr:cNvSpPr txBox="1">
          <a:spLocks noChangeAspect="1"/>
        </xdr:cNvSpPr>
      </xdr:nvSpPr>
      <xdr:spPr>
        <a:xfrm>
          <a:off x="876300" y="32004000"/>
          <a:ext cx="2592028" cy="240856"/>
        </a:xfrm>
        <a:prstGeom prst="rect">
          <a:avLst/>
        </a:prstGeom>
        <a:solidFill>
          <a:schemeClr val="tx2"/>
        </a:solid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r>
            <a:rPr lang="en-PH" sz="1600" b="1">
              <a:solidFill>
                <a:schemeClr val="bg1"/>
              </a:solidFill>
              <a:latin typeface="+mn-lt"/>
            </a:rPr>
            <a:t>INVESTIGATION FINDINGS</a:t>
          </a:r>
        </a:p>
      </xdr:txBody>
    </xdr:sp>
    <xdr:clientData/>
  </xdr:twoCellAnchor>
  <xdr:twoCellAnchor>
    <xdr:from>
      <xdr:col>3</xdr:col>
      <xdr:colOff>0</xdr:colOff>
      <xdr:row>113</xdr:row>
      <xdr:rowOff>0</xdr:rowOff>
    </xdr:from>
    <xdr:to>
      <xdr:col>4</xdr:col>
      <xdr:colOff>1210903</xdr:colOff>
      <xdr:row>113</xdr:row>
      <xdr:rowOff>240857</xdr:rowOff>
    </xdr:to>
    <xdr:sp macro="" textlink="">
      <xdr:nvSpPr>
        <xdr:cNvPr id="425" name="TextBox 424">
          <a:extLst>
            <a:ext uri="{FF2B5EF4-FFF2-40B4-BE49-F238E27FC236}">
              <a16:creationId xmlns:a16="http://schemas.microsoft.com/office/drawing/2014/main" id="{00000000-0008-0000-0200-0000A9010000}"/>
            </a:ext>
          </a:extLst>
        </xdr:cNvPr>
        <xdr:cNvSpPr txBox="1">
          <a:spLocks noChangeAspect="1"/>
        </xdr:cNvSpPr>
      </xdr:nvSpPr>
      <xdr:spPr>
        <a:xfrm>
          <a:off x="876300" y="39433500"/>
          <a:ext cx="2592028" cy="240857"/>
        </a:xfrm>
        <a:prstGeom prst="rect">
          <a:avLst/>
        </a:prstGeom>
        <a:solidFill>
          <a:schemeClr val="accent5">
            <a:lumMod val="5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r>
            <a:rPr lang="en-PH" sz="1600" b="1">
              <a:solidFill>
                <a:schemeClr val="bg1"/>
              </a:solidFill>
              <a:latin typeface="+mn-lt"/>
            </a:rPr>
            <a:t>EVALUATOR'S</a:t>
          </a:r>
          <a:r>
            <a:rPr lang="en-PH" sz="1600" b="1" baseline="0">
              <a:solidFill>
                <a:schemeClr val="bg1"/>
              </a:solidFill>
              <a:latin typeface="+mn-lt"/>
            </a:rPr>
            <a:t> NOTES</a:t>
          </a:r>
          <a:endParaRPr lang="en-PH" sz="1600" b="1">
            <a:solidFill>
              <a:schemeClr val="bg1"/>
            </a:solidFill>
            <a:latin typeface="+mn-lt"/>
          </a:endParaRPr>
        </a:p>
      </xdr:txBody>
    </xdr:sp>
    <xdr:clientData/>
  </xdr:twoCellAnchor>
  <mc:AlternateContent xmlns:mc="http://schemas.openxmlformats.org/markup-compatibility/2006">
    <mc:Choice xmlns:a14="http://schemas.microsoft.com/office/drawing/2010/main" Requires="a14">
      <xdr:twoCellAnchor>
        <xdr:from>
          <xdr:col>4</xdr:col>
          <xdr:colOff>923925</xdr:colOff>
          <xdr:row>88</xdr:row>
          <xdr:rowOff>247650</xdr:rowOff>
        </xdr:from>
        <xdr:to>
          <xdr:col>4</xdr:col>
          <xdr:colOff>2886075</xdr:colOff>
          <xdr:row>89</xdr:row>
          <xdr:rowOff>180975</xdr:rowOff>
        </xdr:to>
        <xdr:sp macro="" textlink="">
          <xdr:nvSpPr>
            <xdr:cNvPr id="49207" name="Check Box 1079" hidden="1">
              <a:extLst>
                <a:ext uri="{63B3BB69-23CF-44E3-9099-C40C66FF867C}">
                  <a14:compatExt spid="_x0000_s49207"/>
                </a:ext>
                <a:ext uri="{FF2B5EF4-FFF2-40B4-BE49-F238E27FC236}">
                  <a16:creationId xmlns:a16="http://schemas.microsoft.com/office/drawing/2014/main" id="{00000000-0008-0000-0200-000037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Tahoma"/>
                  <a:ea typeface="Tahoma"/>
                  <a:cs typeface="Tahoma"/>
                </a:rPr>
                <a:t>Discrete</a:t>
              </a:r>
            </a:p>
          </xdr:txBody>
        </xdr:sp>
        <xdr:clientData/>
      </xdr:twoCellAnchor>
    </mc:Choice>
    <mc:Fallback/>
  </mc:AlternateContent>
  <xdr:twoCellAnchor>
    <xdr:from>
      <xdr:col>7</xdr:col>
      <xdr:colOff>416718</xdr:colOff>
      <xdr:row>86</xdr:row>
      <xdr:rowOff>202407</xdr:rowOff>
    </xdr:from>
    <xdr:to>
      <xdr:col>10</xdr:col>
      <xdr:colOff>11905</xdr:colOff>
      <xdr:row>87</xdr:row>
      <xdr:rowOff>226220</xdr:rowOff>
    </xdr:to>
    <xdr:sp macro="" textlink="">
      <xdr:nvSpPr>
        <xdr:cNvPr id="1004" name="TextBox 1003">
          <a:extLst>
            <a:ext uri="{FF2B5EF4-FFF2-40B4-BE49-F238E27FC236}">
              <a16:creationId xmlns:a16="http://schemas.microsoft.com/office/drawing/2014/main" id="{00000000-0008-0000-0200-0000EC030000}"/>
            </a:ext>
          </a:extLst>
        </xdr:cNvPr>
        <xdr:cNvSpPr txBox="1">
          <a:spLocks noChangeAspect="1"/>
        </xdr:cNvSpPr>
      </xdr:nvSpPr>
      <xdr:spPr>
        <a:xfrm>
          <a:off x="7143749" y="41826657"/>
          <a:ext cx="4071937" cy="273844"/>
        </a:xfrm>
        <a:prstGeom prst="rect">
          <a:avLst/>
        </a:prstGeom>
        <a:solidFill>
          <a:srgbClr val="C00000"/>
        </a:solid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r>
            <a:rPr lang="en-PH" sz="1600" b="1">
              <a:solidFill>
                <a:schemeClr val="bg1">
                  <a:lumMod val="85000"/>
                </a:schemeClr>
              </a:solidFill>
              <a:latin typeface="+mn-lt"/>
            </a:rPr>
            <a:t>FOR MIXED</a:t>
          </a:r>
          <a:r>
            <a:rPr lang="en-PH" sz="1600" b="1" baseline="0">
              <a:solidFill>
                <a:schemeClr val="bg1">
                  <a:lumMod val="85000"/>
                </a:schemeClr>
              </a:solidFill>
              <a:latin typeface="+mn-lt"/>
            </a:rPr>
            <a:t> IRREGULARITIES</a:t>
          </a:r>
          <a:endParaRPr lang="en-PH" sz="1600" b="1">
            <a:solidFill>
              <a:schemeClr val="bg1">
                <a:lumMod val="85000"/>
              </a:schemeClr>
            </a:solidFill>
            <a:latin typeface="+mn-lt"/>
          </a:endParaRPr>
        </a:p>
      </xdr:txBody>
    </xdr:sp>
    <xdr:clientData/>
  </xdr:twoCellAnchor>
  <mc:AlternateContent xmlns:mc="http://schemas.openxmlformats.org/markup-compatibility/2006">
    <mc:Choice xmlns:a14="http://schemas.microsoft.com/office/drawing/2010/main" Requires="a14">
      <xdr:twoCellAnchor>
        <xdr:from>
          <xdr:col>11</xdr:col>
          <xdr:colOff>47625</xdr:colOff>
          <xdr:row>36</xdr:row>
          <xdr:rowOff>800100</xdr:rowOff>
        </xdr:from>
        <xdr:to>
          <xdr:col>11</xdr:col>
          <xdr:colOff>3686175</xdr:colOff>
          <xdr:row>36</xdr:row>
          <xdr:rowOff>990600</xdr:rowOff>
        </xdr:to>
        <xdr:sp macro="" textlink="">
          <xdr:nvSpPr>
            <xdr:cNvPr id="49244" name="Check Box 1116" hidden="1">
              <a:extLst>
                <a:ext uri="{63B3BB69-23CF-44E3-9099-C40C66FF867C}">
                  <a14:compatExt spid="_x0000_s49244"/>
                </a:ext>
                <a:ext uri="{FF2B5EF4-FFF2-40B4-BE49-F238E27FC236}">
                  <a16:creationId xmlns:a16="http://schemas.microsoft.com/office/drawing/2014/main" id="{00000000-0008-0000-0200-00005C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Tahoma"/>
                  <a:ea typeface="Tahoma"/>
                  <a:cs typeface="Tahoma"/>
                </a:rPr>
                <a:t>Data Link - Device was not confirmed to be on the same network</a:t>
              </a:r>
            </a:p>
          </xdr:txBody>
        </xdr:sp>
        <xdr:clientData/>
      </xdr:twoCellAnchor>
    </mc:Choice>
    <mc:Fallback/>
  </mc:AlternateContent>
  <mc:AlternateContent xmlns:mc="http://schemas.openxmlformats.org/markup-compatibility/2006">
    <mc:Choice xmlns:a14="http://schemas.microsoft.com/office/drawing/2010/main" Requires="a14">
      <xdr:twoCellAnchor>
        <xdr:from>
          <xdr:col>11</xdr:col>
          <xdr:colOff>47625</xdr:colOff>
          <xdr:row>36</xdr:row>
          <xdr:rowOff>952500</xdr:rowOff>
        </xdr:from>
        <xdr:to>
          <xdr:col>11</xdr:col>
          <xdr:colOff>3638550</xdr:colOff>
          <xdr:row>36</xdr:row>
          <xdr:rowOff>1143000</xdr:rowOff>
        </xdr:to>
        <xdr:sp macro="" textlink="">
          <xdr:nvSpPr>
            <xdr:cNvPr id="49245" name="Check Box 1117" hidden="1">
              <a:extLst>
                <a:ext uri="{63B3BB69-23CF-44E3-9099-C40C66FF867C}">
                  <a14:compatExt spid="_x0000_s49245"/>
                </a:ext>
                <a:ext uri="{FF2B5EF4-FFF2-40B4-BE49-F238E27FC236}">
                  <a16:creationId xmlns:a16="http://schemas.microsoft.com/office/drawing/2014/main" id="{00000000-0008-0000-0200-00005D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Tahoma"/>
                  <a:ea typeface="Tahoma"/>
                  <a:cs typeface="Tahoma"/>
                </a:rPr>
                <a:t>Data Link - Device was not connected wirelessly to the SSID</a:t>
              </a:r>
            </a:p>
          </xdr:txBody>
        </xdr:sp>
        <xdr:clientData/>
      </xdr:twoCellAnchor>
    </mc:Choice>
    <mc:Fallback/>
  </mc:AlternateContent>
  <mc:AlternateContent xmlns:mc="http://schemas.openxmlformats.org/markup-compatibility/2006">
    <mc:Choice xmlns:a14="http://schemas.microsoft.com/office/drawing/2010/main" Requires="a14">
      <xdr:twoCellAnchor>
        <xdr:from>
          <xdr:col>11</xdr:col>
          <xdr:colOff>47625</xdr:colOff>
          <xdr:row>36</xdr:row>
          <xdr:rowOff>1123950</xdr:rowOff>
        </xdr:from>
        <xdr:to>
          <xdr:col>11</xdr:col>
          <xdr:colOff>3514725</xdr:colOff>
          <xdr:row>36</xdr:row>
          <xdr:rowOff>1295400</xdr:rowOff>
        </xdr:to>
        <xdr:sp macro="" textlink="">
          <xdr:nvSpPr>
            <xdr:cNvPr id="49246" name="Check Box 1118" hidden="1">
              <a:extLst>
                <a:ext uri="{63B3BB69-23CF-44E3-9099-C40C66FF867C}">
                  <a14:compatExt spid="_x0000_s49246"/>
                </a:ext>
                <a:ext uri="{FF2B5EF4-FFF2-40B4-BE49-F238E27FC236}">
                  <a16:creationId xmlns:a16="http://schemas.microsoft.com/office/drawing/2014/main" id="{00000000-0008-0000-0200-00005E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Tahoma"/>
                  <a:ea typeface="Tahoma"/>
                  <a:cs typeface="Tahoma"/>
                </a:rPr>
                <a:t>Data Link - Incorrect Internet Connection Type/Settings</a:t>
              </a:r>
            </a:p>
          </xdr:txBody>
        </xdr:sp>
        <xdr:clientData/>
      </xdr:twoCellAnchor>
    </mc:Choice>
    <mc:Fallback/>
  </mc:AlternateContent>
  <mc:AlternateContent xmlns:mc="http://schemas.openxmlformats.org/markup-compatibility/2006">
    <mc:Choice xmlns:a14="http://schemas.microsoft.com/office/drawing/2010/main" Requires="a14">
      <xdr:twoCellAnchor>
        <xdr:from>
          <xdr:col>11</xdr:col>
          <xdr:colOff>47625</xdr:colOff>
          <xdr:row>36</xdr:row>
          <xdr:rowOff>1276350</xdr:rowOff>
        </xdr:from>
        <xdr:to>
          <xdr:col>12</xdr:col>
          <xdr:colOff>28575</xdr:colOff>
          <xdr:row>36</xdr:row>
          <xdr:rowOff>1447800</xdr:rowOff>
        </xdr:to>
        <xdr:sp macro="" textlink="">
          <xdr:nvSpPr>
            <xdr:cNvPr id="49247" name="Check Box 1119" hidden="1">
              <a:extLst>
                <a:ext uri="{63B3BB69-23CF-44E3-9099-C40C66FF867C}">
                  <a14:compatExt spid="_x0000_s49247"/>
                </a:ext>
                <a:ext uri="{FF2B5EF4-FFF2-40B4-BE49-F238E27FC236}">
                  <a16:creationId xmlns:a16="http://schemas.microsoft.com/office/drawing/2014/main" id="{00000000-0008-0000-0200-00005F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Tahoma"/>
                  <a:ea typeface="Tahoma"/>
                  <a:cs typeface="Tahoma"/>
                </a:rPr>
                <a:t>Data Link - Link speed was not checked</a:t>
              </a:r>
            </a:p>
          </xdr:txBody>
        </xdr:sp>
        <xdr:clientData/>
      </xdr:twoCellAnchor>
    </mc:Choice>
    <mc:Fallback/>
  </mc:AlternateContent>
  <mc:AlternateContent xmlns:mc="http://schemas.openxmlformats.org/markup-compatibility/2006">
    <mc:Choice xmlns:a14="http://schemas.microsoft.com/office/drawing/2010/main" Requires="a14">
      <xdr:twoCellAnchor>
        <xdr:from>
          <xdr:col>11</xdr:col>
          <xdr:colOff>47625</xdr:colOff>
          <xdr:row>36</xdr:row>
          <xdr:rowOff>1438275</xdr:rowOff>
        </xdr:from>
        <xdr:to>
          <xdr:col>12</xdr:col>
          <xdr:colOff>9525</xdr:colOff>
          <xdr:row>36</xdr:row>
          <xdr:rowOff>1600200</xdr:rowOff>
        </xdr:to>
        <xdr:sp macro="" textlink="">
          <xdr:nvSpPr>
            <xdr:cNvPr id="49248" name="Check Box 1120" hidden="1">
              <a:extLst>
                <a:ext uri="{63B3BB69-23CF-44E3-9099-C40C66FF867C}">
                  <a14:compatExt spid="_x0000_s49248"/>
                </a:ext>
                <a:ext uri="{FF2B5EF4-FFF2-40B4-BE49-F238E27FC236}">
                  <a16:creationId xmlns:a16="http://schemas.microsoft.com/office/drawing/2014/main" id="{00000000-0008-0000-0200-000060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Tahoma"/>
                  <a:ea typeface="Tahoma"/>
                  <a:cs typeface="Tahoma"/>
                </a:rPr>
                <a:t>Data Link - MAC Address clone was not performed</a:t>
              </a:r>
            </a:p>
          </xdr:txBody>
        </xdr:sp>
        <xdr:clientData/>
      </xdr:twoCellAnchor>
    </mc:Choice>
    <mc:Fallback/>
  </mc:AlternateContent>
  <mc:AlternateContent xmlns:mc="http://schemas.openxmlformats.org/markup-compatibility/2006">
    <mc:Choice xmlns:a14="http://schemas.microsoft.com/office/drawing/2010/main" Requires="a14">
      <xdr:twoCellAnchor>
        <xdr:from>
          <xdr:col>12</xdr:col>
          <xdr:colOff>47625</xdr:colOff>
          <xdr:row>36</xdr:row>
          <xdr:rowOff>0</xdr:rowOff>
        </xdr:from>
        <xdr:to>
          <xdr:col>12</xdr:col>
          <xdr:colOff>3048000</xdr:colOff>
          <xdr:row>36</xdr:row>
          <xdr:rowOff>190500</xdr:rowOff>
        </xdr:to>
        <xdr:sp macro="" textlink="">
          <xdr:nvSpPr>
            <xdr:cNvPr id="49249" name="Check Box 1121" hidden="1">
              <a:extLst>
                <a:ext uri="{63B3BB69-23CF-44E3-9099-C40C66FF867C}">
                  <a14:compatExt spid="_x0000_s49249"/>
                </a:ext>
                <a:ext uri="{FF2B5EF4-FFF2-40B4-BE49-F238E27FC236}">
                  <a16:creationId xmlns:a16="http://schemas.microsoft.com/office/drawing/2014/main" id="{00000000-0008-0000-0200-000061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Tahoma"/>
                  <a:ea typeface="Tahoma"/>
                  <a:cs typeface="Tahoma"/>
                </a:rPr>
                <a:t>Data Link - MAC Address was not captured/validated/filtered</a:t>
              </a:r>
            </a:p>
          </xdr:txBody>
        </xdr:sp>
        <xdr:clientData/>
      </xdr:twoCellAnchor>
    </mc:Choice>
    <mc:Fallback/>
  </mc:AlternateContent>
  <mc:AlternateContent xmlns:mc="http://schemas.openxmlformats.org/markup-compatibility/2006">
    <mc:Choice xmlns:a14="http://schemas.microsoft.com/office/drawing/2010/main" Requires="a14">
      <xdr:twoCellAnchor>
        <xdr:from>
          <xdr:col>12</xdr:col>
          <xdr:colOff>47625</xdr:colOff>
          <xdr:row>36</xdr:row>
          <xdr:rowOff>180975</xdr:rowOff>
        </xdr:from>
        <xdr:to>
          <xdr:col>12</xdr:col>
          <xdr:colOff>2857500</xdr:colOff>
          <xdr:row>36</xdr:row>
          <xdr:rowOff>352425</xdr:rowOff>
        </xdr:to>
        <xdr:sp macro="" textlink="">
          <xdr:nvSpPr>
            <xdr:cNvPr id="49250" name="Check Box 1122" hidden="1">
              <a:extLst>
                <a:ext uri="{63B3BB69-23CF-44E3-9099-C40C66FF867C}">
                  <a14:compatExt spid="_x0000_s49250"/>
                </a:ext>
                <a:ext uri="{FF2B5EF4-FFF2-40B4-BE49-F238E27FC236}">
                  <a16:creationId xmlns:a16="http://schemas.microsoft.com/office/drawing/2014/main" id="{00000000-0008-0000-0200-000062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Tahoma"/>
                  <a:ea typeface="Tahoma"/>
                  <a:cs typeface="Tahoma"/>
                </a:rPr>
                <a:t>Data Link - Signal strength was not determined</a:t>
              </a:r>
            </a:p>
          </xdr:txBody>
        </xdr:sp>
        <xdr:clientData/>
      </xdr:twoCellAnchor>
    </mc:Choice>
    <mc:Fallback/>
  </mc:AlternateContent>
  <mc:AlternateContent xmlns:mc="http://schemas.openxmlformats.org/markup-compatibility/2006">
    <mc:Choice xmlns:a14="http://schemas.microsoft.com/office/drawing/2010/main" Requires="a14">
      <xdr:twoCellAnchor>
        <xdr:from>
          <xdr:col>12</xdr:col>
          <xdr:colOff>47625</xdr:colOff>
          <xdr:row>36</xdr:row>
          <xdr:rowOff>342900</xdr:rowOff>
        </xdr:from>
        <xdr:to>
          <xdr:col>13</xdr:col>
          <xdr:colOff>0</xdr:colOff>
          <xdr:row>36</xdr:row>
          <xdr:rowOff>523875</xdr:rowOff>
        </xdr:to>
        <xdr:sp macro="" textlink="">
          <xdr:nvSpPr>
            <xdr:cNvPr id="49251" name="Check Box 1123" hidden="1">
              <a:extLst>
                <a:ext uri="{63B3BB69-23CF-44E3-9099-C40C66FF867C}">
                  <a14:compatExt spid="_x0000_s49251"/>
                </a:ext>
                <a:ext uri="{FF2B5EF4-FFF2-40B4-BE49-F238E27FC236}">
                  <a16:creationId xmlns:a16="http://schemas.microsoft.com/office/drawing/2014/main" id="{00000000-0008-0000-0200-000063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Tahoma"/>
                  <a:ea typeface="Tahoma"/>
                  <a:cs typeface="Tahoma"/>
                </a:rPr>
                <a:t>Data Link - Wired/wireless standard was not checked</a:t>
              </a:r>
            </a:p>
          </xdr:txBody>
        </xdr:sp>
        <xdr:clientData/>
      </xdr:twoCellAnchor>
    </mc:Choice>
    <mc:Fallback/>
  </mc:AlternateContent>
  <mc:AlternateContent xmlns:mc="http://schemas.openxmlformats.org/markup-compatibility/2006">
    <mc:Choice xmlns:a14="http://schemas.microsoft.com/office/drawing/2010/main" Requires="a14">
      <xdr:twoCellAnchor>
        <xdr:from>
          <xdr:col>12</xdr:col>
          <xdr:colOff>47625</xdr:colOff>
          <xdr:row>36</xdr:row>
          <xdr:rowOff>514350</xdr:rowOff>
        </xdr:from>
        <xdr:to>
          <xdr:col>13</xdr:col>
          <xdr:colOff>19050</xdr:colOff>
          <xdr:row>36</xdr:row>
          <xdr:rowOff>676275</xdr:rowOff>
        </xdr:to>
        <xdr:sp macro="" textlink="">
          <xdr:nvSpPr>
            <xdr:cNvPr id="49252" name="Check Box 1124" hidden="1">
              <a:extLst>
                <a:ext uri="{63B3BB69-23CF-44E3-9099-C40C66FF867C}">
                  <a14:compatExt spid="_x0000_s49252"/>
                </a:ext>
                <a:ext uri="{FF2B5EF4-FFF2-40B4-BE49-F238E27FC236}">
                  <a16:creationId xmlns:a16="http://schemas.microsoft.com/office/drawing/2014/main" id="{00000000-0008-0000-0200-000064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Tahoma"/>
                  <a:ea typeface="Tahoma"/>
                  <a:cs typeface="Tahoma"/>
                </a:rPr>
                <a:t>Data Link - Wireless channel was not adjusted</a:t>
              </a:r>
            </a:p>
          </xdr:txBody>
        </xdr:sp>
        <xdr:clientData/>
      </xdr:twoCellAnchor>
    </mc:Choice>
    <mc:Fallback/>
  </mc:AlternateContent>
  <mc:AlternateContent xmlns:mc="http://schemas.openxmlformats.org/markup-compatibility/2006">
    <mc:Choice xmlns:a14="http://schemas.microsoft.com/office/drawing/2010/main" Requires="a14">
      <xdr:twoCellAnchor>
        <xdr:from>
          <xdr:col>12</xdr:col>
          <xdr:colOff>47625</xdr:colOff>
          <xdr:row>36</xdr:row>
          <xdr:rowOff>666750</xdr:rowOff>
        </xdr:from>
        <xdr:to>
          <xdr:col>12</xdr:col>
          <xdr:colOff>3552825</xdr:colOff>
          <xdr:row>36</xdr:row>
          <xdr:rowOff>838200</xdr:rowOff>
        </xdr:to>
        <xdr:sp macro="" textlink="">
          <xdr:nvSpPr>
            <xdr:cNvPr id="49253" name="Check Box 1125" hidden="1">
              <a:extLst>
                <a:ext uri="{63B3BB69-23CF-44E3-9099-C40C66FF867C}">
                  <a14:compatExt spid="_x0000_s49253"/>
                </a:ext>
                <a:ext uri="{FF2B5EF4-FFF2-40B4-BE49-F238E27FC236}">
                  <a16:creationId xmlns:a16="http://schemas.microsoft.com/office/drawing/2014/main" id="{00000000-0008-0000-0200-000065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Tahoma"/>
                  <a:ea typeface="Tahoma"/>
                  <a:cs typeface="Tahoma"/>
                </a:rPr>
                <a:t>Data Link - Wireless password was input incorrectly</a:t>
              </a:r>
            </a:p>
          </xdr:txBody>
        </xdr:sp>
        <xdr:clientData/>
      </xdr:twoCellAnchor>
    </mc:Choice>
    <mc:Fallback/>
  </mc:AlternateContent>
  <mc:AlternateContent xmlns:mc="http://schemas.openxmlformats.org/markup-compatibility/2006">
    <mc:Choice xmlns:a14="http://schemas.microsoft.com/office/drawing/2010/main" Requires="a14">
      <xdr:twoCellAnchor>
        <xdr:from>
          <xdr:col>12</xdr:col>
          <xdr:colOff>47625</xdr:colOff>
          <xdr:row>36</xdr:row>
          <xdr:rowOff>800100</xdr:rowOff>
        </xdr:from>
        <xdr:to>
          <xdr:col>12</xdr:col>
          <xdr:colOff>3686175</xdr:colOff>
          <xdr:row>36</xdr:row>
          <xdr:rowOff>990600</xdr:rowOff>
        </xdr:to>
        <xdr:sp macro="" textlink="">
          <xdr:nvSpPr>
            <xdr:cNvPr id="49254" name="Check Box 1126" hidden="1">
              <a:extLst>
                <a:ext uri="{63B3BB69-23CF-44E3-9099-C40C66FF867C}">
                  <a14:compatExt spid="_x0000_s49254"/>
                </a:ext>
                <a:ext uri="{FF2B5EF4-FFF2-40B4-BE49-F238E27FC236}">
                  <a16:creationId xmlns:a16="http://schemas.microsoft.com/office/drawing/2014/main" id="{00000000-0008-0000-0200-000066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Tahoma"/>
                  <a:ea typeface="Tahoma"/>
                  <a:cs typeface="Tahoma"/>
                </a:rPr>
                <a:t>Data Link - Wireless settings were not configured correctly</a:t>
              </a:r>
            </a:p>
          </xdr:txBody>
        </xdr:sp>
        <xdr:clientData/>
      </xdr:twoCellAnchor>
    </mc:Choice>
    <mc:Fallback/>
  </mc:AlternateContent>
  <mc:AlternateContent xmlns:mc="http://schemas.openxmlformats.org/markup-compatibility/2006">
    <mc:Choice xmlns:a14="http://schemas.microsoft.com/office/drawing/2010/main" Requires="a14">
      <xdr:twoCellAnchor>
        <xdr:from>
          <xdr:col>12</xdr:col>
          <xdr:colOff>47625</xdr:colOff>
          <xdr:row>36</xdr:row>
          <xdr:rowOff>952500</xdr:rowOff>
        </xdr:from>
        <xdr:to>
          <xdr:col>12</xdr:col>
          <xdr:colOff>3638550</xdr:colOff>
          <xdr:row>36</xdr:row>
          <xdr:rowOff>1143000</xdr:rowOff>
        </xdr:to>
        <xdr:sp macro="" textlink="">
          <xdr:nvSpPr>
            <xdr:cNvPr id="49255" name="Check Box 1127" hidden="1">
              <a:extLst>
                <a:ext uri="{63B3BB69-23CF-44E3-9099-C40C66FF867C}">
                  <a14:compatExt spid="_x0000_s49255"/>
                </a:ext>
                <a:ext uri="{FF2B5EF4-FFF2-40B4-BE49-F238E27FC236}">
                  <a16:creationId xmlns:a16="http://schemas.microsoft.com/office/drawing/2014/main" id="{00000000-0008-0000-0200-000067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Tahoma"/>
                  <a:ea typeface="Tahoma"/>
                  <a:cs typeface="Tahoma"/>
                </a:rPr>
                <a:t>Data Link - WPS/5 Press Setup was not utilized</a:t>
              </a:r>
            </a:p>
          </xdr:txBody>
        </xdr:sp>
        <xdr:clientData/>
      </xdr:twoCellAnchor>
    </mc:Choice>
    <mc:Fallback/>
  </mc:AlternateContent>
  <mc:AlternateContent xmlns:mc="http://schemas.openxmlformats.org/markup-compatibility/2006">
    <mc:Choice xmlns:a14="http://schemas.microsoft.com/office/drawing/2010/main" Requires="a14">
      <xdr:twoCellAnchor>
        <xdr:from>
          <xdr:col>12</xdr:col>
          <xdr:colOff>47625</xdr:colOff>
          <xdr:row>36</xdr:row>
          <xdr:rowOff>1123950</xdr:rowOff>
        </xdr:from>
        <xdr:to>
          <xdr:col>12</xdr:col>
          <xdr:colOff>3514725</xdr:colOff>
          <xdr:row>36</xdr:row>
          <xdr:rowOff>1295400</xdr:rowOff>
        </xdr:to>
        <xdr:sp macro="" textlink="">
          <xdr:nvSpPr>
            <xdr:cNvPr id="49256" name="Check Box 1128" hidden="1">
              <a:extLst>
                <a:ext uri="{63B3BB69-23CF-44E3-9099-C40C66FF867C}">
                  <a14:compatExt spid="_x0000_s49256"/>
                </a:ext>
                <a:ext uri="{FF2B5EF4-FFF2-40B4-BE49-F238E27FC236}">
                  <a16:creationId xmlns:a16="http://schemas.microsoft.com/office/drawing/2014/main" id="{00000000-0008-0000-0200-000068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Tahoma"/>
                  <a:ea typeface="Tahoma"/>
                  <a:cs typeface="Tahoma"/>
                </a:rPr>
                <a:t>Missed to ask enough relevant questions</a:t>
              </a:r>
            </a:p>
          </xdr:txBody>
        </xdr:sp>
        <xdr:clientData/>
      </xdr:twoCellAnchor>
    </mc:Choice>
    <mc:Fallback/>
  </mc:AlternateContent>
  <mc:AlternateContent xmlns:mc="http://schemas.openxmlformats.org/markup-compatibility/2006">
    <mc:Choice xmlns:a14="http://schemas.microsoft.com/office/drawing/2010/main" Requires="a14">
      <xdr:twoCellAnchor>
        <xdr:from>
          <xdr:col>12</xdr:col>
          <xdr:colOff>47625</xdr:colOff>
          <xdr:row>36</xdr:row>
          <xdr:rowOff>1276350</xdr:rowOff>
        </xdr:from>
        <xdr:to>
          <xdr:col>13</xdr:col>
          <xdr:colOff>28575</xdr:colOff>
          <xdr:row>36</xdr:row>
          <xdr:rowOff>1447800</xdr:rowOff>
        </xdr:to>
        <xdr:sp macro="" textlink="">
          <xdr:nvSpPr>
            <xdr:cNvPr id="49257" name="Check Box 1129" hidden="1">
              <a:extLst>
                <a:ext uri="{63B3BB69-23CF-44E3-9099-C40C66FF867C}">
                  <a14:compatExt spid="_x0000_s49257"/>
                </a:ext>
                <a:ext uri="{FF2B5EF4-FFF2-40B4-BE49-F238E27FC236}">
                  <a16:creationId xmlns:a16="http://schemas.microsoft.com/office/drawing/2014/main" id="{00000000-0008-0000-0200-000069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Tahoma"/>
                  <a:ea typeface="Tahoma"/>
                  <a:cs typeface="Tahoma"/>
                </a:rPr>
                <a:t>Network - DHCP reservation was not performed</a:t>
              </a:r>
            </a:p>
          </xdr:txBody>
        </xdr:sp>
        <xdr:clientData/>
      </xdr:twoCellAnchor>
    </mc:Choice>
    <mc:Fallback/>
  </mc:AlternateContent>
  <mc:AlternateContent xmlns:mc="http://schemas.openxmlformats.org/markup-compatibility/2006">
    <mc:Choice xmlns:a14="http://schemas.microsoft.com/office/drawing/2010/main" Requires="a14">
      <xdr:twoCellAnchor>
        <xdr:from>
          <xdr:col>12</xdr:col>
          <xdr:colOff>47625</xdr:colOff>
          <xdr:row>36</xdr:row>
          <xdr:rowOff>1438275</xdr:rowOff>
        </xdr:from>
        <xdr:to>
          <xdr:col>13</xdr:col>
          <xdr:colOff>9525</xdr:colOff>
          <xdr:row>36</xdr:row>
          <xdr:rowOff>1600200</xdr:rowOff>
        </xdr:to>
        <xdr:sp macro="" textlink="">
          <xdr:nvSpPr>
            <xdr:cNvPr id="49258" name="Check Box 1130" hidden="1">
              <a:extLst>
                <a:ext uri="{63B3BB69-23CF-44E3-9099-C40C66FF867C}">
                  <a14:compatExt spid="_x0000_s49258"/>
                </a:ext>
                <a:ext uri="{FF2B5EF4-FFF2-40B4-BE49-F238E27FC236}">
                  <a16:creationId xmlns:a16="http://schemas.microsoft.com/office/drawing/2014/main" id="{00000000-0008-0000-0200-00006A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Tahoma"/>
                  <a:ea typeface="Tahoma"/>
                  <a:cs typeface="Tahoma"/>
                </a:rPr>
                <a:t>Network - IP Address was not checked</a:t>
              </a:r>
            </a:p>
          </xdr:txBody>
        </xdr:sp>
        <xdr:clientData/>
      </xdr:twoCellAnchor>
    </mc:Choice>
    <mc:Fallback/>
  </mc:AlternateContent>
  <mc:AlternateContent xmlns:mc="http://schemas.openxmlformats.org/markup-compatibility/2006">
    <mc:Choice xmlns:a14="http://schemas.microsoft.com/office/drawing/2010/main" Requires="a14">
      <xdr:twoCellAnchor>
        <xdr:from>
          <xdr:col>13</xdr:col>
          <xdr:colOff>47625</xdr:colOff>
          <xdr:row>36</xdr:row>
          <xdr:rowOff>0</xdr:rowOff>
        </xdr:from>
        <xdr:to>
          <xdr:col>13</xdr:col>
          <xdr:colOff>3048000</xdr:colOff>
          <xdr:row>36</xdr:row>
          <xdr:rowOff>190500</xdr:rowOff>
        </xdr:to>
        <xdr:sp macro="" textlink="">
          <xdr:nvSpPr>
            <xdr:cNvPr id="49259" name="Check Box 1131" hidden="1">
              <a:extLst>
                <a:ext uri="{63B3BB69-23CF-44E3-9099-C40C66FF867C}">
                  <a14:compatExt spid="_x0000_s49259"/>
                </a:ext>
                <a:ext uri="{FF2B5EF4-FFF2-40B4-BE49-F238E27FC236}">
                  <a16:creationId xmlns:a16="http://schemas.microsoft.com/office/drawing/2014/main" id="{00000000-0008-0000-0200-00006B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Tahoma"/>
                  <a:ea typeface="Tahoma"/>
                  <a:cs typeface="Tahoma"/>
                </a:rPr>
                <a:t>Network - Ping communication was not verified</a:t>
              </a:r>
            </a:p>
          </xdr:txBody>
        </xdr:sp>
        <xdr:clientData/>
      </xdr:twoCellAnchor>
    </mc:Choice>
    <mc:Fallback/>
  </mc:AlternateContent>
  <mc:AlternateContent xmlns:mc="http://schemas.openxmlformats.org/markup-compatibility/2006">
    <mc:Choice xmlns:a14="http://schemas.microsoft.com/office/drawing/2010/main" Requires="a14">
      <xdr:twoCellAnchor>
        <xdr:from>
          <xdr:col>13</xdr:col>
          <xdr:colOff>47625</xdr:colOff>
          <xdr:row>36</xdr:row>
          <xdr:rowOff>180975</xdr:rowOff>
        </xdr:from>
        <xdr:to>
          <xdr:col>13</xdr:col>
          <xdr:colOff>2857500</xdr:colOff>
          <xdr:row>36</xdr:row>
          <xdr:rowOff>352425</xdr:rowOff>
        </xdr:to>
        <xdr:sp macro="" textlink="">
          <xdr:nvSpPr>
            <xdr:cNvPr id="49260" name="Check Box 1132" hidden="1">
              <a:extLst>
                <a:ext uri="{63B3BB69-23CF-44E3-9099-C40C66FF867C}">
                  <a14:compatExt spid="_x0000_s49260"/>
                </a:ext>
                <a:ext uri="{FF2B5EF4-FFF2-40B4-BE49-F238E27FC236}">
                  <a16:creationId xmlns:a16="http://schemas.microsoft.com/office/drawing/2014/main" id="{00000000-0008-0000-0200-00006C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Tahoma"/>
                  <a:ea typeface="Tahoma"/>
                  <a:cs typeface="Tahoma"/>
                </a:rPr>
                <a:t>Network - Static IP Address was not assigned</a:t>
              </a:r>
            </a:p>
          </xdr:txBody>
        </xdr:sp>
        <xdr:clientData/>
      </xdr:twoCellAnchor>
    </mc:Choice>
    <mc:Fallback/>
  </mc:AlternateContent>
  <mc:AlternateContent xmlns:mc="http://schemas.openxmlformats.org/markup-compatibility/2006">
    <mc:Choice xmlns:a14="http://schemas.microsoft.com/office/drawing/2010/main" Requires="a14">
      <xdr:twoCellAnchor>
        <xdr:from>
          <xdr:col>13</xdr:col>
          <xdr:colOff>47625</xdr:colOff>
          <xdr:row>36</xdr:row>
          <xdr:rowOff>342900</xdr:rowOff>
        </xdr:from>
        <xdr:to>
          <xdr:col>14</xdr:col>
          <xdr:colOff>0</xdr:colOff>
          <xdr:row>36</xdr:row>
          <xdr:rowOff>523875</xdr:rowOff>
        </xdr:to>
        <xdr:sp macro="" textlink="">
          <xdr:nvSpPr>
            <xdr:cNvPr id="49261" name="Check Box 1133" hidden="1">
              <a:extLst>
                <a:ext uri="{63B3BB69-23CF-44E3-9099-C40C66FF867C}">
                  <a14:compatExt spid="_x0000_s49261"/>
                </a:ext>
                <a:ext uri="{FF2B5EF4-FFF2-40B4-BE49-F238E27FC236}">
                  <a16:creationId xmlns:a16="http://schemas.microsoft.com/office/drawing/2014/main" id="{00000000-0008-0000-0200-00006D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Tahoma"/>
                  <a:ea typeface="Tahoma"/>
                  <a:cs typeface="Tahoma"/>
                </a:rPr>
                <a:t>Network - WAN IP Address was not checked</a:t>
              </a:r>
            </a:p>
          </xdr:txBody>
        </xdr:sp>
        <xdr:clientData/>
      </xdr:twoCellAnchor>
    </mc:Choice>
    <mc:Fallback/>
  </mc:AlternateContent>
  <mc:AlternateContent xmlns:mc="http://schemas.openxmlformats.org/markup-compatibility/2006">
    <mc:Choice xmlns:a14="http://schemas.microsoft.com/office/drawing/2010/main" Requires="a14">
      <xdr:twoCellAnchor>
        <xdr:from>
          <xdr:col>13</xdr:col>
          <xdr:colOff>47625</xdr:colOff>
          <xdr:row>36</xdr:row>
          <xdr:rowOff>514350</xdr:rowOff>
        </xdr:from>
        <xdr:to>
          <xdr:col>14</xdr:col>
          <xdr:colOff>19050</xdr:colOff>
          <xdr:row>36</xdr:row>
          <xdr:rowOff>676275</xdr:rowOff>
        </xdr:to>
        <xdr:sp macro="" textlink="">
          <xdr:nvSpPr>
            <xdr:cNvPr id="49262" name="Check Box 1134" hidden="1">
              <a:extLst>
                <a:ext uri="{63B3BB69-23CF-44E3-9099-C40C66FF867C}">
                  <a14:compatExt spid="_x0000_s49262"/>
                </a:ext>
                <a:ext uri="{FF2B5EF4-FFF2-40B4-BE49-F238E27FC236}">
                  <a16:creationId xmlns:a16="http://schemas.microsoft.com/office/drawing/2014/main" id="{00000000-0008-0000-0200-00006E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Tahoma"/>
                  <a:ea typeface="Tahoma"/>
                  <a:cs typeface="Tahoma"/>
                </a:rPr>
                <a:t>Performed unnecessary steps</a:t>
              </a:r>
            </a:p>
          </xdr:txBody>
        </xdr:sp>
        <xdr:clientData/>
      </xdr:twoCellAnchor>
    </mc:Choice>
    <mc:Fallback/>
  </mc:AlternateContent>
  <mc:AlternateContent xmlns:mc="http://schemas.openxmlformats.org/markup-compatibility/2006">
    <mc:Choice xmlns:a14="http://schemas.microsoft.com/office/drawing/2010/main" Requires="a14">
      <xdr:twoCellAnchor>
        <xdr:from>
          <xdr:col>13</xdr:col>
          <xdr:colOff>47625</xdr:colOff>
          <xdr:row>36</xdr:row>
          <xdr:rowOff>666750</xdr:rowOff>
        </xdr:from>
        <xdr:to>
          <xdr:col>13</xdr:col>
          <xdr:colOff>3552825</xdr:colOff>
          <xdr:row>36</xdr:row>
          <xdr:rowOff>838200</xdr:rowOff>
        </xdr:to>
        <xdr:sp macro="" textlink="">
          <xdr:nvSpPr>
            <xdr:cNvPr id="49263" name="Check Box 1135" hidden="1">
              <a:extLst>
                <a:ext uri="{63B3BB69-23CF-44E3-9099-C40C66FF867C}">
                  <a14:compatExt spid="_x0000_s49263"/>
                </a:ext>
                <a:ext uri="{FF2B5EF4-FFF2-40B4-BE49-F238E27FC236}">
                  <a16:creationId xmlns:a16="http://schemas.microsoft.com/office/drawing/2014/main" id="{00000000-0008-0000-0200-00006F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Tahoma"/>
                  <a:ea typeface="Tahoma"/>
                  <a:cs typeface="Tahoma"/>
                </a:rPr>
                <a:t>Physical - Antennas were not installed/oriented</a:t>
              </a:r>
            </a:p>
          </xdr:txBody>
        </xdr:sp>
        <xdr:clientData/>
      </xdr:twoCellAnchor>
    </mc:Choice>
    <mc:Fallback/>
  </mc:AlternateContent>
  <mc:AlternateContent xmlns:mc="http://schemas.openxmlformats.org/markup-compatibility/2006">
    <mc:Choice xmlns:a14="http://schemas.microsoft.com/office/drawing/2010/main" Requires="a14">
      <xdr:twoCellAnchor>
        <xdr:from>
          <xdr:col>13</xdr:col>
          <xdr:colOff>47625</xdr:colOff>
          <xdr:row>36</xdr:row>
          <xdr:rowOff>800100</xdr:rowOff>
        </xdr:from>
        <xdr:to>
          <xdr:col>13</xdr:col>
          <xdr:colOff>3686175</xdr:colOff>
          <xdr:row>36</xdr:row>
          <xdr:rowOff>990600</xdr:rowOff>
        </xdr:to>
        <xdr:sp macro="" textlink="">
          <xdr:nvSpPr>
            <xdr:cNvPr id="49264" name="Check Box 1136" hidden="1">
              <a:extLst>
                <a:ext uri="{63B3BB69-23CF-44E3-9099-C40C66FF867C}">
                  <a14:compatExt spid="_x0000_s49264"/>
                </a:ext>
                <a:ext uri="{FF2B5EF4-FFF2-40B4-BE49-F238E27FC236}">
                  <a16:creationId xmlns:a16="http://schemas.microsoft.com/office/drawing/2014/main" id="{00000000-0008-0000-0200-000070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Tahoma"/>
                  <a:ea typeface="Tahoma"/>
                  <a:cs typeface="Tahoma"/>
                </a:rPr>
                <a:t>Physical - Device drivers were not installed</a:t>
              </a:r>
            </a:p>
          </xdr:txBody>
        </xdr:sp>
        <xdr:clientData/>
      </xdr:twoCellAnchor>
    </mc:Choice>
    <mc:Fallback/>
  </mc:AlternateContent>
  <mc:AlternateContent xmlns:mc="http://schemas.openxmlformats.org/markup-compatibility/2006">
    <mc:Choice xmlns:a14="http://schemas.microsoft.com/office/drawing/2010/main" Requires="a14">
      <xdr:twoCellAnchor>
        <xdr:from>
          <xdr:col>13</xdr:col>
          <xdr:colOff>47625</xdr:colOff>
          <xdr:row>36</xdr:row>
          <xdr:rowOff>952500</xdr:rowOff>
        </xdr:from>
        <xdr:to>
          <xdr:col>13</xdr:col>
          <xdr:colOff>3638550</xdr:colOff>
          <xdr:row>36</xdr:row>
          <xdr:rowOff>1143000</xdr:rowOff>
        </xdr:to>
        <xdr:sp macro="" textlink="">
          <xdr:nvSpPr>
            <xdr:cNvPr id="49265" name="Check Box 1137" hidden="1">
              <a:extLst>
                <a:ext uri="{63B3BB69-23CF-44E3-9099-C40C66FF867C}">
                  <a14:compatExt spid="_x0000_s49265"/>
                </a:ext>
                <a:ext uri="{FF2B5EF4-FFF2-40B4-BE49-F238E27FC236}">
                  <a16:creationId xmlns:a16="http://schemas.microsoft.com/office/drawing/2014/main" id="{00000000-0008-0000-0200-000071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Tahoma"/>
                  <a:ea typeface="Tahoma"/>
                  <a:cs typeface="Tahoma"/>
                </a:rPr>
                <a:t>Physical - Device/s were not correctly reset</a:t>
              </a:r>
            </a:p>
          </xdr:txBody>
        </xdr:sp>
        <xdr:clientData/>
      </xdr:twoCellAnchor>
    </mc:Choice>
    <mc:Fallback/>
  </mc:AlternateContent>
  <mc:AlternateContent xmlns:mc="http://schemas.openxmlformats.org/markup-compatibility/2006">
    <mc:Choice xmlns:a14="http://schemas.microsoft.com/office/drawing/2010/main" Requires="a14">
      <xdr:twoCellAnchor>
        <xdr:from>
          <xdr:col>13</xdr:col>
          <xdr:colOff>47625</xdr:colOff>
          <xdr:row>36</xdr:row>
          <xdr:rowOff>1123950</xdr:rowOff>
        </xdr:from>
        <xdr:to>
          <xdr:col>13</xdr:col>
          <xdr:colOff>3514725</xdr:colOff>
          <xdr:row>36</xdr:row>
          <xdr:rowOff>1295400</xdr:rowOff>
        </xdr:to>
        <xdr:sp macro="" textlink="">
          <xdr:nvSpPr>
            <xdr:cNvPr id="49266" name="Check Box 1138" hidden="1">
              <a:extLst>
                <a:ext uri="{63B3BB69-23CF-44E3-9099-C40C66FF867C}">
                  <a14:compatExt spid="_x0000_s49266"/>
                </a:ext>
                <a:ext uri="{FF2B5EF4-FFF2-40B4-BE49-F238E27FC236}">
                  <a16:creationId xmlns:a16="http://schemas.microsoft.com/office/drawing/2014/main" id="{00000000-0008-0000-0200-000072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Tahoma"/>
                  <a:ea typeface="Tahoma"/>
                  <a:cs typeface="Tahoma"/>
                </a:rPr>
                <a:t>Physical - Devices were not confirmed to be powered ON</a:t>
              </a:r>
            </a:p>
          </xdr:txBody>
        </xdr:sp>
        <xdr:clientData/>
      </xdr:twoCellAnchor>
    </mc:Choice>
    <mc:Fallback/>
  </mc:AlternateContent>
  <mc:AlternateContent xmlns:mc="http://schemas.openxmlformats.org/markup-compatibility/2006">
    <mc:Choice xmlns:a14="http://schemas.microsoft.com/office/drawing/2010/main" Requires="a14">
      <xdr:twoCellAnchor>
        <xdr:from>
          <xdr:col>13</xdr:col>
          <xdr:colOff>47625</xdr:colOff>
          <xdr:row>36</xdr:row>
          <xdr:rowOff>1276350</xdr:rowOff>
        </xdr:from>
        <xdr:to>
          <xdr:col>14</xdr:col>
          <xdr:colOff>28575</xdr:colOff>
          <xdr:row>36</xdr:row>
          <xdr:rowOff>1447800</xdr:rowOff>
        </xdr:to>
        <xdr:sp macro="" textlink="">
          <xdr:nvSpPr>
            <xdr:cNvPr id="49267" name="Check Box 1139" hidden="1">
              <a:extLst>
                <a:ext uri="{63B3BB69-23CF-44E3-9099-C40C66FF867C}">
                  <a14:compatExt spid="_x0000_s49267"/>
                </a:ext>
                <a:ext uri="{FF2B5EF4-FFF2-40B4-BE49-F238E27FC236}">
                  <a16:creationId xmlns:a16="http://schemas.microsoft.com/office/drawing/2014/main" id="{00000000-0008-0000-0200-000073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Tahoma"/>
                  <a:ea typeface="Tahoma"/>
                  <a:cs typeface="Tahoma"/>
                </a:rPr>
                <a:t>Physical - Devices were not rebooted (Power Cycle)</a:t>
              </a:r>
            </a:p>
          </xdr:txBody>
        </xdr:sp>
        <xdr:clientData/>
      </xdr:twoCellAnchor>
    </mc:Choice>
    <mc:Fallback/>
  </mc:AlternateContent>
  <mc:AlternateContent xmlns:mc="http://schemas.openxmlformats.org/markup-compatibility/2006">
    <mc:Choice xmlns:a14="http://schemas.microsoft.com/office/drawing/2010/main" Requires="a14">
      <xdr:twoCellAnchor>
        <xdr:from>
          <xdr:col>13</xdr:col>
          <xdr:colOff>47625</xdr:colOff>
          <xdr:row>36</xdr:row>
          <xdr:rowOff>1438275</xdr:rowOff>
        </xdr:from>
        <xdr:to>
          <xdr:col>14</xdr:col>
          <xdr:colOff>9525</xdr:colOff>
          <xdr:row>36</xdr:row>
          <xdr:rowOff>1600200</xdr:rowOff>
        </xdr:to>
        <xdr:sp macro="" textlink="">
          <xdr:nvSpPr>
            <xdr:cNvPr id="49268" name="Check Box 1140" hidden="1">
              <a:extLst>
                <a:ext uri="{63B3BB69-23CF-44E3-9099-C40C66FF867C}">
                  <a14:compatExt spid="_x0000_s49268"/>
                </a:ext>
                <a:ext uri="{FF2B5EF4-FFF2-40B4-BE49-F238E27FC236}">
                  <a16:creationId xmlns:a16="http://schemas.microsoft.com/office/drawing/2014/main" id="{00000000-0008-0000-0200-000074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Tahoma"/>
                  <a:ea typeface="Tahoma"/>
                  <a:cs typeface="Tahoma"/>
                </a:rPr>
                <a:t>Physical - LED lights were not confirmed to be properly lit</a:t>
              </a:r>
            </a:p>
          </xdr:txBody>
        </xdr:sp>
        <xdr:clientData/>
      </xdr:twoCellAnchor>
    </mc:Choice>
    <mc:Fallback/>
  </mc:AlternateContent>
  <mc:AlternateContent xmlns:mc="http://schemas.openxmlformats.org/markup-compatibility/2006">
    <mc:Choice xmlns:a14="http://schemas.microsoft.com/office/drawing/2010/main" Requires="a14">
      <xdr:twoCellAnchor>
        <xdr:from>
          <xdr:col>14</xdr:col>
          <xdr:colOff>47625</xdr:colOff>
          <xdr:row>36</xdr:row>
          <xdr:rowOff>0</xdr:rowOff>
        </xdr:from>
        <xdr:to>
          <xdr:col>14</xdr:col>
          <xdr:colOff>3048000</xdr:colOff>
          <xdr:row>36</xdr:row>
          <xdr:rowOff>190500</xdr:rowOff>
        </xdr:to>
        <xdr:sp macro="" textlink="">
          <xdr:nvSpPr>
            <xdr:cNvPr id="49269" name="Check Box 1141" hidden="1">
              <a:extLst>
                <a:ext uri="{63B3BB69-23CF-44E3-9099-C40C66FF867C}">
                  <a14:compatExt spid="_x0000_s49269"/>
                </a:ext>
                <a:ext uri="{FF2B5EF4-FFF2-40B4-BE49-F238E27FC236}">
                  <a16:creationId xmlns:a16="http://schemas.microsoft.com/office/drawing/2014/main" id="{00000000-0008-0000-0200-000075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Tahoma"/>
                  <a:ea typeface="Tahoma"/>
                  <a:cs typeface="Tahoma"/>
                </a:rPr>
                <a:t>Physical - NIC/Port status was not checked</a:t>
              </a:r>
            </a:p>
          </xdr:txBody>
        </xdr:sp>
        <xdr:clientData/>
      </xdr:twoCellAnchor>
    </mc:Choice>
    <mc:Fallback/>
  </mc:AlternateContent>
  <mc:AlternateContent xmlns:mc="http://schemas.openxmlformats.org/markup-compatibility/2006">
    <mc:Choice xmlns:a14="http://schemas.microsoft.com/office/drawing/2010/main" Requires="a14">
      <xdr:twoCellAnchor>
        <xdr:from>
          <xdr:col>14</xdr:col>
          <xdr:colOff>47625</xdr:colOff>
          <xdr:row>36</xdr:row>
          <xdr:rowOff>180975</xdr:rowOff>
        </xdr:from>
        <xdr:to>
          <xdr:col>14</xdr:col>
          <xdr:colOff>2857500</xdr:colOff>
          <xdr:row>36</xdr:row>
          <xdr:rowOff>352425</xdr:rowOff>
        </xdr:to>
        <xdr:sp macro="" textlink="">
          <xdr:nvSpPr>
            <xdr:cNvPr id="49270" name="Check Box 1142" hidden="1">
              <a:extLst>
                <a:ext uri="{63B3BB69-23CF-44E3-9099-C40C66FF867C}">
                  <a14:compatExt spid="_x0000_s49270"/>
                </a:ext>
                <a:ext uri="{FF2B5EF4-FFF2-40B4-BE49-F238E27FC236}">
                  <a16:creationId xmlns:a16="http://schemas.microsoft.com/office/drawing/2014/main" id="{00000000-0008-0000-0200-000076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Tahoma"/>
                  <a:ea typeface="Tahoma"/>
                  <a:cs typeface="Tahoma"/>
                </a:rPr>
                <a:t>Physical - Physical connection was not properly established</a:t>
              </a:r>
            </a:p>
          </xdr:txBody>
        </xdr:sp>
        <xdr:clientData/>
      </xdr:twoCellAnchor>
    </mc:Choice>
    <mc:Fallback/>
  </mc:AlternateContent>
  <mc:AlternateContent xmlns:mc="http://schemas.openxmlformats.org/markup-compatibility/2006">
    <mc:Choice xmlns:a14="http://schemas.microsoft.com/office/drawing/2010/main" Requires="a14">
      <xdr:twoCellAnchor>
        <xdr:from>
          <xdr:col>14</xdr:col>
          <xdr:colOff>47625</xdr:colOff>
          <xdr:row>36</xdr:row>
          <xdr:rowOff>342900</xdr:rowOff>
        </xdr:from>
        <xdr:to>
          <xdr:col>15</xdr:col>
          <xdr:colOff>0</xdr:colOff>
          <xdr:row>36</xdr:row>
          <xdr:rowOff>523875</xdr:rowOff>
        </xdr:to>
        <xdr:sp macro="" textlink="">
          <xdr:nvSpPr>
            <xdr:cNvPr id="49271" name="Check Box 1143" hidden="1">
              <a:extLst>
                <a:ext uri="{63B3BB69-23CF-44E3-9099-C40C66FF867C}">
                  <a14:compatExt spid="_x0000_s49271"/>
                </a:ext>
                <a:ext uri="{FF2B5EF4-FFF2-40B4-BE49-F238E27FC236}">
                  <a16:creationId xmlns:a16="http://schemas.microsoft.com/office/drawing/2014/main" id="{00000000-0008-0000-0200-000077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Tahoma"/>
                  <a:ea typeface="Tahoma"/>
                  <a:cs typeface="Tahoma"/>
                </a:rPr>
                <a:t>Physical - Physical obstruction was not considered</a:t>
              </a:r>
            </a:p>
          </xdr:txBody>
        </xdr:sp>
        <xdr:clientData/>
      </xdr:twoCellAnchor>
    </mc:Choice>
    <mc:Fallback/>
  </mc:AlternateContent>
  <mc:AlternateContent xmlns:mc="http://schemas.openxmlformats.org/markup-compatibility/2006">
    <mc:Choice xmlns:a14="http://schemas.microsoft.com/office/drawing/2010/main" Requires="a14">
      <xdr:twoCellAnchor>
        <xdr:from>
          <xdr:col>14</xdr:col>
          <xdr:colOff>47625</xdr:colOff>
          <xdr:row>36</xdr:row>
          <xdr:rowOff>514350</xdr:rowOff>
        </xdr:from>
        <xdr:to>
          <xdr:col>15</xdr:col>
          <xdr:colOff>0</xdr:colOff>
          <xdr:row>36</xdr:row>
          <xdr:rowOff>676275</xdr:rowOff>
        </xdr:to>
        <xdr:sp macro="" textlink="">
          <xdr:nvSpPr>
            <xdr:cNvPr id="49272" name="Check Box 1144" hidden="1">
              <a:extLst>
                <a:ext uri="{63B3BB69-23CF-44E3-9099-C40C66FF867C}">
                  <a14:compatExt spid="_x0000_s49272"/>
                </a:ext>
                <a:ext uri="{FF2B5EF4-FFF2-40B4-BE49-F238E27FC236}">
                  <a16:creationId xmlns:a16="http://schemas.microsoft.com/office/drawing/2014/main" id="{00000000-0008-0000-0200-000078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Tahoma"/>
                  <a:ea typeface="Tahoma"/>
                  <a:cs typeface="Tahoma"/>
                </a:rPr>
                <a:t>Physical - Placement of devices were not verified</a:t>
              </a:r>
            </a:p>
          </xdr:txBody>
        </xdr:sp>
        <xdr:clientData/>
      </xdr:twoCellAnchor>
    </mc:Choice>
    <mc:Fallback/>
  </mc:AlternateContent>
  <mc:AlternateContent xmlns:mc="http://schemas.openxmlformats.org/markup-compatibility/2006">
    <mc:Choice xmlns:a14="http://schemas.microsoft.com/office/drawing/2010/main" Requires="a14">
      <xdr:twoCellAnchor>
        <xdr:from>
          <xdr:col>14</xdr:col>
          <xdr:colOff>47625</xdr:colOff>
          <xdr:row>36</xdr:row>
          <xdr:rowOff>666750</xdr:rowOff>
        </xdr:from>
        <xdr:to>
          <xdr:col>14</xdr:col>
          <xdr:colOff>3552825</xdr:colOff>
          <xdr:row>36</xdr:row>
          <xdr:rowOff>838200</xdr:rowOff>
        </xdr:to>
        <xdr:sp macro="" textlink="">
          <xdr:nvSpPr>
            <xdr:cNvPr id="49273" name="Check Box 1145" hidden="1">
              <a:extLst>
                <a:ext uri="{63B3BB69-23CF-44E3-9099-C40C66FF867C}">
                  <a14:compatExt spid="_x0000_s49273"/>
                </a:ext>
                <a:ext uri="{FF2B5EF4-FFF2-40B4-BE49-F238E27FC236}">
                  <a16:creationId xmlns:a16="http://schemas.microsoft.com/office/drawing/2014/main" id="{00000000-0008-0000-0200-000079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Tahoma"/>
                  <a:ea typeface="Tahoma"/>
                  <a:cs typeface="Tahoma"/>
                </a:rPr>
                <a:t>Physical - Power adapter specs were not confirmed</a:t>
              </a:r>
            </a:p>
          </xdr:txBody>
        </xdr:sp>
        <xdr:clientData/>
      </xdr:twoCellAnchor>
    </mc:Choice>
    <mc:Fallback/>
  </mc:AlternateContent>
  <mc:AlternateContent xmlns:mc="http://schemas.openxmlformats.org/markup-compatibility/2006">
    <mc:Choice xmlns:a14="http://schemas.microsoft.com/office/drawing/2010/main" Requires="a14">
      <xdr:twoCellAnchor>
        <xdr:from>
          <xdr:col>14</xdr:col>
          <xdr:colOff>47625</xdr:colOff>
          <xdr:row>36</xdr:row>
          <xdr:rowOff>800100</xdr:rowOff>
        </xdr:from>
        <xdr:to>
          <xdr:col>14</xdr:col>
          <xdr:colOff>3686175</xdr:colOff>
          <xdr:row>36</xdr:row>
          <xdr:rowOff>990600</xdr:rowOff>
        </xdr:to>
        <xdr:sp macro="" textlink="">
          <xdr:nvSpPr>
            <xdr:cNvPr id="49274" name="Check Box 1146" hidden="1">
              <a:extLst>
                <a:ext uri="{63B3BB69-23CF-44E3-9099-C40C66FF867C}">
                  <a14:compatExt spid="_x0000_s49274"/>
                </a:ext>
                <a:ext uri="{FF2B5EF4-FFF2-40B4-BE49-F238E27FC236}">
                  <a16:creationId xmlns:a16="http://schemas.microsoft.com/office/drawing/2014/main" id="{00000000-0008-0000-0200-00007A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Tahoma"/>
                  <a:ea typeface="Tahoma"/>
                  <a:cs typeface="Tahoma"/>
                </a:rPr>
                <a:t>Physical - USB/Ethernet Port was not identified</a:t>
              </a:r>
            </a:p>
          </xdr:txBody>
        </xdr:sp>
        <xdr:clientData/>
      </xdr:twoCellAnchor>
    </mc:Choice>
    <mc:Fallback/>
  </mc:AlternateContent>
  <mc:AlternateContent xmlns:mc="http://schemas.openxmlformats.org/markup-compatibility/2006">
    <mc:Choice xmlns:a14="http://schemas.microsoft.com/office/drawing/2010/main" Requires="a14">
      <xdr:twoCellAnchor>
        <xdr:from>
          <xdr:col>14</xdr:col>
          <xdr:colOff>47625</xdr:colOff>
          <xdr:row>36</xdr:row>
          <xdr:rowOff>952500</xdr:rowOff>
        </xdr:from>
        <xdr:to>
          <xdr:col>14</xdr:col>
          <xdr:colOff>3638550</xdr:colOff>
          <xdr:row>36</xdr:row>
          <xdr:rowOff>1143000</xdr:rowOff>
        </xdr:to>
        <xdr:sp macro="" textlink="">
          <xdr:nvSpPr>
            <xdr:cNvPr id="49275" name="Check Box 1147" hidden="1">
              <a:extLst>
                <a:ext uri="{63B3BB69-23CF-44E3-9099-C40C66FF867C}">
                  <a14:compatExt spid="_x0000_s49275"/>
                </a:ext>
                <a:ext uri="{FF2B5EF4-FFF2-40B4-BE49-F238E27FC236}">
                  <a16:creationId xmlns:a16="http://schemas.microsoft.com/office/drawing/2014/main" id="{00000000-0008-0000-0200-00007B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Tahoma"/>
                  <a:ea typeface="Tahoma"/>
                  <a:cs typeface="Tahoma"/>
                </a:rPr>
                <a:t>Physical - Wrong cable used</a:t>
              </a:r>
            </a:p>
          </xdr:txBody>
        </xdr:sp>
        <xdr:clientData/>
      </xdr:twoCellAnchor>
    </mc:Choice>
    <mc:Fallback/>
  </mc:AlternateContent>
  <mc:AlternateContent xmlns:mc="http://schemas.openxmlformats.org/markup-compatibility/2006">
    <mc:Choice xmlns:a14="http://schemas.microsoft.com/office/drawing/2010/main" Requires="a14">
      <xdr:twoCellAnchor>
        <xdr:from>
          <xdr:col>14</xdr:col>
          <xdr:colOff>47625</xdr:colOff>
          <xdr:row>36</xdr:row>
          <xdr:rowOff>1123950</xdr:rowOff>
        </xdr:from>
        <xdr:to>
          <xdr:col>14</xdr:col>
          <xdr:colOff>3514725</xdr:colOff>
          <xdr:row>36</xdr:row>
          <xdr:rowOff>1295400</xdr:rowOff>
        </xdr:to>
        <xdr:sp macro="" textlink="">
          <xdr:nvSpPr>
            <xdr:cNvPr id="49276" name="Check Box 1148" hidden="1">
              <a:extLst>
                <a:ext uri="{63B3BB69-23CF-44E3-9099-C40C66FF867C}">
                  <a14:compatExt spid="_x0000_s49276"/>
                </a:ext>
                <a:ext uri="{FF2B5EF4-FFF2-40B4-BE49-F238E27FC236}">
                  <a16:creationId xmlns:a16="http://schemas.microsoft.com/office/drawing/2014/main" id="{00000000-0008-0000-0200-00007C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Tahoma"/>
                  <a:ea typeface="Tahoma"/>
                  <a:cs typeface="Tahoma"/>
                </a:rPr>
                <a:t>Transport - Incorrect port number/s used</a:t>
              </a:r>
            </a:p>
          </xdr:txBody>
        </xdr:sp>
        <xdr:clientData/>
      </xdr:twoCellAnchor>
    </mc:Choice>
    <mc:Fallback/>
  </mc:AlternateContent>
  <mc:AlternateContent xmlns:mc="http://schemas.openxmlformats.org/markup-compatibility/2006">
    <mc:Choice xmlns:a14="http://schemas.microsoft.com/office/drawing/2010/main" Requires="a14">
      <xdr:twoCellAnchor>
        <xdr:from>
          <xdr:col>14</xdr:col>
          <xdr:colOff>47625</xdr:colOff>
          <xdr:row>36</xdr:row>
          <xdr:rowOff>1276350</xdr:rowOff>
        </xdr:from>
        <xdr:to>
          <xdr:col>15</xdr:col>
          <xdr:colOff>0</xdr:colOff>
          <xdr:row>36</xdr:row>
          <xdr:rowOff>1447800</xdr:rowOff>
        </xdr:to>
        <xdr:sp macro="" textlink="">
          <xdr:nvSpPr>
            <xdr:cNvPr id="49277" name="Check Box 1149" hidden="1">
              <a:extLst>
                <a:ext uri="{63B3BB69-23CF-44E3-9099-C40C66FF867C}">
                  <a14:compatExt spid="_x0000_s49277"/>
                </a:ext>
                <a:ext uri="{FF2B5EF4-FFF2-40B4-BE49-F238E27FC236}">
                  <a16:creationId xmlns:a16="http://schemas.microsoft.com/office/drawing/2014/main" id="{00000000-0008-0000-0200-00007D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Tahoma"/>
                  <a:ea typeface="Tahoma"/>
                  <a:cs typeface="Tahoma"/>
                </a:rPr>
                <a:t>Transport - Incorrect protocol/s used (TCP/UDP)</a:t>
              </a:r>
            </a:p>
          </xdr:txBody>
        </xdr:sp>
        <xdr:clientData/>
      </xdr:twoCellAnchor>
    </mc:Choice>
    <mc:Fallback/>
  </mc:AlternateContent>
  <mc:AlternateContent xmlns:mc="http://schemas.openxmlformats.org/markup-compatibility/2006">
    <mc:Choice xmlns:a14="http://schemas.microsoft.com/office/drawing/2010/main" Requires="a14">
      <xdr:twoCellAnchor>
        <xdr:from>
          <xdr:col>11</xdr:col>
          <xdr:colOff>47625</xdr:colOff>
          <xdr:row>29</xdr:row>
          <xdr:rowOff>828675</xdr:rowOff>
        </xdr:from>
        <xdr:to>
          <xdr:col>11</xdr:col>
          <xdr:colOff>2009775</xdr:colOff>
          <xdr:row>29</xdr:row>
          <xdr:rowOff>1009650</xdr:rowOff>
        </xdr:to>
        <xdr:sp macro="" textlink="">
          <xdr:nvSpPr>
            <xdr:cNvPr id="49289" name="Check Box 1161" hidden="1">
              <a:extLst>
                <a:ext uri="{63B3BB69-23CF-44E3-9099-C40C66FF867C}">
                  <a14:compatExt spid="_x0000_s49289"/>
                </a:ext>
                <a:ext uri="{FF2B5EF4-FFF2-40B4-BE49-F238E27FC236}">
                  <a16:creationId xmlns:a16="http://schemas.microsoft.com/office/drawing/2014/main" id="{00000000-0008-0000-0200-000089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Tahoma"/>
                  <a:ea typeface="Tahoma"/>
                  <a:cs typeface="Tahoma"/>
                </a:rPr>
                <a:t>Subscription Return Call</a:t>
              </a:r>
            </a:p>
          </xdr:txBody>
        </xdr:sp>
        <xdr:clientData/>
      </xdr:twoCellAnchor>
    </mc:Choice>
    <mc:Fallback/>
  </mc:AlternateContent>
  <mc:AlternateContent xmlns:mc="http://schemas.openxmlformats.org/markup-compatibility/2006">
    <mc:Choice xmlns:a14="http://schemas.microsoft.com/office/drawing/2010/main" Requires="a14">
      <xdr:twoCellAnchor>
        <xdr:from>
          <xdr:col>11</xdr:col>
          <xdr:colOff>2514600</xdr:colOff>
          <xdr:row>29</xdr:row>
          <xdr:rowOff>828675</xdr:rowOff>
        </xdr:from>
        <xdr:to>
          <xdr:col>12</xdr:col>
          <xdr:colOff>762000</xdr:colOff>
          <xdr:row>29</xdr:row>
          <xdr:rowOff>1009650</xdr:rowOff>
        </xdr:to>
        <xdr:sp macro="" textlink="">
          <xdr:nvSpPr>
            <xdr:cNvPr id="49290" name="Check Box 1162" hidden="1">
              <a:extLst>
                <a:ext uri="{63B3BB69-23CF-44E3-9099-C40C66FF867C}">
                  <a14:compatExt spid="_x0000_s49290"/>
                </a:ext>
                <a:ext uri="{FF2B5EF4-FFF2-40B4-BE49-F238E27FC236}">
                  <a16:creationId xmlns:a16="http://schemas.microsoft.com/office/drawing/2014/main" id="{00000000-0008-0000-0200-00008A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Tahoma"/>
                  <a:ea typeface="Tahoma"/>
                  <a:cs typeface="Tahoma"/>
                </a:rPr>
                <a:t>Theatre</a:t>
              </a:r>
            </a:p>
          </xdr:txBody>
        </xdr:sp>
        <xdr:clientData/>
      </xdr:twoCellAnchor>
    </mc:Choice>
    <mc:Fallback/>
  </mc:AlternateContent>
  <mc:AlternateContent xmlns:mc="http://schemas.openxmlformats.org/markup-compatibility/2006">
    <mc:Choice xmlns:a14="http://schemas.microsoft.com/office/drawing/2010/main" Requires="a14">
      <xdr:twoCellAnchor>
        <xdr:from>
          <xdr:col>12</xdr:col>
          <xdr:colOff>1771650</xdr:colOff>
          <xdr:row>29</xdr:row>
          <xdr:rowOff>819150</xdr:rowOff>
        </xdr:from>
        <xdr:to>
          <xdr:col>13</xdr:col>
          <xdr:colOff>19050</xdr:colOff>
          <xdr:row>29</xdr:row>
          <xdr:rowOff>1000125</xdr:rowOff>
        </xdr:to>
        <xdr:sp macro="" textlink="">
          <xdr:nvSpPr>
            <xdr:cNvPr id="49291" name="Check Box 1163" hidden="1">
              <a:extLst>
                <a:ext uri="{63B3BB69-23CF-44E3-9099-C40C66FF867C}">
                  <a14:compatExt spid="_x0000_s49291"/>
                </a:ext>
                <a:ext uri="{FF2B5EF4-FFF2-40B4-BE49-F238E27FC236}">
                  <a16:creationId xmlns:a16="http://schemas.microsoft.com/office/drawing/2014/main" id="{00000000-0008-0000-0200-00008B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Tahoma"/>
                  <a:ea typeface="Tahoma"/>
                  <a:cs typeface="Tahoma"/>
                </a:rPr>
                <a:t>Velop Web UI</a:t>
              </a:r>
            </a:p>
          </xdr:txBody>
        </xdr:sp>
        <xdr:clientData/>
      </xdr:twoCellAnchor>
    </mc:Choice>
    <mc:Fallback/>
  </mc:AlternateContent>
  <mc:AlternateContent xmlns:mc="http://schemas.openxmlformats.org/markup-compatibility/2006">
    <mc:Choice xmlns:a14="http://schemas.microsoft.com/office/drawing/2010/main" Requires="a14">
      <xdr:twoCellAnchor>
        <xdr:from>
          <xdr:col>13</xdr:col>
          <xdr:colOff>371475</xdr:colOff>
          <xdr:row>29</xdr:row>
          <xdr:rowOff>819150</xdr:rowOff>
        </xdr:from>
        <xdr:to>
          <xdr:col>13</xdr:col>
          <xdr:colOff>2333625</xdr:colOff>
          <xdr:row>29</xdr:row>
          <xdr:rowOff>1000125</xdr:rowOff>
        </xdr:to>
        <xdr:sp macro="" textlink="">
          <xdr:nvSpPr>
            <xdr:cNvPr id="49292" name="Check Box 1164" hidden="1">
              <a:extLst>
                <a:ext uri="{63B3BB69-23CF-44E3-9099-C40C66FF867C}">
                  <a14:compatExt spid="_x0000_s49292"/>
                </a:ext>
                <a:ext uri="{FF2B5EF4-FFF2-40B4-BE49-F238E27FC236}">
                  <a16:creationId xmlns:a16="http://schemas.microsoft.com/office/drawing/2014/main" id="{00000000-0008-0000-0200-00008C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Tahoma"/>
                  <a:ea typeface="Tahoma"/>
                  <a:cs typeface="Tahoma"/>
                </a:rPr>
                <a:t>Warranty Start Date</a:t>
              </a:r>
            </a:p>
          </xdr:txBody>
        </xdr:sp>
        <xdr:clientData/>
      </xdr:twoCellAnchor>
    </mc:Choice>
    <mc:Fallback/>
  </mc:AlternateContent>
  <mc:AlternateContent xmlns:mc="http://schemas.openxmlformats.org/markup-compatibility/2006">
    <mc:Choice xmlns:a14="http://schemas.microsoft.com/office/drawing/2010/main" Requires="a14">
      <xdr:twoCellAnchor>
        <xdr:from>
          <xdr:col>11</xdr:col>
          <xdr:colOff>47625</xdr:colOff>
          <xdr:row>31</xdr:row>
          <xdr:rowOff>0</xdr:rowOff>
        </xdr:from>
        <xdr:to>
          <xdr:col>11</xdr:col>
          <xdr:colOff>3048000</xdr:colOff>
          <xdr:row>31</xdr:row>
          <xdr:rowOff>190500</xdr:rowOff>
        </xdr:to>
        <xdr:sp macro="" textlink="">
          <xdr:nvSpPr>
            <xdr:cNvPr id="49298" name="Check Box 1170" hidden="1">
              <a:extLst>
                <a:ext uri="{63B3BB69-23CF-44E3-9099-C40C66FF867C}">
                  <a14:compatExt spid="_x0000_s49298"/>
                </a:ext>
                <a:ext uri="{FF2B5EF4-FFF2-40B4-BE49-F238E27FC236}">
                  <a16:creationId xmlns:a16="http://schemas.microsoft.com/office/drawing/2014/main" id="{00000000-0008-0000-0200-000092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Tahoma"/>
                  <a:ea typeface="Tahoma"/>
                  <a:cs typeface="Tahoma"/>
                </a:rPr>
                <a:t>Charged premium support though not applicable</a:t>
              </a:r>
            </a:p>
          </xdr:txBody>
        </xdr:sp>
        <xdr:clientData/>
      </xdr:twoCellAnchor>
    </mc:Choice>
    <mc:Fallback/>
  </mc:AlternateContent>
  <mc:AlternateContent xmlns:mc="http://schemas.openxmlformats.org/markup-compatibility/2006">
    <mc:Choice xmlns:a14="http://schemas.microsoft.com/office/drawing/2010/main" Requires="a14">
      <xdr:twoCellAnchor>
        <xdr:from>
          <xdr:col>11</xdr:col>
          <xdr:colOff>47625</xdr:colOff>
          <xdr:row>31</xdr:row>
          <xdr:rowOff>180975</xdr:rowOff>
        </xdr:from>
        <xdr:to>
          <xdr:col>11</xdr:col>
          <xdr:colOff>2857500</xdr:colOff>
          <xdr:row>31</xdr:row>
          <xdr:rowOff>352425</xdr:rowOff>
        </xdr:to>
        <xdr:sp macro="" textlink="">
          <xdr:nvSpPr>
            <xdr:cNvPr id="49299" name="Check Box 1171" hidden="1">
              <a:extLst>
                <a:ext uri="{63B3BB69-23CF-44E3-9099-C40C66FF867C}">
                  <a14:compatExt spid="_x0000_s49299"/>
                </a:ext>
                <a:ext uri="{FF2B5EF4-FFF2-40B4-BE49-F238E27FC236}">
                  <a16:creationId xmlns:a16="http://schemas.microsoft.com/office/drawing/2014/main" id="{00000000-0008-0000-0200-000093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Tahoma"/>
                  <a:ea typeface="Tahoma"/>
                  <a:cs typeface="Tahoma"/>
                </a:rPr>
                <a:t>Non-adherence to Save the Sale process</a:t>
              </a:r>
            </a:p>
          </xdr:txBody>
        </xdr:sp>
        <xdr:clientData/>
      </xdr:twoCellAnchor>
    </mc:Choice>
    <mc:Fallback/>
  </mc:AlternateContent>
  <mc:AlternateContent xmlns:mc="http://schemas.openxmlformats.org/markup-compatibility/2006">
    <mc:Choice xmlns:a14="http://schemas.microsoft.com/office/drawing/2010/main" Requires="a14">
      <xdr:twoCellAnchor>
        <xdr:from>
          <xdr:col>11</xdr:col>
          <xdr:colOff>47625</xdr:colOff>
          <xdr:row>51</xdr:row>
          <xdr:rowOff>9525</xdr:rowOff>
        </xdr:from>
        <xdr:to>
          <xdr:col>11</xdr:col>
          <xdr:colOff>2009775</xdr:colOff>
          <xdr:row>51</xdr:row>
          <xdr:rowOff>190500</xdr:rowOff>
        </xdr:to>
        <xdr:sp macro="" textlink="">
          <xdr:nvSpPr>
            <xdr:cNvPr id="49324" name="Check Box 1196" hidden="1">
              <a:extLst>
                <a:ext uri="{63B3BB69-23CF-44E3-9099-C40C66FF867C}">
                  <a14:compatExt spid="_x0000_s49324"/>
                </a:ext>
                <a:ext uri="{FF2B5EF4-FFF2-40B4-BE49-F238E27FC236}">
                  <a16:creationId xmlns:a16="http://schemas.microsoft.com/office/drawing/2014/main" id="{00000000-0008-0000-0200-0000AC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Tahoma"/>
                  <a:ea typeface="Tahoma"/>
                  <a:cs typeface="Tahoma"/>
                </a:rPr>
                <a:t>No article/Outdated Article</a:t>
              </a:r>
            </a:p>
          </xdr:txBody>
        </xdr:sp>
        <xdr:clientData/>
      </xdr:twoCellAnchor>
    </mc:Choice>
    <mc:Fallback/>
  </mc:AlternateContent>
  <mc:AlternateContent xmlns:mc="http://schemas.openxmlformats.org/markup-compatibility/2006">
    <mc:Choice xmlns:a14="http://schemas.microsoft.com/office/drawing/2010/main" Requires="a14">
      <xdr:twoCellAnchor>
        <xdr:from>
          <xdr:col>11</xdr:col>
          <xdr:colOff>47625</xdr:colOff>
          <xdr:row>51</xdr:row>
          <xdr:rowOff>171450</xdr:rowOff>
        </xdr:from>
        <xdr:to>
          <xdr:col>11</xdr:col>
          <xdr:colOff>2009775</xdr:colOff>
          <xdr:row>51</xdr:row>
          <xdr:rowOff>352425</xdr:rowOff>
        </xdr:to>
        <xdr:sp macro="" textlink="">
          <xdr:nvSpPr>
            <xdr:cNvPr id="49325" name="Check Box 1197" hidden="1">
              <a:extLst>
                <a:ext uri="{63B3BB69-23CF-44E3-9099-C40C66FF867C}">
                  <a14:compatExt spid="_x0000_s49325"/>
                </a:ext>
                <a:ext uri="{FF2B5EF4-FFF2-40B4-BE49-F238E27FC236}">
                  <a16:creationId xmlns:a16="http://schemas.microsoft.com/office/drawing/2014/main" id="{00000000-0008-0000-0200-0000AD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Tahoma"/>
                  <a:ea typeface="Tahoma"/>
                  <a:cs typeface="Tahoma"/>
                </a:rPr>
                <a:t>Multiple Articles</a:t>
              </a:r>
            </a:p>
          </xdr:txBody>
        </xdr:sp>
        <xdr:clientData/>
      </xdr:twoCellAnchor>
    </mc:Choice>
    <mc:Fallback/>
  </mc:AlternateContent>
  <mc:AlternateContent xmlns:mc="http://schemas.openxmlformats.org/markup-compatibility/2006">
    <mc:Choice xmlns:a14="http://schemas.microsoft.com/office/drawing/2010/main" Requires="a14">
      <xdr:twoCellAnchor>
        <xdr:from>
          <xdr:col>11</xdr:col>
          <xdr:colOff>47625</xdr:colOff>
          <xdr:row>51</xdr:row>
          <xdr:rowOff>342900</xdr:rowOff>
        </xdr:from>
        <xdr:to>
          <xdr:col>11</xdr:col>
          <xdr:colOff>2009775</xdr:colOff>
          <xdr:row>51</xdr:row>
          <xdr:rowOff>523875</xdr:rowOff>
        </xdr:to>
        <xdr:sp macro="" textlink="">
          <xdr:nvSpPr>
            <xdr:cNvPr id="49326" name="Check Box 1198" hidden="1">
              <a:extLst>
                <a:ext uri="{63B3BB69-23CF-44E3-9099-C40C66FF867C}">
                  <a14:compatExt spid="_x0000_s49326"/>
                </a:ext>
                <a:ext uri="{FF2B5EF4-FFF2-40B4-BE49-F238E27FC236}">
                  <a16:creationId xmlns:a16="http://schemas.microsoft.com/office/drawing/2014/main" id="{00000000-0008-0000-0200-0000AE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Tahoma"/>
                  <a:ea typeface="Tahoma"/>
                  <a:cs typeface="Tahoma"/>
                </a:rPr>
                <a:t>Incorrect solution on article</a:t>
              </a:r>
            </a:p>
          </xdr:txBody>
        </xdr:sp>
        <xdr:clientData/>
      </xdr:twoCellAnchor>
    </mc:Choice>
    <mc:Fallback/>
  </mc:AlternateContent>
  <mc:AlternateContent xmlns:mc="http://schemas.openxmlformats.org/markup-compatibility/2006">
    <mc:Choice xmlns:a14="http://schemas.microsoft.com/office/drawing/2010/main" Requires="a14">
      <xdr:twoCellAnchor>
        <xdr:from>
          <xdr:col>11</xdr:col>
          <xdr:colOff>2514600</xdr:colOff>
          <xdr:row>51</xdr:row>
          <xdr:rowOff>9525</xdr:rowOff>
        </xdr:from>
        <xdr:to>
          <xdr:col>12</xdr:col>
          <xdr:colOff>762000</xdr:colOff>
          <xdr:row>51</xdr:row>
          <xdr:rowOff>190500</xdr:rowOff>
        </xdr:to>
        <xdr:sp macro="" textlink="">
          <xdr:nvSpPr>
            <xdr:cNvPr id="49329" name="Check Box 1201" hidden="1">
              <a:extLst>
                <a:ext uri="{63B3BB69-23CF-44E3-9099-C40C66FF867C}">
                  <a14:compatExt spid="_x0000_s49329"/>
                </a:ext>
                <a:ext uri="{FF2B5EF4-FFF2-40B4-BE49-F238E27FC236}">
                  <a16:creationId xmlns:a16="http://schemas.microsoft.com/office/drawing/2014/main" id="{00000000-0008-0000-0200-0000B1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Tahoma"/>
                  <a:ea typeface="Tahoma"/>
                  <a:cs typeface="Tahoma"/>
                </a:rPr>
                <a:t>Too many product Safety Questions</a:t>
              </a:r>
            </a:p>
          </xdr:txBody>
        </xdr:sp>
        <xdr:clientData/>
      </xdr:twoCellAnchor>
    </mc:Choice>
    <mc:Fallback/>
  </mc:AlternateContent>
  <mc:AlternateContent xmlns:mc="http://schemas.openxmlformats.org/markup-compatibility/2006">
    <mc:Choice xmlns:a14="http://schemas.microsoft.com/office/drawing/2010/main" Requires="a14">
      <xdr:twoCellAnchor>
        <xdr:from>
          <xdr:col>11</xdr:col>
          <xdr:colOff>2514600</xdr:colOff>
          <xdr:row>51</xdr:row>
          <xdr:rowOff>171450</xdr:rowOff>
        </xdr:from>
        <xdr:to>
          <xdr:col>12</xdr:col>
          <xdr:colOff>762000</xdr:colOff>
          <xdr:row>51</xdr:row>
          <xdr:rowOff>352425</xdr:rowOff>
        </xdr:to>
        <xdr:sp macro="" textlink="">
          <xdr:nvSpPr>
            <xdr:cNvPr id="49330" name="Check Box 1202" hidden="1">
              <a:extLst>
                <a:ext uri="{63B3BB69-23CF-44E3-9099-C40C66FF867C}">
                  <a14:compatExt spid="_x0000_s49330"/>
                </a:ext>
                <a:ext uri="{FF2B5EF4-FFF2-40B4-BE49-F238E27FC236}">
                  <a16:creationId xmlns:a16="http://schemas.microsoft.com/office/drawing/2014/main" id="{00000000-0008-0000-0200-0000B2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Tahoma"/>
                  <a:ea typeface="Tahoma"/>
                  <a:cs typeface="Tahoma"/>
                </a:rPr>
                <a:t>Instructions are verbose and ambigious</a:t>
              </a:r>
            </a:p>
          </xdr:txBody>
        </xdr:sp>
        <xdr:clientData/>
      </xdr:twoCellAnchor>
    </mc:Choice>
    <mc:Fallback/>
  </mc:AlternateContent>
  <mc:AlternateContent xmlns:mc="http://schemas.openxmlformats.org/markup-compatibility/2006">
    <mc:Choice xmlns:a14="http://schemas.microsoft.com/office/drawing/2010/main" Requires="a14">
      <xdr:twoCellAnchor>
        <xdr:from>
          <xdr:col>11</xdr:col>
          <xdr:colOff>2514600</xdr:colOff>
          <xdr:row>51</xdr:row>
          <xdr:rowOff>342900</xdr:rowOff>
        </xdr:from>
        <xdr:to>
          <xdr:col>12</xdr:col>
          <xdr:colOff>762000</xdr:colOff>
          <xdr:row>51</xdr:row>
          <xdr:rowOff>523875</xdr:rowOff>
        </xdr:to>
        <xdr:sp macro="" textlink="">
          <xdr:nvSpPr>
            <xdr:cNvPr id="49331" name="Check Box 1203" hidden="1">
              <a:extLst>
                <a:ext uri="{63B3BB69-23CF-44E3-9099-C40C66FF867C}">
                  <a14:compatExt spid="_x0000_s49331"/>
                </a:ext>
                <a:ext uri="{FF2B5EF4-FFF2-40B4-BE49-F238E27FC236}">
                  <a16:creationId xmlns:a16="http://schemas.microsoft.com/office/drawing/2014/main" id="{00000000-0008-0000-0200-0000B3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Tahoma"/>
                  <a:ea typeface="Tahoma"/>
                  <a:cs typeface="Tahoma"/>
                </a:rPr>
                <a:t>Offline Steps Required</a:t>
              </a:r>
            </a:p>
          </xdr:txBody>
        </xdr:sp>
        <xdr:clientData/>
      </xdr:twoCellAnchor>
    </mc:Choice>
    <mc:Fallback/>
  </mc:AlternateContent>
  <mc:AlternateContent xmlns:mc="http://schemas.openxmlformats.org/markup-compatibility/2006">
    <mc:Choice xmlns:a14="http://schemas.microsoft.com/office/drawing/2010/main" Requires="a14">
      <xdr:twoCellAnchor>
        <xdr:from>
          <xdr:col>11</xdr:col>
          <xdr:colOff>47625</xdr:colOff>
          <xdr:row>53</xdr:row>
          <xdr:rowOff>9525</xdr:rowOff>
        </xdr:from>
        <xdr:to>
          <xdr:col>11</xdr:col>
          <xdr:colOff>2352675</xdr:colOff>
          <xdr:row>53</xdr:row>
          <xdr:rowOff>209550</xdr:rowOff>
        </xdr:to>
        <xdr:sp macro="" textlink="">
          <xdr:nvSpPr>
            <xdr:cNvPr id="49361" name="Check Box 1233" hidden="1">
              <a:extLst>
                <a:ext uri="{63B3BB69-23CF-44E3-9099-C40C66FF867C}">
                  <a14:compatExt spid="_x0000_s49361"/>
                </a:ext>
                <a:ext uri="{FF2B5EF4-FFF2-40B4-BE49-F238E27FC236}">
                  <a16:creationId xmlns:a16="http://schemas.microsoft.com/office/drawing/2014/main" id="{00000000-0008-0000-0200-0000D1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Tahoma"/>
                  <a:ea typeface="Tahoma"/>
                  <a:cs typeface="Tahoma"/>
                </a:rPr>
                <a:t>Troubleshooting requirement (recurring issue)</a:t>
              </a:r>
            </a:p>
          </xdr:txBody>
        </xdr:sp>
        <xdr:clientData/>
      </xdr:twoCellAnchor>
    </mc:Choice>
    <mc:Fallback/>
  </mc:AlternateContent>
  <mc:AlternateContent xmlns:mc="http://schemas.openxmlformats.org/markup-compatibility/2006">
    <mc:Choice xmlns:a14="http://schemas.microsoft.com/office/drawing/2010/main" Requires="a14">
      <xdr:twoCellAnchor>
        <xdr:from>
          <xdr:col>11</xdr:col>
          <xdr:colOff>47625</xdr:colOff>
          <xdr:row>53</xdr:row>
          <xdr:rowOff>171450</xdr:rowOff>
        </xdr:from>
        <xdr:to>
          <xdr:col>11</xdr:col>
          <xdr:colOff>2009775</xdr:colOff>
          <xdr:row>53</xdr:row>
          <xdr:rowOff>352425</xdr:rowOff>
        </xdr:to>
        <xdr:sp macro="" textlink="">
          <xdr:nvSpPr>
            <xdr:cNvPr id="49362" name="Check Box 1234" hidden="1">
              <a:extLst>
                <a:ext uri="{63B3BB69-23CF-44E3-9099-C40C66FF867C}">
                  <a14:compatExt spid="_x0000_s49362"/>
                </a:ext>
                <a:ext uri="{FF2B5EF4-FFF2-40B4-BE49-F238E27FC236}">
                  <a16:creationId xmlns:a16="http://schemas.microsoft.com/office/drawing/2014/main" id="{00000000-0008-0000-0200-0000D2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Tahoma"/>
                  <a:ea typeface="Tahoma"/>
                  <a:cs typeface="Tahoma"/>
                </a:rPr>
                <a:t>No warehouse in Region</a:t>
              </a:r>
            </a:p>
          </xdr:txBody>
        </xdr:sp>
        <xdr:clientData/>
      </xdr:twoCellAnchor>
    </mc:Choice>
    <mc:Fallback/>
  </mc:AlternateContent>
  <mc:AlternateContent xmlns:mc="http://schemas.openxmlformats.org/markup-compatibility/2006">
    <mc:Choice xmlns:a14="http://schemas.microsoft.com/office/drawing/2010/main" Requires="a14">
      <xdr:twoCellAnchor>
        <xdr:from>
          <xdr:col>11</xdr:col>
          <xdr:colOff>47625</xdr:colOff>
          <xdr:row>53</xdr:row>
          <xdr:rowOff>342900</xdr:rowOff>
        </xdr:from>
        <xdr:to>
          <xdr:col>11</xdr:col>
          <xdr:colOff>2009775</xdr:colOff>
          <xdr:row>53</xdr:row>
          <xdr:rowOff>523875</xdr:rowOff>
        </xdr:to>
        <xdr:sp macro="" textlink="">
          <xdr:nvSpPr>
            <xdr:cNvPr id="49363" name="Check Box 1235" hidden="1">
              <a:extLst>
                <a:ext uri="{63B3BB69-23CF-44E3-9099-C40C66FF867C}">
                  <a14:compatExt spid="_x0000_s49363"/>
                </a:ext>
                <a:ext uri="{FF2B5EF4-FFF2-40B4-BE49-F238E27FC236}">
                  <a16:creationId xmlns:a16="http://schemas.microsoft.com/office/drawing/2014/main" id="{00000000-0008-0000-0200-0000D3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Tahoma"/>
                  <a:ea typeface="Tahoma"/>
                  <a:cs typeface="Tahoma"/>
                </a:rPr>
                <a:t>Unable to send correct Hardware version</a:t>
              </a:r>
            </a:p>
          </xdr:txBody>
        </xdr:sp>
        <xdr:clientData/>
      </xdr:twoCellAnchor>
    </mc:Choice>
    <mc:Fallback/>
  </mc:AlternateContent>
  <mc:AlternateContent xmlns:mc="http://schemas.openxmlformats.org/markup-compatibility/2006">
    <mc:Choice xmlns:a14="http://schemas.microsoft.com/office/drawing/2010/main" Requires="a14">
      <xdr:twoCellAnchor>
        <xdr:from>
          <xdr:col>11</xdr:col>
          <xdr:colOff>47625</xdr:colOff>
          <xdr:row>53</xdr:row>
          <xdr:rowOff>495300</xdr:rowOff>
        </xdr:from>
        <xdr:to>
          <xdr:col>11</xdr:col>
          <xdr:colOff>2009775</xdr:colOff>
          <xdr:row>53</xdr:row>
          <xdr:rowOff>676275</xdr:rowOff>
        </xdr:to>
        <xdr:sp macro="" textlink="">
          <xdr:nvSpPr>
            <xdr:cNvPr id="49364" name="Check Box 1236" hidden="1">
              <a:extLst>
                <a:ext uri="{63B3BB69-23CF-44E3-9099-C40C66FF867C}">
                  <a14:compatExt spid="_x0000_s49364"/>
                </a:ext>
                <a:ext uri="{FF2B5EF4-FFF2-40B4-BE49-F238E27FC236}">
                  <a16:creationId xmlns:a16="http://schemas.microsoft.com/office/drawing/2014/main" id="{00000000-0008-0000-0200-0000D4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Tahoma"/>
                  <a:ea typeface="Tahoma"/>
                  <a:cs typeface="Tahoma"/>
                </a:rPr>
                <a:t>Extra unit was shipped</a:t>
              </a:r>
            </a:p>
          </xdr:txBody>
        </xdr:sp>
        <xdr:clientData/>
      </xdr:twoCellAnchor>
    </mc:Choice>
    <mc:Fallback/>
  </mc:AlternateContent>
  <mc:AlternateContent xmlns:mc="http://schemas.openxmlformats.org/markup-compatibility/2006">
    <mc:Choice xmlns:a14="http://schemas.microsoft.com/office/drawing/2010/main" Requires="a14">
      <xdr:twoCellAnchor>
        <xdr:from>
          <xdr:col>11</xdr:col>
          <xdr:colOff>47625</xdr:colOff>
          <xdr:row>54</xdr:row>
          <xdr:rowOff>9525</xdr:rowOff>
        </xdr:from>
        <xdr:to>
          <xdr:col>11</xdr:col>
          <xdr:colOff>2009775</xdr:colOff>
          <xdr:row>54</xdr:row>
          <xdr:rowOff>190500</xdr:rowOff>
        </xdr:to>
        <xdr:sp macro="" textlink="">
          <xdr:nvSpPr>
            <xdr:cNvPr id="49368" name="Check Box 1240" hidden="1">
              <a:extLst>
                <a:ext uri="{63B3BB69-23CF-44E3-9099-C40C66FF867C}">
                  <a14:compatExt spid="_x0000_s49368"/>
                </a:ext>
                <a:ext uri="{FF2B5EF4-FFF2-40B4-BE49-F238E27FC236}">
                  <a16:creationId xmlns:a16="http://schemas.microsoft.com/office/drawing/2014/main" id="{00000000-0008-0000-0200-0000D8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Tahoma"/>
                  <a:ea typeface="Tahoma"/>
                  <a:cs typeface="Tahoma"/>
                </a:rPr>
                <a:t>Beyond SLA</a:t>
              </a:r>
            </a:p>
          </xdr:txBody>
        </xdr:sp>
        <xdr:clientData/>
      </xdr:twoCellAnchor>
    </mc:Choice>
    <mc:Fallback/>
  </mc:AlternateContent>
  <mc:AlternateContent xmlns:mc="http://schemas.openxmlformats.org/markup-compatibility/2006">
    <mc:Choice xmlns:a14="http://schemas.microsoft.com/office/drawing/2010/main" Requires="a14">
      <xdr:twoCellAnchor>
        <xdr:from>
          <xdr:col>11</xdr:col>
          <xdr:colOff>47625</xdr:colOff>
          <xdr:row>54</xdr:row>
          <xdr:rowOff>171450</xdr:rowOff>
        </xdr:from>
        <xdr:to>
          <xdr:col>11</xdr:col>
          <xdr:colOff>2009775</xdr:colOff>
          <xdr:row>54</xdr:row>
          <xdr:rowOff>352425</xdr:rowOff>
        </xdr:to>
        <xdr:sp macro="" textlink="">
          <xdr:nvSpPr>
            <xdr:cNvPr id="49369" name="Check Box 1241" hidden="1">
              <a:extLst>
                <a:ext uri="{63B3BB69-23CF-44E3-9099-C40C66FF867C}">
                  <a14:compatExt spid="_x0000_s49369"/>
                </a:ext>
                <a:ext uri="{FF2B5EF4-FFF2-40B4-BE49-F238E27FC236}">
                  <a16:creationId xmlns:a16="http://schemas.microsoft.com/office/drawing/2014/main" id="{00000000-0008-0000-0200-0000D9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Tahoma"/>
                  <a:ea typeface="Tahoma"/>
                  <a:cs typeface="Tahoma"/>
                </a:rPr>
                <a:t>Shipping timeframe (7-10 days)</a:t>
              </a:r>
            </a:p>
          </xdr:txBody>
        </xdr:sp>
        <xdr:clientData/>
      </xdr:twoCellAnchor>
    </mc:Choice>
    <mc:Fallback/>
  </mc:AlternateContent>
  <mc:AlternateContent xmlns:mc="http://schemas.openxmlformats.org/markup-compatibility/2006">
    <mc:Choice xmlns:a14="http://schemas.microsoft.com/office/drawing/2010/main" Requires="a14">
      <xdr:twoCellAnchor>
        <xdr:from>
          <xdr:col>11</xdr:col>
          <xdr:colOff>2514600</xdr:colOff>
          <xdr:row>54</xdr:row>
          <xdr:rowOff>9525</xdr:rowOff>
        </xdr:from>
        <xdr:to>
          <xdr:col>12</xdr:col>
          <xdr:colOff>762000</xdr:colOff>
          <xdr:row>54</xdr:row>
          <xdr:rowOff>190500</xdr:rowOff>
        </xdr:to>
        <xdr:sp macro="" textlink="">
          <xdr:nvSpPr>
            <xdr:cNvPr id="49372" name="Check Box 1244" hidden="1">
              <a:extLst>
                <a:ext uri="{63B3BB69-23CF-44E3-9099-C40C66FF867C}">
                  <a14:compatExt spid="_x0000_s49372"/>
                </a:ext>
                <a:ext uri="{FF2B5EF4-FFF2-40B4-BE49-F238E27FC236}">
                  <a16:creationId xmlns:a16="http://schemas.microsoft.com/office/drawing/2014/main" id="{00000000-0008-0000-0200-0000DC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Tahoma"/>
                  <a:ea typeface="Tahoma"/>
                  <a:cs typeface="Tahoma"/>
                </a:rPr>
                <a:t>Cannot expedite shipment for battery</a:t>
              </a:r>
            </a:p>
          </xdr:txBody>
        </xdr:sp>
        <xdr:clientData/>
      </xdr:twoCellAnchor>
    </mc:Choice>
    <mc:Fallback/>
  </mc:AlternateContent>
  <mc:AlternateContent xmlns:mc="http://schemas.openxmlformats.org/markup-compatibility/2006">
    <mc:Choice xmlns:a14="http://schemas.microsoft.com/office/drawing/2010/main" Requires="a14">
      <xdr:twoCellAnchor>
        <xdr:from>
          <xdr:col>11</xdr:col>
          <xdr:colOff>2514600</xdr:colOff>
          <xdr:row>54</xdr:row>
          <xdr:rowOff>171450</xdr:rowOff>
        </xdr:from>
        <xdr:to>
          <xdr:col>12</xdr:col>
          <xdr:colOff>1247775</xdr:colOff>
          <xdr:row>54</xdr:row>
          <xdr:rowOff>333375</xdr:rowOff>
        </xdr:to>
        <xdr:sp macro="" textlink="">
          <xdr:nvSpPr>
            <xdr:cNvPr id="49373" name="Check Box 1245" hidden="1">
              <a:extLst>
                <a:ext uri="{63B3BB69-23CF-44E3-9099-C40C66FF867C}">
                  <a14:compatExt spid="_x0000_s49373"/>
                </a:ext>
                <a:ext uri="{FF2B5EF4-FFF2-40B4-BE49-F238E27FC236}">
                  <a16:creationId xmlns:a16="http://schemas.microsoft.com/office/drawing/2014/main" id="{00000000-0008-0000-0200-0000DD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Tahoma"/>
                  <a:ea typeface="Tahoma"/>
                  <a:cs typeface="Tahoma"/>
                </a:rPr>
                <a:t>Product not shipped/Not received in a timely manner</a:t>
              </a:r>
            </a:p>
          </xdr:txBody>
        </xdr:sp>
        <xdr:clientData/>
      </xdr:twoCellAnchor>
    </mc:Choice>
    <mc:Fallback/>
  </mc:AlternateContent>
  <mc:AlternateContent xmlns:mc="http://schemas.openxmlformats.org/markup-compatibility/2006">
    <mc:Choice xmlns:a14="http://schemas.microsoft.com/office/drawing/2010/main" Requires="a14">
      <xdr:twoCellAnchor>
        <xdr:from>
          <xdr:col>11</xdr:col>
          <xdr:colOff>47625</xdr:colOff>
          <xdr:row>55</xdr:row>
          <xdr:rowOff>9525</xdr:rowOff>
        </xdr:from>
        <xdr:to>
          <xdr:col>11</xdr:col>
          <xdr:colOff>2009775</xdr:colOff>
          <xdr:row>55</xdr:row>
          <xdr:rowOff>190500</xdr:rowOff>
        </xdr:to>
        <xdr:sp macro="" textlink="">
          <xdr:nvSpPr>
            <xdr:cNvPr id="49379" name="Check Box 1251" hidden="1">
              <a:extLst>
                <a:ext uri="{63B3BB69-23CF-44E3-9099-C40C66FF867C}">
                  <a14:compatExt spid="_x0000_s49379"/>
                </a:ext>
                <a:ext uri="{FF2B5EF4-FFF2-40B4-BE49-F238E27FC236}">
                  <a16:creationId xmlns:a16="http://schemas.microsoft.com/office/drawing/2014/main" id="{00000000-0008-0000-0200-0000E3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Tahoma"/>
                  <a:ea typeface="Tahoma"/>
                  <a:cs typeface="Tahoma"/>
                </a:rPr>
                <a:t>Paying for shipping of defective unit</a:t>
              </a:r>
            </a:p>
          </xdr:txBody>
        </xdr:sp>
        <xdr:clientData/>
      </xdr:twoCellAnchor>
    </mc:Choice>
    <mc:Fallback/>
  </mc:AlternateContent>
  <mc:AlternateContent xmlns:mc="http://schemas.openxmlformats.org/markup-compatibility/2006">
    <mc:Choice xmlns:a14="http://schemas.microsoft.com/office/drawing/2010/main" Requires="a14">
      <xdr:twoCellAnchor>
        <xdr:from>
          <xdr:col>11</xdr:col>
          <xdr:colOff>47625</xdr:colOff>
          <xdr:row>55</xdr:row>
          <xdr:rowOff>171450</xdr:rowOff>
        </xdr:from>
        <xdr:to>
          <xdr:col>11</xdr:col>
          <xdr:colOff>2009775</xdr:colOff>
          <xdr:row>55</xdr:row>
          <xdr:rowOff>352425</xdr:rowOff>
        </xdr:to>
        <xdr:sp macro="" textlink="">
          <xdr:nvSpPr>
            <xdr:cNvPr id="49380" name="Check Box 1252" hidden="1">
              <a:extLst>
                <a:ext uri="{63B3BB69-23CF-44E3-9099-C40C66FF867C}">
                  <a14:compatExt spid="_x0000_s49380"/>
                </a:ext>
                <a:ext uri="{FF2B5EF4-FFF2-40B4-BE49-F238E27FC236}">
                  <a16:creationId xmlns:a16="http://schemas.microsoft.com/office/drawing/2014/main" id="{00000000-0008-0000-0200-0000E4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Tahoma"/>
                  <a:ea typeface="Tahoma"/>
                  <a:cs typeface="Tahoma"/>
                </a:rPr>
                <a:t>CC hold on advance RMA</a:t>
              </a:r>
            </a:p>
          </xdr:txBody>
        </xdr:sp>
        <xdr:clientData/>
      </xdr:twoCellAnchor>
    </mc:Choice>
    <mc:Fallback/>
  </mc:AlternateContent>
  <mc:AlternateContent xmlns:mc="http://schemas.openxmlformats.org/markup-compatibility/2006">
    <mc:Choice xmlns:a14="http://schemas.microsoft.com/office/drawing/2010/main" Requires="a14">
      <xdr:twoCellAnchor>
        <xdr:from>
          <xdr:col>11</xdr:col>
          <xdr:colOff>47625</xdr:colOff>
          <xdr:row>55</xdr:row>
          <xdr:rowOff>342900</xdr:rowOff>
        </xdr:from>
        <xdr:to>
          <xdr:col>11</xdr:col>
          <xdr:colOff>2009775</xdr:colOff>
          <xdr:row>55</xdr:row>
          <xdr:rowOff>523875</xdr:rowOff>
        </xdr:to>
        <xdr:sp macro="" textlink="">
          <xdr:nvSpPr>
            <xdr:cNvPr id="49381" name="Check Box 1253" hidden="1">
              <a:extLst>
                <a:ext uri="{63B3BB69-23CF-44E3-9099-C40C66FF867C}">
                  <a14:compatExt spid="_x0000_s49381"/>
                </a:ext>
                <a:ext uri="{FF2B5EF4-FFF2-40B4-BE49-F238E27FC236}">
                  <a16:creationId xmlns:a16="http://schemas.microsoft.com/office/drawing/2014/main" id="{00000000-0008-0000-0200-0000E5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Tahoma"/>
                  <a:ea typeface="Tahoma"/>
                  <a:cs typeface="Tahoma"/>
                </a:rPr>
                <a:t>Limited Lifetime Warranty Limitations</a:t>
              </a:r>
            </a:p>
          </xdr:txBody>
        </xdr:sp>
        <xdr:clientData/>
      </xdr:twoCellAnchor>
    </mc:Choice>
    <mc:Fallback/>
  </mc:AlternateContent>
  <mc:AlternateContent xmlns:mc="http://schemas.openxmlformats.org/markup-compatibility/2006">
    <mc:Choice xmlns:a14="http://schemas.microsoft.com/office/drawing/2010/main" Requires="a14">
      <xdr:twoCellAnchor>
        <xdr:from>
          <xdr:col>11</xdr:col>
          <xdr:colOff>47625</xdr:colOff>
          <xdr:row>55</xdr:row>
          <xdr:rowOff>495300</xdr:rowOff>
        </xdr:from>
        <xdr:to>
          <xdr:col>11</xdr:col>
          <xdr:colOff>2009775</xdr:colOff>
          <xdr:row>55</xdr:row>
          <xdr:rowOff>676275</xdr:rowOff>
        </xdr:to>
        <xdr:sp macro="" textlink="">
          <xdr:nvSpPr>
            <xdr:cNvPr id="49382" name="Check Box 1254" hidden="1">
              <a:extLst>
                <a:ext uri="{63B3BB69-23CF-44E3-9099-C40C66FF867C}">
                  <a14:compatExt spid="_x0000_s49382"/>
                </a:ext>
                <a:ext uri="{FF2B5EF4-FFF2-40B4-BE49-F238E27FC236}">
                  <a16:creationId xmlns:a16="http://schemas.microsoft.com/office/drawing/2014/main" id="{00000000-0008-0000-0200-0000E6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Tahoma"/>
                  <a:ea typeface="Tahoma"/>
                  <a:cs typeface="Tahoma"/>
                </a:rPr>
                <a:t>No shipping to PO box</a:t>
              </a:r>
            </a:p>
          </xdr:txBody>
        </xdr:sp>
        <xdr:clientData/>
      </xdr:twoCellAnchor>
    </mc:Choice>
    <mc:Fallback/>
  </mc:AlternateContent>
  <mc:AlternateContent xmlns:mc="http://schemas.openxmlformats.org/markup-compatibility/2006">
    <mc:Choice xmlns:a14="http://schemas.microsoft.com/office/drawing/2010/main" Requires="a14">
      <xdr:twoCellAnchor>
        <xdr:from>
          <xdr:col>11</xdr:col>
          <xdr:colOff>47625</xdr:colOff>
          <xdr:row>55</xdr:row>
          <xdr:rowOff>657225</xdr:rowOff>
        </xdr:from>
        <xdr:to>
          <xdr:col>11</xdr:col>
          <xdr:colOff>2009775</xdr:colOff>
          <xdr:row>55</xdr:row>
          <xdr:rowOff>838200</xdr:rowOff>
        </xdr:to>
        <xdr:sp macro="" textlink="">
          <xdr:nvSpPr>
            <xdr:cNvPr id="49383" name="Check Box 1255" hidden="1">
              <a:extLst>
                <a:ext uri="{63B3BB69-23CF-44E3-9099-C40C66FF867C}">
                  <a14:compatExt spid="_x0000_s49383"/>
                </a:ext>
                <a:ext uri="{FF2B5EF4-FFF2-40B4-BE49-F238E27FC236}">
                  <a16:creationId xmlns:a16="http://schemas.microsoft.com/office/drawing/2014/main" id="{00000000-0008-0000-0200-0000E7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Tahoma"/>
                  <a:ea typeface="Tahoma"/>
                  <a:cs typeface="Tahoma"/>
                </a:rPr>
                <a:t>Regional policies</a:t>
              </a:r>
            </a:p>
          </xdr:txBody>
        </xdr:sp>
        <xdr:clientData/>
      </xdr:twoCellAnchor>
    </mc:Choice>
    <mc:Fallback/>
  </mc:AlternateContent>
  <mc:AlternateContent xmlns:mc="http://schemas.openxmlformats.org/markup-compatibility/2006">
    <mc:Choice xmlns:a14="http://schemas.microsoft.com/office/drawing/2010/main" Requires="a14">
      <xdr:twoCellAnchor>
        <xdr:from>
          <xdr:col>11</xdr:col>
          <xdr:colOff>2514600</xdr:colOff>
          <xdr:row>55</xdr:row>
          <xdr:rowOff>9525</xdr:rowOff>
        </xdr:from>
        <xdr:to>
          <xdr:col>12</xdr:col>
          <xdr:colOff>762000</xdr:colOff>
          <xdr:row>55</xdr:row>
          <xdr:rowOff>190500</xdr:rowOff>
        </xdr:to>
        <xdr:sp macro="" textlink="">
          <xdr:nvSpPr>
            <xdr:cNvPr id="49384" name="Check Box 1256" hidden="1">
              <a:extLst>
                <a:ext uri="{63B3BB69-23CF-44E3-9099-C40C66FF867C}">
                  <a14:compatExt spid="_x0000_s49384"/>
                </a:ext>
                <a:ext uri="{FF2B5EF4-FFF2-40B4-BE49-F238E27FC236}">
                  <a16:creationId xmlns:a16="http://schemas.microsoft.com/office/drawing/2014/main" id="{00000000-0008-0000-0200-0000E8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Tahoma"/>
                  <a:ea typeface="Tahoma"/>
                  <a:cs typeface="Tahoma"/>
                </a:rPr>
                <a:t>Whole unit replacement</a:t>
              </a:r>
            </a:p>
          </xdr:txBody>
        </xdr:sp>
        <xdr:clientData/>
      </xdr:twoCellAnchor>
    </mc:Choice>
    <mc:Fallback/>
  </mc:AlternateContent>
  <mc:AlternateContent xmlns:mc="http://schemas.openxmlformats.org/markup-compatibility/2006">
    <mc:Choice xmlns:a14="http://schemas.microsoft.com/office/drawing/2010/main" Requires="a14">
      <xdr:twoCellAnchor>
        <xdr:from>
          <xdr:col>11</xdr:col>
          <xdr:colOff>2514600</xdr:colOff>
          <xdr:row>55</xdr:row>
          <xdr:rowOff>171450</xdr:rowOff>
        </xdr:from>
        <xdr:to>
          <xdr:col>12</xdr:col>
          <xdr:colOff>762000</xdr:colOff>
          <xdr:row>55</xdr:row>
          <xdr:rowOff>352425</xdr:rowOff>
        </xdr:to>
        <xdr:sp macro="" textlink="">
          <xdr:nvSpPr>
            <xdr:cNvPr id="49385" name="Check Box 1257" hidden="1">
              <a:extLst>
                <a:ext uri="{63B3BB69-23CF-44E3-9099-C40C66FF867C}">
                  <a14:compatExt spid="_x0000_s49385"/>
                </a:ext>
                <a:ext uri="{FF2B5EF4-FFF2-40B4-BE49-F238E27FC236}">
                  <a16:creationId xmlns:a16="http://schemas.microsoft.com/office/drawing/2014/main" id="{00000000-0008-0000-0200-0000E9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Tahoma"/>
                  <a:ea typeface="Tahoma"/>
                  <a:cs typeface="Tahoma"/>
                </a:rPr>
                <a:t>EOL (webcredit)</a:t>
              </a:r>
            </a:p>
          </xdr:txBody>
        </xdr:sp>
        <xdr:clientData/>
      </xdr:twoCellAnchor>
    </mc:Choice>
    <mc:Fallback/>
  </mc:AlternateContent>
  <mc:AlternateContent xmlns:mc="http://schemas.openxmlformats.org/markup-compatibility/2006">
    <mc:Choice xmlns:a14="http://schemas.microsoft.com/office/drawing/2010/main" Requires="a14">
      <xdr:twoCellAnchor>
        <xdr:from>
          <xdr:col>11</xdr:col>
          <xdr:colOff>2514600</xdr:colOff>
          <xdr:row>55</xdr:row>
          <xdr:rowOff>342900</xdr:rowOff>
        </xdr:from>
        <xdr:to>
          <xdr:col>12</xdr:col>
          <xdr:colOff>762000</xdr:colOff>
          <xdr:row>55</xdr:row>
          <xdr:rowOff>523875</xdr:rowOff>
        </xdr:to>
        <xdr:sp macro="" textlink="">
          <xdr:nvSpPr>
            <xdr:cNvPr id="49386" name="Check Box 1258" hidden="1">
              <a:extLst>
                <a:ext uri="{63B3BB69-23CF-44E3-9099-C40C66FF867C}">
                  <a14:compatExt spid="_x0000_s49386"/>
                </a:ext>
                <a:ext uri="{FF2B5EF4-FFF2-40B4-BE49-F238E27FC236}">
                  <a16:creationId xmlns:a16="http://schemas.microsoft.com/office/drawing/2014/main" id="{00000000-0008-0000-0200-0000EA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Tahoma"/>
                  <a:ea typeface="Tahoma"/>
                  <a:cs typeface="Tahoma"/>
                </a:rPr>
                <a:t>EOL with Limited Lifetime Warranty</a:t>
              </a:r>
            </a:p>
          </xdr:txBody>
        </xdr:sp>
        <xdr:clientData/>
      </xdr:twoCellAnchor>
    </mc:Choice>
    <mc:Fallback/>
  </mc:AlternateContent>
  <mc:AlternateContent xmlns:mc="http://schemas.openxmlformats.org/markup-compatibility/2006">
    <mc:Choice xmlns:a14="http://schemas.microsoft.com/office/drawing/2010/main" Requires="a14">
      <xdr:twoCellAnchor>
        <xdr:from>
          <xdr:col>11</xdr:col>
          <xdr:colOff>2514600</xdr:colOff>
          <xdr:row>55</xdr:row>
          <xdr:rowOff>495300</xdr:rowOff>
        </xdr:from>
        <xdr:to>
          <xdr:col>12</xdr:col>
          <xdr:colOff>762000</xdr:colOff>
          <xdr:row>55</xdr:row>
          <xdr:rowOff>676275</xdr:rowOff>
        </xdr:to>
        <xdr:sp macro="" textlink="">
          <xdr:nvSpPr>
            <xdr:cNvPr id="49387" name="Check Box 1259" hidden="1">
              <a:extLst>
                <a:ext uri="{63B3BB69-23CF-44E3-9099-C40C66FF867C}">
                  <a14:compatExt spid="_x0000_s49387"/>
                </a:ext>
                <a:ext uri="{FF2B5EF4-FFF2-40B4-BE49-F238E27FC236}">
                  <a16:creationId xmlns:a16="http://schemas.microsoft.com/office/drawing/2014/main" id="{00000000-0008-0000-0200-0000EB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Tahoma"/>
                  <a:ea typeface="Tahoma"/>
                  <a:cs typeface="Tahoma"/>
                </a:rPr>
                <a:t>Comparable replacement</a:t>
              </a:r>
            </a:p>
          </xdr:txBody>
        </xdr:sp>
        <xdr:clientData/>
      </xdr:twoCellAnchor>
    </mc:Choice>
    <mc:Fallback/>
  </mc:AlternateContent>
  <mc:AlternateContent xmlns:mc="http://schemas.openxmlformats.org/markup-compatibility/2006">
    <mc:Choice xmlns:a14="http://schemas.microsoft.com/office/drawing/2010/main" Requires="a14">
      <xdr:twoCellAnchor>
        <xdr:from>
          <xdr:col>11</xdr:col>
          <xdr:colOff>2514600</xdr:colOff>
          <xdr:row>55</xdr:row>
          <xdr:rowOff>657225</xdr:rowOff>
        </xdr:from>
        <xdr:to>
          <xdr:col>12</xdr:col>
          <xdr:colOff>762000</xdr:colOff>
          <xdr:row>55</xdr:row>
          <xdr:rowOff>838200</xdr:rowOff>
        </xdr:to>
        <xdr:sp macro="" textlink="">
          <xdr:nvSpPr>
            <xdr:cNvPr id="49388" name="Check Box 1260" hidden="1">
              <a:extLst>
                <a:ext uri="{63B3BB69-23CF-44E3-9099-C40C66FF867C}">
                  <a14:compatExt spid="_x0000_s49388"/>
                </a:ext>
                <a:ext uri="{FF2B5EF4-FFF2-40B4-BE49-F238E27FC236}">
                  <a16:creationId xmlns:a16="http://schemas.microsoft.com/office/drawing/2014/main" id="{00000000-0008-0000-0200-0000EC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Tahoma"/>
                  <a:ea typeface="Tahoma"/>
                  <a:cs typeface="Tahoma"/>
                </a:rPr>
                <a:t>Back Order</a:t>
              </a:r>
            </a:p>
          </xdr:txBody>
        </xdr:sp>
        <xdr:clientData/>
      </xdr:twoCellAnchor>
    </mc:Choice>
    <mc:Fallback/>
  </mc:AlternateContent>
  <mc:AlternateContent xmlns:mc="http://schemas.openxmlformats.org/markup-compatibility/2006">
    <mc:Choice xmlns:a14="http://schemas.microsoft.com/office/drawing/2010/main" Requires="a14">
      <xdr:twoCellAnchor>
        <xdr:from>
          <xdr:col>12</xdr:col>
          <xdr:colOff>885825</xdr:colOff>
          <xdr:row>55</xdr:row>
          <xdr:rowOff>9525</xdr:rowOff>
        </xdr:from>
        <xdr:to>
          <xdr:col>12</xdr:col>
          <xdr:colOff>2952750</xdr:colOff>
          <xdr:row>55</xdr:row>
          <xdr:rowOff>190500</xdr:rowOff>
        </xdr:to>
        <xdr:sp macro="" textlink="">
          <xdr:nvSpPr>
            <xdr:cNvPr id="49389" name="Check Box 1261" hidden="1">
              <a:extLst>
                <a:ext uri="{63B3BB69-23CF-44E3-9099-C40C66FF867C}">
                  <a14:compatExt spid="_x0000_s49389"/>
                </a:ext>
                <a:ext uri="{FF2B5EF4-FFF2-40B4-BE49-F238E27FC236}">
                  <a16:creationId xmlns:a16="http://schemas.microsoft.com/office/drawing/2014/main" id="{00000000-0008-0000-0200-0000ED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Tahoma"/>
                  <a:ea typeface="Tahoma"/>
                  <a:cs typeface="Tahoma"/>
                </a:rPr>
                <a:t>Model Upgrade</a:t>
              </a:r>
            </a:p>
          </xdr:txBody>
        </xdr:sp>
        <xdr:clientData/>
      </xdr:twoCellAnchor>
    </mc:Choice>
    <mc:Fallback/>
  </mc:AlternateContent>
  <mc:AlternateContent xmlns:mc="http://schemas.openxmlformats.org/markup-compatibility/2006">
    <mc:Choice xmlns:a14="http://schemas.microsoft.com/office/drawing/2010/main" Requires="a14">
      <xdr:twoCellAnchor>
        <xdr:from>
          <xdr:col>12</xdr:col>
          <xdr:colOff>885825</xdr:colOff>
          <xdr:row>55</xdr:row>
          <xdr:rowOff>171450</xdr:rowOff>
        </xdr:from>
        <xdr:to>
          <xdr:col>12</xdr:col>
          <xdr:colOff>2952750</xdr:colOff>
          <xdr:row>55</xdr:row>
          <xdr:rowOff>352425</xdr:rowOff>
        </xdr:to>
        <xdr:sp macro="" textlink="">
          <xdr:nvSpPr>
            <xdr:cNvPr id="49390" name="Check Box 1262" hidden="1">
              <a:extLst>
                <a:ext uri="{63B3BB69-23CF-44E3-9099-C40C66FF867C}">
                  <a14:compatExt spid="_x0000_s49390"/>
                </a:ext>
                <a:ext uri="{FF2B5EF4-FFF2-40B4-BE49-F238E27FC236}">
                  <a16:creationId xmlns:a16="http://schemas.microsoft.com/office/drawing/2014/main" id="{00000000-0008-0000-0200-0000EE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Tahoma"/>
                  <a:ea typeface="Tahoma"/>
                  <a:cs typeface="Tahoma"/>
                </a:rPr>
                <a:t>Model Exchange</a:t>
              </a:r>
            </a:p>
          </xdr:txBody>
        </xdr:sp>
        <xdr:clientData/>
      </xdr:twoCellAnchor>
    </mc:Choice>
    <mc:Fallback/>
  </mc:AlternateContent>
  <mc:AlternateContent xmlns:mc="http://schemas.openxmlformats.org/markup-compatibility/2006">
    <mc:Choice xmlns:a14="http://schemas.microsoft.com/office/drawing/2010/main" Requires="a14">
      <xdr:twoCellAnchor>
        <xdr:from>
          <xdr:col>12</xdr:col>
          <xdr:colOff>885825</xdr:colOff>
          <xdr:row>55</xdr:row>
          <xdr:rowOff>342900</xdr:rowOff>
        </xdr:from>
        <xdr:to>
          <xdr:col>12</xdr:col>
          <xdr:colOff>2952750</xdr:colOff>
          <xdr:row>55</xdr:row>
          <xdr:rowOff>523875</xdr:rowOff>
        </xdr:to>
        <xdr:sp macro="" textlink="">
          <xdr:nvSpPr>
            <xdr:cNvPr id="49391" name="Check Box 1263" hidden="1">
              <a:extLst>
                <a:ext uri="{63B3BB69-23CF-44E3-9099-C40C66FF867C}">
                  <a14:compatExt spid="_x0000_s49391"/>
                </a:ext>
                <a:ext uri="{FF2B5EF4-FFF2-40B4-BE49-F238E27FC236}">
                  <a16:creationId xmlns:a16="http://schemas.microsoft.com/office/drawing/2014/main" id="{00000000-0008-0000-0200-0000EF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Tahoma"/>
                  <a:ea typeface="Tahoma"/>
                  <a:cs typeface="Tahoma"/>
                </a:rPr>
                <a:t>Credit Card Limitation</a:t>
              </a:r>
            </a:p>
          </xdr:txBody>
        </xdr:sp>
        <xdr:clientData/>
      </xdr:twoCellAnchor>
    </mc:Choice>
    <mc:Fallback/>
  </mc:AlternateContent>
  <mc:AlternateContent xmlns:mc="http://schemas.openxmlformats.org/markup-compatibility/2006">
    <mc:Choice xmlns:a14="http://schemas.microsoft.com/office/drawing/2010/main" Requires="a14">
      <xdr:twoCellAnchor>
        <xdr:from>
          <xdr:col>12</xdr:col>
          <xdr:colOff>885825</xdr:colOff>
          <xdr:row>55</xdr:row>
          <xdr:rowOff>495300</xdr:rowOff>
        </xdr:from>
        <xdr:to>
          <xdr:col>12</xdr:col>
          <xdr:colOff>2952750</xdr:colOff>
          <xdr:row>55</xdr:row>
          <xdr:rowOff>676275</xdr:rowOff>
        </xdr:to>
        <xdr:sp macro="" textlink="">
          <xdr:nvSpPr>
            <xdr:cNvPr id="49392" name="Check Box 1264" hidden="1">
              <a:extLst>
                <a:ext uri="{63B3BB69-23CF-44E3-9099-C40C66FF867C}">
                  <a14:compatExt spid="_x0000_s49392"/>
                </a:ext>
                <a:ext uri="{FF2B5EF4-FFF2-40B4-BE49-F238E27FC236}">
                  <a16:creationId xmlns:a16="http://schemas.microsoft.com/office/drawing/2014/main" id="{00000000-0008-0000-0200-0000F0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Tahoma"/>
                  <a:ea typeface="Tahoma"/>
                  <a:cs typeface="Tahoma"/>
                </a:rPr>
                <a:t>Charge for expedited shipping</a:t>
              </a:r>
            </a:p>
          </xdr:txBody>
        </xdr:sp>
        <xdr:clientData/>
      </xdr:twoCellAnchor>
    </mc:Choice>
    <mc:Fallback/>
  </mc:AlternateContent>
  <mc:AlternateContent xmlns:mc="http://schemas.openxmlformats.org/markup-compatibility/2006">
    <mc:Choice xmlns:a14="http://schemas.microsoft.com/office/drawing/2010/main" Requires="a14">
      <xdr:twoCellAnchor>
        <xdr:from>
          <xdr:col>12</xdr:col>
          <xdr:colOff>885825</xdr:colOff>
          <xdr:row>55</xdr:row>
          <xdr:rowOff>657225</xdr:rowOff>
        </xdr:from>
        <xdr:to>
          <xdr:col>12</xdr:col>
          <xdr:colOff>2952750</xdr:colOff>
          <xdr:row>55</xdr:row>
          <xdr:rowOff>838200</xdr:rowOff>
        </xdr:to>
        <xdr:sp macro="" textlink="">
          <xdr:nvSpPr>
            <xdr:cNvPr id="49393" name="Check Box 1265" hidden="1">
              <a:extLst>
                <a:ext uri="{63B3BB69-23CF-44E3-9099-C40C66FF867C}">
                  <a14:compatExt spid="_x0000_s49393"/>
                </a:ext>
                <a:ext uri="{FF2B5EF4-FFF2-40B4-BE49-F238E27FC236}">
                  <a16:creationId xmlns:a16="http://schemas.microsoft.com/office/drawing/2014/main" id="{00000000-0008-0000-0200-0000F1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Tahoma"/>
                  <a:ea typeface="Tahoma"/>
                  <a:cs typeface="Tahoma"/>
                </a:rPr>
                <a:t>Need to send the defective product</a:t>
              </a:r>
            </a:p>
          </xdr:txBody>
        </xdr:sp>
        <xdr:clientData/>
      </xdr:twoCellAnchor>
    </mc:Choice>
    <mc:Fallback/>
  </mc:AlternateContent>
  <mc:AlternateContent xmlns:mc="http://schemas.openxmlformats.org/markup-compatibility/2006">
    <mc:Choice xmlns:a14="http://schemas.microsoft.com/office/drawing/2010/main" Requires="a14">
      <xdr:twoCellAnchor>
        <xdr:from>
          <xdr:col>12</xdr:col>
          <xdr:colOff>3152775</xdr:colOff>
          <xdr:row>55</xdr:row>
          <xdr:rowOff>9525</xdr:rowOff>
        </xdr:from>
        <xdr:to>
          <xdr:col>13</xdr:col>
          <xdr:colOff>1400175</xdr:colOff>
          <xdr:row>55</xdr:row>
          <xdr:rowOff>190500</xdr:rowOff>
        </xdr:to>
        <xdr:sp macro="" textlink="">
          <xdr:nvSpPr>
            <xdr:cNvPr id="49405" name="Check Box 1277" hidden="1">
              <a:extLst>
                <a:ext uri="{63B3BB69-23CF-44E3-9099-C40C66FF867C}">
                  <a14:compatExt spid="_x0000_s49405"/>
                </a:ext>
                <a:ext uri="{FF2B5EF4-FFF2-40B4-BE49-F238E27FC236}">
                  <a16:creationId xmlns:a16="http://schemas.microsoft.com/office/drawing/2014/main" id="{00000000-0008-0000-0200-0000FD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Tahoma"/>
                  <a:ea typeface="Tahoma"/>
                  <a:cs typeface="Tahoma"/>
                </a:rPr>
                <a:t>POP required for RMA approval</a:t>
              </a:r>
            </a:p>
          </xdr:txBody>
        </xdr:sp>
        <xdr:clientData/>
      </xdr:twoCellAnchor>
    </mc:Choice>
    <mc:Fallback/>
  </mc:AlternateContent>
  <mc:AlternateContent xmlns:mc="http://schemas.openxmlformats.org/markup-compatibility/2006">
    <mc:Choice xmlns:a14="http://schemas.microsoft.com/office/drawing/2010/main" Requires="a14">
      <xdr:twoCellAnchor>
        <xdr:from>
          <xdr:col>12</xdr:col>
          <xdr:colOff>3152775</xdr:colOff>
          <xdr:row>55</xdr:row>
          <xdr:rowOff>171450</xdr:rowOff>
        </xdr:from>
        <xdr:to>
          <xdr:col>13</xdr:col>
          <xdr:colOff>1400175</xdr:colOff>
          <xdr:row>55</xdr:row>
          <xdr:rowOff>352425</xdr:rowOff>
        </xdr:to>
        <xdr:sp macro="" textlink="">
          <xdr:nvSpPr>
            <xdr:cNvPr id="49406" name="Check Box 1278" hidden="1">
              <a:extLst>
                <a:ext uri="{63B3BB69-23CF-44E3-9099-C40C66FF867C}">
                  <a14:compatExt spid="_x0000_s49406"/>
                </a:ext>
                <a:ext uri="{FF2B5EF4-FFF2-40B4-BE49-F238E27FC236}">
                  <a16:creationId xmlns:a16="http://schemas.microsoft.com/office/drawing/2014/main" id="{00000000-0008-0000-0200-0000FE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Tahoma"/>
                  <a:ea typeface="Tahoma"/>
                  <a:cs typeface="Tahoma"/>
                </a:rPr>
                <a:t>Replacement denied</a:t>
              </a:r>
            </a:p>
          </xdr:txBody>
        </xdr:sp>
        <xdr:clientData/>
      </xdr:twoCellAnchor>
    </mc:Choice>
    <mc:Fallback/>
  </mc:AlternateContent>
  <mc:AlternateContent xmlns:mc="http://schemas.openxmlformats.org/markup-compatibility/2006">
    <mc:Choice xmlns:a14="http://schemas.microsoft.com/office/drawing/2010/main" Requires="a14">
      <xdr:twoCellAnchor>
        <xdr:from>
          <xdr:col>12</xdr:col>
          <xdr:colOff>3152775</xdr:colOff>
          <xdr:row>55</xdr:row>
          <xdr:rowOff>342900</xdr:rowOff>
        </xdr:from>
        <xdr:to>
          <xdr:col>13</xdr:col>
          <xdr:colOff>1400175</xdr:colOff>
          <xdr:row>55</xdr:row>
          <xdr:rowOff>523875</xdr:rowOff>
        </xdr:to>
        <xdr:sp macro="" textlink="">
          <xdr:nvSpPr>
            <xdr:cNvPr id="49407" name="Check Box 1279" hidden="1">
              <a:extLst>
                <a:ext uri="{63B3BB69-23CF-44E3-9099-C40C66FF867C}">
                  <a14:compatExt spid="_x0000_s49407"/>
                </a:ext>
                <a:ext uri="{FF2B5EF4-FFF2-40B4-BE49-F238E27FC236}">
                  <a16:creationId xmlns:a16="http://schemas.microsoft.com/office/drawing/2014/main" id="{00000000-0008-0000-0200-0000FF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Tahoma"/>
                  <a:ea typeface="Tahoma"/>
                  <a:cs typeface="Tahoma"/>
                </a:rPr>
                <a:t>Pre-Paid Label</a:t>
              </a:r>
            </a:p>
          </xdr:txBody>
        </xdr:sp>
        <xdr:clientData/>
      </xdr:twoCellAnchor>
    </mc:Choice>
    <mc:Fallback/>
  </mc:AlternateContent>
  <mc:AlternateContent xmlns:mc="http://schemas.openxmlformats.org/markup-compatibility/2006">
    <mc:Choice xmlns:a14="http://schemas.microsoft.com/office/drawing/2010/main" Requires="a14">
      <xdr:twoCellAnchor>
        <xdr:from>
          <xdr:col>11</xdr:col>
          <xdr:colOff>47625</xdr:colOff>
          <xdr:row>57</xdr:row>
          <xdr:rowOff>9525</xdr:rowOff>
        </xdr:from>
        <xdr:to>
          <xdr:col>11</xdr:col>
          <xdr:colOff>2009775</xdr:colOff>
          <xdr:row>57</xdr:row>
          <xdr:rowOff>190500</xdr:rowOff>
        </xdr:to>
        <xdr:sp macro="" textlink="">
          <xdr:nvSpPr>
            <xdr:cNvPr id="49410" name="Check Box 1282" hidden="1">
              <a:extLst>
                <a:ext uri="{63B3BB69-23CF-44E3-9099-C40C66FF867C}">
                  <a14:compatExt spid="_x0000_s49410"/>
                </a:ext>
                <a:ext uri="{FF2B5EF4-FFF2-40B4-BE49-F238E27FC236}">
                  <a16:creationId xmlns:a16="http://schemas.microsoft.com/office/drawing/2014/main" id="{00000000-0008-0000-0200-000002C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Tahoma"/>
                  <a:ea typeface="Tahoma"/>
                  <a:cs typeface="Tahoma"/>
                </a:rPr>
                <a:t>Bank Time frame</a:t>
              </a:r>
            </a:p>
          </xdr:txBody>
        </xdr:sp>
        <xdr:clientData/>
      </xdr:twoCellAnchor>
    </mc:Choice>
    <mc:Fallback/>
  </mc:AlternateContent>
  <mc:AlternateContent xmlns:mc="http://schemas.openxmlformats.org/markup-compatibility/2006">
    <mc:Choice xmlns:a14="http://schemas.microsoft.com/office/drawing/2010/main" Requires="a14">
      <xdr:twoCellAnchor>
        <xdr:from>
          <xdr:col>11</xdr:col>
          <xdr:colOff>47625</xdr:colOff>
          <xdr:row>57</xdr:row>
          <xdr:rowOff>171450</xdr:rowOff>
        </xdr:from>
        <xdr:to>
          <xdr:col>11</xdr:col>
          <xdr:colOff>2009775</xdr:colOff>
          <xdr:row>57</xdr:row>
          <xdr:rowOff>352425</xdr:rowOff>
        </xdr:to>
        <xdr:sp macro="" textlink="">
          <xdr:nvSpPr>
            <xdr:cNvPr id="49411" name="Check Box 1283" hidden="1">
              <a:extLst>
                <a:ext uri="{63B3BB69-23CF-44E3-9099-C40C66FF867C}">
                  <a14:compatExt spid="_x0000_s49411"/>
                </a:ext>
                <a:ext uri="{FF2B5EF4-FFF2-40B4-BE49-F238E27FC236}">
                  <a16:creationId xmlns:a16="http://schemas.microsoft.com/office/drawing/2014/main" id="{00000000-0008-0000-0200-000003C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Tahoma"/>
                  <a:ea typeface="Tahoma"/>
                  <a:cs typeface="Tahoma"/>
                </a:rPr>
                <a:t>Refund SLA - Cheque or Credit Card</a:t>
              </a:r>
            </a:p>
          </xdr:txBody>
        </xdr:sp>
        <xdr:clientData/>
      </xdr:twoCellAnchor>
    </mc:Choice>
    <mc:Fallback/>
  </mc:AlternateContent>
  <mc:AlternateContent xmlns:mc="http://schemas.openxmlformats.org/markup-compatibility/2006">
    <mc:Choice xmlns:a14="http://schemas.microsoft.com/office/drawing/2010/main" Requires="a14">
      <xdr:twoCellAnchor>
        <xdr:from>
          <xdr:col>11</xdr:col>
          <xdr:colOff>47625</xdr:colOff>
          <xdr:row>59</xdr:row>
          <xdr:rowOff>9525</xdr:rowOff>
        </xdr:from>
        <xdr:to>
          <xdr:col>11</xdr:col>
          <xdr:colOff>2009775</xdr:colOff>
          <xdr:row>59</xdr:row>
          <xdr:rowOff>190500</xdr:rowOff>
        </xdr:to>
        <xdr:sp macro="" textlink="">
          <xdr:nvSpPr>
            <xdr:cNvPr id="49432" name="Check Box 1304" hidden="1">
              <a:extLst>
                <a:ext uri="{63B3BB69-23CF-44E3-9099-C40C66FF867C}">
                  <a14:compatExt spid="_x0000_s49432"/>
                </a:ext>
                <a:ext uri="{FF2B5EF4-FFF2-40B4-BE49-F238E27FC236}">
                  <a16:creationId xmlns:a16="http://schemas.microsoft.com/office/drawing/2014/main" id="{00000000-0008-0000-0200-000018C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Tahoma"/>
                  <a:ea typeface="Tahoma"/>
                  <a:cs typeface="Tahoma"/>
                </a:rPr>
                <a:t>Case for Observation</a:t>
              </a:r>
            </a:p>
          </xdr:txBody>
        </xdr:sp>
        <xdr:clientData/>
      </xdr:twoCellAnchor>
    </mc:Choice>
    <mc:Fallback/>
  </mc:AlternateContent>
  <mc:AlternateContent xmlns:mc="http://schemas.openxmlformats.org/markup-compatibility/2006">
    <mc:Choice xmlns:a14="http://schemas.microsoft.com/office/drawing/2010/main" Requires="a14">
      <xdr:twoCellAnchor>
        <xdr:from>
          <xdr:col>11</xdr:col>
          <xdr:colOff>47625</xdr:colOff>
          <xdr:row>59</xdr:row>
          <xdr:rowOff>171450</xdr:rowOff>
        </xdr:from>
        <xdr:to>
          <xdr:col>11</xdr:col>
          <xdr:colOff>2009775</xdr:colOff>
          <xdr:row>59</xdr:row>
          <xdr:rowOff>352425</xdr:rowOff>
        </xdr:to>
        <xdr:sp macro="" textlink="">
          <xdr:nvSpPr>
            <xdr:cNvPr id="49433" name="Check Box 1305" hidden="1">
              <a:extLst>
                <a:ext uri="{63B3BB69-23CF-44E3-9099-C40C66FF867C}">
                  <a14:compatExt spid="_x0000_s49433"/>
                </a:ext>
                <a:ext uri="{FF2B5EF4-FFF2-40B4-BE49-F238E27FC236}">
                  <a16:creationId xmlns:a16="http://schemas.microsoft.com/office/drawing/2014/main" id="{00000000-0008-0000-0200-000019C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Tahoma"/>
                  <a:ea typeface="Tahoma"/>
                  <a:cs typeface="Tahoma"/>
                </a:rPr>
                <a:t>Callout Threshold</a:t>
              </a:r>
            </a:p>
          </xdr:txBody>
        </xdr:sp>
        <xdr:clientData/>
      </xdr:twoCellAnchor>
    </mc:Choice>
    <mc:Fallback/>
  </mc:AlternateContent>
  <mc:AlternateContent xmlns:mc="http://schemas.openxmlformats.org/markup-compatibility/2006">
    <mc:Choice xmlns:a14="http://schemas.microsoft.com/office/drawing/2010/main" Requires="a14">
      <xdr:twoCellAnchor>
        <xdr:from>
          <xdr:col>11</xdr:col>
          <xdr:colOff>47625</xdr:colOff>
          <xdr:row>59</xdr:row>
          <xdr:rowOff>342900</xdr:rowOff>
        </xdr:from>
        <xdr:to>
          <xdr:col>11</xdr:col>
          <xdr:colOff>2009775</xdr:colOff>
          <xdr:row>59</xdr:row>
          <xdr:rowOff>523875</xdr:rowOff>
        </xdr:to>
        <xdr:sp macro="" textlink="">
          <xdr:nvSpPr>
            <xdr:cNvPr id="49434" name="Check Box 1306" hidden="1">
              <a:extLst>
                <a:ext uri="{63B3BB69-23CF-44E3-9099-C40C66FF867C}">
                  <a14:compatExt spid="_x0000_s49434"/>
                </a:ext>
                <a:ext uri="{FF2B5EF4-FFF2-40B4-BE49-F238E27FC236}">
                  <a16:creationId xmlns:a16="http://schemas.microsoft.com/office/drawing/2014/main" id="{00000000-0008-0000-0200-00001AC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Tahoma"/>
                  <a:ea typeface="Tahoma"/>
                  <a:cs typeface="Tahoma"/>
                </a:rPr>
                <a:t>Regional Regulations</a:t>
              </a:r>
            </a:p>
          </xdr:txBody>
        </xdr:sp>
        <xdr:clientData/>
      </xdr:twoCellAnchor>
    </mc:Choice>
    <mc:Fallback/>
  </mc:AlternateContent>
  <mc:AlternateContent xmlns:mc="http://schemas.openxmlformats.org/markup-compatibility/2006">
    <mc:Choice xmlns:a14="http://schemas.microsoft.com/office/drawing/2010/main" Requires="a14">
      <xdr:twoCellAnchor>
        <xdr:from>
          <xdr:col>11</xdr:col>
          <xdr:colOff>47625</xdr:colOff>
          <xdr:row>60</xdr:row>
          <xdr:rowOff>9525</xdr:rowOff>
        </xdr:from>
        <xdr:to>
          <xdr:col>11</xdr:col>
          <xdr:colOff>2009775</xdr:colOff>
          <xdr:row>60</xdr:row>
          <xdr:rowOff>190500</xdr:rowOff>
        </xdr:to>
        <xdr:sp macro="" textlink="">
          <xdr:nvSpPr>
            <xdr:cNvPr id="49435" name="Check Box 1307" hidden="1">
              <a:extLst>
                <a:ext uri="{63B3BB69-23CF-44E3-9099-C40C66FF867C}">
                  <a14:compatExt spid="_x0000_s49435"/>
                </a:ext>
                <a:ext uri="{FF2B5EF4-FFF2-40B4-BE49-F238E27FC236}">
                  <a16:creationId xmlns:a16="http://schemas.microsoft.com/office/drawing/2014/main" id="{00000000-0008-0000-0200-00001BC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Tahoma"/>
                  <a:ea typeface="Tahoma"/>
                  <a:cs typeface="Tahoma"/>
                </a:rPr>
                <a:t>Queue volume - Beyond SLA</a:t>
              </a:r>
            </a:p>
          </xdr:txBody>
        </xdr:sp>
        <xdr:clientData/>
      </xdr:twoCellAnchor>
    </mc:Choice>
    <mc:Fallback/>
  </mc:AlternateContent>
  <mc:AlternateContent xmlns:mc="http://schemas.openxmlformats.org/markup-compatibility/2006">
    <mc:Choice xmlns:a14="http://schemas.microsoft.com/office/drawing/2010/main" Requires="a14">
      <xdr:twoCellAnchor>
        <xdr:from>
          <xdr:col>11</xdr:col>
          <xdr:colOff>47625</xdr:colOff>
          <xdr:row>60</xdr:row>
          <xdr:rowOff>171450</xdr:rowOff>
        </xdr:from>
        <xdr:to>
          <xdr:col>11</xdr:col>
          <xdr:colOff>2009775</xdr:colOff>
          <xdr:row>60</xdr:row>
          <xdr:rowOff>352425</xdr:rowOff>
        </xdr:to>
        <xdr:sp macro="" textlink="">
          <xdr:nvSpPr>
            <xdr:cNvPr id="49436" name="Check Box 1308" hidden="1">
              <a:extLst>
                <a:ext uri="{63B3BB69-23CF-44E3-9099-C40C66FF867C}">
                  <a14:compatExt spid="_x0000_s49436"/>
                </a:ext>
                <a:ext uri="{FF2B5EF4-FFF2-40B4-BE49-F238E27FC236}">
                  <a16:creationId xmlns:a16="http://schemas.microsoft.com/office/drawing/2014/main" id="{00000000-0008-0000-0200-00001CC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Tahoma"/>
                  <a:ea typeface="Tahoma"/>
                  <a:cs typeface="Tahoma"/>
                </a:rPr>
                <a:t>Undefined SLA</a:t>
              </a:r>
            </a:p>
          </xdr:txBody>
        </xdr:sp>
        <xdr:clientData/>
      </xdr:twoCellAnchor>
    </mc:Choice>
    <mc:Fallback/>
  </mc:AlternateContent>
  <mc:AlternateContent xmlns:mc="http://schemas.openxmlformats.org/markup-compatibility/2006">
    <mc:Choice xmlns:a14="http://schemas.microsoft.com/office/drawing/2010/main" Requires="a14">
      <xdr:twoCellAnchor>
        <xdr:from>
          <xdr:col>11</xdr:col>
          <xdr:colOff>47625</xdr:colOff>
          <xdr:row>60</xdr:row>
          <xdr:rowOff>342900</xdr:rowOff>
        </xdr:from>
        <xdr:to>
          <xdr:col>11</xdr:col>
          <xdr:colOff>2009775</xdr:colOff>
          <xdr:row>60</xdr:row>
          <xdr:rowOff>523875</xdr:rowOff>
        </xdr:to>
        <xdr:sp macro="" textlink="">
          <xdr:nvSpPr>
            <xdr:cNvPr id="49437" name="Check Box 1309" hidden="1">
              <a:extLst>
                <a:ext uri="{63B3BB69-23CF-44E3-9099-C40C66FF867C}">
                  <a14:compatExt spid="_x0000_s49437"/>
                </a:ext>
                <a:ext uri="{FF2B5EF4-FFF2-40B4-BE49-F238E27FC236}">
                  <a16:creationId xmlns:a16="http://schemas.microsoft.com/office/drawing/2014/main" id="{00000000-0008-0000-0200-00001DC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Tahoma"/>
                  <a:ea typeface="Tahoma"/>
                  <a:cs typeface="Tahoma"/>
                </a:rPr>
                <a:t>Poor Tracking</a:t>
              </a:r>
            </a:p>
          </xdr:txBody>
        </xdr:sp>
        <xdr:clientData/>
      </xdr:twoCellAnchor>
    </mc:Choice>
    <mc:Fallback/>
  </mc:AlternateContent>
  <mc:AlternateContent xmlns:mc="http://schemas.openxmlformats.org/markup-compatibility/2006">
    <mc:Choice xmlns:a14="http://schemas.microsoft.com/office/drawing/2010/main" Requires="a14">
      <xdr:twoCellAnchor>
        <xdr:from>
          <xdr:col>11</xdr:col>
          <xdr:colOff>47625</xdr:colOff>
          <xdr:row>61</xdr:row>
          <xdr:rowOff>9525</xdr:rowOff>
        </xdr:from>
        <xdr:to>
          <xdr:col>11</xdr:col>
          <xdr:colOff>2009775</xdr:colOff>
          <xdr:row>61</xdr:row>
          <xdr:rowOff>190500</xdr:rowOff>
        </xdr:to>
        <xdr:sp macro="" textlink="">
          <xdr:nvSpPr>
            <xdr:cNvPr id="49438" name="Check Box 1310" hidden="1">
              <a:extLst>
                <a:ext uri="{63B3BB69-23CF-44E3-9099-C40C66FF867C}">
                  <a14:compatExt spid="_x0000_s49438"/>
                </a:ext>
                <a:ext uri="{FF2B5EF4-FFF2-40B4-BE49-F238E27FC236}">
                  <a16:creationId xmlns:a16="http://schemas.microsoft.com/office/drawing/2014/main" id="{00000000-0008-0000-0200-00001EC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Tahoma"/>
                  <a:ea typeface="Tahoma"/>
                  <a:cs typeface="Tahoma"/>
                </a:rPr>
                <a:t>Scope of Support: DC/DCU</a:t>
              </a:r>
            </a:p>
          </xdr:txBody>
        </xdr:sp>
        <xdr:clientData/>
      </xdr:twoCellAnchor>
    </mc:Choice>
    <mc:Fallback/>
  </mc:AlternateContent>
  <mc:AlternateContent xmlns:mc="http://schemas.openxmlformats.org/markup-compatibility/2006">
    <mc:Choice xmlns:a14="http://schemas.microsoft.com/office/drawing/2010/main" Requires="a14">
      <xdr:twoCellAnchor>
        <xdr:from>
          <xdr:col>11</xdr:col>
          <xdr:colOff>47625</xdr:colOff>
          <xdr:row>61</xdr:row>
          <xdr:rowOff>171450</xdr:rowOff>
        </xdr:from>
        <xdr:to>
          <xdr:col>11</xdr:col>
          <xdr:colOff>2009775</xdr:colOff>
          <xdr:row>61</xdr:row>
          <xdr:rowOff>352425</xdr:rowOff>
        </xdr:to>
        <xdr:sp macro="" textlink="">
          <xdr:nvSpPr>
            <xdr:cNvPr id="49439" name="Check Box 1311" hidden="1">
              <a:extLst>
                <a:ext uri="{63B3BB69-23CF-44E3-9099-C40C66FF867C}">
                  <a14:compatExt spid="_x0000_s49439"/>
                </a:ext>
                <a:ext uri="{FF2B5EF4-FFF2-40B4-BE49-F238E27FC236}">
                  <a16:creationId xmlns:a16="http://schemas.microsoft.com/office/drawing/2014/main" id="{00000000-0008-0000-0200-00001FC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Tahoma"/>
                  <a:ea typeface="Tahoma"/>
                  <a:cs typeface="Tahoma"/>
                </a:rPr>
                <a:t>Scope of Support: PC/6</a:t>
              </a:r>
            </a:p>
          </xdr:txBody>
        </xdr:sp>
        <xdr:clientData/>
      </xdr:twoCellAnchor>
    </mc:Choice>
    <mc:Fallback/>
  </mc:AlternateContent>
  <mc:AlternateContent xmlns:mc="http://schemas.openxmlformats.org/markup-compatibility/2006">
    <mc:Choice xmlns:a14="http://schemas.microsoft.com/office/drawing/2010/main" Requires="a14">
      <xdr:twoCellAnchor>
        <xdr:from>
          <xdr:col>11</xdr:col>
          <xdr:colOff>47625</xdr:colOff>
          <xdr:row>61</xdr:row>
          <xdr:rowOff>342900</xdr:rowOff>
        </xdr:from>
        <xdr:to>
          <xdr:col>11</xdr:col>
          <xdr:colOff>2009775</xdr:colOff>
          <xdr:row>61</xdr:row>
          <xdr:rowOff>523875</xdr:rowOff>
        </xdr:to>
        <xdr:sp macro="" textlink="">
          <xdr:nvSpPr>
            <xdr:cNvPr id="49440" name="Check Box 1312" hidden="1">
              <a:extLst>
                <a:ext uri="{63B3BB69-23CF-44E3-9099-C40C66FF867C}">
                  <a14:compatExt spid="_x0000_s49440"/>
                </a:ext>
                <a:ext uri="{FF2B5EF4-FFF2-40B4-BE49-F238E27FC236}">
                  <a16:creationId xmlns:a16="http://schemas.microsoft.com/office/drawing/2014/main" id="{00000000-0008-0000-0200-000020C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Tahoma"/>
                  <a:ea typeface="Tahoma"/>
                  <a:cs typeface="Tahoma"/>
                </a:rPr>
                <a:t>Price: DC/DCU</a:t>
              </a:r>
            </a:p>
          </xdr:txBody>
        </xdr:sp>
        <xdr:clientData/>
      </xdr:twoCellAnchor>
    </mc:Choice>
    <mc:Fallback/>
  </mc:AlternateContent>
  <mc:AlternateContent xmlns:mc="http://schemas.openxmlformats.org/markup-compatibility/2006">
    <mc:Choice xmlns:a14="http://schemas.microsoft.com/office/drawing/2010/main" Requires="a14">
      <xdr:twoCellAnchor>
        <xdr:from>
          <xdr:col>11</xdr:col>
          <xdr:colOff>2533650</xdr:colOff>
          <xdr:row>61</xdr:row>
          <xdr:rowOff>9525</xdr:rowOff>
        </xdr:from>
        <xdr:to>
          <xdr:col>12</xdr:col>
          <xdr:colOff>666750</xdr:colOff>
          <xdr:row>61</xdr:row>
          <xdr:rowOff>190500</xdr:rowOff>
        </xdr:to>
        <xdr:sp macro="" textlink="">
          <xdr:nvSpPr>
            <xdr:cNvPr id="49444" name="Check Box 1316" hidden="1">
              <a:extLst>
                <a:ext uri="{63B3BB69-23CF-44E3-9099-C40C66FF867C}">
                  <a14:compatExt spid="_x0000_s49444"/>
                </a:ext>
                <a:ext uri="{FF2B5EF4-FFF2-40B4-BE49-F238E27FC236}">
                  <a16:creationId xmlns:a16="http://schemas.microsoft.com/office/drawing/2014/main" id="{00000000-0008-0000-0200-000024C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Tahoma"/>
                  <a:ea typeface="Tahoma"/>
                  <a:cs typeface="Tahoma"/>
                </a:rPr>
                <a:t>Price: PC/6</a:t>
              </a:r>
            </a:p>
          </xdr:txBody>
        </xdr:sp>
        <xdr:clientData/>
      </xdr:twoCellAnchor>
    </mc:Choice>
    <mc:Fallback/>
  </mc:AlternateContent>
  <mc:AlternateContent xmlns:mc="http://schemas.openxmlformats.org/markup-compatibility/2006">
    <mc:Choice xmlns:a14="http://schemas.microsoft.com/office/drawing/2010/main" Requires="a14">
      <xdr:twoCellAnchor>
        <xdr:from>
          <xdr:col>11</xdr:col>
          <xdr:colOff>2533650</xdr:colOff>
          <xdr:row>61</xdr:row>
          <xdr:rowOff>171450</xdr:rowOff>
        </xdr:from>
        <xdr:to>
          <xdr:col>12</xdr:col>
          <xdr:colOff>666750</xdr:colOff>
          <xdr:row>61</xdr:row>
          <xdr:rowOff>352425</xdr:rowOff>
        </xdr:to>
        <xdr:sp macro="" textlink="">
          <xdr:nvSpPr>
            <xdr:cNvPr id="49445" name="Check Box 1317" hidden="1">
              <a:extLst>
                <a:ext uri="{63B3BB69-23CF-44E3-9099-C40C66FF867C}">
                  <a14:compatExt spid="_x0000_s49445"/>
                </a:ext>
                <a:ext uri="{FF2B5EF4-FFF2-40B4-BE49-F238E27FC236}">
                  <a16:creationId xmlns:a16="http://schemas.microsoft.com/office/drawing/2014/main" id="{00000000-0008-0000-0200-000025C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Tahoma"/>
                  <a:ea typeface="Tahoma"/>
                  <a:cs typeface="Tahoma"/>
                </a:rPr>
                <a:t>Price: Tech Refresh</a:t>
              </a:r>
            </a:p>
          </xdr:txBody>
        </xdr:sp>
        <xdr:clientData/>
      </xdr:twoCellAnchor>
    </mc:Choice>
    <mc:Fallback/>
  </mc:AlternateContent>
  <mc:AlternateContent xmlns:mc="http://schemas.openxmlformats.org/markup-compatibility/2006">
    <mc:Choice xmlns:a14="http://schemas.microsoft.com/office/drawing/2010/main" Requires="a14">
      <xdr:twoCellAnchor>
        <xdr:from>
          <xdr:col>11</xdr:col>
          <xdr:colOff>2533650</xdr:colOff>
          <xdr:row>61</xdr:row>
          <xdr:rowOff>342900</xdr:rowOff>
        </xdr:from>
        <xdr:to>
          <xdr:col>12</xdr:col>
          <xdr:colOff>666750</xdr:colOff>
          <xdr:row>61</xdr:row>
          <xdr:rowOff>523875</xdr:rowOff>
        </xdr:to>
        <xdr:sp macro="" textlink="">
          <xdr:nvSpPr>
            <xdr:cNvPr id="49446" name="Check Box 1318" hidden="1">
              <a:extLst>
                <a:ext uri="{63B3BB69-23CF-44E3-9099-C40C66FF867C}">
                  <a14:compatExt spid="_x0000_s49446"/>
                </a:ext>
                <a:ext uri="{FF2B5EF4-FFF2-40B4-BE49-F238E27FC236}">
                  <a16:creationId xmlns:a16="http://schemas.microsoft.com/office/drawing/2014/main" id="{00000000-0008-0000-0200-000026C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Tahoma"/>
                  <a:ea typeface="Tahoma"/>
                  <a:cs typeface="Tahoma"/>
                </a:rPr>
                <a:t>Shipping Days: Tech Refresh</a:t>
              </a:r>
            </a:p>
          </xdr:txBody>
        </xdr:sp>
        <xdr:clientData/>
      </xdr:twoCellAnchor>
    </mc:Choice>
    <mc:Fallback/>
  </mc:AlternateContent>
  <mc:AlternateContent xmlns:mc="http://schemas.openxmlformats.org/markup-compatibility/2006">
    <mc:Choice xmlns:a14="http://schemas.microsoft.com/office/drawing/2010/main" Requires="a14">
      <xdr:twoCellAnchor>
        <xdr:from>
          <xdr:col>12</xdr:col>
          <xdr:colOff>885825</xdr:colOff>
          <xdr:row>61</xdr:row>
          <xdr:rowOff>9525</xdr:rowOff>
        </xdr:from>
        <xdr:to>
          <xdr:col>12</xdr:col>
          <xdr:colOff>2847975</xdr:colOff>
          <xdr:row>61</xdr:row>
          <xdr:rowOff>190500</xdr:rowOff>
        </xdr:to>
        <xdr:sp macro="" textlink="">
          <xdr:nvSpPr>
            <xdr:cNvPr id="49447" name="Check Box 1319" hidden="1">
              <a:extLst>
                <a:ext uri="{63B3BB69-23CF-44E3-9099-C40C66FF867C}">
                  <a14:compatExt spid="_x0000_s49447"/>
                </a:ext>
                <a:ext uri="{FF2B5EF4-FFF2-40B4-BE49-F238E27FC236}">
                  <a16:creationId xmlns:a16="http://schemas.microsoft.com/office/drawing/2014/main" id="{00000000-0008-0000-0200-000027C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Tahoma"/>
                  <a:ea typeface="Tahoma"/>
                  <a:cs typeface="Tahoma"/>
                </a:rPr>
                <a:t>Service Offerings</a:t>
              </a:r>
            </a:p>
          </xdr:txBody>
        </xdr:sp>
        <xdr:clientData/>
      </xdr:twoCellAnchor>
    </mc:Choice>
    <mc:Fallback/>
  </mc:AlternateContent>
  <mc:AlternateContent xmlns:mc="http://schemas.openxmlformats.org/markup-compatibility/2006">
    <mc:Choice xmlns:a14="http://schemas.microsoft.com/office/drawing/2010/main" Requires="a14">
      <xdr:twoCellAnchor>
        <xdr:from>
          <xdr:col>12</xdr:col>
          <xdr:colOff>885825</xdr:colOff>
          <xdr:row>61</xdr:row>
          <xdr:rowOff>171450</xdr:rowOff>
        </xdr:from>
        <xdr:to>
          <xdr:col>12</xdr:col>
          <xdr:colOff>2847975</xdr:colOff>
          <xdr:row>61</xdr:row>
          <xdr:rowOff>352425</xdr:rowOff>
        </xdr:to>
        <xdr:sp macro="" textlink="">
          <xdr:nvSpPr>
            <xdr:cNvPr id="49448" name="Check Box 1320" hidden="1">
              <a:extLst>
                <a:ext uri="{63B3BB69-23CF-44E3-9099-C40C66FF867C}">
                  <a14:compatExt spid="_x0000_s49448"/>
                </a:ext>
                <a:ext uri="{FF2B5EF4-FFF2-40B4-BE49-F238E27FC236}">
                  <a16:creationId xmlns:a16="http://schemas.microsoft.com/office/drawing/2014/main" id="{00000000-0008-0000-0200-000028C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Tahoma"/>
                  <a:ea typeface="Tahoma"/>
                  <a:cs typeface="Tahoma"/>
                </a:rPr>
                <a:t>Warranty Issue</a:t>
              </a:r>
            </a:p>
          </xdr:txBody>
        </xdr:sp>
        <xdr:clientData/>
      </xdr:twoCellAnchor>
    </mc:Choice>
    <mc:Fallback/>
  </mc:AlternateContent>
  <mc:AlternateContent xmlns:mc="http://schemas.openxmlformats.org/markup-compatibility/2006">
    <mc:Choice xmlns:a14="http://schemas.microsoft.com/office/drawing/2010/main" Requires="a14">
      <xdr:twoCellAnchor>
        <xdr:from>
          <xdr:col>12</xdr:col>
          <xdr:colOff>885825</xdr:colOff>
          <xdr:row>61</xdr:row>
          <xdr:rowOff>342900</xdr:rowOff>
        </xdr:from>
        <xdr:to>
          <xdr:col>12</xdr:col>
          <xdr:colOff>2847975</xdr:colOff>
          <xdr:row>61</xdr:row>
          <xdr:rowOff>523875</xdr:rowOff>
        </xdr:to>
        <xdr:sp macro="" textlink="">
          <xdr:nvSpPr>
            <xdr:cNvPr id="49449" name="Check Box 1321" hidden="1">
              <a:extLst>
                <a:ext uri="{63B3BB69-23CF-44E3-9099-C40C66FF867C}">
                  <a14:compatExt spid="_x0000_s49449"/>
                </a:ext>
                <a:ext uri="{FF2B5EF4-FFF2-40B4-BE49-F238E27FC236}">
                  <a16:creationId xmlns:a16="http://schemas.microsoft.com/office/drawing/2014/main" id="{00000000-0008-0000-0200-000029C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Tahoma"/>
                  <a:ea typeface="Tahoma"/>
                  <a:cs typeface="Tahoma"/>
                </a:rPr>
                <a:t>Web Referral</a:t>
              </a:r>
            </a:p>
          </xdr:txBody>
        </xdr:sp>
        <xdr:clientData/>
      </xdr:twoCellAnchor>
    </mc:Choice>
    <mc:Fallback/>
  </mc:AlternateContent>
  <mc:AlternateContent xmlns:mc="http://schemas.openxmlformats.org/markup-compatibility/2006">
    <mc:Choice xmlns:a14="http://schemas.microsoft.com/office/drawing/2010/main" Requires="a14">
      <xdr:twoCellAnchor>
        <xdr:from>
          <xdr:col>11</xdr:col>
          <xdr:colOff>47625</xdr:colOff>
          <xdr:row>63</xdr:row>
          <xdr:rowOff>9525</xdr:rowOff>
        </xdr:from>
        <xdr:to>
          <xdr:col>11</xdr:col>
          <xdr:colOff>2009775</xdr:colOff>
          <xdr:row>63</xdr:row>
          <xdr:rowOff>190500</xdr:rowOff>
        </xdr:to>
        <xdr:sp macro="" textlink="">
          <xdr:nvSpPr>
            <xdr:cNvPr id="49450" name="Check Box 1322" hidden="1">
              <a:extLst>
                <a:ext uri="{63B3BB69-23CF-44E3-9099-C40C66FF867C}">
                  <a14:compatExt spid="_x0000_s49450"/>
                </a:ext>
                <a:ext uri="{FF2B5EF4-FFF2-40B4-BE49-F238E27FC236}">
                  <a16:creationId xmlns:a16="http://schemas.microsoft.com/office/drawing/2014/main" id="{00000000-0008-0000-0200-00002AC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Tahoma"/>
                  <a:ea typeface="Tahoma"/>
                  <a:cs typeface="Tahoma"/>
                </a:rPr>
                <a:t>Third Party Support Referral</a:t>
              </a:r>
            </a:p>
          </xdr:txBody>
        </xdr:sp>
        <xdr:clientData/>
      </xdr:twoCellAnchor>
    </mc:Choice>
    <mc:Fallback/>
  </mc:AlternateContent>
  <mc:AlternateContent xmlns:mc="http://schemas.openxmlformats.org/markup-compatibility/2006">
    <mc:Choice xmlns:a14="http://schemas.microsoft.com/office/drawing/2010/main" Requires="a14">
      <xdr:twoCellAnchor>
        <xdr:from>
          <xdr:col>11</xdr:col>
          <xdr:colOff>47625</xdr:colOff>
          <xdr:row>63</xdr:row>
          <xdr:rowOff>171450</xdr:rowOff>
        </xdr:from>
        <xdr:to>
          <xdr:col>11</xdr:col>
          <xdr:colOff>2009775</xdr:colOff>
          <xdr:row>63</xdr:row>
          <xdr:rowOff>352425</xdr:rowOff>
        </xdr:to>
        <xdr:sp macro="" textlink="">
          <xdr:nvSpPr>
            <xdr:cNvPr id="49451" name="Check Box 1323" hidden="1">
              <a:extLst>
                <a:ext uri="{63B3BB69-23CF-44E3-9099-C40C66FF867C}">
                  <a14:compatExt spid="_x0000_s49451"/>
                </a:ext>
                <a:ext uri="{FF2B5EF4-FFF2-40B4-BE49-F238E27FC236}">
                  <a16:creationId xmlns:a16="http://schemas.microsoft.com/office/drawing/2014/main" id="{00000000-0008-0000-0200-00002BC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Tahoma"/>
                  <a:ea typeface="Tahoma"/>
                  <a:cs typeface="Tahoma"/>
                </a:rPr>
                <a:t>Scope of Support</a:t>
              </a:r>
            </a:p>
          </xdr:txBody>
        </xdr:sp>
        <xdr:clientData/>
      </xdr:twoCellAnchor>
    </mc:Choice>
    <mc:Fallback/>
  </mc:AlternateContent>
  <mc:AlternateContent xmlns:mc="http://schemas.openxmlformats.org/markup-compatibility/2006">
    <mc:Choice xmlns:a14="http://schemas.microsoft.com/office/drawing/2010/main" Requires="a14">
      <xdr:twoCellAnchor>
        <xdr:from>
          <xdr:col>11</xdr:col>
          <xdr:colOff>47625</xdr:colOff>
          <xdr:row>69</xdr:row>
          <xdr:rowOff>9525</xdr:rowOff>
        </xdr:from>
        <xdr:to>
          <xdr:col>11</xdr:col>
          <xdr:colOff>2009775</xdr:colOff>
          <xdr:row>69</xdr:row>
          <xdr:rowOff>190500</xdr:rowOff>
        </xdr:to>
        <xdr:sp macro="" textlink="">
          <xdr:nvSpPr>
            <xdr:cNvPr id="49458" name="Check Box 1330" hidden="1">
              <a:extLst>
                <a:ext uri="{63B3BB69-23CF-44E3-9099-C40C66FF867C}">
                  <a14:compatExt spid="_x0000_s49458"/>
                </a:ext>
                <a:ext uri="{FF2B5EF4-FFF2-40B4-BE49-F238E27FC236}">
                  <a16:creationId xmlns:a16="http://schemas.microsoft.com/office/drawing/2014/main" id="{00000000-0008-0000-0200-000032C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Tahoma"/>
                  <a:ea typeface="Tahoma"/>
                  <a:cs typeface="Tahoma"/>
                </a:rPr>
                <a:t>DOA</a:t>
              </a:r>
            </a:p>
          </xdr:txBody>
        </xdr:sp>
        <xdr:clientData/>
      </xdr:twoCellAnchor>
    </mc:Choice>
    <mc:Fallback/>
  </mc:AlternateContent>
  <mc:AlternateContent xmlns:mc="http://schemas.openxmlformats.org/markup-compatibility/2006">
    <mc:Choice xmlns:a14="http://schemas.microsoft.com/office/drawing/2010/main" Requires="a14">
      <xdr:twoCellAnchor>
        <xdr:from>
          <xdr:col>11</xdr:col>
          <xdr:colOff>47625</xdr:colOff>
          <xdr:row>71</xdr:row>
          <xdr:rowOff>9525</xdr:rowOff>
        </xdr:from>
        <xdr:to>
          <xdr:col>11</xdr:col>
          <xdr:colOff>2009775</xdr:colOff>
          <xdr:row>71</xdr:row>
          <xdr:rowOff>190500</xdr:rowOff>
        </xdr:to>
        <xdr:sp macro="" textlink="">
          <xdr:nvSpPr>
            <xdr:cNvPr id="49469" name="Check Box 1341" hidden="1">
              <a:extLst>
                <a:ext uri="{63B3BB69-23CF-44E3-9099-C40C66FF867C}">
                  <a14:compatExt spid="_x0000_s49469"/>
                </a:ext>
                <a:ext uri="{FF2B5EF4-FFF2-40B4-BE49-F238E27FC236}">
                  <a16:creationId xmlns:a16="http://schemas.microsoft.com/office/drawing/2014/main" id="{00000000-0008-0000-0200-00003DC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Tahoma"/>
                  <a:ea typeface="Tahoma"/>
                  <a:cs typeface="Tahoma"/>
                </a:rPr>
                <a:t>Design</a:t>
              </a:r>
            </a:p>
          </xdr:txBody>
        </xdr:sp>
        <xdr:clientData/>
      </xdr:twoCellAnchor>
    </mc:Choice>
    <mc:Fallback/>
  </mc:AlternateContent>
  <mc:AlternateContent xmlns:mc="http://schemas.openxmlformats.org/markup-compatibility/2006">
    <mc:Choice xmlns:a14="http://schemas.microsoft.com/office/drawing/2010/main" Requires="a14">
      <xdr:twoCellAnchor>
        <xdr:from>
          <xdr:col>11</xdr:col>
          <xdr:colOff>47625</xdr:colOff>
          <xdr:row>71</xdr:row>
          <xdr:rowOff>171450</xdr:rowOff>
        </xdr:from>
        <xdr:to>
          <xdr:col>11</xdr:col>
          <xdr:colOff>2009775</xdr:colOff>
          <xdr:row>71</xdr:row>
          <xdr:rowOff>352425</xdr:rowOff>
        </xdr:to>
        <xdr:sp macro="" textlink="">
          <xdr:nvSpPr>
            <xdr:cNvPr id="49470" name="Check Box 1342" hidden="1">
              <a:extLst>
                <a:ext uri="{63B3BB69-23CF-44E3-9099-C40C66FF867C}">
                  <a14:compatExt spid="_x0000_s49470"/>
                </a:ext>
                <a:ext uri="{FF2B5EF4-FFF2-40B4-BE49-F238E27FC236}">
                  <a16:creationId xmlns:a16="http://schemas.microsoft.com/office/drawing/2014/main" id="{00000000-0008-0000-0200-00003EC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Tahoma"/>
                  <a:ea typeface="Tahoma"/>
                  <a:cs typeface="Tahoma"/>
                </a:rPr>
                <a:t>Color</a:t>
              </a:r>
            </a:p>
          </xdr:txBody>
        </xdr:sp>
        <xdr:clientData/>
      </xdr:twoCellAnchor>
    </mc:Choice>
    <mc:Fallback/>
  </mc:AlternateContent>
  <mc:AlternateContent xmlns:mc="http://schemas.openxmlformats.org/markup-compatibility/2006">
    <mc:Choice xmlns:a14="http://schemas.microsoft.com/office/drawing/2010/main" Requires="a14">
      <xdr:twoCellAnchor>
        <xdr:from>
          <xdr:col>11</xdr:col>
          <xdr:colOff>47625</xdr:colOff>
          <xdr:row>70</xdr:row>
          <xdr:rowOff>9525</xdr:rowOff>
        </xdr:from>
        <xdr:to>
          <xdr:col>11</xdr:col>
          <xdr:colOff>2009775</xdr:colOff>
          <xdr:row>70</xdr:row>
          <xdr:rowOff>190500</xdr:rowOff>
        </xdr:to>
        <xdr:sp macro="" textlink="">
          <xdr:nvSpPr>
            <xdr:cNvPr id="49489" name="Check Box 1361" hidden="1">
              <a:extLst>
                <a:ext uri="{63B3BB69-23CF-44E3-9099-C40C66FF867C}">
                  <a14:compatExt spid="_x0000_s49489"/>
                </a:ext>
                <a:ext uri="{FF2B5EF4-FFF2-40B4-BE49-F238E27FC236}">
                  <a16:creationId xmlns:a16="http://schemas.microsoft.com/office/drawing/2014/main" id="{00000000-0008-0000-0200-000051C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Tahoma"/>
                  <a:ea typeface="Tahoma"/>
                  <a:cs typeface="Tahoma"/>
                </a:rPr>
                <a:t>Recurring Issue</a:t>
              </a:r>
            </a:p>
          </xdr:txBody>
        </xdr:sp>
        <xdr:clientData/>
      </xdr:twoCellAnchor>
    </mc:Choice>
    <mc:Fallback/>
  </mc:AlternateContent>
  <mc:AlternateContent xmlns:mc="http://schemas.openxmlformats.org/markup-compatibility/2006">
    <mc:Choice xmlns:a14="http://schemas.microsoft.com/office/drawing/2010/main" Requires="a14">
      <xdr:twoCellAnchor>
        <xdr:from>
          <xdr:col>11</xdr:col>
          <xdr:colOff>47625</xdr:colOff>
          <xdr:row>70</xdr:row>
          <xdr:rowOff>171450</xdr:rowOff>
        </xdr:from>
        <xdr:to>
          <xdr:col>11</xdr:col>
          <xdr:colOff>2009775</xdr:colOff>
          <xdr:row>70</xdr:row>
          <xdr:rowOff>352425</xdr:rowOff>
        </xdr:to>
        <xdr:sp macro="" textlink="">
          <xdr:nvSpPr>
            <xdr:cNvPr id="49490" name="Check Box 1362" hidden="1">
              <a:extLst>
                <a:ext uri="{63B3BB69-23CF-44E3-9099-C40C66FF867C}">
                  <a14:compatExt spid="_x0000_s49490"/>
                </a:ext>
                <a:ext uri="{FF2B5EF4-FFF2-40B4-BE49-F238E27FC236}">
                  <a16:creationId xmlns:a16="http://schemas.microsoft.com/office/drawing/2014/main" id="{00000000-0008-0000-0200-000052C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Tahoma"/>
                  <a:ea typeface="Tahoma"/>
                  <a:cs typeface="Tahoma"/>
                </a:rPr>
                <a:t>Features - missing/not working</a:t>
              </a:r>
            </a:p>
          </xdr:txBody>
        </xdr:sp>
        <xdr:clientData/>
      </xdr:twoCellAnchor>
    </mc:Choice>
    <mc:Fallback/>
  </mc:AlternateContent>
  <mc:AlternateContent xmlns:mc="http://schemas.openxmlformats.org/markup-compatibility/2006">
    <mc:Choice xmlns:a14="http://schemas.microsoft.com/office/drawing/2010/main" Requires="a14">
      <xdr:twoCellAnchor>
        <xdr:from>
          <xdr:col>11</xdr:col>
          <xdr:colOff>47625</xdr:colOff>
          <xdr:row>70</xdr:row>
          <xdr:rowOff>342900</xdr:rowOff>
        </xdr:from>
        <xdr:to>
          <xdr:col>11</xdr:col>
          <xdr:colOff>2009775</xdr:colOff>
          <xdr:row>70</xdr:row>
          <xdr:rowOff>523875</xdr:rowOff>
        </xdr:to>
        <xdr:sp macro="" textlink="">
          <xdr:nvSpPr>
            <xdr:cNvPr id="49491" name="Check Box 1363" hidden="1">
              <a:extLst>
                <a:ext uri="{63B3BB69-23CF-44E3-9099-C40C66FF867C}">
                  <a14:compatExt spid="_x0000_s49491"/>
                </a:ext>
                <a:ext uri="{FF2B5EF4-FFF2-40B4-BE49-F238E27FC236}">
                  <a16:creationId xmlns:a16="http://schemas.microsoft.com/office/drawing/2014/main" id="{00000000-0008-0000-0200-000053C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Tahoma"/>
                  <a:ea typeface="Tahoma"/>
                  <a:cs typeface="Tahoma"/>
                </a:rPr>
                <a:t>Product Safety Issues</a:t>
              </a:r>
            </a:p>
          </xdr:txBody>
        </xdr:sp>
        <xdr:clientData/>
      </xdr:twoCellAnchor>
    </mc:Choice>
    <mc:Fallback/>
  </mc:AlternateContent>
  <mc:AlternateContent xmlns:mc="http://schemas.openxmlformats.org/markup-compatibility/2006">
    <mc:Choice xmlns:a14="http://schemas.microsoft.com/office/drawing/2010/main" Requires="a14">
      <xdr:twoCellAnchor>
        <xdr:from>
          <xdr:col>11</xdr:col>
          <xdr:colOff>47625</xdr:colOff>
          <xdr:row>72</xdr:row>
          <xdr:rowOff>9525</xdr:rowOff>
        </xdr:from>
        <xdr:to>
          <xdr:col>11</xdr:col>
          <xdr:colOff>2009775</xdr:colOff>
          <xdr:row>72</xdr:row>
          <xdr:rowOff>190500</xdr:rowOff>
        </xdr:to>
        <xdr:sp macro="" textlink="">
          <xdr:nvSpPr>
            <xdr:cNvPr id="49492" name="Check Box 1364" hidden="1">
              <a:extLst>
                <a:ext uri="{63B3BB69-23CF-44E3-9099-C40C66FF867C}">
                  <a14:compatExt spid="_x0000_s49492"/>
                </a:ext>
                <a:ext uri="{FF2B5EF4-FFF2-40B4-BE49-F238E27FC236}">
                  <a16:creationId xmlns:a16="http://schemas.microsoft.com/office/drawing/2014/main" id="{00000000-0008-0000-0200-000054C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Tahoma"/>
                  <a:ea typeface="Tahoma"/>
                  <a:cs typeface="Tahoma"/>
                </a:rPr>
                <a:t>Product Limitation</a:t>
              </a:r>
            </a:p>
          </xdr:txBody>
        </xdr:sp>
        <xdr:clientData/>
      </xdr:twoCellAnchor>
    </mc:Choice>
    <mc:Fallback/>
  </mc:AlternateContent>
  <mc:AlternateContent xmlns:mc="http://schemas.openxmlformats.org/markup-compatibility/2006">
    <mc:Choice xmlns:a14="http://schemas.microsoft.com/office/drawing/2010/main" Requires="a14">
      <xdr:twoCellAnchor>
        <xdr:from>
          <xdr:col>11</xdr:col>
          <xdr:colOff>47625</xdr:colOff>
          <xdr:row>77</xdr:row>
          <xdr:rowOff>9525</xdr:rowOff>
        </xdr:from>
        <xdr:to>
          <xdr:col>11</xdr:col>
          <xdr:colOff>2009775</xdr:colOff>
          <xdr:row>77</xdr:row>
          <xdr:rowOff>190500</xdr:rowOff>
        </xdr:to>
        <xdr:sp macro="" textlink="">
          <xdr:nvSpPr>
            <xdr:cNvPr id="49524" name="Check Box 1396" hidden="1">
              <a:extLst>
                <a:ext uri="{63B3BB69-23CF-44E3-9099-C40C66FF867C}">
                  <a14:compatExt spid="_x0000_s49524"/>
                </a:ext>
                <a:ext uri="{FF2B5EF4-FFF2-40B4-BE49-F238E27FC236}">
                  <a16:creationId xmlns:a16="http://schemas.microsoft.com/office/drawing/2014/main" id="{00000000-0008-0000-0200-000074C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Tahoma"/>
                  <a:ea typeface="Tahoma"/>
                  <a:cs typeface="Tahoma"/>
                </a:rPr>
                <a:t>Information not available</a:t>
              </a:r>
            </a:p>
          </xdr:txBody>
        </xdr:sp>
        <xdr:clientData/>
      </xdr:twoCellAnchor>
    </mc:Choice>
    <mc:Fallback/>
  </mc:AlternateContent>
  <mc:AlternateContent xmlns:mc="http://schemas.openxmlformats.org/markup-compatibility/2006">
    <mc:Choice xmlns:a14="http://schemas.microsoft.com/office/drawing/2010/main" Requires="a14">
      <xdr:twoCellAnchor>
        <xdr:from>
          <xdr:col>11</xdr:col>
          <xdr:colOff>47625</xdr:colOff>
          <xdr:row>77</xdr:row>
          <xdr:rowOff>171450</xdr:rowOff>
        </xdr:from>
        <xdr:to>
          <xdr:col>11</xdr:col>
          <xdr:colOff>2009775</xdr:colOff>
          <xdr:row>77</xdr:row>
          <xdr:rowOff>352425</xdr:rowOff>
        </xdr:to>
        <xdr:sp macro="" textlink="">
          <xdr:nvSpPr>
            <xdr:cNvPr id="49525" name="Check Box 1397" hidden="1">
              <a:extLst>
                <a:ext uri="{63B3BB69-23CF-44E3-9099-C40C66FF867C}">
                  <a14:compatExt spid="_x0000_s49525"/>
                </a:ext>
                <a:ext uri="{FF2B5EF4-FFF2-40B4-BE49-F238E27FC236}">
                  <a16:creationId xmlns:a16="http://schemas.microsoft.com/office/drawing/2014/main" id="{00000000-0008-0000-0200-000075C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Tahoma"/>
                  <a:ea typeface="Tahoma"/>
                  <a:cs typeface="Tahoma"/>
                </a:rPr>
                <a:t>Information difficult to find</a:t>
              </a:r>
            </a:p>
          </xdr:txBody>
        </xdr:sp>
        <xdr:clientData/>
      </xdr:twoCellAnchor>
    </mc:Choice>
    <mc:Fallback/>
  </mc:AlternateContent>
  <mc:AlternateContent xmlns:mc="http://schemas.openxmlformats.org/markup-compatibility/2006">
    <mc:Choice xmlns:a14="http://schemas.microsoft.com/office/drawing/2010/main" Requires="a14">
      <xdr:twoCellAnchor>
        <xdr:from>
          <xdr:col>11</xdr:col>
          <xdr:colOff>47625</xdr:colOff>
          <xdr:row>77</xdr:row>
          <xdr:rowOff>342900</xdr:rowOff>
        </xdr:from>
        <xdr:to>
          <xdr:col>11</xdr:col>
          <xdr:colOff>2009775</xdr:colOff>
          <xdr:row>77</xdr:row>
          <xdr:rowOff>523875</xdr:rowOff>
        </xdr:to>
        <xdr:sp macro="" textlink="">
          <xdr:nvSpPr>
            <xdr:cNvPr id="49526" name="Check Box 1398" hidden="1">
              <a:extLst>
                <a:ext uri="{63B3BB69-23CF-44E3-9099-C40C66FF867C}">
                  <a14:compatExt spid="_x0000_s49526"/>
                </a:ext>
                <a:ext uri="{FF2B5EF4-FFF2-40B4-BE49-F238E27FC236}">
                  <a16:creationId xmlns:a16="http://schemas.microsoft.com/office/drawing/2014/main" id="{00000000-0008-0000-0200-000076C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Tahoma"/>
                  <a:ea typeface="Tahoma"/>
                  <a:cs typeface="Tahoma"/>
                </a:rPr>
                <a:t>Website is down</a:t>
              </a:r>
            </a:p>
          </xdr:txBody>
        </xdr:sp>
        <xdr:clientData/>
      </xdr:twoCellAnchor>
    </mc:Choice>
    <mc:Fallback/>
  </mc:AlternateContent>
  <mc:AlternateContent xmlns:mc="http://schemas.openxmlformats.org/markup-compatibility/2006">
    <mc:Choice xmlns:a14="http://schemas.microsoft.com/office/drawing/2010/main" Requires="a14">
      <xdr:twoCellAnchor>
        <xdr:from>
          <xdr:col>11</xdr:col>
          <xdr:colOff>47625</xdr:colOff>
          <xdr:row>77</xdr:row>
          <xdr:rowOff>495300</xdr:rowOff>
        </xdr:from>
        <xdr:to>
          <xdr:col>11</xdr:col>
          <xdr:colOff>2009775</xdr:colOff>
          <xdr:row>77</xdr:row>
          <xdr:rowOff>676275</xdr:rowOff>
        </xdr:to>
        <xdr:sp macro="" textlink="">
          <xdr:nvSpPr>
            <xdr:cNvPr id="49527" name="Check Box 1399" hidden="1">
              <a:extLst>
                <a:ext uri="{63B3BB69-23CF-44E3-9099-C40C66FF867C}">
                  <a14:compatExt spid="_x0000_s49527"/>
                </a:ext>
                <a:ext uri="{FF2B5EF4-FFF2-40B4-BE49-F238E27FC236}">
                  <a16:creationId xmlns:a16="http://schemas.microsoft.com/office/drawing/2014/main" id="{00000000-0008-0000-0200-000077C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Tahoma"/>
                  <a:ea typeface="Tahoma"/>
                  <a:cs typeface="Tahoma"/>
                </a:rPr>
                <a:t>Offline (Unable to access CHAT or EMAIL)</a:t>
              </a:r>
            </a:p>
          </xdr:txBody>
        </xdr:sp>
        <xdr:clientData/>
      </xdr:twoCellAnchor>
    </mc:Choice>
    <mc:Fallback/>
  </mc:AlternateContent>
  <mc:AlternateContent xmlns:mc="http://schemas.openxmlformats.org/markup-compatibility/2006">
    <mc:Choice xmlns:a14="http://schemas.microsoft.com/office/drawing/2010/main" Requires="a14">
      <xdr:twoCellAnchor>
        <xdr:from>
          <xdr:col>11</xdr:col>
          <xdr:colOff>2514600</xdr:colOff>
          <xdr:row>77</xdr:row>
          <xdr:rowOff>9525</xdr:rowOff>
        </xdr:from>
        <xdr:to>
          <xdr:col>12</xdr:col>
          <xdr:colOff>762000</xdr:colOff>
          <xdr:row>77</xdr:row>
          <xdr:rowOff>190500</xdr:rowOff>
        </xdr:to>
        <xdr:sp macro="" textlink="">
          <xdr:nvSpPr>
            <xdr:cNvPr id="49528" name="Check Box 1400" hidden="1">
              <a:extLst>
                <a:ext uri="{63B3BB69-23CF-44E3-9099-C40C66FF867C}">
                  <a14:compatExt spid="_x0000_s49528"/>
                </a:ext>
                <a:ext uri="{FF2B5EF4-FFF2-40B4-BE49-F238E27FC236}">
                  <a16:creationId xmlns:a16="http://schemas.microsoft.com/office/drawing/2014/main" id="{00000000-0008-0000-0200-000078C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Tahoma"/>
                  <a:ea typeface="Tahoma"/>
                  <a:cs typeface="Tahoma"/>
                </a:rPr>
                <a:t>Product Registration</a:t>
              </a:r>
            </a:p>
          </xdr:txBody>
        </xdr:sp>
        <xdr:clientData/>
      </xdr:twoCellAnchor>
    </mc:Choice>
    <mc:Fallback/>
  </mc:AlternateContent>
  <mc:AlternateContent xmlns:mc="http://schemas.openxmlformats.org/markup-compatibility/2006">
    <mc:Choice xmlns:a14="http://schemas.microsoft.com/office/drawing/2010/main" Requires="a14">
      <xdr:twoCellAnchor>
        <xdr:from>
          <xdr:col>11</xdr:col>
          <xdr:colOff>2514600</xdr:colOff>
          <xdr:row>77</xdr:row>
          <xdr:rowOff>171450</xdr:rowOff>
        </xdr:from>
        <xdr:to>
          <xdr:col>12</xdr:col>
          <xdr:colOff>762000</xdr:colOff>
          <xdr:row>77</xdr:row>
          <xdr:rowOff>352425</xdr:rowOff>
        </xdr:to>
        <xdr:sp macro="" textlink="">
          <xdr:nvSpPr>
            <xdr:cNvPr id="49529" name="Check Box 1401" hidden="1">
              <a:extLst>
                <a:ext uri="{63B3BB69-23CF-44E3-9099-C40C66FF867C}">
                  <a14:compatExt spid="_x0000_s49529"/>
                </a:ext>
                <a:ext uri="{FF2B5EF4-FFF2-40B4-BE49-F238E27FC236}">
                  <a16:creationId xmlns:a16="http://schemas.microsoft.com/office/drawing/2014/main" id="{00000000-0008-0000-0200-000079C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Tahoma"/>
                  <a:ea typeface="Tahoma"/>
                  <a:cs typeface="Tahoma"/>
                </a:rPr>
                <a:t>Driver/Firmware/App Availability</a:t>
              </a:r>
            </a:p>
          </xdr:txBody>
        </xdr:sp>
        <xdr:clientData/>
      </xdr:twoCellAnchor>
    </mc:Choice>
    <mc:Fallback/>
  </mc:AlternateContent>
  <mc:AlternateContent xmlns:mc="http://schemas.openxmlformats.org/markup-compatibility/2006">
    <mc:Choice xmlns:a14="http://schemas.microsoft.com/office/drawing/2010/main" Requires="a14">
      <xdr:twoCellAnchor>
        <xdr:from>
          <xdr:col>11</xdr:col>
          <xdr:colOff>2514600</xdr:colOff>
          <xdr:row>77</xdr:row>
          <xdr:rowOff>342900</xdr:rowOff>
        </xdr:from>
        <xdr:to>
          <xdr:col>12</xdr:col>
          <xdr:colOff>762000</xdr:colOff>
          <xdr:row>77</xdr:row>
          <xdr:rowOff>523875</xdr:rowOff>
        </xdr:to>
        <xdr:sp macro="" textlink="">
          <xdr:nvSpPr>
            <xdr:cNvPr id="49530" name="Check Box 1402" hidden="1">
              <a:extLst>
                <a:ext uri="{63B3BB69-23CF-44E3-9099-C40C66FF867C}">
                  <a14:compatExt spid="_x0000_s49530"/>
                </a:ext>
                <a:ext uri="{FF2B5EF4-FFF2-40B4-BE49-F238E27FC236}">
                  <a16:creationId xmlns:a16="http://schemas.microsoft.com/office/drawing/2014/main" id="{00000000-0008-0000-0200-00007AC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Tahoma"/>
                  <a:ea typeface="Tahoma"/>
                  <a:cs typeface="Tahoma"/>
                </a:rPr>
                <a:t>Product Availability (Website)</a:t>
              </a:r>
            </a:p>
          </xdr:txBody>
        </xdr:sp>
        <xdr:clientData/>
      </xdr:twoCellAnchor>
    </mc:Choice>
    <mc:Fallback/>
  </mc:AlternateContent>
  <mc:AlternateContent xmlns:mc="http://schemas.openxmlformats.org/markup-compatibility/2006">
    <mc:Choice xmlns:a14="http://schemas.microsoft.com/office/drawing/2010/main" Requires="a14">
      <xdr:twoCellAnchor>
        <xdr:from>
          <xdr:col>11</xdr:col>
          <xdr:colOff>47625</xdr:colOff>
          <xdr:row>78</xdr:row>
          <xdr:rowOff>9525</xdr:rowOff>
        </xdr:from>
        <xdr:to>
          <xdr:col>11</xdr:col>
          <xdr:colOff>2009775</xdr:colOff>
          <xdr:row>78</xdr:row>
          <xdr:rowOff>190500</xdr:rowOff>
        </xdr:to>
        <xdr:sp macro="" textlink="">
          <xdr:nvSpPr>
            <xdr:cNvPr id="49532" name="Check Box 1404" hidden="1">
              <a:extLst>
                <a:ext uri="{63B3BB69-23CF-44E3-9099-C40C66FF867C}">
                  <a14:compatExt spid="_x0000_s49532"/>
                </a:ext>
                <a:ext uri="{FF2B5EF4-FFF2-40B4-BE49-F238E27FC236}">
                  <a16:creationId xmlns:a16="http://schemas.microsoft.com/office/drawing/2014/main" id="{00000000-0008-0000-0200-00007CC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Tahoma"/>
                  <a:ea typeface="Tahoma"/>
                  <a:cs typeface="Tahoma"/>
                </a:rPr>
                <a:t>Smart Wifi is not accessible</a:t>
              </a:r>
            </a:p>
          </xdr:txBody>
        </xdr:sp>
        <xdr:clientData/>
      </xdr:twoCellAnchor>
    </mc:Choice>
    <mc:Fallback/>
  </mc:AlternateContent>
  <mc:AlternateContent xmlns:mc="http://schemas.openxmlformats.org/markup-compatibility/2006">
    <mc:Choice xmlns:a14="http://schemas.microsoft.com/office/drawing/2010/main" Requires="a14">
      <xdr:twoCellAnchor>
        <xdr:from>
          <xdr:col>11</xdr:col>
          <xdr:colOff>47625</xdr:colOff>
          <xdr:row>78</xdr:row>
          <xdr:rowOff>171450</xdr:rowOff>
        </xdr:from>
        <xdr:to>
          <xdr:col>11</xdr:col>
          <xdr:colOff>2009775</xdr:colOff>
          <xdr:row>78</xdr:row>
          <xdr:rowOff>352425</xdr:rowOff>
        </xdr:to>
        <xdr:sp macro="" textlink="">
          <xdr:nvSpPr>
            <xdr:cNvPr id="49533" name="Check Box 1405" hidden="1">
              <a:extLst>
                <a:ext uri="{63B3BB69-23CF-44E3-9099-C40C66FF867C}">
                  <a14:compatExt spid="_x0000_s49533"/>
                </a:ext>
                <a:ext uri="{FF2B5EF4-FFF2-40B4-BE49-F238E27FC236}">
                  <a16:creationId xmlns:a16="http://schemas.microsoft.com/office/drawing/2014/main" id="{00000000-0008-0000-0200-00007DC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Tahoma"/>
                  <a:ea typeface="Tahoma"/>
                  <a:cs typeface="Tahoma"/>
                </a:rPr>
                <a:t>Cisco Connect is not working</a:t>
              </a:r>
            </a:p>
          </xdr:txBody>
        </xdr:sp>
        <xdr:clientData/>
      </xdr:twoCellAnchor>
    </mc:Choice>
    <mc:Fallback/>
  </mc:AlternateContent>
  <mc:AlternateContent xmlns:mc="http://schemas.openxmlformats.org/markup-compatibility/2006">
    <mc:Choice xmlns:a14="http://schemas.microsoft.com/office/drawing/2010/main" Requires="a14">
      <xdr:twoCellAnchor>
        <xdr:from>
          <xdr:col>11</xdr:col>
          <xdr:colOff>2514600</xdr:colOff>
          <xdr:row>78</xdr:row>
          <xdr:rowOff>9525</xdr:rowOff>
        </xdr:from>
        <xdr:to>
          <xdr:col>12</xdr:col>
          <xdr:colOff>762000</xdr:colOff>
          <xdr:row>78</xdr:row>
          <xdr:rowOff>190500</xdr:rowOff>
        </xdr:to>
        <xdr:sp macro="" textlink="">
          <xdr:nvSpPr>
            <xdr:cNvPr id="49534" name="Check Box 1406" hidden="1">
              <a:extLst>
                <a:ext uri="{63B3BB69-23CF-44E3-9099-C40C66FF867C}">
                  <a14:compatExt spid="_x0000_s49534"/>
                </a:ext>
                <a:ext uri="{FF2B5EF4-FFF2-40B4-BE49-F238E27FC236}">
                  <a16:creationId xmlns:a16="http://schemas.microsoft.com/office/drawing/2014/main" id="{00000000-0008-0000-0200-00007EC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Tahoma"/>
                  <a:ea typeface="Tahoma"/>
                  <a:cs typeface="Tahoma"/>
                </a:rPr>
                <a:t>Alexa is not working</a:t>
              </a:r>
            </a:p>
          </xdr:txBody>
        </xdr:sp>
        <xdr:clientData/>
      </xdr:twoCellAnchor>
    </mc:Choice>
    <mc:Fallback/>
  </mc:AlternateContent>
  <mc:AlternateContent xmlns:mc="http://schemas.openxmlformats.org/markup-compatibility/2006">
    <mc:Choice xmlns:a14="http://schemas.microsoft.com/office/drawing/2010/main" Requires="a14">
      <xdr:twoCellAnchor>
        <xdr:from>
          <xdr:col>11</xdr:col>
          <xdr:colOff>2514600</xdr:colOff>
          <xdr:row>78</xdr:row>
          <xdr:rowOff>171450</xdr:rowOff>
        </xdr:from>
        <xdr:to>
          <xdr:col>12</xdr:col>
          <xdr:colOff>762000</xdr:colOff>
          <xdr:row>78</xdr:row>
          <xdr:rowOff>352425</xdr:rowOff>
        </xdr:to>
        <xdr:sp macro="" textlink="">
          <xdr:nvSpPr>
            <xdr:cNvPr id="49535" name="Check Box 1407" hidden="1">
              <a:extLst>
                <a:ext uri="{63B3BB69-23CF-44E3-9099-C40C66FF867C}">
                  <a14:compatExt spid="_x0000_s49535"/>
                </a:ext>
                <a:ext uri="{FF2B5EF4-FFF2-40B4-BE49-F238E27FC236}">
                  <a16:creationId xmlns:a16="http://schemas.microsoft.com/office/drawing/2014/main" id="{00000000-0008-0000-0200-00007FC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Tahoma"/>
                  <a:ea typeface="Tahoma"/>
                  <a:cs typeface="Tahoma"/>
                </a:rPr>
                <a:t>Wemo App is not working</a:t>
              </a:r>
            </a:p>
          </xdr:txBody>
        </xdr:sp>
        <xdr:clientData/>
      </xdr:twoCellAnchor>
    </mc:Choice>
    <mc:Fallback/>
  </mc:AlternateContent>
  <mc:AlternateContent xmlns:mc="http://schemas.openxmlformats.org/markup-compatibility/2006">
    <mc:Choice xmlns:a14="http://schemas.microsoft.com/office/drawing/2010/main" Requires="a14">
      <xdr:twoCellAnchor>
        <xdr:from>
          <xdr:col>11</xdr:col>
          <xdr:colOff>47625</xdr:colOff>
          <xdr:row>79</xdr:row>
          <xdr:rowOff>9525</xdr:rowOff>
        </xdr:from>
        <xdr:to>
          <xdr:col>11</xdr:col>
          <xdr:colOff>2009775</xdr:colOff>
          <xdr:row>79</xdr:row>
          <xdr:rowOff>190500</xdr:rowOff>
        </xdr:to>
        <xdr:sp macro="" textlink="">
          <xdr:nvSpPr>
            <xdr:cNvPr id="49536" name="Check Box 1408" hidden="1">
              <a:extLst>
                <a:ext uri="{63B3BB69-23CF-44E3-9099-C40C66FF867C}">
                  <a14:compatExt spid="_x0000_s49536"/>
                </a:ext>
                <a:ext uri="{FF2B5EF4-FFF2-40B4-BE49-F238E27FC236}">
                  <a16:creationId xmlns:a16="http://schemas.microsoft.com/office/drawing/2014/main" id="{00000000-0008-0000-0200-000080C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Tahoma"/>
                  <a:ea typeface="Tahoma"/>
                  <a:cs typeface="Tahoma"/>
                </a:rPr>
                <a:t>Not happy about hold music</a:t>
              </a:r>
            </a:p>
          </xdr:txBody>
        </xdr:sp>
        <xdr:clientData/>
      </xdr:twoCellAnchor>
    </mc:Choice>
    <mc:Fallback/>
  </mc:AlternateContent>
  <mc:AlternateContent xmlns:mc="http://schemas.openxmlformats.org/markup-compatibility/2006">
    <mc:Choice xmlns:a14="http://schemas.microsoft.com/office/drawing/2010/main" Requires="a14">
      <xdr:twoCellAnchor>
        <xdr:from>
          <xdr:col>11</xdr:col>
          <xdr:colOff>47625</xdr:colOff>
          <xdr:row>80</xdr:row>
          <xdr:rowOff>9525</xdr:rowOff>
        </xdr:from>
        <xdr:to>
          <xdr:col>11</xdr:col>
          <xdr:colOff>2009775</xdr:colOff>
          <xdr:row>80</xdr:row>
          <xdr:rowOff>190500</xdr:rowOff>
        </xdr:to>
        <xdr:sp macro="" textlink="">
          <xdr:nvSpPr>
            <xdr:cNvPr id="49537" name="Check Box 1409" hidden="1">
              <a:extLst>
                <a:ext uri="{63B3BB69-23CF-44E3-9099-C40C66FF867C}">
                  <a14:compatExt spid="_x0000_s49537"/>
                </a:ext>
                <a:ext uri="{FF2B5EF4-FFF2-40B4-BE49-F238E27FC236}">
                  <a16:creationId xmlns:a16="http://schemas.microsoft.com/office/drawing/2014/main" id="{00000000-0008-0000-0200-000081C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Tahoma"/>
                  <a:ea typeface="Tahoma"/>
                  <a:cs typeface="Tahoma"/>
                </a:rPr>
                <a:t>No hold music heard while waiting</a:t>
              </a:r>
            </a:p>
          </xdr:txBody>
        </xdr:sp>
        <xdr:clientData/>
      </xdr:twoCellAnchor>
    </mc:Choice>
    <mc:Fallback/>
  </mc:AlternateContent>
  <mc:AlternateContent xmlns:mc="http://schemas.openxmlformats.org/markup-compatibility/2006">
    <mc:Choice xmlns:a14="http://schemas.microsoft.com/office/drawing/2010/main" Requires="a14">
      <xdr:twoCellAnchor>
        <xdr:from>
          <xdr:col>11</xdr:col>
          <xdr:colOff>47625</xdr:colOff>
          <xdr:row>80</xdr:row>
          <xdr:rowOff>171450</xdr:rowOff>
        </xdr:from>
        <xdr:to>
          <xdr:col>11</xdr:col>
          <xdr:colOff>2009775</xdr:colOff>
          <xdr:row>80</xdr:row>
          <xdr:rowOff>352425</xdr:rowOff>
        </xdr:to>
        <xdr:sp macro="" textlink="">
          <xdr:nvSpPr>
            <xdr:cNvPr id="49538" name="Check Box 1410" hidden="1">
              <a:extLst>
                <a:ext uri="{63B3BB69-23CF-44E3-9099-C40C66FF867C}">
                  <a14:compatExt spid="_x0000_s49538"/>
                </a:ext>
                <a:ext uri="{FF2B5EF4-FFF2-40B4-BE49-F238E27FC236}">
                  <a16:creationId xmlns:a16="http://schemas.microsoft.com/office/drawing/2014/main" id="{00000000-0008-0000-0200-000082C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Tahoma"/>
                  <a:ea typeface="Tahoma"/>
                  <a:cs typeface="Tahoma"/>
                </a:rPr>
                <a:t>Too many advertisements</a:t>
              </a:r>
            </a:p>
          </xdr:txBody>
        </xdr:sp>
        <xdr:clientData/>
      </xdr:twoCellAnchor>
    </mc:Choice>
    <mc:Fallback/>
  </mc:AlternateContent>
  <mc:AlternateContent xmlns:mc="http://schemas.openxmlformats.org/markup-compatibility/2006">
    <mc:Choice xmlns:a14="http://schemas.microsoft.com/office/drawing/2010/main" Requires="a14">
      <xdr:twoCellAnchor>
        <xdr:from>
          <xdr:col>11</xdr:col>
          <xdr:colOff>47625</xdr:colOff>
          <xdr:row>80</xdr:row>
          <xdr:rowOff>342900</xdr:rowOff>
        </xdr:from>
        <xdr:to>
          <xdr:col>11</xdr:col>
          <xdr:colOff>2009775</xdr:colOff>
          <xdr:row>80</xdr:row>
          <xdr:rowOff>523875</xdr:rowOff>
        </xdr:to>
        <xdr:sp macro="" textlink="">
          <xdr:nvSpPr>
            <xdr:cNvPr id="49539" name="Check Box 1411" hidden="1">
              <a:extLst>
                <a:ext uri="{63B3BB69-23CF-44E3-9099-C40C66FF867C}">
                  <a14:compatExt spid="_x0000_s49539"/>
                </a:ext>
                <a:ext uri="{FF2B5EF4-FFF2-40B4-BE49-F238E27FC236}">
                  <a16:creationId xmlns:a16="http://schemas.microsoft.com/office/drawing/2014/main" id="{00000000-0008-0000-0200-000083C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Tahoma"/>
                  <a:ea typeface="Tahoma"/>
                  <a:cs typeface="Tahoma"/>
                </a:rPr>
                <a:t>Customer routed to incorrect support</a:t>
              </a:r>
            </a:p>
          </xdr:txBody>
        </xdr:sp>
        <xdr:clientData/>
      </xdr:twoCellAnchor>
    </mc:Choice>
    <mc:Fallback/>
  </mc:AlternateContent>
  <mc:AlternateContent xmlns:mc="http://schemas.openxmlformats.org/markup-compatibility/2006">
    <mc:Choice xmlns:a14="http://schemas.microsoft.com/office/drawing/2010/main" Requires="a14">
      <xdr:twoCellAnchor>
        <xdr:from>
          <xdr:col>11</xdr:col>
          <xdr:colOff>2514600</xdr:colOff>
          <xdr:row>80</xdr:row>
          <xdr:rowOff>9525</xdr:rowOff>
        </xdr:from>
        <xdr:to>
          <xdr:col>12</xdr:col>
          <xdr:colOff>762000</xdr:colOff>
          <xdr:row>80</xdr:row>
          <xdr:rowOff>190500</xdr:rowOff>
        </xdr:to>
        <xdr:sp macro="" textlink="">
          <xdr:nvSpPr>
            <xdr:cNvPr id="49541" name="Check Box 1413" hidden="1">
              <a:extLst>
                <a:ext uri="{63B3BB69-23CF-44E3-9099-C40C66FF867C}">
                  <a14:compatExt spid="_x0000_s49541"/>
                </a:ext>
                <a:ext uri="{FF2B5EF4-FFF2-40B4-BE49-F238E27FC236}">
                  <a16:creationId xmlns:a16="http://schemas.microsoft.com/office/drawing/2014/main" id="{00000000-0008-0000-0200-000085C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Tahoma"/>
                  <a:ea typeface="Tahoma"/>
                  <a:cs typeface="Tahoma"/>
                </a:rPr>
                <a:t>Poor line quality while in IVR</a:t>
              </a:r>
            </a:p>
          </xdr:txBody>
        </xdr:sp>
        <xdr:clientData/>
      </xdr:twoCellAnchor>
    </mc:Choice>
    <mc:Fallback/>
  </mc:AlternateContent>
  <mc:AlternateContent xmlns:mc="http://schemas.openxmlformats.org/markup-compatibility/2006">
    <mc:Choice xmlns:a14="http://schemas.microsoft.com/office/drawing/2010/main" Requires="a14">
      <xdr:twoCellAnchor>
        <xdr:from>
          <xdr:col>11</xdr:col>
          <xdr:colOff>2514600</xdr:colOff>
          <xdr:row>80</xdr:row>
          <xdr:rowOff>171450</xdr:rowOff>
        </xdr:from>
        <xdr:to>
          <xdr:col>12</xdr:col>
          <xdr:colOff>962025</xdr:colOff>
          <xdr:row>80</xdr:row>
          <xdr:rowOff>333375</xdr:rowOff>
        </xdr:to>
        <xdr:sp macro="" textlink="">
          <xdr:nvSpPr>
            <xdr:cNvPr id="49542" name="Check Box 1414" hidden="1">
              <a:extLst>
                <a:ext uri="{63B3BB69-23CF-44E3-9099-C40C66FF867C}">
                  <a14:compatExt spid="_x0000_s49542"/>
                </a:ext>
                <a:ext uri="{FF2B5EF4-FFF2-40B4-BE49-F238E27FC236}">
                  <a16:creationId xmlns:a16="http://schemas.microsoft.com/office/drawing/2014/main" id="{00000000-0008-0000-0200-000086C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Tahoma"/>
                  <a:ea typeface="Tahoma"/>
                  <a:cs typeface="Tahoma"/>
                </a:rPr>
                <a:t>Too many prompts before getting a technician</a:t>
              </a:r>
            </a:p>
          </xdr:txBody>
        </xdr:sp>
        <xdr:clientData/>
      </xdr:twoCellAnchor>
    </mc:Choice>
    <mc:Fallback/>
  </mc:AlternateContent>
  <mc:AlternateContent xmlns:mc="http://schemas.openxmlformats.org/markup-compatibility/2006">
    <mc:Choice xmlns:a14="http://schemas.microsoft.com/office/drawing/2010/main" Requires="a14">
      <xdr:twoCellAnchor>
        <xdr:from>
          <xdr:col>11</xdr:col>
          <xdr:colOff>2514600</xdr:colOff>
          <xdr:row>80</xdr:row>
          <xdr:rowOff>342900</xdr:rowOff>
        </xdr:from>
        <xdr:to>
          <xdr:col>12</xdr:col>
          <xdr:colOff>762000</xdr:colOff>
          <xdr:row>80</xdr:row>
          <xdr:rowOff>523875</xdr:rowOff>
        </xdr:to>
        <xdr:sp macro="" textlink="">
          <xdr:nvSpPr>
            <xdr:cNvPr id="49543" name="Check Box 1415" hidden="1">
              <a:extLst>
                <a:ext uri="{63B3BB69-23CF-44E3-9099-C40C66FF867C}">
                  <a14:compatExt spid="_x0000_s49543"/>
                </a:ext>
                <a:ext uri="{FF2B5EF4-FFF2-40B4-BE49-F238E27FC236}">
                  <a16:creationId xmlns:a16="http://schemas.microsoft.com/office/drawing/2014/main" id="{00000000-0008-0000-0200-000087C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Tahoma"/>
                  <a:ea typeface="Tahoma"/>
                  <a:cs typeface="Tahoma"/>
                </a:rPr>
                <a:t>Prompts ending in a loop</a:t>
              </a:r>
            </a:p>
          </xdr:txBody>
        </xdr:sp>
        <xdr:clientData/>
      </xdr:twoCellAnchor>
    </mc:Choice>
    <mc:Fallback/>
  </mc:AlternateContent>
  <mc:AlternateContent xmlns:mc="http://schemas.openxmlformats.org/markup-compatibility/2006">
    <mc:Choice xmlns:a14="http://schemas.microsoft.com/office/drawing/2010/main" Requires="a14">
      <xdr:twoCellAnchor>
        <xdr:from>
          <xdr:col>11</xdr:col>
          <xdr:colOff>47625</xdr:colOff>
          <xdr:row>81</xdr:row>
          <xdr:rowOff>9525</xdr:rowOff>
        </xdr:from>
        <xdr:to>
          <xdr:col>11</xdr:col>
          <xdr:colOff>2009775</xdr:colOff>
          <xdr:row>81</xdr:row>
          <xdr:rowOff>190500</xdr:rowOff>
        </xdr:to>
        <xdr:sp macro="" textlink="">
          <xdr:nvSpPr>
            <xdr:cNvPr id="49544" name="Check Box 1416" hidden="1">
              <a:extLst>
                <a:ext uri="{63B3BB69-23CF-44E3-9099-C40C66FF867C}">
                  <a14:compatExt spid="_x0000_s49544"/>
                </a:ext>
                <a:ext uri="{FF2B5EF4-FFF2-40B4-BE49-F238E27FC236}">
                  <a16:creationId xmlns:a16="http://schemas.microsoft.com/office/drawing/2014/main" id="{00000000-0008-0000-0200-000088C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Tahoma"/>
                  <a:ea typeface="Tahoma"/>
                  <a:cs typeface="Tahoma"/>
                </a:rPr>
                <a:t>Incorrect Brand</a:t>
              </a:r>
            </a:p>
          </xdr:txBody>
        </xdr:sp>
        <xdr:clientData/>
      </xdr:twoCellAnchor>
    </mc:Choice>
    <mc:Fallback/>
  </mc:AlternateContent>
  <mc:AlternateContent xmlns:mc="http://schemas.openxmlformats.org/markup-compatibility/2006">
    <mc:Choice xmlns:a14="http://schemas.microsoft.com/office/drawing/2010/main" Requires="a14">
      <xdr:twoCellAnchor>
        <xdr:from>
          <xdr:col>11</xdr:col>
          <xdr:colOff>47625</xdr:colOff>
          <xdr:row>82</xdr:row>
          <xdr:rowOff>9525</xdr:rowOff>
        </xdr:from>
        <xdr:to>
          <xdr:col>11</xdr:col>
          <xdr:colOff>2009775</xdr:colOff>
          <xdr:row>82</xdr:row>
          <xdr:rowOff>190500</xdr:rowOff>
        </xdr:to>
        <xdr:sp macro="" textlink="">
          <xdr:nvSpPr>
            <xdr:cNvPr id="49545" name="Check Box 1417" hidden="1">
              <a:extLst>
                <a:ext uri="{63B3BB69-23CF-44E3-9099-C40C66FF867C}">
                  <a14:compatExt spid="_x0000_s49545"/>
                </a:ext>
                <a:ext uri="{FF2B5EF4-FFF2-40B4-BE49-F238E27FC236}">
                  <a16:creationId xmlns:a16="http://schemas.microsoft.com/office/drawing/2014/main" id="{00000000-0008-0000-0200-000089C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Tahoma"/>
                  <a:ea typeface="Tahoma"/>
                  <a:cs typeface="Tahoma"/>
                </a:rPr>
                <a:t>Sales Not Registering</a:t>
              </a:r>
            </a:p>
          </xdr:txBody>
        </xdr:sp>
        <xdr:clientData/>
      </xdr:twoCellAnchor>
    </mc:Choice>
    <mc:Fallback/>
  </mc:AlternateContent>
  <mc:AlternateContent xmlns:mc="http://schemas.openxmlformats.org/markup-compatibility/2006">
    <mc:Choice xmlns:a14="http://schemas.microsoft.com/office/drawing/2010/main" Requires="a14">
      <xdr:twoCellAnchor>
        <xdr:from>
          <xdr:col>11</xdr:col>
          <xdr:colOff>47625</xdr:colOff>
          <xdr:row>82</xdr:row>
          <xdr:rowOff>171450</xdr:rowOff>
        </xdr:from>
        <xdr:to>
          <xdr:col>11</xdr:col>
          <xdr:colOff>2009775</xdr:colOff>
          <xdr:row>82</xdr:row>
          <xdr:rowOff>352425</xdr:rowOff>
        </xdr:to>
        <xdr:sp macro="" textlink="">
          <xdr:nvSpPr>
            <xdr:cNvPr id="49546" name="Check Box 1418" hidden="1">
              <a:extLst>
                <a:ext uri="{63B3BB69-23CF-44E3-9099-C40C66FF867C}">
                  <a14:compatExt spid="_x0000_s49546"/>
                </a:ext>
                <a:ext uri="{FF2B5EF4-FFF2-40B4-BE49-F238E27FC236}">
                  <a16:creationId xmlns:a16="http://schemas.microsoft.com/office/drawing/2014/main" id="{00000000-0008-0000-0200-00008AC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Tahoma"/>
                  <a:ea typeface="Tahoma"/>
                  <a:cs typeface="Tahoma"/>
                </a:rPr>
                <a:t>Java error</a:t>
              </a:r>
            </a:p>
          </xdr:txBody>
        </xdr:sp>
        <xdr:clientData/>
      </xdr:twoCellAnchor>
    </mc:Choice>
    <mc:Fallback/>
  </mc:AlternateContent>
  <mc:AlternateContent xmlns:mc="http://schemas.openxmlformats.org/markup-compatibility/2006">
    <mc:Choice xmlns:a14="http://schemas.microsoft.com/office/drawing/2010/main" Requires="a14">
      <xdr:twoCellAnchor>
        <xdr:from>
          <xdr:col>11</xdr:col>
          <xdr:colOff>47625</xdr:colOff>
          <xdr:row>82</xdr:row>
          <xdr:rowOff>342900</xdr:rowOff>
        </xdr:from>
        <xdr:to>
          <xdr:col>11</xdr:col>
          <xdr:colOff>2009775</xdr:colOff>
          <xdr:row>82</xdr:row>
          <xdr:rowOff>523875</xdr:rowOff>
        </xdr:to>
        <xdr:sp macro="" textlink="">
          <xdr:nvSpPr>
            <xdr:cNvPr id="49547" name="Check Box 1419" hidden="1">
              <a:extLst>
                <a:ext uri="{63B3BB69-23CF-44E3-9099-C40C66FF867C}">
                  <a14:compatExt spid="_x0000_s49547"/>
                </a:ext>
                <a:ext uri="{FF2B5EF4-FFF2-40B4-BE49-F238E27FC236}">
                  <a16:creationId xmlns:a16="http://schemas.microsoft.com/office/drawing/2014/main" id="{00000000-0008-0000-0200-00008BC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Tahoma"/>
                  <a:ea typeface="Tahoma"/>
                  <a:cs typeface="Tahoma"/>
                </a:rPr>
                <a:t>Product Inventory Not sync with Oracle</a:t>
              </a:r>
            </a:p>
          </xdr:txBody>
        </xdr:sp>
        <xdr:clientData/>
      </xdr:twoCellAnchor>
    </mc:Choice>
    <mc:Fallback/>
  </mc:AlternateContent>
  <mc:AlternateContent xmlns:mc="http://schemas.openxmlformats.org/markup-compatibility/2006">
    <mc:Choice xmlns:a14="http://schemas.microsoft.com/office/drawing/2010/main" Requires="a14">
      <xdr:twoCellAnchor>
        <xdr:from>
          <xdr:col>11</xdr:col>
          <xdr:colOff>47625</xdr:colOff>
          <xdr:row>82</xdr:row>
          <xdr:rowOff>495300</xdr:rowOff>
        </xdr:from>
        <xdr:to>
          <xdr:col>11</xdr:col>
          <xdr:colOff>2009775</xdr:colOff>
          <xdr:row>82</xdr:row>
          <xdr:rowOff>676275</xdr:rowOff>
        </xdr:to>
        <xdr:sp macro="" textlink="">
          <xdr:nvSpPr>
            <xdr:cNvPr id="49548" name="Check Box 1420" hidden="1">
              <a:extLst>
                <a:ext uri="{63B3BB69-23CF-44E3-9099-C40C66FF867C}">
                  <a14:compatExt spid="_x0000_s49548"/>
                </a:ext>
                <a:ext uri="{FF2B5EF4-FFF2-40B4-BE49-F238E27FC236}">
                  <a16:creationId xmlns:a16="http://schemas.microsoft.com/office/drawing/2014/main" id="{00000000-0008-0000-0200-00008CC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Tahoma"/>
                  <a:ea typeface="Tahoma"/>
                  <a:cs typeface="Tahoma"/>
                </a:rPr>
                <a:t>Can't Update Mailing Address</a:t>
              </a:r>
            </a:p>
          </xdr:txBody>
        </xdr:sp>
        <xdr:clientData/>
      </xdr:twoCellAnchor>
    </mc:Choice>
    <mc:Fallback/>
  </mc:AlternateContent>
  <mc:AlternateContent xmlns:mc="http://schemas.openxmlformats.org/markup-compatibility/2006">
    <mc:Choice xmlns:a14="http://schemas.microsoft.com/office/drawing/2010/main" Requires="a14">
      <xdr:twoCellAnchor>
        <xdr:from>
          <xdr:col>11</xdr:col>
          <xdr:colOff>2514600</xdr:colOff>
          <xdr:row>82</xdr:row>
          <xdr:rowOff>9525</xdr:rowOff>
        </xdr:from>
        <xdr:to>
          <xdr:col>12</xdr:col>
          <xdr:colOff>762000</xdr:colOff>
          <xdr:row>82</xdr:row>
          <xdr:rowOff>190500</xdr:rowOff>
        </xdr:to>
        <xdr:sp macro="" textlink="">
          <xdr:nvSpPr>
            <xdr:cNvPr id="49550" name="Check Box 1422" hidden="1">
              <a:extLst>
                <a:ext uri="{63B3BB69-23CF-44E3-9099-C40C66FF867C}">
                  <a14:compatExt spid="_x0000_s49550"/>
                </a:ext>
                <a:ext uri="{FF2B5EF4-FFF2-40B4-BE49-F238E27FC236}">
                  <a16:creationId xmlns:a16="http://schemas.microsoft.com/office/drawing/2014/main" id="{00000000-0008-0000-0200-00008EC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Tahoma"/>
                  <a:ea typeface="Tahoma"/>
                  <a:cs typeface="Tahoma"/>
                </a:rPr>
                <a:t>Region-based limitation (broken link)</a:t>
              </a:r>
            </a:p>
          </xdr:txBody>
        </xdr:sp>
        <xdr:clientData/>
      </xdr:twoCellAnchor>
    </mc:Choice>
    <mc:Fallback/>
  </mc:AlternateContent>
  <mc:AlternateContent xmlns:mc="http://schemas.openxmlformats.org/markup-compatibility/2006">
    <mc:Choice xmlns:a14="http://schemas.microsoft.com/office/drawing/2010/main" Requires="a14">
      <xdr:twoCellAnchor>
        <xdr:from>
          <xdr:col>11</xdr:col>
          <xdr:colOff>2514600</xdr:colOff>
          <xdr:row>82</xdr:row>
          <xdr:rowOff>171450</xdr:rowOff>
        </xdr:from>
        <xdr:to>
          <xdr:col>12</xdr:col>
          <xdr:colOff>762000</xdr:colOff>
          <xdr:row>82</xdr:row>
          <xdr:rowOff>352425</xdr:rowOff>
        </xdr:to>
        <xdr:sp macro="" textlink="">
          <xdr:nvSpPr>
            <xdr:cNvPr id="49551" name="Check Box 1423" hidden="1">
              <a:extLst>
                <a:ext uri="{63B3BB69-23CF-44E3-9099-C40C66FF867C}">
                  <a14:compatExt spid="_x0000_s49551"/>
                </a:ext>
                <a:ext uri="{FF2B5EF4-FFF2-40B4-BE49-F238E27FC236}">
                  <a16:creationId xmlns:a16="http://schemas.microsoft.com/office/drawing/2014/main" id="{00000000-0008-0000-0200-00008FC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Tahoma"/>
                  <a:ea typeface="Tahoma"/>
                  <a:cs typeface="Tahoma"/>
                </a:rPr>
                <a:t>Credit Card Limitation (CSC)</a:t>
              </a:r>
            </a:p>
          </xdr:txBody>
        </xdr:sp>
        <xdr:clientData/>
      </xdr:twoCellAnchor>
    </mc:Choice>
    <mc:Fallback/>
  </mc:AlternateContent>
  <mc:AlternateContent xmlns:mc="http://schemas.openxmlformats.org/markup-compatibility/2006">
    <mc:Choice xmlns:a14="http://schemas.microsoft.com/office/drawing/2010/main" Requires="a14">
      <xdr:twoCellAnchor>
        <xdr:from>
          <xdr:col>11</xdr:col>
          <xdr:colOff>2514600</xdr:colOff>
          <xdr:row>82</xdr:row>
          <xdr:rowOff>342900</xdr:rowOff>
        </xdr:from>
        <xdr:to>
          <xdr:col>12</xdr:col>
          <xdr:colOff>762000</xdr:colOff>
          <xdr:row>82</xdr:row>
          <xdr:rowOff>523875</xdr:rowOff>
        </xdr:to>
        <xdr:sp macro="" textlink="">
          <xdr:nvSpPr>
            <xdr:cNvPr id="49552" name="Check Box 1424" hidden="1">
              <a:extLst>
                <a:ext uri="{63B3BB69-23CF-44E3-9099-C40C66FF867C}">
                  <a14:compatExt spid="_x0000_s49552"/>
                </a:ext>
                <a:ext uri="{FF2B5EF4-FFF2-40B4-BE49-F238E27FC236}">
                  <a16:creationId xmlns:a16="http://schemas.microsoft.com/office/drawing/2014/main" id="{00000000-0008-0000-0200-000090C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Tahoma"/>
                  <a:ea typeface="Tahoma"/>
                  <a:cs typeface="Tahoma"/>
                </a:rPr>
                <a:t>Failure/Hard to key-in card number</a:t>
              </a:r>
            </a:p>
          </xdr:txBody>
        </xdr:sp>
        <xdr:clientData/>
      </xdr:twoCellAnchor>
    </mc:Choice>
    <mc:Fallback/>
  </mc:AlternateContent>
  <mc:AlternateContent xmlns:mc="http://schemas.openxmlformats.org/markup-compatibility/2006">
    <mc:Choice xmlns:a14="http://schemas.microsoft.com/office/drawing/2010/main" Requires="a14">
      <xdr:twoCellAnchor>
        <xdr:from>
          <xdr:col>11</xdr:col>
          <xdr:colOff>2514600</xdr:colOff>
          <xdr:row>82</xdr:row>
          <xdr:rowOff>495300</xdr:rowOff>
        </xdr:from>
        <xdr:to>
          <xdr:col>12</xdr:col>
          <xdr:colOff>762000</xdr:colOff>
          <xdr:row>82</xdr:row>
          <xdr:rowOff>676275</xdr:rowOff>
        </xdr:to>
        <xdr:sp macro="" textlink="">
          <xdr:nvSpPr>
            <xdr:cNvPr id="49553" name="Check Box 1425" hidden="1">
              <a:extLst>
                <a:ext uri="{63B3BB69-23CF-44E3-9099-C40C66FF867C}">
                  <a14:compatExt spid="_x0000_s49553"/>
                </a:ext>
                <a:ext uri="{FF2B5EF4-FFF2-40B4-BE49-F238E27FC236}">
                  <a16:creationId xmlns:a16="http://schemas.microsoft.com/office/drawing/2014/main" id="{00000000-0008-0000-0200-000091C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Tahoma"/>
                  <a:ea typeface="Tahoma"/>
                  <a:cs typeface="Tahoma"/>
                </a:rPr>
                <a:t>Multiple transfer</a:t>
              </a:r>
            </a:p>
          </xdr:txBody>
        </xdr:sp>
        <xdr:clientData/>
      </xdr:twoCellAnchor>
    </mc:Choice>
    <mc:Fallback/>
  </mc:AlternateContent>
  <mc:AlternateContent xmlns:mc="http://schemas.openxmlformats.org/markup-compatibility/2006">
    <mc:Choice xmlns:a14="http://schemas.microsoft.com/office/drawing/2010/main" Requires="a14">
      <xdr:twoCellAnchor>
        <xdr:from>
          <xdr:col>12</xdr:col>
          <xdr:colOff>885825</xdr:colOff>
          <xdr:row>82</xdr:row>
          <xdr:rowOff>9525</xdr:rowOff>
        </xdr:from>
        <xdr:to>
          <xdr:col>12</xdr:col>
          <xdr:colOff>2952750</xdr:colOff>
          <xdr:row>82</xdr:row>
          <xdr:rowOff>190500</xdr:rowOff>
        </xdr:to>
        <xdr:sp macro="" textlink="">
          <xdr:nvSpPr>
            <xdr:cNvPr id="49555" name="Check Box 1427" hidden="1">
              <a:extLst>
                <a:ext uri="{63B3BB69-23CF-44E3-9099-C40C66FF867C}">
                  <a14:compatExt spid="_x0000_s49555"/>
                </a:ext>
                <a:ext uri="{FF2B5EF4-FFF2-40B4-BE49-F238E27FC236}">
                  <a16:creationId xmlns:a16="http://schemas.microsoft.com/office/drawing/2014/main" id="{00000000-0008-0000-0200-000093C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Tahoma"/>
                  <a:ea typeface="Tahoma"/>
                  <a:cs typeface="Tahoma"/>
                </a:rPr>
                <a:t>Multiple Charging (System Issue)</a:t>
              </a:r>
            </a:p>
          </xdr:txBody>
        </xdr:sp>
        <xdr:clientData/>
      </xdr:twoCellAnchor>
    </mc:Choice>
    <mc:Fallback/>
  </mc:AlternateContent>
  <mc:AlternateContent xmlns:mc="http://schemas.openxmlformats.org/markup-compatibility/2006">
    <mc:Choice xmlns:a14="http://schemas.microsoft.com/office/drawing/2010/main" Requires="a14">
      <xdr:twoCellAnchor>
        <xdr:from>
          <xdr:col>12</xdr:col>
          <xdr:colOff>885825</xdr:colOff>
          <xdr:row>82</xdr:row>
          <xdr:rowOff>171450</xdr:rowOff>
        </xdr:from>
        <xdr:to>
          <xdr:col>12</xdr:col>
          <xdr:colOff>2952750</xdr:colOff>
          <xdr:row>82</xdr:row>
          <xdr:rowOff>352425</xdr:rowOff>
        </xdr:to>
        <xdr:sp macro="" textlink="">
          <xdr:nvSpPr>
            <xdr:cNvPr id="49556" name="Check Box 1428" hidden="1">
              <a:extLst>
                <a:ext uri="{63B3BB69-23CF-44E3-9099-C40C66FF867C}">
                  <a14:compatExt spid="_x0000_s49556"/>
                </a:ext>
                <a:ext uri="{FF2B5EF4-FFF2-40B4-BE49-F238E27FC236}">
                  <a16:creationId xmlns:a16="http://schemas.microsoft.com/office/drawing/2014/main" id="{00000000-0008-0000-0200-000094C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Tahoma"/>
                  <a:ea typeface="Tahoma"/>
                  <a:cs typeface="Tahoma"/>
                </a:rPr>
                <a:t>Product Availability</a:t>
              </a:r>
            </a:p>
          </xdr:txBody>
        </xdr:sp>
        <xdr:clientData/>
      </xdr:twoCellAnchor>
    </mc:Choice>
    <mc:Fallback/>
  </mc:AlternateContent>
  <mc:AlternateContent xmlns:mc="http://schemas.openxmlformats.org/markup-compatibility/2006">
    <mc:Choice xmlns:a14="http://schemas.microsoft.com/office/drawing/2010/main" Requires="a14">
      <xdr:twoCellAnchor>
        <xdr:from>
          <xdr:col>12</xdr:col>
          <xdr:colOff>885825</xdr:colOff>
          <xdr:row>82</xdr:row>
          <xdr:rowOff>342900</xdr:rowOff>
        </xdr:from>
        <xdr:to>
          <xdr:col>12</xdr:col>
          <xdr:colOff>2952750</xdr:colOff>
          <xdr:row>82</xdr:row>
          <xdr:rowOff>523875</xdr:rowOff>
        </xdr:to>
        <xdr:sp macro="" textlink="">
          <xdr:nvSpPr>
            <xdr:cNvPr id="49557" name="Check Box 1429" hidden="1">
              <a:extLst>
                <a:ext uri="{63B3BB69-23CF-44E3-9099-C40C66FF867C}">
                  <a14:compatExt spid="_x0000_s49557"/>
                </a:ext>
                <a:ext uri="{FF2B5EF4-FFF2-40B4-BE49-F238E27FC236}">
                  <a16:creationId xmlns:a16="http://schemas.microsoft.com/office/drawing/2014/main" id="{00000000-0008-0000-0200-000095C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Tahoma"/>
                  <a:ea typeface="Tahoma"/>
                  <a:cs typeface="Tahoma"/>
                </a:rPr>
                <a:t>IVR Issues</a:t>
              </a:r>
            </a:p>
          </xdr:txBody>
        </xdr:sp>
        <xdr:clientData/>
      </xdr:twoCellAnchor>
    </mc:Choice>
    <mc:Fallback/>
  </mc:AlternateContent>
  <mc:AlternateContent xmlns:mc="http://schemas.openxmlformats.org/markup-compatibility/2006">
    <mc:Choice xmlns:a14="http://schemas.microsoft.com/office/drawing/2010/main" Requires="a14">
      <xdr:twoCellAnchor>
        <xdr:from>
          <xdr:col>12</xdr:col>
          <xdr:colOff>885825</xdr:colOff>
          <xdr:row>82</xdr:row>
          <xdr:rowOff>495300</xdr:rowOff>
        </xdr:from>
        <xdr:to>
          <xdr:col>12</xdr:col>
          <xdr:colOff>2952750</xdr:colOff>
          <xdr:row>82</xdr:row>
          <xdr:rowOff>676275</xdr:rowOff>
        </xdr:to>
        <xdr:sp macro="" textlink="">
          <xdr:nvSpPr>
            <xdr:cNvPr id="49558" name="Check Box 1430" hidden="1">
              <a:extLst>
                <a:ext uri="{63B3BB69-23CF-44E3-9099-C40C66FF867C}">
                  <a14:compatExt spid="_x0000_s49558"/>
                </a:ext>
                <a:ext uri="{FF2B5EF4-FFF2-40B4-BE49-F238E27FC236}">
                  <a16:creationId xmlns:a16="http://schemas.microsoft.com/office/drawing/2014/main" id="{00000000-0008-0000-0200-000096C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Tahoma"/>
                  <a:ea typeface="Tahoma"/>
                  <a:cs typeface="Tahoma"/>
                </a:rPr>
                <a:t>Brand update needed in SFDC to check orders</a:t>
              </a:r>
            </a:p>
          </xdr:txBody>
        </xdr:sp>
        <xdr:clientData/>
      </xdr:twoCellAnchor>
    </mc:Choice>
    <mc:Fallback/>
  </mc:AlternateContent>
  <mc:AlternateContent xmlns:mc="http://schemas.openxmlformats.org/markup-compatibility/2006">
    <mc:Choice xmlns:a14="http://schemas.microsoft.com/office/drawing/2010/main" Requires="a14">
      <xdr:twoCellAnchor>
        <xdr:from>
          <xdr:col>11</xdr:col>
          <xdr:colOff>47625</xdr:colOff>
          <xdr:row>83</xdr:row>
          <xdr:rowOff>9525</xdr:rowOff>
        </xdr:from>
        <xdr:to>
          <xdr:col>11</xdr:col>
          <xdr:colOff>2009775</xdr:colOff>
          <xdr:row>83</xdr:row>
          <xdr:rowOff>190500</xdr:rowOff>
        </xdr:to>
        <xdr:sp macro="" textlink="">
          <xdr:nvSpPr>
            <xdr:cNvPr id="49564" name="Check Box 1436" hidden="1">
              <a:extLst>
                <a:ext uri="{63B3BB69-23CF-44E3-9099-C40C66FF867C}">
                  <a14:compatExt spid="_x0000_s49564"/>
                </a:ext>
                <a:ext uri="{FF2B5EF4-FFF2-40B4-BE49-F238E27FC236}">
                  <a16:creationId xmlns:a16="http://schemas.microsoft.com/office/drawing/2014/main" id="{00000000-0008-0000-0200-00009CC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Tahoma"/>
                  <a:ea typeface="Tahoma"/>
                  <a:cs typeface="Tahoma"/>
                </a:rPr>
                <a:t>Keyword search not working</a:t>
              </a:r>
            </a:p>
          </xdr:txBody>
        </xdr:sp>
        <xdr:clientData/>
      </xdr:twoCellAnchor>
    </mc:Choice>
    <mc:Fallback/>
  </mc:AlternateContent>
  <mc:AlternateContent xmlns:mc="http://schemas.openxmlformats.org/markup-compatibility/2006">
    <mc:Choice xmlns:a14="http://schemas.microsoft.com/office/drawing/2010/main" Requires="a14">
      <xdr:twoCellAnchor>
        <xdr:from>
          <xdr:col>11</xdr:col>
          <xdr:colOff>47625</xdr:colOff>
          <xdr:row>83</xdr:row>
          <xdr:rowOff>171450</xdr:rowOff>
        </xdr:from>
        <xdr:to>
          <xdr:col>11</xdr:col>
          <xdr:colOff>2009775</xdr:colOff>
          <xdr:row>83</xdr:row>
          <xdr:rowOff>352425</xdr:rowOff>
        </xdr:to>
        <xdr:sp macro="" textlink="">
          <xdr:nvSpPr>
            <xdr:cNvPr id="49565" name="Check Box 1437" hidden="1">
              <a:extLst>
                <a:ext uri="{63B3BB69-23CF-44E3-9099-C40C66FF867C}">
                  <a14:compatExt spid="_x0000_s49565"/>
                </a:ext>
                <a:ext uri="{FF2B5EF4-FFF2-40B4-BE49-F238E27FC236}">
                  <a16:creationId xmlns:a16="http://schemas.microsoft.com/office/drawing/2014/main" id="{00000000-0008-0000-0200-00009DC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Tahoma"/>
                  <a:ea typeface="Tahoma"/>
                  <a:cs typeface="Tahoma"/>
                </a:rPr>
                <a:t>Small Font</a:t>
              </a:r>
            </a:p>
          </xdr:txBody>
        </xdr:sp>
        <xdr:clientData/>
      </xdr:twoCellAnchor>
    </mc:Choice>
    <mc:Fallback/>
  </mc:AlternateContent>
  <mc:AlternateContent xmlns:mc="http://schemas.openxmlformats.org/markup-compatibility/2006">
    <mc:Choice xmlns:a14="http://schemas.microsoft.com/office/drawing/2010/main" Requires="a14">
      <xdr:twoCellAnchor>
        <xdr:from>
          <xdr:col>11</xdr:col>
          <xdr:colOff>47625</xdr:colOff>
          <xdr:row>83</xdr:row>
          <xdr:rowOff>342900</xdr:rowOff>
        </xdr:from>
        <xdr:to>
          <xdr:col>11</xdr:col>
          <xdr:colOff>2009775</xdr:colOff>
          <xdr:row>83</xdr:row>
          <xdr:rowOff>523875</xdr:rowOff>
        </xdr:to>
        <xdr:sp macro="" textlink="">
          <xdr:nvSpPr>
            <xdr:cNvPr id="49566" name="Check Box 1438" hidden="1">
              <a:extLst>
                <a:ext uri="{63B3BB69-23CF-44E3-9099-C40C66FF867C}">
                  <a14:compatExt spid="_x0000_s49566"/>
                </a:ext>
                <a:ext uri="{FF2B5EF4-FFF2-40B4-BE49-F238E27FC236}">
                  <a16:creationId xmlns:a16="http://schemas.microsoft.com/office/drawing/2014/main" id="{00000000-0008-0000-0200-00009EC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Tahoma"/>
                  <a:ea typeface="Tahoma"/>
                  <a:cs typeface="Tahoma"/>
                </a:rPr>
                <a:t>Process not uploaded</a:t>
              </a:r>
            </a:p>
          </xdr:txBody>
        </xdr:sp>
        <xdr:clientData/>
      </xdr:twoCellAnchor>
    </mc:Choice>
    <mc:Fallback/>
  </mc:AlternateContent>
  <mc:AlternateContent xmlns:mc="http://schemas.openxmlformats.org/markup-compatibility/2006">
    <mc:Choice xmlns:a14="http://schemas.microsoft.com/office/drawing/2010/main" Requires="a14">
      <xdr:twoCellAnchor>
        <xdr:from>
          <xdr:col>11</xdr:col>
          <xdr:colOff>47625</xdr:colOff>
          <xdr:row>83</xdr:row>
          <xdr:rowOff>495300</xdr:rowOff>
        </xdr:from>
        <xdr:to>
          <xdr:col>11</xdr:col>
          <xdr:colOff>2009775</xdr:colOff>
          <xdr:row>83</xdr:row>
          <xdr:rowOff>676275</xdr:rowOff>
        </xdr:to>
        <xdr:sp macro="" textlink="">
          <xdr:nvSpPr>
            <xdr:cNvPr id="49567" name="Check Box 1439" hidden="1">
              <a:extLst>
                <a:ext uri="{63B3BB69-23CF-44E3-9099-C40C66FF867C}">
                  <a14:compatExt spid="_x0000_s49567"/>
                </a:ext>
                <a:ext uri="{FF2B5EF4-FFF2-40B4-BE49-F238E27FC236}">
                  <a16:creationId xmlns:a16="http://schemas.microsoft.com/office/drawing/2014/main" id="{00000000-0008-0000-0200-00009FC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Tahoma"/>
                  <a:ea typeface="Tahoma"/>
                  <a:cs typeface="Tahoma"/>
                </a:rPr>
                <a:t>Process not updated</a:t>
              </a:r>
            </a:p>
          </xdr:txBody>
        </xdr:sp>
        <xdr:clientData/>
      </xdr:twoCellAnchor>
    </mc:Choice>
    <mc:Fallback/>
  </mc:AlternateContent>
  <mc:AlternateContent xmlns:mc="http://schemas.openxmlformats.org/markup-compatibility/2006">
    <mc:Choice xmlns:a14="http://schemas.microsoft.com/office/drawing/2010/main" Requires="a14">
      <xdr:twoCellAnchor>
        <xdr:from>
          <xdr:col>11</xdr:col>
          <xdr:colOff>2514600</xdr:colOff>
          <xdr:row>83</xdr:row>
          <xdr:rowOff>9525</xdr:rowOff>
        </xdr:from>
        <xdr:to>
          <xdr:col>12</xdr:col>
          <xdr:colOff>762000</xdr:colOff>
          <xdr:row>83</xdr:row>
          <xdr:rowOff>190500</xdr:rowOff>
        </xdr:to>
        <xdr:sp macro="" textlink="">
          <xdr:nvSpPr>
            <xdr:cNvPr id="49568" name="Check Box 1440" hidden="1">
              <a:extLst>
                <a:ext uri="{63B3BB69-23CF-44E3-9099-C40C66FF867C}">
                  <a14:compatExt spid="_x0000_s49568"/>
                </a:ext>
                <a:ext uri="{FF2B5EF4-FFF2-40B4-BE49-F238E27FC236}">
                  <a16:creationId xmlns:a16="http://schemas.microsoft.com/office/drawing/2014/main" id="{00000000-0008-0000-0200-0000A0C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Tahoma"/>
                  <a:ea typeface="Tahoma"/>
                  <a:cs typeface="Tahoma"/>
                </a:rPr>
                <a:t>Multiple Process uploaded</a:t>
              </a:r>
            </a:p>
          </xdr:txBody>
        </xdr:sp>
        <xdr:clientData/>
      </xdr:twoCellAnchor>
    </mc:Choice>
    <mc:Fallback/>
  </mc:AlternateContent>
  <mc:AlternateContent xmlns:mc="http://schemas.openxmlformats.org/markup-compatibility/2006">
    <mc:Choice xmlns:a14="http://schemas.microsoft.com/office/drawing/2010/main" Requires="a14">
      <xdr:twoCellAnchor>
        <xdr:from>
          <xdr:col>11</xdr:col>
          <xdr:colOff>2514600</xdr:colOff>
          <xdr:row>83</xdr:row>
          <xdr:rowOff>171450</xdr:rowOff>
        </xdr:from>
        <xdr:to>
          <xdr:col>12</xdr:col>
          <xdr:colOff>762000</xdr:colOff>
          <xdr:row>83</xdr:row>
          <xdr:rowOff>352425</xdr:rowOff>
        </xdr:to>
        <xdr:sp macro="" textlink="">
          <xdr:nvSpPr>
            <xdr:cNvPr id="49569" name="Check Box 1441" hidden="1">
              <a:extLst>
                <a:ext uri="{63B3BB69-23CF-44E3-9099-C40C66FF867C}">
                  <a14:compatExt spid="_x0000_s49569"/>
                </a:ext>
                <a:ext uri="{FF2B5EF4-FFF2-40B4-BE49-F238E27FC236}">
                  <a16:creationId xmlns:a16="http://schemas.microsoft.com/office/drawing/2014/main" id="{00000000-0008-0000-0200-0000A1C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Tahoma"/>
                  <a:ea typeface="Tahoma"/>
                  <a:cs typeface="Tahoma"/>
                </a:rPr>
                <a:t>Small Picture</a:t>
              </a:r>
            </a:p>
          </xdr:txBody>
        </xdr:sp>
        <xdr:clientData/>
      </xdr:twoCellAnchor>
    </mc:Choice>
    <mc:Fallback/>
  </mc:AlternateContent>
  <mc:AlternateContent xmlns:mc="http://schemas.openxmlformats.org/markup-compatibility/2006">
    <mc:Choice xmlns:a14="http://schemas.microsoft.com/office/drawing/2010/main" Requires="a14">
      <xdr:twoCellAnchor>
        <xdr:from>
          <xdr:col>11</xdr:col>
          <xdr:colOff>2514600</xdr:colOff>
          <xdr:row>83</xdr:row>
          <xdr:rowOff>342900</xdr:rowOff>
        </xdr:from>
        <xdr:to>
          <xdr:col>12</xdr:col>
          <xdr:colOff>762000</xdr:colOff>
          <xdr:row>83</xdr:row>
          <xdr:rowOff>523875</xdr:rowOff>
        </xdr:to>
        <xdr:sp macro="" textlink="">
          <xdr:nvSpPr>
            <xdr:cNvPr id="49570" name="Check Box 1442" hidden="1">
              <a:extLst>
                <a:ext uri="{63B3BB69-23CF-44E3-9099-C40C66FF867C}">
                  <a14:compatExt spid="_x0000_s49570"/>
                </a:ext>
                <a:ext uri="{FF2B5EF4-FFF2-40B4-BE49-F238E27FC236}">
                  <a16:creationId xmlns:a16="http://schemas.microsoft.com/office/drawing/2014/main" id="{00000000-0008-0000-0200-0000A2C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Tahoma"/>
                  <a:ea typeface="Tahoma"/>
                  <a:cs typeface="Tahoma"/>
                </a:rPr>
                <a:t>Incorrect content</a:t>
              </a:r>
            </a:p>
          </xdr:txBody>
        </xdr:sp>
        <xdr:clientData/>
      </xdr:twoCellAnchor>
    </mc:Choice>
    <mc:Fallback/>
  </mc:AlternateContent>
  <mc:AlternateContent xmlns:mc="http://schemas.openxmlformats.org/markup-compatibility/2006">
    <mc:Choice xmlns:a14="http://schemas.microsoft.com/office/drawing/2010/main" Requires="a14">
      <xdr:twoCellAnchor>
        <xdr:from>
          <xdr:col>11</xdr:col>
          <xdr:colOff>2514600</xdr:colOff>
          <xdr:row>83</xdr:row>
          <xdr:rowOff>495300</xdr:rowOff>
        </xdr:from>
        <xdr:to>
          <xdr:col>12</xdr:col>
          <xdr:colOff>762000</xdr:colOff>
          <xdr:row>83</xdr:row>
          <xdr:rowOff>676275</xdr:rowOff>
        </xdr:to>
        <xdr:sp macro="" textlink="">
          <xdr:nvSpPr>
            <xdr:cNvPr id="49571" name="Check Box 1443" hidden="1">
              <a:extLst>
                <a:ext uri="{63B3BB69-23CF-44E3-9099-C40C66FF867C}">
                  <a14:compatExt spid="_x0000_s49571"/>
                </a:ext>
                <a:ext uri="{FF2B5EF4-FFF2-40B4-BE49-F238E27FC236}">
                  <a16:creationId xmlns:a16="http://schemas.microsoft.com/office/drawing/2014/main" id="{00000000-0008-0000-0200-0000A3C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Tahoma"/>
                  <a:ea typeface="Tahoma"/>
                  <a:cs typeface="Tahoma"/>
                </a:rPr>
                <a:t>Repetitive login required</a:t>
              </a:r>
            </a:p>
          </xdr:txBody>
        </xdr:sp>
        <xdr:clientData/>
      </xdr:twoCellAnchor>
    </mc:Choice>
    <mc:Fallback/>
  </mc:AlternateContent>
  <mc:AlternateContent xmlns:mc="http://schemas.openxmlformats.org/markup-compatibility/2006">
    <mc:Choice xmlns:a14="http://schemas.microsoft.com/office/drawing/2010/main" Requires="a14">
      <xdr:twoCellAnchor>
        <xdr:from>
          <xdr:col>12</xdr:col>
          <xdr:colOff>885825</xdr:colOff>
          <xdr:row>83</xdr:row>
          <xdr:rowOff>9525</xdr:rowOff>
        </xdr:from>
        <xdr:to>
          <xdr:col>12</xdr:col>
          <xdr:colOff>2952750</xdr:colOff>
          <xdr:row>83</xdr:row>
          <xdr:rowOff>190500</xdr:rowOff>
        </xdr:to>
        <xdr:sp macro="" textlink="">
          <xdr:nvSpPr>
            <xdr:cNvPr id="49572" name="Check Box 1444" hidden="1">
              <a:extLst>
                <a:ext uri="{63B3BB69-23CF-44E3-9099-C40C66FF867C}">
                  <a14:compatExt spid="_x0000_s49572"/>
                </a:ext>
                <a:ext uri="{FF2B5EF4-FFF2-40B4-BE49-F238E27FC236}">
                  <a16:creationId xmlns:a16="http://schemas.microsoft.com/office/drawing/2014/main" id="{00000000-0008-0000-0200-0000A4C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Tahoma"/>
                  <a:ea typeface="Tahoma"/>
                  <a:cs typeface="Tahoma"/>
                </a:rPr>
                <a:t>Outdated Simulator</a:t>
              </a:r>
            </a:p>
          </xdr:txBody>
        </xdr:sp>
        <xdr:clientData/>
      </xdr:twoCellAnchor>
    </mc:Choice>
    <mc:Fallback/>
  </mc:AlternateContent>
  <mc:AlternateContent xmlns:mc="http://schemas.openxmlformats.org/markup-compatibility/2006">
    <mc:Choice xmlns:a14="http://schemas.microsoft.com/office/drawing/2010/main" Requires="a14">
      <xdr:twoCellAnchor>
        <xdr:from>
          <xdr:col>12</xdr:col>
          <xdr:colOff>885825</xdr:colOff>
          <xdr:row>83</xdr:row>
          <xdr:rowOff>171450</xdr:rowOff>
        </xdr:from>
        <xdr:to>
          <xdr:col>12</xdr:col>
          <xdr:colOff>2952750</xdr:colOff>
          <xdr:row>83</xdr:row>
          <xdr:rowOff>352425</xdr:rowOff>
        </xdr:to>
        <xdr:sp macro="" textlink="">
          <xdr:nvSpPr>
            <xdr:cNvPr id="49573" name="Check Box 1445" hidden="1">
              <a:extLst>
                <a:ext uri="{63B3BB69-23CF-44E3-9099-C40C66FF867C}">
                  <a14:compatExt spid="_x0000_s49573"/>
                </a:ext>
                <a:ext uri="{FF2B5EF4-FFF2-40B4-BE49-F238E27FC236}">
                  <a16:creationId xmlns:a16="http://schemas.microsoft.com/office/drawing/2014/main" id="{00000000-0008-0000-0200-0000A5C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Tahoma"/>
                  <a:ea typeface="Tahoma"/>
                  <a:cs typeface="Tahoma"/>
                </a:rPr>
                <a:t>Missing Simulator</a:t>
              </a:r>
            </a:p>
          </xdr:txBody>
        </xdr:sp>
        <xdr:clientData/>
      </xdr:twoCellAnchor>
    </mc:Choice>
    <mc:Fallback/>
  </mc:AlternateContent>
  <mc:AlternateContent xmlns:mc="http://schemas.openxmlformats.org/markup-compatibility/2006">
    <mc:Choice xmlns:a14="http://schemas.microsoft.com/office/drawing/2010/main" Requires="a14">
      <xdr:twoCellAnchor>
        <xdr:from>
          <xdr:col>11</xdr:col>
          <xdr:colOff>2514600</xdr:colOff>
          <xdr:row>53</xdr:row>
          <xdr:rowOff>9525</xdr:rowOff>
        </xdr:from>
        <xdr:to>
          <xdr:col>12</xdr:col>
          <xdr:colOff>762000</xdr:colOff>
          <xdr:row>53</xdr:row>
          <xdr:rowOff>190500</xdr:rowOff>
        </xdr:to>
        <xdr:sp macro="" textlink="">
          <xdr:nvSpPr>
            <xdr:cNvPr id="49576" name="Check Box 1448" hidden="1">
              <a:extLst>
                <a:ext uri="{63B3BB69-23CF-44E3-9099-C40C66FF867C}">
                  <a14:compatExt spid="_x0000_s49576"/>
                </a:ext>
                <a:ext uri="{FF2B5EF4-FFF2-40B4-BE49-F238E27FC236}">
                  <a16:creationId xmlns:a16="http://schemas.microsoft.com/office/drawing/2014/main" id="{00000000-0008-0000-0200-0000A8C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Tahoma"/>
                  <a:ea typeface="Tahoma"/>
                  <a:cs typeface="Tahoma"/>
                </a:rPr>
                <a:t>Missing item(s)</a:t>
              </a:r>
            </a:p>
          </xdr:txBody>
        </xdr:sp>
        <xdr:clientData/>
      </xdr:twoCellAnchor>
    </mc:Choice>
    <mc:Fallback/>
  </mc:AlternateContent>
  <mc:AlternateContent xmlns:mc="http://schemas.openxmlformats.org/markup-compatibility/2006">
    <mc:Choice xmlns:a14="http://schemas.microsoft.com/office/drawing/2010/main" Requires="a14">
      <xdr:twoCellAnchor>
        <xdr:from>
          <xdr:col>11</xdr:col>
          <xdr:colOff>2514600</xdr:colOff>
          <xdr:row>53</xdr:row>
          <xdr:rowOff>171450</xdr:rowOff>
        </xdr:from>
        <xdr:to>
          <xdr:col>12</xdr:col>
          <xdr:colOff>762000</xdr:colOff>
          <xdr:row>53</xdr:row>
          <xdr:rowOff>352425</xdr:rowOff>
        </xdr:to>
        <xdr:sp macro="" textlink="">
          <xdr:nvSpPr>
            <xdr:cNvPr id="49577" name="Check Box 1449" hidden="1">
              <a:extLst>
                <a:ext uri="{63B3BB69-23CF-44E3-9099-C40C66FF867C}">
                  <a14:compatExt spid="_x0000_s49577"/>
                </a:ext>
                <a:ext uri="{FF2B5EF4-FFF2-40B4-BE49-F238E27FC236}">
                  <a16:creationId xmlns:a16="http://schemas.microsoft.com/office/drawing/2014/main" id="{00000000-0008-0000-0200-0000A9C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Tahoma"/>
                  <a:ea typeface="Tahoma"/>
                  <a:cs typeface="Tahoma"/>
                </a:rPr>
                <a:t>Order cancelled but was still delivered</a:t>
              </a:r>
            </a:p>
          </xdr:txBody>
        </xdr:sp>
        <xdr:clientData/>
      </xdr:twoCellAnchor>
    </mc:Choice>
    <mc:Fallback/>
  </mc:AlternateContent>
  <mc:AlternateContent xmlns:mc="http://schemas.openxmlformats.org/markup-compatibility/2006">
    <mc:Choice xmlns:a14="http://schemas.microsoft.com/office/drawing/2010/main" Requires="a14">
      <xdr:twoCellAnchor>
        <xdr:from>
          <xdr:col>11</xdr:col>
          <xdr:colOff>2514600</xdr:colOff>
          <xdr:row>53</xdr:row>
          <xdr:rowOff>342900</xdr:rowOff>
        </xdr:from>
        <xdr:to>
          <xdr:col>12</xdr:col>
          <xdr:colOff>762000</xdr:colOff>
          <xdr:row>53</xdr:row>
          <xdr:rowOff>523875</xdr:rowOff>
        </xdr:to>
        <xdr:sp macro="" textlink="">
          <xdr:nvSpPr>
            <xdr:cNvPr id="49578" name="Check Box 1450" hidden="1">
              <a:extLst>
                <a:ext uri="{63B3BB69-23CF-44E3-9099-C40C66FF867C}">
                  <a14:compatExt spid="_x0000_s49578"/>
                </a:ext>
                <a:ext uri="{FF2B5EF4-FFF2-40B4-BE49-F238E27FC236}">
                  <a16:creationId xmlns:a16="http://schemas.microsoft.com/office/drawing/2014/main" id="{00000000-0008-0000-0200-0000AAC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Tahoma"/>
                  <a:ea typeface="Tahoma"/>
                  <a:cs typeface="Tahoma"/>
                </a:rPr>
                <a:t>Wrong product shipped</a:t>
              </a:r>
            </a:p>
          </xdr:txBody>
        </xdr:sp>
        <xdr:clientData/>
      </xdr:twoCellAnchor>
    </mc:Choice>
    <mc:Fallback/>
  </mc:AlternateContent>
  <mc:AlternateContent xmlns:mc="http://schemas.openxmlformats.org/markup-compatibility/2006">
    <mc:Choice xmlns:a14="http://schemas.microsoft.com/office/drawing/2010/main" Requires="a14">
      <xdr:twoCellAnchor>
        <xdr:from>
          <xdr:col>11</xdr:col>
          <xdr:colOff>47625</xdr:colOff>
          <xdr:row>58</xdr:row>
          <xdr:rowOff>9525</xdr:rowOff>
        </xdr:from>
        <xdr:to>
          <xdr:col>11</xdr:col>
          <xdr:colOff>2009775</xdr:colOff>
          <xdr:row>58</xdr:row>
          <xdr:rowOff>190500</xdr:rowOff>
        </xdr:to>
        <xdr:sp macro="" textlink="">
          <xdr:nvSpPr>
            <xdr:cNvPr id="49583" name="Check Box 1455" hidden="1">
              <a:extLst>
                <a:ext uri="{63B3BB69-23CF-44E3-9099-C40C66FF867C}">
                  <a14:compatExt spid="_x0000_s49583"/>
                </a:ext>
                <a:ext uri="{FF2B5EF4-FFF2-40B4-BE49-F238E27FC236}">
                  <a16:creationId xmlns:a16="http://schemas.microsoft.com/office/drawing/2014/main" id="{00000000-0008-0000-0200-0000AFC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Tahoma"/>
                  <a:ea typeface="Tahoma"/>
                  <a:cs typeface="Tahoma"/>
                </a:rPr>
                <a:t>Warranty Coverage</a:t>
              </a:r>
            </a:p>
          </xdr:txBody>
        </xdr:sp>
        <xdr:clientData/>
      </xdr:twoCellAnchor>
    </mc:Choice>
    <mc:Fallback/>
  </mc:AlternateContent>
  <mc:AlternateContent xmlns:mc="http://schemas.openxmlformats.org/markup-compatibility/2006">
    <mc:Choice xmlns:a14="http://schemas.microsoft.com/office/drawing/2010/main" Requires="a14">
      <xdr:twoCellAnchor>
        <xdr:from>
          <xdr:col>11</xdr:col>
          <xdr:colOff>47625</xdr:colOff>
          <xdr:row>58</xdr:row>
          <xdr:rowOff>171450</xdr:rowOff>
        </xdr:from>
        <xdr:to>
          <xdr:col>11</xdr:col>
          <xdr:colOff>2009775</xdr:colOff>
          <xdr:row>58</xdr:row>
          <xdr:rowOff>352425</xdr:rowOff>
        </xdr:to>
        <xdr:sp macro="" textlink="">
          <xdr:nvSpPr>
            <xdr:cNvPr id="49584" name="Check Box 1456" hidden="1">
              <a:extLst>
                <a:ext uri="{63B3BB69-23CF-44E3-9099-C40C66FF867C}">
                  <a14:compatExt spid="_x0000_s49584"/>
                </a:ext>
                <a:ext uri="{FF2B5EF4-FFF2-40B4-BE49-F238E27FC236}">
                  <a16:creationId xmlns:a16="http://schemas.microsoft.com/office/drawing/2014/main" id="{00000000-0008-0000-0200-0000B0C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Tahoma"/>
                  <a:ea typeface="Tahoma"/>
                  <a:cs typeface="Tahoma"/>
                </a:rPr>
                <a:t>No Refund from Retail Store</a:t>
              </a:r>
            </a:p>
          </xdr:txBody>
        </xdr:sp>
        <xdr:clientData/>
      </xdr:twoCellAnchor>
    </mc:Choice>
    <mc:Fallback/>
  </mc:AlternateContent>
  <mc:AlternateContent xmlns:mc="http://schemas.openxmlformats.org/markup-compatibility/2006">
    <mc:Choice xmlns:a14="http://schemas.microsoft.com/office/drawing/2010/main" Requires="a14">
      <xdr:twoCellAnchor>
        <xdr:from>
          <xdr:col>11</xdr:col>
          <xdr:colOff>47625</xdr:colOff>
          <xdr:row>58</xdr:row>
          <xdr:rowOff>342900</xdr:rowOff>
        </xdr:from>
        <xdr:to>
          <xdr:col>11</xdr:col>
          <xdr:colOff>2009775</xdr:colOff>
          <xdr:row>58</xdr:row>
          <xdr:rowOff>523875</xdr:rowOff>
        </xdr:to>
        <xdr:sp macro="" textlink="">
          <xdr:nvSpPr>
            <xdr:cNvPr id="49585" name="Check Box 1457" hidden="1">
              <a:extLst>
                <a:ext uri="{63B3BB69-23CF-44E3-9099-C40C66FF867C}">
                  <a14:compatExt spid="_x0000_s49585"/>
                </a:ext>
                <a:ext uri="{FF2B5EF4-FFF2-40B4-BE49-F238E27FC236}">
                  <a16:creationId xmlns:a16="http://schemas.microsoft.com/office/drawing/2014/main" id="{00000000-0008-0000-0200-0000B1C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Tahoma"/>
                  <a:ea typeface="Tahoma"/>
                  <a:cs typeface="Tahoma"/>
                </a:rPr>
                <a:t>No Refund to tax</a:t>
              </a:r>
            </a:p>
          </xdr:txBody>
        </xdr:sp>
        <xdr:clientData/>
      </xdr:twoCellAnchor>
    </mc:Choice>
    <mc:Fallback/>
  </mc:AlternateContent>
  <mc:AlternateContent xmlns:mc="http://schemas.openxmlformats.org/markup-compatibility/2006">
    <mc:Choice xmlns:a14="http://schemas.microsoft.com/office/drawing/2010/main" Requires="a14">
      <xdr:twoCellAnchor>
        <xdr:from>
          <xdr:col>11</xdr:col>
          <xdr:colOff>2533650</xdr:colOff>
          <xdr:row>58</xdr:row>
          <xdr:rowOff>9525</xdr:rowOff>
        </xdr:from>
        <xdr:to>
          <xdr:col>12</xdr:col>
          <xdr:colOff>666750</xdr:colOff>
          <xdr:row>58</xdr:row>
          <xdr:rowOff>190500</xdr:rowOff>
        </xdr:to>
        <xdr:sp macro="" textlink="">
          <xdr:nvSpPr>
            <xdr:cNvPr id="49586" name="Check Box 1458" hidden="1">
              <a:extLst>
                <a:ext uri="{63B3BB69-23CF-44E3-9099-C40C66FF867C}">
                  <a14:compatExt spid="_x0000_s49586"/>
                </a:ext>
                <a:ext uri="{FF2B5EF4-FFF2-40B4-BE49-F238E27FC236}">
                  <a16:creationId xmlns:a16="http://schemas.microsoft.com/office/drawing/2014/main" id="{00000000-0008-0000-0200-0000B2C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Tahoma"/>
                  <a:ea typeface="Tahoma"/>
                  <a:cs typeface="Tahoma"/>
                </a:rPr>
                <a:t>US and Canada Exchange Rate</a:t>
              </a:r>
            </a:p>
          </xdr:txBody>
        </xdr:sp>
        <xdr:clientData/>
      </xdr:twoCellAnchor>
    </mc:Choice>
    <mc:Fallback/>
  </mc:AlternateContent>
  <mc:AlternateContent xmlns:mc="http://schemas.openxmlformats.org/markup-compatibility/2006">
    <mc:Choice xmlns:a14="http://schemas.microsoft.com/office/drawing/2010/main" Requires="a14">
      <xdr:twoCellAnchor>
        <xdr:from>
          <xdr:col>11</xdr:col>
          <xdr:colOff>2533650</xdr:colOff>
          <xdr:row>58</xdr:row>
          <xdr:rowOff>171450</xdr:rowOff>
        </xdr:from>
        <xdr:to>
          <xdr:col>12</xdr:col>
          <xdr:colOff>666750</xdr:colOff>
          <xdr:row>58</xdr:row>
          <xdr:rowOff>352425</xdr:rowOff>
        </xdr:to>
        <xdr:sp macro="" textlink="">
          <xdr:nvSpPr>
            <xdr:cNvPr id="49587" name="Check Box 1459" hidden="1">
              <a:extLst>
                <a:ext uri="{63B3BB69-23CF-44E3-9099-C40C66FF867C}">
                  <a14:compatExt spid="_x0000_s49587"/>
                </a:ext>
                <a:ext uri="{FF2B5EF4-FFF2-40B4-BE49-F238E27FC236}">
                  <a16:creationId xmlns:a16="http://schemas.microsoft.com/office/drawing/2014/main" id="{00000000-0008-0000-0200-0000B3C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Tahoma"/>
                  <a:ea typeface="Tahoma"/>
                  <a:cs typeface="Tahoma"/>
                </a:rPr>
                <a:t>State tax</a:t>
              </a:r>
            </a:p>
          </xdr:txBody>
        </xdr:sp>
        <xdr:clientData/>
      </xdr:twoCellAnchor>
    </mc:Choice>
    <mc:Fallback/>
  </mc:AlternateContent>
  <mc:AlternateContent xmlns:mc="http://schemas.openxmlformats.org/markup-compatibility/2006">
    <mc:Choice xmlns:a14="http://schemas.microsoft.com/office/drawing/2010/main" Requires="a14">
      <xdr:twoCellAnchor>
        <xdr:from>
          <xdr:col>11</xdr:col>
          <xdr:colOff>2533650</xdr:colOff>
          <xdr:row>58</xdr:row>
          <xdr:rowOff>342900</xdr:rowOff>
        </xdr:from>
        <xdr:to>
          <xdr:col>12</xdr:col>
          <xdr:colOff>666750</xdr:colOff>
          <xdr:row>58</xdr:row>
          <xdr:rowOff>523875</xdr:rowOff>
        </xdr:to>
        <xdr:sp macro="" textlink="">
          <xdr:nvSpPr>
            <xdr:cNvPr id="49588" name="Check Box 1460" hidden="1">
              <a:extLst>
                <a:ext uri="{63B3BB69-23CF-44E3-9099-C40C66FF867C}">
                  <a14:compatExt spid="_x0000_s49588"/>
                </a:ext>
                <a:ext uri="{FF2B5EF4-FFF2-40B4-BE49-F238E27FC236}">
                  <a16:creationId xmlns:a16="http://schemas.microsoft.com/office/drawing/2014/main" id="{00000000-0008-0000-0200-0000B4C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Tahoma"/>
                  <a:ea typeface="Tahoma"/>
                  <a:cs typeface="Tahoma"/>
                </a:rPr>
                <a:t>Destination tax</a:t>
              </a:r>
            </a:p>
          </xdr:txBody>
        </xdr:sp>
        <xdr:clientData/>
      </xdr:twoCellAnchor>
    </mc:Choice>
    <mc:Fallback/>
  </mc:AlternateContent>
  <mc:AlternateContent xmlns:mc="http://schemas.openxmlformats.org/markup-compatibility/2006">
    <mc:Choice xmlns:a14="http://schemas.microsoft.com/office/drawing/2010/main" Requires="a14">
      <xdr:twoCellAnchor>
        <xdr:from>
          <xdr:col>12</xdr:col>
          <xdr:colOff>885825</xdr:colOff>
          <xdr:row>58</xdr:row>
          <xdr:rowOff>9525</xdr:rowOff>
        </xdr:from>
        <xdr:to>
          <xdr:col>12</xdr:col>
          <xdr:colOff>2847975</xdr:colOff>
          <xdr:row>58</xdr:row>
          <xdr:rowOff>190500</xdr:rowOff>
        </xdr:to>
        <xdr:sp macro="" textlink="">
          <xdr:nvSpPr>
            <xdr:cNvPr id="49589" name="Check Box 1461" hidden="1">
              <a:extLst>
                <a:ext uri="{63B3BB69-23CF-44E3-9099-C40C66FF867C}">
                  <a14:compatExt spid="_x0000_s49589"/>
                </a:ext>
                <a:ext uri="{FF2B5EF4-FFF2-40B4-BE49-F238E27FC236}">
                  <a16:creationId xmlns:a16="http://schemas.microsoft.com/office/drawing/2014/main" id="{00000000-0008-0000-0200-0000B5C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Tahoma"/>
                  <a:ea typeface="Tahoma"/>
                  <a:cs typeface="Tahoma"/>
                </a:rPr>
                <a:t>Associated credits from card labels</a:t>
              </a:r>
            </a:p>
          </xdr:txBody>
        </xdr:sp>
        <xdr:clientData/>
      </xdr:twoCellAnchor>
    </mc:Choice>
    <mc:Fallback/>
  </mc:AlternateContent>
  <mc:AlternateContent xmlns:mc="http://schemas.openxmlformats.org/markup-compatibility/2006">
    <mc:Choice xmlns:a14="http://schemas.microsoft.com/office/drawing/2010/main" Requires="a14">
      <xdr:twoCellAnchor>
        <xdr:from>
          <xdr:col>12</xdr:col>
          <xdr:colOff>885825</xdr:colOff>
          <xdr:row>58</xdr:row>
          <xdr:rowOff>171450</xdr:rowOff>
        </xdr:from>
        <xdr:to>
          <xdr:col>12</xdr:col>
          <xdr:colOff>2847975</xdr:colOff>
          <xdr:row>58</xdr:row>
          <xdr:rowOff>352425</xdr:rowOff>
        </xdr:to>
        <xdr:sp macro="" textlink="">
          <xdr:nvSpPr>
            <xdr:cNvPr id="49590" name="Check Box 1462" hidden="1">
              <a:extLst>
                <a:ext uri="{63B3BB69-23CF-44E3-9099-C40C66FF867C}">
                  <a14:compatExt spid="_x0000_s49590"/>
                </a:ext>
                <a:ext uri="{FF2B5EF4-FFF2-40B4-BE49-F238E27FC236}">
                  <a16:creationId xmlns:a16="http://schemas.microsoft.com/office/drawing/2014/main" id="{00000000-0008-0000-0200-0000B6C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Tahoma"/>
                  <a:ea typeface="Tahoma"/>
                  <a:cs typeface="Tahoma"/>
                </a:rPr>
                <a:t>EOL (refund)</a:t>
              </a:r>
            </a:p>
          </xdr:txBody>
        </xdr:sp>
        <xdr:clientData/>
      </xdr:twoCellAnchor>
    </mc:Choice>
    <mc:Fallback/>
  </mc:AlternateContent>
  <mc:AlternateContent xmlns:mc="http://schemas.openxmlformats.org/markup-compatibility/2006">
    <mc:Choice xmlns:a14="http://schemas.microsoft.com/office/drawing/2010/main" Requires="a14">
      <xdr:twoCellAnchor>
        <xdr:from>
          <xdr:col>12</xdr:col>
          <xdr:colOff>885825</xdr:colOff>
          <xdr:row>58</xdr:row>
          <xdr:rowOff>342900</xdr:rowOff>
        </xdr:from>
        <xdr:to>
          <xdr:col>12</xdr:col>
          <xdr:colOff>2847975</xdr:colOff>
          <xdr:row>58</xdr:row>
          <xdr:rowOff>523875</xdr:rowOff>
        </xdr:to>
        <xdr:sp macro="" textlink="">
          <xdr:nvSpPr>
            <xdr:cNvPr id="49591" name="Check Box 1463" hidden="1">
              <a:extLst>
                <a:ext uri="{63B3BB69-23CF-44E3-9099-C40C66FF867C}">
                  <a14:compatExt spid="_x0000_s49591"/>
                </a:ext>
                <a:ext uri="{FF2B5EF4-FFF2-40B4-BE49-F238E27FC236}">
                  <a16:creationId xmlns:a16="http://schemas.microsoft.com/office/drawing/2014/main" id="{00000000-0008-0000-0200-0000B7C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Tahoma"/>
                  <a:ea typeface="Tahoma"/>
                  <a:cs typeface="Tahoma"/>
                </a:rPr>
                <a:t>Online Purchase</a:t>
              </a:r>
            </a:p>
          </xdr:txBody>
        </xdr:sp>
        <xdr:clientData/>
      </xdr:twoCellAnchor>
    </mc:Choice>
    <mc:Fallback/>
  </mc:AlternateContent>
  <mc:AlternateContent xmlns:mc="http://schemas.openxmlformats.org/markup-compatibility/2006">
    <mc:Choice xmlns:a14="http://schemas.microsoft.com/office/drawing/2010/main" Requires="a14">
      <xdr:twoCellAnchor>
        <xdr:from>
          <xdr:col>11</xdr:col>
          <xdr:colOff>47625</xdr:colOff>
          <xdr:row>31</xdr:row>
          <xdr:rowOff>361950</xdr:rowOff>
        </xdr:from>
        <xdr:to>
          <xdr:col>11</xdr:col>
          <xdr:colOff>2857500</xdr:colOff>
          <xdr:row>31</xdr:row>
          <xdr:rowOff>533400</xdr:rowOff>
        </xdr:to>
        <xdr:sp macro="" textlink="">
          <xdr:nvSpPr>
            <xdr:cNvPr id="49605" name="Check Box 1477" hidden="1">
              <a:extLst>
                <a:ext uri="{63B3BB69-23CF-44E3-9099-C40C66FF867C}">
                  <a14:compatExt spid="_x0000_s49605"/>
                </a:ext>
                <a:ext uri="{FF2B5EF4-FFF2-40B4-BE49-F238E27FC236}">
                  <a16:creationId xmlns:a16="http://schemas.microsoft.com/office/drawing/2014/main" id="{00000000-0008-0000-0200-0000C5C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Tahoma"/>
                  <a:ea typeface="Tahoma"/>
                  <a:cs typeface="Tahoma"/>
                </a:rPr>
                <a:t>Offered free support without Manager approval</a:t>
              </a:r>
            </a:p>
          </xdr:txBody>
        </xdr:sp>
        <xdr:clientData/>
      </xdr:twoCellAnchor>
    </mc:Choice>
    <mc:Fallback/>
  </mc:AlternateContent>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17" Type="http://schemas.openxmlformats.org/officeDocument/2006/relationships/ctrlProp" Target="../ctrlProps/ctrlProp114.xml"/><Relationship Id="rId21" Type="http://schemas.openxmlformats.org/officeDocument/2006/relationships/ctrlProp" Target="../ctrlProps/ctrlProp18.xml"/><Relationship Id="rId42" Type="http://schemas.openxmlformats.org/officeDocument/2006/relationships/ctrlProp" Target="../ctrlProps/ctrlProp39.xml"/><Relationship Id="rId63" Type="http://schemas.openxmlformats.org/officeDocument/2006/relationships/ctrlProp" Target="../ctrlProps/ctrlProp60.xml"/><Relationship Id="rId84" Type="http://schemas.openxmlformats.org/officeDocument/2006/relationships/ctrlProp" Target="../ctrlProps/ctrlProp81.xml"/><Relationship Id="rId138" Type="http://schemas.openxmlformats.org/officeDocument/2006/relationships/ctrlProp" Target="../ctrlProps/ctrlProp135.xml"/><Relationship Id="rId159" Type="http://schemas.openxmlformats.org/officeDocument/2006/relationships/ctrlProp" Target="../ctrlProps/ctrlProp156.xml"/><Relationship Id="rId170" Type="http://schemas.openxmlformats.org/officeDocument/2006/relationships/ctrlProp" Target="../ctrlProps/ctrlProp167.xml"/><Relationship Id="rId191" Type="http://schemas.openxmlformats.org/officeDocument/2006/relationships/ctrlProp" Target="../ctrlProps/ctrlProp188.xml"/><Relationship Id="rId205" Type="http://schemas.openxmlformats.org/officeDocument/2006/relationships/ctrlProp" Target="../ctrlProps/ctrlProp202.xml"/><Relationship Id="rId226" Type="http://schemas.openxmlformats.org/officeDocument/2006/relationships/ctrlProp" Target="../ctrlProps/ctrlProp223.xml"/><Relationship Id="rId107" Type="http://schemas.openxmlformats.org/officeDocument/2006/relationships/ctrlProp" Target="../ctrlProps/ctrlProp104.xml"/><Relationship Id="rId11" Type="http://schemas.openxmlformats.org/officeDocument/2006/relationships/ctrlProp" Target="../ctrlProps/ctrlProp8.xml"/><Relationship Id="rId32" Type="http://schemas.openxmlformats.org/officeDocument/2006/relationships/ctrlProp" Target="../ctrlProps/ctrlProp29.xml"/><Relationship Id="rId53" Type="http://schemas.openxmlformats.org/officeDocument/2006/relationships/ctrlProp" Target="../ctrlProps/ctrlProp50.xml"/><Relationship Id="rId74" Type="http://schemas.openxmlformats.org/officeDocument/2006/relationships/ctrlProp" Target="../ctrlProps/ctrlProp71.xml"/><Relationship Id="rId128" Type="http://schemas.openxmlformats.org/officeDocument/2006/relationships/ctrlProp" Target="../ctrlProps/ctrlProp125.xml"/><Relationship Id="rId149" Type="http://schemas.openxmlformats.org/officeDocument/2006/relationships/ctrlProp" Target="../ctrlProps/ctrlProp146.xml"/><Relationship Id="rId5" Type="http://schemas.openxmlformats.org/officeDocument/2006/relationships/ctrlProp" Target="../ctrlProps/ctrlProp2.xml"/><Relationship Id="rId95" Type="http://schemas.openxmlformats.org/officeDocument/2006/relationships/ctrlProp" Target="../ctrlProps/ctrlProp92.xml"/><Relationship Id="rId160" Type="http://schemas.openxmlformats.org/officeDocument/2006/relationships/ctrlProp" Target="../ctrlProps/ctrlProp157.xml"/><Relationship Id="rId181" Type="http://schemas.openxmlformats.org/officeDocument/2006/relationships/ctrlProp" Target="../ctrlProps/ctrlProp178.xml"/><Relationship Id="rId216" Type="http://schemas.openxmlformats.org/officeDocument/2006/relationships/ctrlProp" Target="../ctrlProps/ctrlProp213.xml"/><Relationship Id="rId22" Type="http://schemas.openxmlformats.org/officeDocument/2006/relationships/ctrlProp" Target="../ctrlProps/ctrlProp19.xml"/><Relationship Id="rId43" Type="http://schemas.openxmlformats.org/officeDocument/2006/relationships/ctrlProp" Target="../ctrlProps/ctrlProp40.xml"/><Relationship Id="rId64" Type="http://schemas.openxmlformats.org/officeDocument/2006/relationships/ctrlProp" Target="../ctrlProps/ctrlProp61.xml"/><Relationship Id="rId118" Type="http://schemas.openxmlformats.org/officeDocument/2006/relationships/ctrlProp" Target="../ctrlProps/ctrlProp115.xml"/><Relationship Id="rId139" Type="http://schemas.openxmlformats.org/officeDocument/2006/relationships/ctrlProp" Target="../ctrlProps/ctrlProp136.xml"/><Relationship Id="rId85" Type="http://schemas.openxmlformats.org/officeDocument/2006/relationships/ctrlProp" Target="../ctrlProps/ctrlProp82.xml"/><Relationship Id="rId150" Type="http://schemas.openxmlformats.org/officeDocument/2006/relationships/ctrlProp" Target="../ctrlProps/ctrlProp147.xml"/><Relationship Id="rId171" Type="http://schemas.openxmlformats.org/officeDocument/2006/relationships/ctrlProp" Target="../ctrlProps/ctrlProp168.xml"/><Relationship Id="rId192" Type="http://schemas.openxmlformats.org/officeDocument/2006/relationships/ctrlProp" Target="../ctrlProps/ctrlProp189.xml"/><Relationship Id="rId206" Type="http://schemas.openxmlformats.org/officeDocument/2006/relationships/ctrlProp" Target="../ctrlProps/ctrlProp203.xml"/><Relationship Id="rId227" Type="http://schemas.openxmlformats.org/officeDocument/2006/relationships/ctrlProp" Target="../ctrlProps/ctrlProp224.xml"/><Relationship Id="rId12" Type="http://schemas.openxmlformats.org/officeDocument/2006/relationships/ctrlProp" Target="../ctrlProps/ctrlProp9.xml"/><Relationship Id="rId33" Type="http://schemas.openxmlformats.org/officeDocument/2006/relationships/ctrlProp" Target="../ctrlProps/ctrlProp30.xml"/><Relationship Id="rId108" Type="http://schemas.openxmlformats.org/officeDocument/2006/relationships/ctrlProp" Target="../ctrlProps/ctrlProp105.xml"/><Relationship Id="rId129" Type="http://schemas.openxmlformats.org/officeDocument/2006/relationships/ctrlProp" Target="../ctrlProps/ctrlProp126.xml"/><Relationship Id="rId54" Type="http://schemas.openxmlformats.org/officeDocument/2006/relationships/ctrlProp" Target="../ctrlProps/ctrlProp51.xml"/><Relationship Id="rId75" Type="http://schemas.openxmlformats.org/officeDocument/2006/relationships/ctrlProp" Target="../ctrlProps/ctrlProp72.xml"/><Relationship Id="rId96" Type="http://schemas.openxmlformats.org/officeDocument/2006/relationships/ctrlProp" Target="../ctrlProps/ctrlProp93.xml"/><Relationship Id="rId140" Type="http://schemas.openxmlformats.org/officeDocument/2006/relationships/ctrlProp" Target="../ctrlProps/ctrlProp137.xml"/><Relationship Id="rId161" Type="http://schemas.openxmlformats.org/officeDocument/2006/relationships/ctrlProp" Target="../ctrlProps/ctrlProp158.xml"/><Relationship Id="rId182" Type="http://schemas.openxmlformats.org/officeDocument/2006/relationships/ctrlProp" Target="../ctrlProps/ctrlProp179.xml"/><Relationship Id="rId217" Type="http://schemas.openxmlformats.org/officeDocument/2006/relationships/ctrlProp" Target="../ctrlProps/ctrlProp214.xml"/><Relationship Id="rId6" Type="http://schemas.openxmlformats.org/officeDocument/2006/relationships/ctrlProp" Target="../ctrlProps/ctrlProp3.xml"/><Relationship Id="rId23" Type="http://schemas.openxmlformats.org/officeDocument/2006/relationships/ctrlProp" Target="../ctrlProps/ctrlProp20.xml"/><Relationship Id="rId119" Type="http://schemas.openxmlformats.org/officeDocument/2006/relationships/ctrlProp" Target="../ctrlProps/ctrlProp116.xml"/><Relationship Id="rId44" Type="http://schemas.openxmlformats.org/officeDocument/2006/relationships/ctrlProp" Target="../ctrlProps/ctrlProp41.xml"/><Relationship Id="rId65" Type="http://schemas.openxmlformats.org/officeDocument/2006/relationships/ctrlProp" Target="../ctrlProps/ctrlProp62.xml"/><Relationship Id="rId86" Type="http://schemas.openxmlformats.org/officeDocument/2006/relationships/ctrlProp" Target="../ctrlProps/ctrlProp83.xml"/><Relationship Id="rId130" Type="http://schemas.openxmlformats.org/officeDocument/2006/relationships/ctrlProp" Target="../ctrlProps/ctrlProp127.xml"/><Relationship Id="rId151" Type="http://schemas.openxmlformats.org/officeDocument/2006/relationships/ctrlProp" Target="../ctrlProps/ctrlProp148.xml"/><Relationship Id="rId172" Type="http://schemas.openxmlformats.org/officeDocument/2006/relationships/ctrlProp" Target="../ctrlProps/ctrlProp169.xml"/><Relationship Id="rId193" Type="http://schemas.openxmlformats.org/officeDocument/2006/relationships/ctrlProp" Target="../ctrlProps/ctrlProp190.xml"/><Relationship Id="rId207" Type="http://schemas.openxmlformats.org/officeDocument/2006/relationships/ctrlProp" Target="../ctrlProps/ctrlProp204.xml"/><Relationship Id="rId228" Type="http://schemas.openxmlformats.org/officeDocument/2006/relationships/comments" Target="../comments2.xml"/><Relationship Id="rId13" Type="http://schemas.openxmlformats.org/officeDocument/2006/relationships/ctrlProp" Target="../ctrlProps/ctrlProp10.xml"/><Relationship Id="rId109" Type="http://schemas.openxmlformats.org/officeDocument/2006/relationships/ctrlProp" Target="../ctrlProps/ctrlProp106.xml"/><Relationship Id="rId34" Type="http://schemas.openxmlformats.org/officeDocument/2006/relationships/ctrlProp" Target="../ctrlProps/ctrlProp31.xml"/><Relationship Id="rId55" Type="http://schemas.openxmlformats.org/officeDocument/2006/relationships/ctrlProp" Target="../ctrlProps/ctrlProp52.xml"/><Relationship Id="rId76" Type="http://schemas.openxmlformats.org/officeDocument/2006/relationships/ctrlProp" Target="../ctrlProps/ctrlProp73.xml"/><Relationship Id="rId97" Type="http://schemas.openxmlformats.org/officeDocument/2006/relationships/ctrlProp" Target="../ctrlProps/ctrlProp94.xml"/><Relationship Id="rId120" Type="http://schemas.openxmlformats.org/officeDocument/2006/relationships/ctrlProp" Target="../ctrlProps/ctrlProp117.xml"/><Relationship Id="rId141" Type="http://schemas.openxmlformats.org/officeDocument/2006/relationships/ctrlProp" Target="../ctrlProps/ctrlProp138.xml"/><Relationship Id="rId7" Type="http://schemas.openxmlformats.org/officeDocument/2006/relationships/ctrlProp" Target="../ctrlProps/ctrlProp4.xml"/><Relationship Id="rId162" Type="http://schemas.openxmlformats.org/officeDocument/2006/relationships/ctrlProp" Target="../ctrlProps/ctrlProp159.xml"/><Relationship Id="rId183" Type="http://schemas.openxmlformats.org/officeDocument/2006/relationships/ctrlProp" Target="../ctrlProps/ctrlProp180.xml"/><Relationship Id="rId218" Type="http://schemas.openxmlformats.org/officeDocument/2006/relationships/ctrlProp" Target="../ctrlProps/ctrlProp215.xml"/><Relationship Id="rId24" Type="http://schemas.openxmlformats.org/officeDocument/2006/relationships/ctrlProp" Target="../ctrlProps/ctrlProp21.xml"/><Relationship Id="rId45" Type="http://schemas.openxmlformats.org/officeDocument/2006/relationships/ctrlProp" Target="../ctrlProps/ctrlProp42.xml"/><Relationship Id="rId66" Type="http://schemas.openxmlformats.org/officeDocument/2006/relationships/ctrlProp" Target="../ctrlProps/ctrlProp63.xml"/><Relationship Id="rId87" Type="http://schemas.openxmlformats.org/officeDocument/2006/relationships/ctrlProp" Target="../ctrlProps/ctrlProp84.xml"/><Relationship Id="rId110" Type="http://schemas.openxmlformats.org/officeDocument/2006/relationships/ctrlProp" Target="../ctrlProps/ctrlProp107.xml"/><Relationship Id="rId131" Type="http://schemas.openxmlformats.org/officeDocument/2006/relationships/ctrlProp" Target="../ctrlProps/ctrlProp128.xml"/><Relationship Id="rId152" Type="http://schemas.openxmlformats.org/officeDocument/2006/relationships/ctrlProp" Target="../ctrlProps/ctrlProp149.xml"/><Relationship Id="rId173" Type="http://schemas.openxmlformats.org/officeDocument/2006/relationships/ctrlProp" Target="../ctrlProps/ctrlProp170.xml"/><Relationship Id="rId194" Type="http://schemas.openxmlformats.org/officeDocument/2006/relationships/ctrlProp" Target="../ctrlProps/ctrlProp191.xml"/><Relationship Id="rId208" Type="http://schemas.openxmlformats.org/officeDocument/2006/relationships/ctrlProp" Target="../ctrlProps/ctrlProp205.xml"/><Relationship Id="rId14" Type="http://schemas.openxmlformats.org/officeDocument/2006/relationships/ctrlProp" Target="../ctrlProps/ctrlProp11.xml"/><Relationship Id="rId35" Type="http://schemas.openxmlformats.org/officeDocument/2006/relationships/ctrlProp" Target="../ctrlProps/ctrlProp32.xml"/><Relationship Id="rId56" Type="http://schemas.openxmlformats.org/officeDocument/2006/relationships/ctrlProp" Target="../ctrlProps/ctrlProp53.xml"/><Relationship Id="rId77" Type="http://schemas.openxmlformats.org/officeDocument/2006/relationships/ctrlProp" Target="../ctrlProps/ctrlProp74.xml"/><Relationship Id="rId100" Type="http://schemas.openxmlformats.org/officeDocument/2006/relationships/ctrlProp" Target="../ctrlProps/ctrlProp97.xml"/><Relationship Id="rId8" Type="http://schemas.openxmlformats.org/officeDocument/2006/relationships/ctrlProp" Target="../ctrlProps/ctrlProp5.xml"/><Relationship Id="rId98" Type="http://schemas.openxmlformats.org/officeDocument/2006/relationships/ctrlProp" Target="../ctrlProps/ctrlProp95.xml"/><Relationship Id="rId121" Type="http://schemas.openxmlformats.org/officeDocument/2006/relationships/ctrlProp" Target="../ctrlProps/ctrlProp118.xml"/><Relationship Id="rId142" Type="http://schemas.openxmlformats.org/officeDocument/2006/relationships/ctrlProp" Target="../ctrlProps/ctrlProp139.xml"/><Relationship Id="rId163" Type="http://schemas.openxmlformats.org/officeDocument/2006/relationships/ctrlProp" Target="../ctrlProps/ctrlProp160.xml"/><Relationship Id="rId184" Type="http://schemas.openxmlformats.org/officeDocument/2006/relationships/ctrlProp" Target="../ctrlProps/ctrlProp181.xml"/><Relationship Id="rId219" Type="http://schemas.openxmlformats.org/officeDocument/2006/relationships/ctrlProp" Target="../ctrlProps/ctrlProp216.xml"/><Relationship Id="rId3" Type="http://schemas.openxmlformats.org/officeDocument/2006/relationships/vmlDrawing" Target="../drawings/vmlDrawing2.vml"/><Relationship Id="rId214" Type="http://schemas.openxmlformats.org/officeDocument/2006/relationships/ctrlProp" Target="../ctrlProps/ctrlProp211.xml"/><Relationship Id="rId25" Type="http://schemas.openxmlformats.org/officeDocument/2006/relationships/ctrlProp" Target="../ctrlProps/ctrlProp22.xml"/><Relationship Id="rId46" Type="http://schemas.openxmlformats.org/officeDocument/2006/relationships/ctrlProp" Target="../ctrlProps/ctrlProp43.xml"/><Relationship Id="rId67" Type="http://schemas.openxmlformats.org/officeDocument/2006/relationships/ctrlProp" Target="../ctrlProps/ctrlProp64.xml"/><Relationship Id="rId116" Type="http://schemas.openxmlformats.org/officeDocument/2006/relationships/ctrlProp" Target="../ctrlProps/ctrlProp113.xml"/><Relationship Id="rId137" Type="http://schemas.openxmlformats.org/officeDocument/2006/relationships/ctrlProp" Target="../ctrlProps/ctrlProp134.xml"/><Relationship Id="rId158" Type="http://schemas.openxmlformats.org/officeDocument/2006/relationships/ctrlProp" Target="../ctrlProps/ctrlProp155.xml"/><Relationship Id="rId20" Type="http://schemas.openxmlformats.org/officeDocument/2006/relationships/ctrlProp" Target="../ctrlProps/ctrlProp17.xml"/><Relationship Id="rId41" Type="http://schemas.openxmlformats.org/officeDocument/2006/relationships/ctrlProp" Target="../ctrlProps/ctrlProp38.xml"/><Relationship Id="rId62" Type="http://schemas.openxmlformats.org/officeDocument/2006/relationships/ctrlProp" Target="../ctrlProps/ctrlProp59.xml"/><Relationship Id="rId83" Type="http://schemas.openxmlformats.org/officeDocument/2006/relationships/ctrlProp" Target="../ctrlProps/ctrlProp80.xml"/><Relationship Id="rId88" Type="http://schemas.openxmlformats.org/officeDocument/2006/relationships/ctrlProp" Target="../ctrlProps/ctrlProp85.xml"/><Relationship Id="rId111" Type="http://schemas.openxmlformats.org/officeDocument/2006/relationships/ctrlProp" Target="../ctrlProps/ctrlProp108.xml"/><Relationship Id="rId132" Type="http://schemas.openxmlformats.org/officeDocument/2006/relationships/ctrlProp" Target="../ctrlProps/ctrlProp129.xml"/><Relationship Id="rId153" Type="http://schemas.openxmlformats.org/officeDocument/2006/relationships/ctrlProp" Target="../ctrlProps/ctrlProp150.xml"/><Relationship Id="rId174" Type="http://schemas.openxmlformats.org/officeDocument/2006/relationships/ctrlProp" Target="../ctrlProps/ctrlProp171.xml"/><Relationship Id="rId179" Type="http://schemas.openxmlformats.org/officeDocument/2006/relationships/ctrlProp" Target="../ctrlProps/ctrlProp176.xml"/><Relationship Id="rId195" Type="http://schemas.openxmlformats.org/officeDocument/2006/relationships/ctrlProp" Target="../ctrlProps/ctrlProp192.xml"/><Relationship Id="rId209" Type="http://schemas.openxmlformats.org/officeDocument/2006/relationships/ctrlProp" Target="../ctrlProps/ctrlProp206.xml"/><Relationship Id="rId190" Type="http://schemas.openxmlformats.org/officeDocument/2006/relationships/ctrlProp" Target="../ctrlProps/ctrlProp187.xml"/><Relationship Id="rId204" Type="http://schemas.openxmlformats.org/officeDocument/2006/relationships/ctrlProp" Target="../ctrlProps/ctrlProp201.xml"/><Relationship Id="rId220" Type="http://schemas.openxmlformats.org/officeDocument/2006/relationships/ctrlProp" Target="../ctrlProps/ctrlProp217.xml"/><Relationship Id="rId225" Type="http://schemas.openxmlformats.org/officeDocument/2006/relationships/ctrlProp" Target="../ctrlProps/ctrlProp222.xml"/><Relationship Id="rId15" Type="http://schemas.openxmlformats.org/officeDocument/2006/relationships/ctrlProp" Target="../ctrlProps/ctrlProp12.xml"/><Relationship Id="rId36" Type="http://schemas.openxmlformats.org/officeDocument/2006/relationships/ctrlProp" Target="../ctrlProps/ctrlProp33.xml"/><Relationship Id="rId57" Type="http://schemas.openxmlformats.org/officeDocument/2006/relationships/ctrlProp" Target="../ctrlProps/ctrlProp54.xml"/><Relationship Id="rId106" Type="http://schemas.openxmlformats.org/officeDocument/2006/relationships/ctrlProp" Target="../ctrlProps/ctrlProp103.xml"/><Relationship Id="rId127" Type="http://schemas.openxmlformats.org/officeDocument/2006/relationships/ctrlProp" Target="../ctrlProps/ctrlProp124.xml"/><Relationship Id="rId10" Type="http://schemas.openxmlformats.org/officeDocument/2006/relationships/ctrlProp" Target="../ctrlProps/ctrlProp7.xml"/><Relationship Id="rId31" Type="http://schemas.openxmlformats.org/officeDocument/2006/relationships/ctrlProp" Target="../ctrlProps/ctrlProp28.xml"/><Relationship Id="rId52" Type="http://schemas.openxmlformats.org/officeDocument/2006/relationships/ctrlProp" Target="../ctrlProps/ctrlProp49.xml"/><Relationship Id="rId73" Type="http://schemas.openxmlformats.org/officeDocument/2006/relationships/ctrlProp" Target="../ctrlProps/ctrlProp70.xml"/><Relationship Id="rId78" Type="http://schemas.openxmlformats.org/officeDocument/2006/relationships/ctrlProp" Target="../ctrlProps/ctrlProp75.xml"/><Relationship Id="rId94" Type="http://schemas.openxmlformats.org/officeDocument/2006/relationships/ctrlProp" Target="../ctrlProps/ctrlProp91.xml"/><Relationship Id="rId99" Type="http://schemas.openxmlformats.org/officeDocument/2006/relationships/ctrlProp" Target="../ctrlProps/ctrlProp96.xml"/><Relationship Id="rId101" Type="http://schemas.openxmlformats.org/officeDocument/2006/relationships/ctrlProp" Target="../ctrlProps/ctrlProp98.xml"/><Relationship Id="rId122" Type="http://schemas.openxmlformats.org/officeDocument/2006/relationships/ctrlProp" Target="../ctrlProps/ctrlProp119.xml"/><Relationship Id="rId143" Type="http://schemas.openxmlformats.org/officeDocument/2006/relationships/ctrlProp" Target="../ctrlProps/ctrlProp140.xml"/><Relationship Id="rId148" Type="http://schemas.openxmlformats.org/officeDocument/2006/relationships/ctrlProp" Target="../ctrlProps/ctrlProp145.xml"/><Relationship Id="rId164" Type="http://schemas.openxmlformats.org/officeDocument/2006/relationships/ctrlProp" Target="../ctrlProps/ctrlProp161.xml"/><Relationship Id="rId169" Type="http://schemas.openxmlformats.org/officeDocument/2006/relationships/ctrlProp" Target="../ctrlProps/ctrlProp166.xml"/><Relationship Id="rId185" Type="http://schemas.openxmlformats.org/officeDocument/2006/relationships/ctrlProp" Target="../ctrlProps/ctrlProp182.xml"/><Relationship Id="rId4" Type="http://schemas.openxmlformats.org/officeDocument/2006/relationships/ctrlProp" Target="../ctrlProps/ctrlProp1.xml"/><Relationship Id="rId9" Type="http://schemas.openxmlformats.org/officeDocument/2006/relationships/ctrlProp" Target="../ctrlProps/ctrlProp6.xml"/><Relationship Id="rId180" Type="http://schemas.openxmlformats.org/officeDocument/2006/relationships/ctrlProp" Target="../ctrlProps/ctrlProp177.xml"/><Relationship Id="rId210" Type="http://schemas.openxmlformats.org/officeDocument/2006/relationships/ctrlProp" Target="../ctrlProps/ctrlProp207.xml"/><Relationship Id="rId215" Type="http://schemas.openxmlformats.org/officeDocument/2006/relationships/ctrlProp" Target="../ctrlProps/ctrlProp212.xml"/><Relationship Id="rId26" Type="http://schemas.openxmlformats.org/officeDocument/2006/relationships/ctrlProp" Target="../ctrlProps/ctrlProp23.xml"/><Relationship Id="rId47" Type="http://schemas.openxmlformats.org/officeDocument/2006/relationships/ctrlProp" Target="../ctrlProps/ctrlProp44.xml"/><Relationship Id="rId68" Type="http://schemas.openxmlformats.org/officeDocument/2006/relationships/ctrlProp" Target="../ctrlProps/ctrlProp65.xml"/><Relationship Id="rId89" Type="http://schemas.openxmlformats.org/officeDocument/2006/relationships/ctrlProp" Target="../ctrlProps/ctrlProp86.xml"/><Relationship Id="rId112" Type="http://schemas.openxmlformats.org/officeDocument/2006/relationships/ctrlProp" Target="../ctrlProps/ctrlProp109.xml"/><Relationship Id="rId133" Type="http://schemas.openxmlformats.org/officeDocument/2006/relationships/ctrlProp" Target="../ctrlProps/ctrlProp130.xml"/><Relationship Id="rId154" Type="http://schemas.openxmlformats.org/officeDocument/2006/relationships/ctrlProp" Target="../ctrlProps/ctrlProp151.xml"/><Relationship Id="rId175" Type="http://schemas.openxmlformats.org/officeDocument/2006/relationships/ctrlProp" Target="../ctrlProps/ctrlProp172.xml"/><Relationship Id="rId196" Type="http://schemas.openxmlformats.org/officeDocument/2006/relationships/ctrlProp" Target="../ctrlProps/ctrlProp193.xml"/><Relationship Id="rId200" Type="http://schemas.openxmlformats.org/officeDocument/2006/relationships/ctrlProp" Target="../ctrlProps/ctrlProp197.xml"/><Relationship Id="rId16" Type="http://schemas.openxmlformats.org/officeDocument/2006/relationships/ctrlProp" Target="../ctrlProps/ctrlProp13.xml"/><Relationship Id="rId221" Type="http://schemas.openxmlformats.org/officeDocument/2006/relationships/ctrlProp" Target="../ctrlProps/ctrlProp218.xml"/><Relationship Id="rId37" Type="http://schemas.openxmlformats.org/officeDocument/2006/relationships/ctrlProp" Target="../ctrlProps/ctrlProp34.xml"/><Relationship Id="rId58" Type="http://schemas.openxmlformats.org/officeDocument/2006/relationships/ctrlProp" Target="../ctrlProps/ctrlProp55.xml"/><Relationship Id="rId79" Type="http://schemas.openxmlformats.org/officeDocument/2006/relationships/ctrlProp" Target="../ctrlProps/ctrlProp76.xml"/><Relationship Id="rId102" Type="http://schemas.openxmlformats.org/officeDocument/2006/relationships/ctrlProp" Target="../ctrlProps/ctrlProp99.xml"/><Relationship Id="rId123" Type="http://schemas.openxmlformats.org/officeDocument/2006/relationships/ctrlProp" Target="../ctrlProps/ctrlProp120.xml"/><Relationship Id="rId144" Type="http://schemas.openxmlformats.org/officeDocument/2006/relationships/ctrlProp" Target="../ctrlProps/ctrlProp141.xml"/><Relationship Id="rId90" Type="http://schemas.openxmlformats.org/officeDocument/2006/relationships/ctrlProp" Target="../ctrlProps/ctrlProp87.xml"/><Relationship Id="rId165" Type="http://schemas.openxmlformats.org/officeDocument/2006/relationships/ctrlProp" Target="../ctrlProps/ctrlProp162.xml"/><Relationship Id="rId186" Type="http://schemas.openxmlformats.org/officeDocument/2006/relationships/ctrlProp" Target="../ctrlProps/ctrlProp183.xml"/><Relationship Id="rId211" Type="http://schemas.openxmlformats.org/officeDocument/2006/relationships/ctrlProp" Target="../ctrlProps/ctrlProp208.xml"/><Relationship Id="rId27" Type="http://schemas.openxmlformats.org/officeDocument/2006/relationships/ctrlProp" Target="../ctrlProps/ctrlProp24.xml"/><Relationship Id="rId48" Type="http://schemas.openxmlformats.org/officeDocument/2006/relationships/ctrlProp" Target="../ctrlProps/ctrlProp45.xml"/><Relationship Id="rId69" Type="http://schemas.openxmlformats.org/officeDocument/2006/relationships/ctrlProp" Target="../ctrlProps/ctrlProp66.xml"/><Relationship Id="rId113" Type="http://schemas.openxmlformats.org/officeDocument/2006/relationships/ctrlProp" Target="../ctrlProps/ctrlProp110.xml"/><Relationship Id="rId134" Type="http://schemas.openxmlformats.org/officeDocument/2006/relationships/ctrlProp" Target="../ctrlProps/ctrlProp131.xml"/><Relationship Id="rId80" Type="http://schemas.openxmlformats.org/officeDocument/2006/relationships/ctrlProp" Target="../ctrlProps/ctrlProp77.xml"/><Relationship Id="rId155" Type="http://schemas.openxmlformats.org/officeDocument/2006/relationships/ctrlProp" Target="../ctrlProps/ctrlProp152.xml"/><Relationship Id="rId176" Type="http://schemas.openxmlformats.org/officeDocument/2006/relationships/ctrlProp" Target="../ctrlProps/ctrlProp173.xml"/><Relationship Id="rId197" Type="http://schemas.openxmlformats.org/officeDocument/2006/relationships/ctrlProp" Target="../ctrlProps/ctrlProp194.xml"/><Relationship Id="rId201" Type="http://schemas.openxmlformats.org/officeDocument/2006/relationships/ctrlProp" Target="../ctrlProps/ctrlProp198.xml"/><Relationship Id="rId222" Type="http://schemas.openxmlformats.org/officeDocument/2006/relationships/ctrlProp" Target="../ctrlProps/ctrlProp219.xml"/><Relationship Id="rId17" Type="http://schemas.openxmlformats.org/officeDocument/2006/relationships/ctrlProp" Target="../ctrlProps/ctrlProp14.xml"/><Relationship Id="rId38" Type="http://schemas.openxmlformats.org/officeDocument/2006/relationships/ctrlProp" Target="../ctrlProps/ctrlProp35.xml"/><Relationship Id="rId59" Type="http://schemas.openxmlformats.org/officeDocument/2006/relationships/ctrlProp" Target="../ctrlProps/ctrlProp56.xml"/><Relationship Id="rId103" Type="http://schemas.openxmlformats.org/officeDocument/2006/relationships/ctrlProp" Target="../ctrlProps/ctrlProp100.xml"/><Relationship Id="rId124" Type="http://schemas.openxmlformats.org/officeDocument/2006/relationships/ctrlProp" Target="../ctrlProps/ctrlProp121.xml"/><Relationship Id="rId70" Type="http://schemas.openxmlformats.org/officeDocument/2006/relationships/ctrlProp" Target="../ctrlProps/ctrlProp67.xml"/><Relationship Id="rId91" Type="http://schemas.openxmlformats.org/officeDocument/2006/relationships/ctrlProp" Target="../ctrlProps/ctrlProp88.xml"/><Relationship Id="rId145" Type="http://schemas.openxmlformats.org/officeDocument/2006/relationships/ctrlProp" Target="../ctrlProps/ctrlProp142.xml"/><Relationship Id="rId166" Type="http://schemas.openxmlformats.org/officeDocument/2006/relationships/ctrlProp" Target="../ctrlProps/ctrlProp163.xml"/><Relationship Id="rId187" Type="http://schemas.openxmlformats.org/officeDocument/2006/relationships/ctrlProp" Target="../ctrlProps/ctrlProp184.xml"/><Relationship Id="rId1" Type="http://schemas.openxmlformats.org/officeDocument/2006/relationships/printerSettings" Target="../printerSettings/printerSettings1.bin"/><Relationship Id="rId212" Type="http://schemas.openxmlformats.org/officeDocument/2006/relationships/ctrlProp" Target="../ctrlProps/ctrlProp209.xml"/><Relationship Id="rId28" Type="http://schemas.openxmlformats.org/officeDocument/2006/relationships/ctrlProp" Target="../ctrlProps/ctrlProp25.xml"/><Relationship Id="rId49" Type="http://schemas.openxmlformats.org/officeDocument/2006/relationships/ctrlProp" Target="../ctrlProps/ctrlProp46.xml"/><Relationship Id="rId114" Type="http://schemas.openxmlformats.org/officeDocument/2006/relationships/ctrlProp" Target="../ctrlProps/ctrlProp111.xml"/><Relationship Id="rId60" Type="http://schemas.openxmlformats.org/officeDocument/2006/relationships/ctrlProp" Target="../ctrlProps/ctrlProp57.xml"/><Relationship Id="rId81" Type="http://schemas.openxmlformats.org/officeDocument/2006/relationships/ctrlProp" Target="../ctrlProps/ctrlProp78.xml"/><Relationship Id="rId135" Type="http://schemas.openxmlformats.org/officeDocument/2006/relationships/ctrlProp" Target="../ctrlProps/ctrlProp132.xml"/><Relationship Id="rId156" Type="http://schemas.openxmlformats.org/officeDocument/2006/relationships/ctrlProp" Target="../ctrlProps/ctrlProp153.xml"/><Relationship Id="rId177" Type="http://schemas.openxmlformats.org/officeDocument/2006/relationships/ctrlProp" Target="../ctrlProps/ctrlProp174.xml"/><Relationship Id="rId198" Type="http://schemas.openxmlformats.org/officeDocument/2006/relationships/ctrlProp" Target="../ctrlProps/ctrlProp195.xml"/><Relationship Id="rId202" Type="http://schemas.openxmlformats.org/officeDocument/2006/relationships/ctrlProp" Target="../ctrlProps/ctrlProp199.xml"/><Relationship Id="rId223" Type="http://schemas.openxmlformats.org/officeDocument/2006/relationships/ctrlProp" Target="../ctrlProps/ctrlProp220.xml"/><Relationship Id="rId18" Type="http://schemas.openxmlformats.org/officeDocument/2006/relationships/ctrlProp" Target="../ctrlProps/ctrlProp15.xml"/><Relationship Id="rId39" Type="http://schemas.openxmlformats.org/officeDocument/2006/relationships/ctrlProp" Target="../ctrlProps/ctrlProp36.xml"/><Relationship Id="rId50" Type="http://schemas.openxmlformats.org/officeDocument/2006/relationships/ctrlProp" Target="../ctrlProps/ctrlProp47.xml"/><Relationship Id="rId104" Type="http://schemas.openxmlformats.org/officeDocument/2006/relationships/ctrlProp" Target="../ctrlProps/ctrlProp101.xml"/><Relationship Id="rId125" Type="http://schemas.openxmlformats.org/officeDocument/2006/relationships/ctrlProp" Target="../ctrlProps/ctrlProp122.xml"/><Relationship Id="rId146" Type="http://schemas.openxmlformats.org/officeDocument/2006/relationships/ctrlProp" Target="../ctrlProps/ctrlProp143.xml"/><Relationship Id="rId167" Type="http://schemas.openxmlformats.org/officeDocument/2006/relationships/ctrlProp" Target="../ctrlProps/ctrlProp164.xml"/><Relationship Id="rId188" Type="http://schemas.openxmlformats.org/officeDocument/2006/relationships/ctrlProp" Target="../ctrlProps/ctrlProp185.xml"/><Relationship Id="rId71" Type="http://schemas.openxmlformats.org/officeDocument/2006/relationships/ctrlProp" Target="../ctrlProps/ctrlProp68.xml"/><Relationship Id="rId92" Type="http://schemas.openxmlformats.org/officeDocument/2006/relationships/ctrlProp" Target="../ctrlProps/ctrlProp89.xml"/><Relationship Id="rId213" Type="http://schemas.openxmlformats.org/officeDocument/2006/relationships/ctrlProp" Target="../ctrlProps/ctrlProp210.xml"/><Relationship Id="rId2" Type="http://schemas.openxmlformats.org/officeDocument/2006/relationships/drawing" Target="../drawings/drawing1.xml"/><Relationship Id="rId29" Type="http://schemas.openxmlformats.org/officeDocument/2006/relationships/ctrlProp" Target="../ctrlProps/ctrlProp26.xml"/><Relationship Id="rId40" Type="http://schemas.openxmlformats.org/officeDocument/2006/relationships/ctrlProp" Target="../ctrlProps/ctrlProp37.xml"/><Relationship Id="rId115" Type="http://schemas.openxmlformats.org/officeDocument/2006/relationships/ctrlProp" Target="../ctrlProps/ctrlProp112.xml"/><Relationship Id="rId136" Type="http://schemas.openxmlformats.org/officeDocument/2006/relationships/ctrlProp" Target="../ctrlProps/ctrlProp133.xml"/><Relationship Id="rId157" Type="http://schemas.openxmlformats.org/officeDocument/2006/relationships/ctrlProp" Target="../ctrlProps/ctrlProp154.xml"/><Relationship Id="rId178" Type="http://schemas.openxmlformats.org/officeDocument/2006/relationships/ctrlProp" Target="../ctrlProps/ctrlProp175.xml"/><Relationship Id="rId61" Type="http://schemas.openxmlformats.org/officeDocument/2006/relationships/ctrlProp" Target="../ctrlProps/ctrlProp58.xml"/><Relationship Id="rId82" Type="http://schemas.openxmlformats.org/officeDocument/2006/relationships/ctrlProp" Target="../ctrlProps/ctrlProp79.xml"/><Relationship Id="rId199" Type="http://schemas.openxmlformats.org/officeDocument/2006/relationships/ctrlProp" Target="../ctrlProps/ctrlProp196.xml"/><Relationship Id="rId203" Type="http://schemas.openxmlformats.org/officeDocument/2006/relationships/ctrlProp" Target="../ctrlProps/ctrlProp200.xml"/><Relationship Id="rId19" Type="http://schemas.openxmlformats.org/officeDocument/2006/relationships/ctrlProp" Target="../ctrlProps/ctrlProp16.xml"/><Relationship Id="rId224" Type="http://schemas.openxmlformats.org/officeDocument/2006/relationships/ctrlProp" Target="../ctrlProps/ctrlProp221.xml"/><Relationship Id="rId30" Type="http://schemas.openxmlformats.org/officeDocument/2006/relationships/ctrlProp" Target="../ctrlProps/ctrlProp27.xml"/><Relationship Id="rId105" Type="http://schemas.openxmlformats.org/officeDocument/2006/relationships/ctrlProp" Target="../ctrlProps/ctrlProp102.xml"/><Relationship Id="rId126" Type="http://schemas.openxmlformats.org/officeDocument/2006/relationships/ctrlProp" Target="../ctrlProps/ctrlProp123.xml"/><Relationship Id="rId147" Type="http://schemas.openxmlformats.org/officeDocument/2006/relationships/ctrlProp" Target="../ctrlProps/ctrlProp144.xml"/><Relationship Id="rId168" Type="http://schemas.openxmlformats.org/officeDocument/2006/relationships/ctrlProp" Target="../ctrlProps/ctrlProp165.xml"/><Relationship Id="rId51" Type="http://schemas.openxmlformats.org/officeDocument/2006/relationships/ctrlProp" Target="../ctrlProps/ctrlProp48.xml"/><Relationship Id="rId72" Type="http://schemas.openxmlformats.org/officeDocument/2006/relationships/ctrlProp" Target="../ctrlProps/ctrlProp69.xml"/><Relationship Id="rId93" Type="http://schemas.openxmlformats.org/officeDocument/2006/relationships/ctrlProp" Target="../ctrlProps/ctrlProp90.xml"/><Relationship Id="rId189" Type="http://schemas.openxmlformats.org/officeDocument/2006/relationships/ctrlProp" Target="../ctrlProps/ctrlProp18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N300"/>
  <sheetViews>
    <sheetView showGridLines="0" zoomScale="90" zoomScaleNormal="90" workbookViewId="0"/>
  </sheetViews>
  <sheetFormatPr defaultRowHeight="12.75" outlineLevelCol="1"/>
  <cols>
    <col min="1" max="1" width="7.7109375" style="41" customWidth="1"/>
    <col min="2" max="2" width="100.7109375" style="36" customWidth="1"/>
    <col min="3" max="3" width="13.7109375" style="44" customWidth="1"/>
    <col min="4" max="4" width="50.7109375" style="34" customWidth="1"/>
    <col min="5" max="13" width="9.140625" style="32" hidden="1" customWidth="1" outlineLevel="1"/>
    <col min="14" max="14" width="9.140625" style="12" collapsed="1"/>
    <col min="15" max="256" width="9.140625" style="12"/>
    <col min="257" max="257" width="7.7109375" style="12" customWidth="1"/>
    <col min="258" max="258" width="100.7109375" style="12" customWidth="1"/>
    <col min="259" max="259" width="13.7109375" style="12" customWidth="1"/>
    <col min="260" max="260" width="50.7109375" style="12" customWidth="1"/>
    <col min="261" max="269" width="0" style="12" hidden="1" customWidth="1"/>
    <col min="270" max="512" width="9.140625" style="12"/>
    <col min="513" max="513" width="7.7109375" style="12" customWidth="1"/>
    <col min="514" max="514" width="100.7109375" style="12" customWidth="1"/>
    <col min="515" max="515" width="13.7109375" style="12" customWidth="1"/>
    <col min="516" max="516" width="50.7109375" style="12" customWidth="1"/>
    <col min="517" max="525" width="0" style="12" hidden="1" customWidth="1"/>
    <col min="526" max="768" width="9.140625" style="12"/>
    <col min="769" max="769" width="7.7109375" style="12" customWidth="1"/>
    <col min="770" max="770" width="100.7109375" style="12" customWidth="1"/>
    <col min="771" max="771" width="13.7109375" style="12" customWidth="1"/>
    <col min="772" max="772" width="50.7109375" style="12" customWidth="1"/>
    <col min="773" max="781" width="0" style="12" hidden="1" customWidth="1"/>
    <col min="782" max="1024" width="9.140625" style="12"/>
    <col min="1025" max="1025" width="7.7109375" style="12" customWidth="1"/>
    <col min="1026" max="1026" width="100.7109375" style="12" customWidth="1"/>
    <col min="1027" max="1027" width="13.7109375" style="12" customWidth="1"/>
    <col min="1028" max="1028" width="50.7109375" style="12" customWidth="1"/>
    <col min="1029" max="1037" width="0" style="12" hidden="1" customWidth="1"/>
    <col min="1038" max="1280" width="9.140625" style="12"/>
    <col min="1281" max="1281" width="7.7109375" style="12" customWidth="1"/>
    <col min="1282" max="1282" width="100.7109375" style="12" customWidth="1"/>
    <col min="1283" max="1283" width="13.7109375" style="12" customWidth="1"/>
    <col min="1284" max="1284" width="50.7109375" style="12" customWidth="1"/>
    <col min="1285" max="1293" width="0" style="12" hidden="1" customWidth="1"/>
    <col min="1294" max="1536" width="9.140625" style="12"/>
    <col min="1537" max="1537" width="7.7109375" style="12" customWidth="1"/>
    <col min="1538" max="1538" width="100.7109375" style="12" customWidth="1"/>
    <col min="1539" max="1539" width="13.7109375" style="12" customWidth="1"/>
    <col min="1540" max="1540" width="50.7109375" style="12" customWidth="1"/>
    <col min="1541" max="1549" width="0" style="12" hidden="1" customWidth="1"/>
    <col min="1550" max="1792" width="9.140625" style="12"/>
    <col min="1793" max="1793" width="7.7109375" style="12" customWidth="1"/>
    <col min="1794" max="1794" width="100.7109375" style="12" customWidth="1"/>
    <col min="1795" max="1795" width="13.7109375" style="12" customWidth="1"/>
    <col min="1796" max="1796" width="50.7109375" style="12" customWidth="1"/>
    <col min="1797" max="1805" width="0" style="12" hidden="1" customWidth="1"/>
    <col min="1806" max="2048" width="9.140625" style="12"/>
    <col min="2049" max="2049" width="7.7109375" style="12" customWidth="1"/>
    <col min="2050" max="2050" width="100.7109375" style="12" customWidth="1"/>
    <col min="2051" max="2051" width="13.7109375" style="12" customWidth="1"/>
    <col min="2052" max="2052" width="50.7109375" style="12" customWidth="1"/>
    <col min="2053" max="2061" width="0" style="12" hidden="1" customWidth="1"/>
    <col min="2062" max="2304" width="9.140625" style="12"/>
    <col min="2305" max="2305" width="7.7109375" style="12" customWidth="1"/>
    <col min="2306" max="2306" width="100.7109375" style="12" customWidth="1"/>
    <col min="2307" max="2307" width="13.7109375" style="12" customWidth="1"/>
    <col min="2308" max="2308" width="50.7109375" style="12" customWidth="1"/>
    <col min="2309" max="2317" width="0" style="12" hidden="1" customWidth="1"/>
    <col min="2318" max="2560" width="9.140625" style="12"/>
    <col min="2561" max="2561" width="7.7109375" style="12" customWidth="1"/>
    <col min="2562" max="2562" width="100.7109375" style="12" customWidth="1"/>
    <col min="2563" max="2563" width="13.7109375" style="12" customWidth="1"/>
    <col min="2564" max="2564" width="50.7109375" style="12" customWidth="1"/>
    <col min="2565" max="2573" width="0" style="12" hidden="1" customWidth="1"/>
    <col min="2574" max="2816" width="9.140625" style="12"/>
    <col min="2817" max="2817" width="7.7109375" style="12" customWidth="1"/>
    <col min="2818" max="2818" width="100.7109375" style="12" customWidth="1"/>
    <col min="2819" max="2819" width="13.7109375" style="12" customWidth="1"/>
    <col min="2820" max="2820" width="50.7109375" style="12" customWidth="1"/>
    <col min="2821" max="2829" width="0" style="12" hidden="1" customWidth="1"/>
    <col min="2830" max="3072" width="9.140625" style="12"/>
    <col min="3073" max="3073" width="7.7109375" style="12" customWidth="1"/>
    <col min="3074" max="3074" width="100.7109375" style="12" customWidth="1"/>
    <col min="3075" max="3075" width="13.7109375" style="12" customWidth="1"/>
    <col min="3076" max="3076" width="50.7109375" style="12" customWidth="1"/>
    <col min="3077" max="3085" width="0" style="12" hidden="1" customWidth="1"/>
    <col min="3086" max="3328" width="9.140625" style="12"/>
    <col min="3329" max="3329" width="7.7109375" style="12" customWidth="1"/>
    <col min="3330" max="3330" width="100.7109375" style="12" customWidth="1"/>
    <col min="3331" max="3331" width="13.7109375" style="12" customWidth="1"/>
    <col min="3332" max="3332" width="50.7109375" style="12" customWidth="1"/>
    <col min="3333" max="3341" width="0" style="12" hidden="1" customWidth="1"/>
    <col min="3342" max="3584" width="9.140625" style="12"/>
    <col min="3585" max="3585" width="7.7109375" style="12" customWidth="1"/>
    <col min="3586" max="3586" width="100.7109375" style="12" customWidth="1"/>
    <col min="3587" max="3587" width="13.7109375" style="12" customWidth="1"/>
    <col min="3588" max="3588" width="50.7109375" style="12" customWidth="1"/>
    <col min="3589" max="3597" width="0" style="12" hidden="1" customWidth="1"/>
    <col min="3598" max="3840" width="9.140625" style="12"/>
    <col min="3841" max="3841" width="7.7109375" style="12" customWidth="1"/>
    <col min="3842" max="3842" width="100.7109375" style="12" customWidth="1"/>
    <col min="3843" max="3843" width="13.7109375" style="12" customWidth="1"/>
    <col min="3844" max="3844" width="50.7109375" style="12" customWidth="1"/>
    <col min="3845" max="3853" width="0" style="12" hidden="1" customWidth="1"/>
    <col min="3854" max="4096" width="9.140625" style="12"/>
    <col min="4097" max="4097" width="7.7109375" style="12" customWidth="1"/>
    <col min="4098" max="4098" width="100.7109375" style="12" customWidth="1"/>
    <col min="4099" max="4099" width="13.7109375" style="12" customWidth="1"/>
    <col min="4100" max="4100" width="50.7109375" style="12" customWidth="1"/>
    <col min="4101" max="4109" width="0" style="12" hidden="1" customWidth="1"/>
    <col min="4110" max="4352" width="9.140625" style="12"/>
    <col min="4353" max="4353" width="7.7109375" style="12" customWidth="1"/>
    <col min="4354" max="4354" width="100.7109375" style="12" customWidth="1"/>
    <col min="4355" max="4355" width="13.7109375" style="12" customWidth="1"/>
    <col min="4356" max="4356" width="50.7109375" style="12" customWidth="1"/>
    <col min="4357" max="4365" width="0" style="12" hidden="1" customWidth="1"/>
    <col min="4366" max="4608" width="9.140625" style="12"/>
    <col min="4609" max="4609" width="7.7109375" style="12" customWidth="1"/>
    <col min="4610" max="4610" width="100.7109375" style="12" customWidth="1"/>
    <col min="4611" max="4611" width="13.7109375" style="12" customWidth="1"/>
    <col min="4612" max="4612" width="50.7109375" style="12" customWidth="1"/>
    <col min="4613" max="4621" width="0" style="12" hidden="1" customWidth="1"/>
    <col min="4622" max="4864" width="9.140625" style="12"/>
    <col min="4865" max="4865" width="7.7109375" style="12" customWidth="1"/>
    <col min="4866" max="4866" width="100.7109375" style="12" customWidth="1"/>
    <col min="4867" max="4867" width="13.7109375" style="12" customWidth="1"/>
    <col min="4868" max="4868" width="50.7109375" style="12" customWidth="1"/>
    <col min="4869" max="4877" width="0" style="12" hidden="1" customWidth="1"/>
    <col min="4878" max="5120" width="9.140625" style="12"/>
    <col min="5121" max="5121" width="7.7109375" style="12" customWidth="1"/>
    <col min="5122" max="5122" width="100.7109375" style="12" customWidth="1"/>
    <col min="5123" max="5123" width="13.7109375" style="12" customWidth="1"/>
    <col min="5124" max="5124" width="50.7109375" style="12" customWidth="1"/>
    <col min="5125" max="5133" width="0" style="12" hidden="1" customWidth="1"/>
    <col min="5134" max="5376" width="9.140625" style="12"/>
    <col min="5377" max="5377" width="7.7109375" style="12" customWidth="1"/>
    <col min="5378" max="5378" width="100.7109375" style="12" customWidth="1"/>
    <col min="5379" max="5379" width="13.7109375" style="12" customWidth="1"/>
    <col min="5380" max="5380" width="50.7109375" style="12" customWidth="1"/>
    <col min="5381" max="5389" width="0" style="12" hidden="1" customWidth="1"/>
    <col min="5390" max="5632" width="9.140625" style="12"/>
    <col min="5633" max="5633" width="7.7109375" style="12" customWidth="1"/>
    <col min="5634" max="5634" width="100.7109375" style="12" customWidth="1"/>
    <col min="5635" max="5635" width="13.7109375" style="12" customWidth="1"/>
    <col min="5636" max="5636" width="50.7109375" style="12" customWidth="1"/>
    <col min="5637" max="5645" width="0" style="12" hidden="1" customWidth="1"/>
    <col min="5646" max="5888" width="9.140625" style="12"/>
    <col min="5889" max="5889" width="7.7109375" style="12" customWidth="1"/>
    <col min="5890" max="5890" width="100.7109375" style="12" customWidth="1"/>
    <col min="5891" max="5891" width="13.7109375" style="12" customWidth="1"/>
    <col min="5892" max="5892" width="50.7109375" style="12" customWidth="1"/>
    <col min="5893" max="5901" width="0" style="12" hidden="1" customWidth="1"/>
    <col min="5902" max="6144" width="9.140625" style="12"/>
    <col min="6145" max="6145" width="7.7109375" style="12" customWidth="1"/>
    <col min="6146" max="6146" width="100.7109375" style="12" customWidth="1"/>
    <col min="6147" max="6147" width="13.7109375" style="12" customWidth="1"/>
    <col min="6148" max="6148" width="50.7109375" style="12" customWidth="1"/>
    <col min="6149" max="6157" width="0" style="12" hidden="1" customWidth="1"/>
    <col min="6158" max="6400" width="9.140625" style="12"/>
    <col min="6401" max="6401" width="7.7109375" style="12" customWidth="1"/>
    <col min="6402" max="6402" width="100.7109375" style="12" customWidth="1"/>
    <col min="6403" max="6403" width="13.7109375" style="12" customWidth="1"/>
    <col min="6404" max="6404" width="50.7109375" style="12" customWidth="1"/>
    <col min="6405" max="6413" width="0" style="12" hidden="1" customWidth="1"/>
    <col min="6414" max="6656" width="9.140625" style="12"/>
    <col min="6657" max="6657" width="7.7109375" style="12" customWidth="1"/>
    <col min="6658" max="6658" width="100.7109375" style="12" customWidth="1"/>
    <col min="6659" max="6659" width="13.7109375" style="12" customWidth="1"/>
    <col min="6660" max="6660" width="50.7109375" style="12" customWidth="1"/>
    <col min="6661" max="6669" width="0" style="12" hidden="1" customWidth="1"/>
    <col min="6670" max="6912" width="9.140625" style="12"/>
    <col min="6913" max="6913" width="7.7109375" style="12" customWidth="1"/>
    <col min="6914" max="6914" width="100.7109375" style="12" customWidth="1"/>
    <col min="6915" max="6915" width="13.7109375" style="12" customWidth="1"/>
    <col min="6916" max="6916" width="50.7109375" style="12" customWidth="1"/>
    <col min="6917" max="6925" width="0" style="12" hidden="1" customWidth="1"/>
    <col min="6926" max="7168" width="9.140625" style="12"/>
    <col min="7169" max="7169" width="7.7109375" style="12" customWidth="1"/>
    <col min="7170" max="7170" width="100.7109375" style="12" customWidth="1"/>
    <col min="7171" max="7171" width="13.7109375" style="12" customWidth="1"/>
    <col min="7172" max="7172" width="50.7109375" style="12" customWidth="1"/>
    <col min="7173" max="7181" width="0" style="12" hidden="1" customWidth="1"/>
    <col min="7182" max="7424" width="9.140625" style="12"/>
    <col min="7425" max="7425" width="7.7109375" style="12" customWidth="1"/>
    <col min="7426" max="7426" width="100.7109375" style="12" customWidth="1"/>
    <col min="7427" max="7427" width="13.7109375" style="12" customWidth="1"/>
    <col min="7428" max="7428" width="50.7109375" style="12" customWidth="1"/>
    <col min="7429" max="7437" width="0" style="12" hidden="1" customWidth="1"/>
    <col min="7438" max="7680" width="9.140625" style="12"/>
    <col min="7681" max="7681" width="7.7109375" style="12" customWidth="1"/>
    <col min="7682" max="7682" width="100.7109375" style="12" customWidth="1"/>
    <col min="7683" max="7683" width="13.7109375" style="12" customWidth="1"/>
    <col min="7684" max="7684" width="50.7109375" style="12" customWidth="1"/>
    <col min="7685" max="7693" width="0" style="12" hidden="1" customWidth="1"/>
    <col min="7694" max="7936" width="9.140625" style="12"/>
    <col min="7937" max="7937" width="7.7109375" style="12" customWidth="1"/>
    <col min="7938" max="7938" width="100.7109375" style="12" customWidth="1"/>
    <col min="7939" max="7939" width="13.7109375" style="12" customWidth="1"/>
    <col min="7940" max="7940" width="50.7109375" style="12" customWidth="1"/>
    <col min="7941" max="7949" width="0" style="12" hidden="1" customWidth="1"/>
    <col min="7950" max="8192" width="9.140625" style="12"/>
    <col min="8193" max="8193" width="7.7109375" style="12" customWidth="1"/>
    <col min="8194" max="8194" width="100.7109375" style="12" customWidth="1"/>
    <col min="8195" max="8195" width="13.7109375" style="12" customWidth="1"/>
    <col min="8196" max="8196" width="50.7109375" style="12" customWidth="1"/>
    <col min="8197" max="8205" width="0" style="12" hidden="1" customWidth="1"/>
    <col min="8206" max="8448" width="9.140625" style="12"/>
    <col min="8449" max="8449" width="7.7109375" style="12" customWidth="1"/>
    <col min="8450" max="8450" width="100.7109375" style="12" customWidth="1"/>
    <col min="8451" max="8451" width="13.7109375" style="12" customWidth="1"/>
    <col min="8452" max="8452" width="50.7109375" style="12" customWidth="1"/>
    <col min="8453" max="8461" width="0" style="12" hidden="1" customWidth="1"/>
    <col min="8462" max="8704" width="9.140625" style="12"/>
    <col min="8705" max="8705" width="7.7109375" style="12" customWidth="1"/>
    <col min="8706" max="8706" width="100.7109375" style="12" customWidth="1"/>
    <col min="8707" max="8707" width="13.7109375" style="12" customWidth="1"/>
    <col min="8708" max="8708" width="50.7109375" style="12" customWidth="1"/>
    <col min="8709" max="8717" width="0" style="12" hidden="1" customWidth="1"/>
    <col min="8718" max="8960" width="9.140625" style="12"/>
    <col min="8961" max="8961" width="7.7109375" style="12" customWidth="1"/>
    <col min="8962" max="8962" width="100.7109375" style="12" customWidth="1"/>
    <col min="8963" max="8963" width="13.7109375" style="12" customWidth="1"/>
    <col min="8964" max="8964" width="50.7109375" style="12" customWidth="1"/>
    <col min="8965" max="8973" width="0" style="12" hidden="1" customWidth="1"/>
    <col min="8974" max="9216" width="9.140625" style="12"/>
    <col min="9217" max="9217" width="7.7109375" style="12" customWidth="1"/>
    <col min="9218" max="9218" width="100.7109375" style="12" customWidth="1"/>
    <col min="9219" max="9219" width="13.7109375" style="12" customWidth="1"/>
    <col min="9220" max="9220" width="50.7109375" style="12" customWidth="1"/>
    <col min="9221" max="9229" width="0" style="12" hidden="1" customWidth="1"/>
    <col min="9230" max="9472" width="9.140625" style="12"/>
    <col min="9473" max="9473" width="7.7109375" style="12" customWidth="1"/>
    <col min="9474" max="9474" width="100.7109375" style="12" customWidth="1"/>
    <col min="9475" max="9475" width="13.7109375" style="12" customWidth="1"/>
    <col min="9476" max="9476" width="50.7109375" style="12" customWidth="1"/>
    <col min="9477" max="9485" width="0" style="12" hidden="1" customWidth="1"/>
    <col min="9486" max="9728" width="9.140625" style="12"/>
    <col min="9729" max="9729" width="7.7109375" style="12" customWidth="1"/>
    <col min="9730" max="9730" width="100.7109375" style="12" customWidth="1"/>
    <col min="9731" max="9731" width="13.7109375" style="12" customWidth="1"/>
    <col min="9732" max="9732" width="50.7109375" style="12" customWidth="1"/>
    <col min="9733" max="9741" width="0" style="12" hidden="1" customWidth="1"/>
    <col min="9742" max="9984" width="9.140625" style="12"/>
    <col min="9985" max="9985" width="7.7109375" style="12" customWidth="1"/>
    <col min="9986" max="9986" width="100.7109375" style="12" customWidth="1"/>
    <col min="9987" max="9987" width="13.7109375" style="12" customWidth="1"/>
    <col min="9988" max="9988" width="50.7109375" style="12" customWidth="1"/>
    <col min="9989" max="9997" width="0" style="12" hidden="1" customWidth="1"/>
    <col min="9998" max="10240" width="9.140625" style="12"/>
    <col min="10241" max="10241" width="7.7109375" style="12" customWidth="1"/>
    <col min="10242" max="10242" width="100.7109375" style="12" customWidth="1"/>
    <col min="10243" max="10243" width="13.7109375" style="12" customWidth="1"/>
    <col min="10244" max="10244" width="50.7109375" style="12" customWidth="1"/>
    <col min="10245" max="10253" width="0" style="12" hidden="1" customWidth="1"/>
    <col min="10254" max="10496" width="9.140625" style="12"/>
    <col min="10497" max="10497" width="7.7109375" style="12" customWidth="1"/>
    <col min="10498" max="10498" width="100.7109375" style="12" customWidth="1"/>
    <col min="10499" max="10499" width="13.7109375" style="12" customWidth="1"/>
    <col min="10500" max="10500" width="50.7109375" style="12" customWidth="1"/>
    <col min="10501" max="10509" width="0" style="12" hidden="1" customWidth="1"/>
    <col min="10510" max="10752" width="9.140625" style="12"/>
    <col min="10753" max="10753" width="7.7109375" style="12" customWidth="1"/>
    <col min="10754" max="10754" width="100.7109375" style="12" customWidth="1"/>
    <col min="10755" max="10755" width="13.7109375" style="12" customWidth="1"/>
    <col min="10756" max="10756" width="50.7109375" style="12" customWidth="1"/>
    <col min="10757" max="10765" width="0" style="12" hidden="1" customWidth="1"/>
    <col min="10766" max="11008" width="9.140625" style="12"/>
    <col min="11009" max="11009" width="7.7109375" style="12" customWidth="1"/>
    <col min="11010" max="11010" width="100.7109375" style="12" customWidth="1"/>
    <col min="11011" max="11011" width="13.7109375" style="12" customWidth="1"/>
    <col min="11012" max="11012" width="50.7109375" style="12" customWidth="1"/>
    <col min="11013" max="11021" width="0" style="12" hidden="1" customWidth="1"/>
    <col min="11022" max="11264" width="9.140625" style="12"/>
    <col min="11265" max="11265" width="7.7109375" style="12" customWidth="1"/>
    <col min="11266" max="11266" width="100.7109375" style="12" customWidth="1"/>
    <col min="11267" max="11267" width="13.7109375" style="12" customWidth="1"/>
    <col min="11268" max="11268" width="50.7109375" style="12" customWidth="1"/>
    <col min="11269" max="11277" width="0" style="12" hidden="1" customWidth="1"/>
    <col min="11278" max="11520" width="9.140625" style="12"/>
    <col min="11521" max="11521" width="7.7109375" style="12" customWidth="1"/>
    <col min="11522" max="11522" width="100.7109375" style="12" customWidth="1"/>
    <col min="11523" max="11523" width="13.7109375" style="12" customWidth="1"/>
    <col min="11524" max="11524" width="50.7109375" style="12" customWidth="1"/>
    <col min="11525" max="11533" width="0" style="12" hidden="1" customWidth="1"/>
    <col min="11534" max="11776" width="9.140625" style="12"/>
    <col min="11777" max="11777" width="7.7109375" style="12" customWidth="1"/>
    <col min="11778" max="11778" width="100.7109375" style="12" customWidth="1"/>
    <col min="11779" max="11779" width="13.7109375" style="12" customWidth="1"/>
    <col min="11780" max="11780" width="50.7109375" style="12" customWidth="1"/>
    <col min="11781" max="11789" width="0" style="12" hidden="1" customWidth="1"/>
    <col min="11790" max="12032" width="9.140625" style="12"/>
    <col min="12033" max="12033" width="7.7109375" style="12" customWidth="1"/>
    <col min="12034" max="12034" width="100.7109375" style="12" customWidth="1"/>
    <col min="12035" max="12035" width="13.7109375" style="12" customWidth="1"/>
    <col min="12036" max="12036" width="50.7109375" style="12" customWidth="1"/>
    <col min="12037" max="12045" width="0" style="12" hidden="1" customWidth="1"/>
    <col min="12046" max="12288" width="9.140625" style="12"/>
    <col min="12289" max="12289" width="7.7109375" style="12" customWidth="1"/>
    <col min="12290" max="12290" width="100.7109375" style="12" customWidth="1"/>
    <col min="12291" max="12291" width="13.7109375" style="12" customWidth="1"/>
    <col min="12292" max="12292" width="50.7109375" style="12" customWidth="1"/>
    <col min="12293" max="12301" width="0" style="12" hidden="1" customWidth="1"/>
    <col min="12302" max="12544" width="9.140625" style="12"/>
    <col min="12545" max="12545" width="7.7109375" style="12" customWidth="1"/>
    <col min="12546" max="12546" width="100.7109375" style="12" customWidth="1"/>
    <col min="12547" max="12547" width="13.7109375" style="12" customWidth="1"/>
    <col min="12548" max="12548" width="50.7109375" style="12" customWidth="1"/>
    <col min="12549" max="12557" width="0" style="12" hidden="1" customWidth="1"/>
    <col min="12558" max="12800" width="9.140625" style="12"/>
    <col min="12801" max="12801" width="7.7109375" style="12" customWidth="1"/>
    <col min="12802" max="12802" width="100.7109375" style="12" customWidth="1"/>
    <col min="12803" max="12803" width="13.7109375" style="12" customWidth="1"/>
    <col min="12804" max="12804" width="50.7109375" style="12" customWidth="1"/>
    <col min="12805" max="12813" width="0" style="12" hidden="1" customWidth="1"/>
    <col min="12814" max="13056" width="9.140625" style="12"/>
    <col min="13057" max="13057" width="7.7109375" style="12" customWidth="1"/>
    <col min="13058" max="13058" width="100.7109375" style="12" customWidth="1"/>
    <col min="13059" max="13059" width="13.7109375" style="12" customWidth="1"/>
    <col min="13060" max="13060" width="50.7109375" style="12" customWidth="1"/>
    <col min="13061" max="13069" width="0" style="12" hidden="1" customWidth="1"/>
    <col min="13070" max="13312" width="9.140625" style="12"/>
    <col min="13313" max="13313" width="7.7109375" style="12" customWidth="1"/>
    <col min="13314" max="13314" width="100.7109375" style="12" customWidth="1"/>
    <col min="13315" max="13315" width="13.7109375" style="12" customWidth="1"/>
    <col min="13316" max="13316" width="50.7109375" style="12" customWidth="1"/>
    <col min="13317" max="13325" width="0" style="12" hidden="1" customWidth="1"/>
    <col min="13326" max="13568" width="9.140625" style="12"/>
    <col min="13569" max="13569" width="7.7109375" style="12" customWidth="1"/>
    <col min="13570" max="13570" width="100.7109375" style="12" customWidth="1"/>
    <col min="13571" max="13571" width="13.7109375" style="12" customWidth="1"/>
    <col min="13572" max="13572" width="50.7109375" style="12" customWidth="1"/>
    <col min="13573" max="13581" width="0" style="12" hidden="1" customWidth="1"/>
    <col min="13582" max="13824" width="9.140625" style="12"/>
    <col min="13825" max="13825" width="7.7109375" style="12" customWidth="1"/>
    <col min="13826" max="13826" width="100.7109375" style="12" customWidth="1"/>
    <col min="13827" max="13827" width="13.7109375" style="12" customWidth="1"/>
    <col min="13828" max="13828" width="50.7109375" style="12" customWidth="1"/>
    <col min="13829" max="13837" width="0" style="12" hidden="1" customWidth="1"/>
    <col min="13838" max="14080" width="9.140625" style="12"/>
    <col min="14081" max="14081" width="7.7109375" style="12" customWidth="1"/>
    <col min="14082" max="14082" width="100.7109375" style="12" customWidth="1"/>
    <col min="14083" max="14083" width="13.7109375" style="12" customWidth="1"/>
    <col min="14084" max="14084" width="50.7109375" style="12" customWidth="1"/>
    <col min="14085" max="14093" width="0" style="12" hidden="1" customWidth="1"/>
    <col min="14094" max="14336" width="9.140625" style="12"/>
    <col min="14337" max="14337" width="7.7109375" style="12" customWidth="1"/>
    <col min="14338" max="14338" width="100.7109375" style="12" customWidth="1"/>
    <col min="14339" max="14339" width="13.7109375" style="12" customWidth="1"/>
    <col min="14340" max="14340" width="50.7109375" style="12" customWidth="1"/>
    <col min="14341" max="14349" width="0" style="12" hidden="1" customWidth="1"/>
    <col min="14350" max="14592" width="9.140625" style="12"/>
    <col min="14593" max="14593" width="7.7109375" style="12" customWidth="1"/>
    <col min="14594" max="14594" width="100.7109375" style="12" customWidth="1"/>
    <col min="14595" max="14595" width="13.7109375" style="12" customWidth="1"/>
    <col min="14596" max="14596" width="50.7109375" style="12" customWidth="1"/>
    <col min="14597" max="14605" width="0" style="12" hidden="1" customWidth="1"/>
    <col min="14606" max="14848" width="9.140625" style="12"/>
    <col min="14849" max="14849" width="7.7109375" style="12" customWidth="1"/>
    <col min="14850" max="14850" width="100.7109375" style="12" customWidth="1"/>
    <col min="14851" max="14851" width="13.7109375" style="12" customWidth="1"/>
    <col min="14852" max="14852" width="50.7109375" style="12" customWidth="1"/>
    <col min="14853" max="14861" width="0" style="12" hidden="1" customWidth="1"/>
    <col min="14862" max="15104" width="9.140625" style="12"/>
    <col min="15105" max="15105" width="7.7109375" style="12" customWidth="1"/>
    <col min="15106" max="15106" width="100.7109375" style="12" customWidth="1"/>
    <col min="15107" max="15107" width="13.7109375" style="12" customWidth="1"/>
    <col min="15108" max="15108" width="50.7109375" style="12" customWidth="1"/>
    <col min="15109" max="15117" width="0" style="12" hidden="1" customWidth="1"/>
    <col min="15118" max="15360" width="9.140625" style="12"/>
    <col min="15361" max="15361" width="7.7109375" style="12" customWidth="1"/>
    <col min="15362" max="15362" width="100.7109375" style="12" customWidth="1"/>
    <col min="15363" max="15363" width="13.7109375" style="12" customWidth="1"/>
    <col min="15364" max="15364" width="50.7109375" style="12" customWidth="1"/>
    <col min="15365" max="15373" width="0" style="12" hidden="1" customWidth="1"/>
    <col min="15374" max="15616" width="9.140625" style="12"/>
    <col min="15617" max="15617" width="7.7109375" style="12" customWidth="1"/>
    <col min="15618" max="15618" width="100.7109375" style="12" customWidth="1"/>
    <col min="15619" max="15619" width="13.7109375" style="12" customWidth="1"/>
    <col min="15620" max="15620" width="50.7109375" style="12" customWidth="1"/>
    <col min="15621" max="15629" width="0" style="12" hidden="1" customWidth="1"/>
    <col min="15630" max="15872" width="9.140625" style="12"/>
    <col min="15873" max="15873" width="7.7109375" style="12" customWidth="1"/>
    <col min="15874" max="15874" width="100.7109375" style="12" customWidth="1"/>
    <col min="15875" max="15875" width="13.7109375" style="12" customWidth="1"/>
    <col min="15876" max="15876" width="50.7109375" style="12" customWidth="1"/>
    <col min="15877" max="15885" width="0" style="12" hidden="1" customWidth="1"/>
    <col min="15886" max="16128" width="9.140625" style="12"/>
    <col min="16129" max="16129" width="7.7109375" style="12" customWidth="1"/>
    <col min="16130" max="16130" width="100.7109375" style="12" customWidth="1"/>
    <col min="16131" max="16131" width="13.7109375" style="12" customWidth="1"/>
    <col min="16132" max="16132" width="50.7109375" style="12" customWidth="1"/>
    <col min="16133" max="16141" width="0" style="12" hidden="1" customWidth="1"/>
    <col min="16142" max="16384" width="9.140625" style="12"/>
  </cols>
  <sheetData>
    <row r="1" spans="1:13" ht="14.1" customHeight="1">
      <c r="A1" s="32"/>
      <c r="B1" s="42" t="s">
        <v>39</v>
      </c>
      <c r="C1" s="32"/>
      <c r="D1" s="43"/>
    </row>
    <row r="2" spans="1:13" ht="14.1" customHeight="1">
      <c r="A2" s="32"/>
      <c r="B2" s="43"/>
      <c r="C2" s="33">
        <v>1.3888888888888889E-3</v>
      </c>
      <c r="D2" s="43"/>
    </row>
    <row r="3" spans="1:13" ht="14.1" customHeight="1">
      <c r="A3" s="45" t="s">
        <v>40</v>
      </c>
      <c r="B3" s="46" t="s">
        <v>41</v>
      </c>
      <c r="C3" s="47" t="s">
        <v>42</v>
      </c>
      <c r="D3" s="48" t="s">
        <v>43</v>
      </c>
      <c r="E3" s="49" t="s">
        <v>44</v>
      </c>
      <c r="F3" s="49" t="s">
        <v>45</v>
      </c>
      <c r="G3" s="49" t="s">
        <v>46</v>
      </c>
      <c r="H3" s="49" t="s">
        <v>47</v>
      </c>
      <c r="I3" s="49" t="s">
        <v>48</v>
      </c>
      <c r="J3" s="49" t="s">
        <v>49</v>
      </c>
      <c r="K3" s="49" t="s">
        <v>50</v>
      </c>
      <c r="L3" s="49" t="s">
        <v>44</v>
      </c>
      <c r="M3" s="49" t="s">
        <v>51</v>
      </c>
    </row>
    <row r="4" spans="1:13" s="43" customFormat="1" ht="14.1" customHeight="1">
      <c r="A4" s="124">
        <v>1</v>
      </c>
      <c r="B4" s="137"/>
      <c r="C4" s="125" t="str">
        <f t="shared" ref="C4:C67" si="0">IF(J4="No",M4,"")</f>
        <v/>
      </c>
      <c r="D4" s="34"/>
      <c r="E4" s="51" t="str">
        <f>IF(ISERROR(LEFT(B4,FIND(")",B4))),"",LEFT(B4,FIND(")",B4)))</f>
        <v/>
      </c>
      <c r="F4" s="51">
        <f>IF(ISERROR(MID($E4,FIND("h",$E4)-2,2)+0),0,MID($E4,FIND("h",$E4)-2,2)+0)</f>
        <v>0</v>
      </c>
      <c r="G4" s="51">
        <f>IF(ISERROR(MID($E4,FIND("m",$E4)-2,2)+0),0,MID($E4,FIND("m",$E4)-2,2)+0)</f>
        <v>0</v>
      </c>
      <c r="H4" s="51">
        <f>IF(ISERROR(MID($E4,FIND("s",$E4)-2,2)+0),0,MID($E4,FIND("s",$E4)-2,2)+0)</f>
        <v>0</v>
      </c>
      <c r="I4" s="51">
        <v>1</v>
      </c>
      <c r="J4" s="51" t="str">
        <f>IF(AND(F4=0,G4=0),"Yes","No")</f>
        <v>Yes</v>
      </c>
      <c r="K4" s="126" t="s">
        <v>52</v>
      </c>
      <c r="L4" s="127">
        <f t="shared" ref="L4:L67" si="1">TIME(F4,G4,H4)</f>
        <v>0</v>
      </c>
      <c r="M4" s="127">
        <f>INDEX(L:L,MATCH("No"&amp;I4,K:K,0))</f>
        <v>0</v>
      </c>
    </row>
    <row r="5" spans="1:13" s="43" customFormat="1" ht="14.1" customHeight="1">
      <c r="A5" s="124">
        <f>A4+1</f>
        <v>2</v>
      </c>
      <c r="B5" s="136"/>
      <c r="C5" s="125" t="str">
        <f t="shared" si="0"/>
        <v/>
      </c>
      <c r="D5" s="34"/>
      <c r="E5" s="51" t="str">
        <f>IF(ISERROR(LEFT(B5,FIND(")",B5))),"",LEFT(B5,FIND(")",B5)))</f>
        <v/>
      </c>
      <c r="F5" s="51">
        <f t="shared" ref="F5:F68" si="2">IF(ISERROR(MID($E5,FIND("h",$E5)-2,2)+0),0,MID($E5,FIND("h",$E5)-2,2)+0)</f>
        <v>0</v>
      </c>
      <c r="G5" s="51">
        <f t="shared" ref="G5:G68" si="3">IF(ISERROR(MID($E5,FIND("m",$E5)-2,2)+0),0,MID($E5,FIND("m",$E5)-2,2)+0)</f>
        <v>0</v>
      </c>
      <c r="H5" s="51">
        <f t="shared" ref="H5:H68" si="4">IF(ISERROR(MID($E5,FIND("s",$E5)-2,2)+0),0,MID($E5,FIND("s",$E5)-2,2)+0)</f>
        <v>0</v>
      </c>
      <c r="I5" s="51">
        <f t="shared" ref="I5:I14" si="5">IF(J5="No",I4+1,I4)</f>
        <v>1</v>
      </c>
      <c r="J5" s="51" t="str">
        <f t="shared" ref="J5:J68" si="6">IF(AND(F5=0,G5=0),"Yes","No")</f>
        <v>Yes</v>
      </c>
      <c r="K5" s="51" t="str">
        <f t="shared" ref="K5:K68" si="7">IF(J5="No",J5&amp;I5,"")</f>
        <v/>
      </c>
      <c r="L5" s="127">
        <f t="shared" si="1"/>
        <v>0</v>
      </c>
      <c r="M5" s="127">
        <f>IF(I5=1,0,INDEX(L:L,MATCH("No"&amp;I5,K:K,0))-INDEX(L:L,MATCH("No"&amp;I5-1,K:K,0)))</f>
        <v>0</v>
      </c>
    </row>
    <row r="6" spans="1:13" s="43" customFormat="1" ht="14.1" customHeight="1">
      <c r="A6" s="124">
        <f t="shared" ref="A6:A69" si="8">A5+1</f>
        <v>3</v>
      </c>
      <c r="B6" s="137"/>
      <c r="C6" s="125" t="str">
        <f t="shared" si="0"/>
        <v/>
      </c>
      <c r="D6" s="34"/>
      <c r="E6" s="51" t="str">
        <f>IF(ISERROR(LEFT(B6,FIND(")",B6))),"",LEFT(B6,FIND(")",B6)))</f>
        <v/>
      </c>
      <c r="F6" s="51">
        <f t="shared" si="2"/>
        <v>0</v>
      </c>
      <c r="G6" s="51">
        <f t="shared" si="3"/>
        <v>0</v>
      </c>
      <c r="H6" s="51">
        <f t="shared" si="4"/>
        <v>0</v>
      </c>
      <c r="I6" s="51">
        <f t="shared" si="5"/>
        <v>1</v>
      </c>
      <c r="J6" s="51" t="str">
        <f t="shared" si="6"/>
        <v>Yes</v>
      </c>
      <c r="K6" s="51" t="str">
        <f t="shared" si="7"/>
        <v/>
      </c>
      <c r="L6" s="127">
        <f t="shared" si="1"/>
        <v>0</v>
      </c>
      <c r="M6" s="127">
        <f>IF(I6=1,0,INDEX(L:L,MATCH("No"&amp;I6,K:K,0))-INDEX(L:L,MATCH("No"&amp;I6-1,K:K,0)))</f>
        <v>0</v>
      </c>
    </row>
    <row r="7" spans="1:13" s="43" customFormat="1" ht="14.1" customHeight="1">
      <c r="A7" s="124">
        <f t="shared" si="8"/>
        <v>4</v>
      </c>
      <c r="B7" s="136"/>
      <c r="C7" s="125" t="str">
        <f t="shared" si="0"/>
        <v/>
      </c>
      <c r="D7" s="34"/>
      <c r="E7" s="51" t="str">
        <f t="shared" ref="E7:E70" si="9">IF(ISERROR(LEFT(B7,FIND(")",B7))),"",LEFT(B7,FIND(")",B7)))</f>
        <v/>
      </c>
      <c r="F7" s="51">
        <f t="shared" si="2"/>
        <v>0</v>
      </c>
      <c r="G7" s="51">
        <f t="shared" si="3"/>
        <v>0</v>
      </c>
      <c r="H7" s="51">
        <f t="shared" si="4"/>
        <v>0</v>
      </c>
      <c r="I7" s="51">
        <f t="shared" si="5"/>
        <v>1</v>
      </c>
      <c r="J7" s="51" t="str">
        <f t="shared" si="6"/>
        <v>Yes</v>
      </c>
      <c r="K7" s="51" t="str">
        <f t="shared" si="7"/>
        <v/>
      </c>
      <c r="L7" s="127">
        <f t="shared" si="1"/>
        <v>0</v>
      </c>
      <c r="M7" s="127">
        <f t="shared" ref="M7:M70" si="10">IF(I7=1,0,INDEX(L:L,MATCH("No"&amp;I7,K:K,0))-INDEX(L:L,MATCH("No"&amp;I7-1,K:K,0)))</f>
        <v>0</v>
      </c>
    </row>
    <row r="8" spans="1:13" s="43" customFormat="1" ht="14.1" customHeight="1">
      <c r="A8" s="124">
        <f t="shared" si="8"/>
        <v>5</v>
      </c>
      <c r="B8" s="137"/>
      <c r="C8" s="125" t="str">
        <f t="shared" si="0"/>
        <v/>
      </c>
      <c r="D8" s="34"/>
      <c r="E8" s="51" t="str">
        <f t="shared" si="9"/>
        <v/>
      </c>
      <c r="F8" s="51">
        <f t="shared" si="2"/>
        <v>0</v>
      </c>
      <c r="G8" s="51">
        <f t="shared" si="3"/>
        <v>0</v>
      </c>
      <c r="H8" s="51">
        <f t="shared" si="4"/>
        <v>0</v>
      </c>
      <c r="I8" s="51">
        <f t="shared" si="5"/>
        <v>1</v>
      </c>
      <c r="J8" s="51" t="str">
        <f t="shared" si="6"/>
        <v>Yes</v>
      </c>
      <c r="K8" s="51" t="str">
        <f t="shared" si="7"/>
        <v/>
      </c>
      <c r="L8" s="127">
        <f t="shared" si="1"/>
        <v>0</v>
      </c>
      <c r="M8" s="127">
        <f t="shared" si="10"/>
        <v>0</v>
      </c>
    </row>
    <row r="9" spans="1:13" s="43" customFormat="1" ht="14.1" customHeight="1">
      <c r="A9" s="124">
        <f t="shared" si="8"/>
        <v>6</v>
      </c>
      <c r="B9" s="136"/>
      <c r="C9" s="125" t="str">
        <f t="shared" si="0"/>
        <v/>
      </c>
      <c r="D9" s="34"/>
      <c r="E9" s="51" t="str">
        <f t="shared" si="9"/>
        <v/>
      </c>
      <c r="F9" s="51">
        <f t="shared" si="2"/>
        <v>0</v>
      </c>
      <c r="G9" s="51">
        <f t="shared" si="3"/>
        <v>0</v>
      </c>
      <c r="H9" s="51">
        <f t="shared" si="4"/>
        <v>0</v>
      </c>
      <c r="I9" s="51">
        <f t="shared" si="5"/>
        <v>1</v>
      </c>
      <c r="J9" s="51" t="str">
        <f t="shared" si="6"/>
        <v>Yes</v>
      </c>
      <c r="K9" s="51" t="str">
        <f t="shared" si="7"/>
        <v/>
      </c>
      <c r="L9" s="127">
        <f t="shared" si="1"/>
        <v>0</v>
      </c>
      <c r="M9" s="127">
        <f t="shared" si="10"/>
        <v>0</v>
      </c>
    </row>
    <row r="10" spans="1:13" s="43" customFormat="1" ht="14.1" customHeight="1">
      <c r="A10" s="124">
        <f t="shared" si="8"/>
        <v>7</v>
      </c>
      <c r="B10" s="138"/>
      <c r="C10" s="125" t="str">
        <f t="shared" si="0"/>
        <v/>
      </c>
      <c r="D10" s="34"/>
      <c r="E10" s="51" t="str">
        <f t="shared" si="9"/>
        <v/>
      </c>
      <c r="F10" s="51">
        <f t="shared" si="2"/>
        <v>0</v>
      </c>
      <c r="G10" s="51">
        <f t="shared" si="3"/>
        <v>0</v>
      </c>
      <c r="H10" s="51">
        <f t="shared" si="4"/>
        <v>0</v>
      </c>
      <c r="I10" s="51">
        <f t="shared" si="5"/>
        <v>1</v>
      </c>
      <c r="J10" s="51" t="str">
        <f t="shared" si="6"/>
        <v>Yes</v>
      </c>
      <c r="K10" s="51" t="str">
        <f t="shared" si="7"/>
        <v/>
      </c>
      <c r="L10" s="127">
        <f t="shared" si="1"/>
        <v>0</v>
      </c>
      <c r="M10" s="127">
        <f t="shared" si="10"/>
        <v>0</v>
      </c>
    </row>
    <row r="11" spans="1:13" s="43" customFormat="1">
      <c r="A11" s="124">
        <f t="shared" si="8"/>
        <v>8</v>
      </c>
      <c r="B11" s="138"/>
      <c r="C11" s="125" t="str">
        <f t="shared" si="0"/>
        <v/>
      </c>
      <c r="D11" s="34"/>
      <c r="E11" s="51" t="str">
        <f t="shared" si="9"/>
        <v/>
      </c>
      <c r="F11" s="51">
        <f t="shared" si="2"/>
        <v>0</v>
      </c>
      <c r="G11" s="51">
        <f t="shared" si="3"/>
        <v>0</v>
      </c>
      <c r="H11" s="51">
        <f t="shared" si="4"/>
        <v>0</v>
      </c>
      <c r="I11" s="51">
        <f t="shared" si="5"/>
        <v>1</v>
      </c>
      <c r="J11" s="51" t="str">
        <f t="shared" si="6"/>
        <v>Yes</v>
      </c>
      <c r="K11" s="51" t="str">
        <f t="shared" si="7"/>
        <v/>
      </c>
      <c r="L11" s="127">
        <f t="shared" si="1"/>
        <v>0</v>
      </c>
      <c r="M11" s="127">
        <f t="shared" si="10"/>
        <v>0</v>
      </c>
    </row>
    <row r="12" spans="1:13" s="43" customFormat="1" ht="14.1" customHeight="1">
      <c r="A12" s="124">
        <f t="shared" si="8"/>
        <v>9</v>
      </c>
      <c r="B12" s="138"/>
      <c r="C12" s="125" t="str">
        <f t="shared" si="0"/>
        <v/>
      </c>
      <c r="D12" s="34"/>
      <c r="E12" s="51" t="str">
        <f t="shared" si="9"/>
        <v/>
      </c>
      <c r="F12" s="51">
        <f t="shared" si="2"/>
        <v>0</v>
      </c>
      <c r="G12" s="51">
        <f t="shared" si="3"/>
        <v>0</v>
      </c>
      <c r="H12" s="51">
        <f t="shared" si="4"/>
        <v>0</v>
      </c>
      <c r="I12" s="51">
        <f t="shared" si="5"/>
        <v>1</v>
      </c>
      <c r="J12" s="51" t="str">
        <f t="shared" si="6"/>
        <v>Yes</v>
      </c>
      <c r="K12" s="51" t="str">
        <f t="shared" si="7"/>
        <v/>
      </c>
      <c r="L12" s="127">
        <f t="shared" si="1"/>
        <v>0</v>
      </c>
      <c r="M12" s="127">
        <f t="shared" si="10"/>
        <v>0</v>
      </c>
    </row>
    <row r="13" spans="1:13" s="43" customFormat="1" ht="14.1" customHeight="1">
      <c r="A13" s="124">
        <f t="shared" si="8"/>
        <v>10</v>
      </c>
      <c r="B13" s="138"/>
      <c r="C13" s="125" t="str">
        <f t="shared" si="0"/>
        <v/>
      </c>
      <c r="D13" s="34"/>
      <c r="E13" s="51" t="str">
        <f t="shared" si="9"/>
        <v/>
      </c>
      <c r="F13" s="51">
        <f t="shared" si="2"/>
        <v>0</v>
      </c>
      <c r="G13" s="51">
        <f t="shared" si="3"/>
        <v>0</v>
      </c>
      <c r="H13" s="51">
        <f t="shared" si="4"/>
        <v>0</v>
      </c>
      <c r="I13" s="51">
        <f t="shared" si="5"/>
        <v>1</v>
      </c>
      <c r="J13" s="51" t="str">
        <f t="shared" si="6"/>
        <v>Yes</v>
      </c>
      <c r="K13" s="51" t="str">
        <f t="shared" si="7"/>
        <v/>
      </c>
      <c r="L13" s="127">
        <f t="shared" si="1"/>
        <v>0</v>
      </c>
      <c r="M13" s="127">
        <f t="shared" si="10"/>
        <v>0</v>
      </c>
    </row>
    <row r="14" spans="1:13" s="43" customFormat="1" ht="14.1" customHeight="1">
      <c r="A14" s="124">
        <f t="shared" si="8"/>
        <v>11</v>
      </c>
      <c r="B14" s="138"/>
      <c r="C14" s="125" t="str">
        <f t="shared" si="0"/>
        <v/>
      </c>
      <c r="D14" s="34"/>
      <c r="E14" s="51" t="str">
        <f t="shared" si="9"/>
        <v/>
      </c>
      <c r="F14" s="51">
        <f t="shared" si="2"/>
        <v>0</v>
      </c>
      <c r="G14" s="51">
        <f t="shared" si="3"/>
        <v>0</v>
      </c>
      <c r="H14" s="51">
        <f t="shared" si="4"/>
        <v>0</v>
      </c>
      <c r="I14" s="51">
        <f t="shared" si="5"/>
        <v>1</v>
      </c>
      <c r="J14" s="51" t="str">
        <f t="shared" si="6"/>
        <v>Yes</v>
      </c>
      <c r="K14" s="51" t="str">
        <f t="shared" si="7"/>
        <v/>
      </c>
      <c r="L14" s="127">
        <f t="shared" si="1"/>
        <v>0</v>
      </c>
      <c r="M14" s="127">
        <f t="shared" si="10"/>
        <v>0</v>
      </c>
    </row>
    <row r="15" spans="1:13" s="43" customFormat="1" ht="14.1" customHeight="1">
      <c r="A15" s="124">
        <f t="shared" si="8"/>
        <v>12</v>
      </c>
      <c r="B15" s="138"/>
      <c r="C15" s="125" t="str">
        <f t="shared" si="0"/>
        <v/>
      </c>
      <c r="D15" s="34"/>
      <c r="E15" s="51" t="str">
        <f t="shared" si="9"/>
        <v/>
      </c>
      <c r="F15" s="51">
        <f t="shared" si="2"/>
        <v>0</v>
      </c>
      <c r="G15" s="51">
        <f t="shared" si="3"/>
        <v>0</v>
      </c>
      <c r="H15" s="51">
        <f t="shared" si="4"/>
        <v>0</v>
      </c>
      <c r="I15" s="51">
        <f t="shared" ref="I15:I68" si="11">IF(J15="No",I14+1,I14)</f>
        <v>1</v>
      </c>
      <c r="J15" s="51" t="str">
        <f t="shared" si="6"/>
        <v>Yes</v>
      </c>
      <c r="K15" s="51" t="str">
        <f t="shared" si="7"/>
        <v/>
      </c>
      <c r="L15" s="127">
        <f t="shared" si="1"/>
        <v>0</v>
      </c>
      <c r="M15" s="127">
        <f t="shared" si="10"/>
        <v>0</v>
      </c>
    </row>
    <row r="16" spans="1:13" s="43" customFormat="1" ht="14.1" customHeight="1">
      <c r="A16" s="124">
        <f t="shared" si="8"/>
        <v>13</v>
      </c>
      <c r="B16" s="138"/>
      <c r="C16" s="125" t="str">
        <f t="shared" si="0"/>
        <v/>
      </c>
      <c r="D16" s="34"/>
      <c r="E16" s="51" t="str">
        <f t="shared" si="9"/>
        <v/>
      </c>
      <c r="F16" s="51">
        <f t="shared" si="2"/>
        <v>0</v>
      </c>
      <c r="G16" s="51">
        <f t="shared" si="3"/>
        <v>0</v>
      </c>
      <c r="H16" s="51">
        <f t="shared" si="4"/>
        <v>0</v>
      </c>
      <c r="I16" s="51">
        <f t="shared" si="11"/>
        <v>1</v>
      </c>
      <c r="J16" s="51" t="str">
        <f t="shared" si="6"/>
        <v>Yes</v>
      </c>
      <c r="K16" s="51" t="str">
        <f t="shared" si="7"/>
        <v/>
      </c>
      <c r="L16" s="127">
        <f t="shared" si="1"/>
        <v>0</v>
      </c>
      <c r="M16" s="127">
        <f t="shared" si="10"/>
        <v>0</v>
      </c>
    </row>
    <row r="17" spans="1:13" s="43" customFormat="1" ht="14.1" customHeight="1">
      <c r="A17" s="124">
        <f t="shared" si="8"/>
        <v>14</v>
      </c>
      <c r="B17" s="138"/>
      <c r="C17" s="125" t="str">
        <f t="shared" si="0"/>
        <v/>
      </c>
      <c r="D17" s="34"/>
      <c r="E17" s="51" t="str">
        <f t="shared" si="9"/>
        <v/>
      </c>
      <c r="F17" s="51">
        <f t="shared" si="2"/>
        <v>0</v>
      </c>
      <c r="G17" s="51">
        <f t="shared" si="3"/>
        <v>0</v>
      </c>
      <c r="H17" s="51">
        <f t="shared" si="4"/>
        <v>0</v>
      </c>
      <c r="I17" s="51">
        <f t="shared" si="11"/>
        <v>1</v>
      </c>
      <c r="J17" s="51" t="str">
        <f t="shared" si="6"/>
        <v>Yes</v>
      </c>
      <c r="K17" s="51" t="str">
        <f t="shared" si="7"/>
        <v/>
      </c>
      <c r="L17" s="127">
        <f t="shared" si="1"/>
        <v>0</v>
      </c>
      <c r="M17" s="127">
        <f t="shared" si="10"/>
        <v>0</v>
      </c>
    </row>
    <row r="18" spans="1:13" s="43" customFormat="1" ht="14.1" customHeight="1">
      <c r="A18" s="124">
        <f t="shared" si="8"/>
        <v>15</v>
      </c>
      <c r="B18" s="138"/>
      <c r="C18" s="125" t="str">
        <f t="shared" si="0"/>
        <v/>
      </c>
      <c r="D18" s="34"/>
      <c r="E18" s="51" t="str">
        <f t="shared" si="9"/>
        <v/>
      </c>
      <c r="F18" s="51">
        <f t="shared" si="2"/>
        <v>0</v>
      </c>
      <c r="G18" s="51">
        <f t="shared" si="3"/>
        <v>0</v>
      </c>
      <c r="H18" s="51">
        <f t="shared" si="4"/>
        <v>0</v>
      </c>
      <c r="I18" s="51">
        <f t="shared" si="11"/>
        <v>1</v>
      </c>
      <c r="J18" s="51" t="str">
        <f t="shared" si="6"/>
        <v>Yes</v>
      </c>
      <c r="K18" s="51" t="str">
        <f t="shared" si="7"/>
        <v/>
      </c>
      <c r="L18" s="127">
        <f t="shared" si="1"/>
        <v>0</v>
      </c>
      <c r="M18" s="127">
        <f t="shared" si="10"/>
        <v>0</v>
      </c>
    </row>
    <row r="19" spans="1:13" s="43" customFormat="1" ht="14.1" customHeight="1">
      <c r="A19" s="124">
        <f t="shared" si="8"/>
        <v>16</v>
      </c>
      <c r="B19" s="138"/>
      <c r="C19" s="125" t="str">
        <f t="shared" si="0"/>
        <v/>
      </c>
      <c r="D19" s="34"/>
      <c r="E19" s="51" t="str">
        <f t="shared" si="9"/>
        <v/>
      </c>
      <c r="F19" s="51">
        <f t="shared" si="2"/>
        <v>0</v>
      </c>
      <c r="G19" s="51">
        <f t="shared" si="3"/>
        <v>0</v>
      </c>
      <c r="H19" s="51">
        <f t="shared" si="4"/>
        <v>0</v>
      </c>
      <c r="I19" s="51">
        <f t="shared" si="11"/>
        <v>1</v>
      </c>
      <c r="J19" s="51" t="str">
        <f t="shared" si="6"/>
        <v>Yes</v>
      </c>
      <c r="K19" s="51" t="str">
        <f t="shared" si="7"/>
        <v/>
      </c>
      <c r="L19" s="127">
        <f t="shared" si="1"/>
        <v>0</v>
      </c>
      <c r="M19" s="127">
        <f t="shared" si="10"/>
        <v>0</v>
      </c>
    </row>
    <row r="20" spans="1:13" s="43" customFormat="1" ht="14.1" customHeight="1">
      <c r="A20" s="124">
        <f t="shared" si="8"/>
        <v>17</v>
      </c>
      <c r="B20" s="138"/>
      <c r="C20" s="125" t="str">
        <f t="shared" si="0"/>
        <v/>
      </c>
      <c r="D20" s="34"/>
      <c r="E20" s="51" t="str">
        <f t="shared" si="9"/>
        <v/>
      </c>
      <c r="F20" s="51">
        <f t="shared" si="2"/>
        <v>0</v>
      </c>
      <c r="G20" s="51">
        <f t="shared" si="3"/>
        <v>0</v>
      </c>
      <c r="H20" s="51">
        <f t="shared" si="4"/>
        <v>0</v>
      </c>
      <c r="I20" s="51">
        <f t="shared" si="11"/>
        <v>1</v>
      </c>
      <c r="J20" s="51" t="str">
        <f t="shared" si="6"/>
        <v>Yes</v>
      </c>
      <c r="K20" s="51" t="str">
        <f t="shared" si="7"/>
        <v/>
      </c>
      <c r="L20" s="127">
        <f t="shared" si="1"/>
        <v>0</v>
      </c>
      <c r="M20" s="127">
        <f t="shared" si="10"/>
        <v>0</v>
      </c>
    </row>
    <row r="21" spans="1:13" s="43" customFormat="1" ht="14.1" customHeight="1">
      <c r="A21" s="124">
        <f t="shared" si="8"/>
        <v>18</v>
      </c>
      <c r="B21" s="138"/>
      <c r="C21" s="125" t="str">
        <f t="shared" si="0"/>
        <v/>
      </c>
      <c r="D21" s="34"/>
      <c r="E21" s="51" t="str">
        <f t="shared" si="9"/>
        <v/>
      </c>
      <c r="F21" s="51">
        <f t="shared" si="2"/>
        <v>0</v>
      </c>
      <c r="G21" s="51">
        <f t="shared" si="3"/>
        <v>0</v>
      </c>
      <c r="H21" s="51">
        <f t="shared" si="4"/>
        <v>0</v>
      </c>
      <c r="I21" s="51">
        <f t="shared" si="11"/>
        <v>1</v>
      </c>
      <c r="J21" s="51" t="str">
        <f t="shared" si="6"/>
        <v>Yes</v>
      </c>
      <c r="K21" s="51" t="str">
        <f t="shared" si="7"/>
        <v/>
      </c>
      <c r="L21" s="127">
        <f t="shared" si="1"/>
        <v>0</v>
      </c>
      <c r="M21" s="127">
        <f t="shared" si="10"/>
        <v>0</v>
      </c>
    </row>
    <row r="22" spans="1:13" s="43" customFormat="1" ht="14.1" customHeight="1">
      <c r="A22" s="124">
        <f t="shared" si="8"/>
        <v>19</v>
      </c>
      <c r="B22" s="138"/>
      <c r="C22" s="125" t="str">
        <f t="shared" si="0"/>
        <v/>
      </c>
      <c r="D22" s="34"/>
      <c r="E22" s="51" t="str">
        <f t="shared" si="9"/>
        <v/>
      </c>
      <c r="F22" s="51">
        <f t="shared" si="2"/>
        <v>0</v>
      </c>
      <c r="G22" s="51">
        <f t="shared" si="3"/>
        <v>0</v>
      </c>
      <c r="H22" s="51">
        <f t="shared" si="4"/>
        <v>0</v>
      </c>
      <c r="I22" s="51">
        <f t="shared" si="11"/>
        <v>1</v>
      </c>
      <c r="J22" s="51" t="str">
        <f t="shared" si="6"/>
        <v>Yes</v>
      </c>
      <c r="K22" s="51" t="str">
        <f t="shared" si="7"/>
        <v/>
      </c>
      <c r="L22" s="127">
        <f t="shared" si="1"/>
        <v>0</v>
      </c>
      <c r="M22" s="127">
        <f t="shared" si="10"/>
        <v>0</v>
      </c>
    </row>
    <row r="23" spans="1:13" s="43" customFormat="1" ht="14.1" customHeight="1">
      <c r="A23" s="124">
        <f t="shared" si="8"/>
        <v>20</v>
      </c>
      <c r="B23" s="138"/>
      <c r="C23" s="125" t="str">
        <f t="shared" si="0"/>
        <v/>
      </c>
      <c r="D23" s="34"/>
      <c r="E23" s="51" t="str">
        <f t="shared" si="9"/>
        <v/>
      </c>
      <c r="F23" s="51">
        <f t="shared" si="2"/>
        <v>0</v>
      </c>
      <c r="G23" s="51">
        <f t="shared" si="3"/>
        <v>0</v>
      </c>
      <c r="H23" s="51">
        <f t="shared" si="4"/>
        <v>0</v>
      </c>
      <c r="I23" s="51">
        <f t="shared" si="11"/>
        <v>1</v>
      </c>
      <c r="J23" s="51" t="str">
        <f t="shared" si="6"/>
        <v>Yes</v>
      </c>
      <c r="K23" s="51" t="str">
        <f t="shared" si="7"/>
        <v/>
      </c>
      <c r="L23" s="127">
        <f t="shared" si="1"/>
        <v>0</v>
      </c>
      <c r="M23" s="127">
        <f t="shared" si="10"/>
        <v>0</v>
      </c>
    </row>
    <row r="24" spans="1:13" s="43" customFormat="1" ht="14.1" customHeight="1">
      <c r="A24" s="124">
        <f t="shared" si="8"/>
        <v>21</v>
      </c>
      <c r="B24" s="138"/>
      <c r="C24" s="125" t="str">
        <f t="shared" si="0"/>
        <v/>
      </c>
      <c r="D24" s="34"/>
      <c r="E24" s="51" t="str">
        <f t="shared" si="9"/>
        <v/>
      </c>
      <c r="F24" s="51">
        <f t="shared" si="2"/>
        <v>0</v>
      </c>
      <c r="G24" s="51">
        <f t="shared" si="3"/>
        <v>0</v>
      </c>
      <c r="H24" s="51">
        <f t="shared" si="4"/>
        <v>0</v>
      </c>
      <c r="I24" s="51">
        <f t="shared" si="11"/>
        <v>1</v>
      </c>
      <c r="J24" s="51" t="str">
        <f t="shared" si="6"/>
        <v>Yes</v>
      </c>
      <c r="K24" s="51" t="str">
        <f t="shared" si="7"/>
        <v/>
      </c>
      <c r="L24" s="127">
        <f t="shared" si="1"/>
        <v>0</v>
      </c>
      <c r="M24" s="127">
        <f t="shared" si="10"/>
        <v>0</v>
      </c>
    </row>
    <row r="25" spans="1:13" s="43" customFormat="1" ht="14.1" customHeight="1">
      <c r="A25" s="124">
        <f t="shared" si="8"/>
        <v>22</v>
      </c>
      <c r="B25" s="138"/>
      <c r="C25" s="125" t="str">
        <f t="shared" si="0"/>
        <v/>
      </c>
      <c r="D25" s="34"/>
      <c r="E25" s="51" t="str">
        <f t="shared" si="9"/>
        <v/>
      </c>
      <c r="F25" s="51">
        <f t="shared" si="2"/>
        <v>0</v>
      </c>
      <c r="G25" s="51">
        <f t="shared" si="3"/>
        <v>0</v>
      </c>
      <c r="H25" s="51">
        <f t="shared" si="4"/>
        <v>0</v>
      </c>
      <c r="I25" s="51">
        <f t="shared" si="11"/>
        <v>1</v>
      </c>
      <c r="J25" s="51" t="str">
        <f t="shared" si="6"/>
        <v>Yes</v>
      </c>
      <c r="K25" s="51" t="str">
        <f t="shared" si="7"/>
        <v/>
      </c>
      <c r="L25" s="127">
        <f t="shared" si="1"/>
        <v>0</v>
      </c>
      <c r="M25" s="127">
        <f t="shared" si="10"/>
        <v>0</v>
      </c>
    </row>
    <row r="26" spans="1:13" s="43" customFormat="1" ht="14.1" customHeight="1">
      <c r="A26" s="124">
        <f t="shared" si="8"/>
        <v>23</v>
      </c>
      <c r="B26" s="138"/>
      <c r="C26" s="125" t="str">
        <f t="shared" si="0"/>
        <v/>
      </c>
      <c r="D26" s="34"/>
      <c r="E26" s="51" t="str">
        <f t="shared" si="9"/>
        <v/>
      </c>
      <c r="F26" s="51">
        <f t="shared" si="2"/>
        <v>0</v>
      </c>
      <c r="G26" s="51">
        <f t="shared" si="3"/>
        <v>0</v>
      </c>
      <c r="H26" s="51">
        <f t="shared" si="4"/>
        <v>0</v>
      </c>
      <c r="I26" s="51">
        <f t="shared" si="11"/>
        <v>1</v>
      </c>
      <c r="J26" s="51" t="str">
        <f t="shared" si="6"/>
        <v>Yes</v>
      </c>
      <c r="K26" s="51" t="str">
        <f t="shared" si="7"/>
        <v/>
      </c>
      <c r="L26" s="127">
        <f t="shared" si="1"/>
        <v>0</v>
      </c>
      <c r="M26" s="127">
        <f t="shared" si="10"/>
        <v>0</v>
      </c>
    </row>
    <row r="27" spans="1:13" s="43" customFormat="1">
      <c r="A27" s="124">
        <f t="shared" si="8"/>
        <v>24</v>
      </c>
      <c r="B27" s="138"/>
      <c r="C27" s="125" t="str">
        <f t="shared" si="0"/>
        <v/>
      </c>
      <c r="D27" s="34"/>
      <c r="E27" s="51" t="str">
        <f t="shared" si="9"/>
        <v/>
      </c>
      <c r="F27" s="51">
        <f t="shared" si="2"/>
        <v>0</v>
      </c>
      <c r="G27" s="51">
        <f t="shared" si="3"/>
        <v>0</v>
      </c>
      <c r="H27" s="51">
        <f t="shared" si="4"/>
        <v>0</v>
      </c>
      <c r="I27" s="51">
        <f t="shared" si="11"/>
        <v>1</v>
      </c>
      <c r="J27" s="51" t="str">
        <f t="shared" si="6"/>
        <v>Yes</v>
      </c>
      <c r="K27" s="51" t="str">
        <f t="shared" si="7"/>
        <v/>
      </c>
      <c r="L27" s="127">
        <f t="shared" si="1"/>
        <v>0</v>
      </c>
      <c r="M27" s="127">
        <f t="shared" si="10"/>
        <v>0</v>
      </c>
    </row>
    <row r="28" spans="1:13" s="43" customFormat="1" ht="14.1" customHeight="1">
      <c r="A28" s="124">
        <f t="shared" si="8"/>
        <v>25</v>
      </c>
      <c r="B28" s="138"/>
      <c r="C28" s="125" t="str">
        <f t="shared" si="0"/>
        <v/>
      </c>
      <c r="D28" s="34"/>
      <c r="E28" s="51" t="str">
        <f t="shared" si="9"/>
        <v/>
      </c>
      <c r="F28" s="51">
        <f t="shared" si="2"/>
        <v>0</v>
      </c>
      <c r="G28" s="51">
        <f t="shared" si="3"/>
        <v>0</v>
      </c>
      <c r="H28" s="51">
        <f t="shared" si="4"/>
        <v>0</v>
      </c>
      <c r="I28" s="51">
        <f t="shared" si="11"/>
        <v>1</v>
      </c>
      <c r="J28" s="51" t="str">
        <f t="shared" si="6"/>
        <v>Yes</v>
      </c>
      <c r="K28" s="51" t="str">
        <f t="shared" si="7"/>
        <v/>
      </c>
      <c r="L28" s="127">
        <f t="shared" si="1"/>
        <v>0</v>
      </c>
      <c r="M28" s="127">
        <f t="shared" si="10"/>
        <v>0</v>
      </c>
    </row>
    <row r="29" spans="1:13" s="43" customFormat="1" ht="14.1" customHeight="1">
      <c r="A29" s="124">
        <f t="shared" si="8"/>
        <v>26</v>
      </c>
      <c r="B29" s="138"/>
      <c r="C29" s="125" t="str">
        <f t="shared" si="0"/>
        <v/>
      </c>
      <c r="D29" s="34"/>
      <c r="E29" s="51" t="str">
        <f t="shared" si="9"/>
        <v/>
      </c>
      <c r="F29" s="51">
        <f t="shared" si="2"/>
        <v>0</v>
      </c>
      <c r="G29" s="51">
        <f t="shared" si="3"/>
        <v>0</v>
      </c>
      <c r="H29" s="51">
        <f t="shared" si="4"/>
        <v>0</v>
      </c>
      <c r="I29" s="51">
        <f t="shared" si="11"/>
        <v>1</v>
      </c>
      <c r="J29" s="51" t="str">
        <f t="shared" si="6"/>
        <v>Yes</v>
      </c>
      <c r="K29" s="51" t="str">
        <f t="shared" si="7"/>
        <v/>
      </c>
      <c r="L29" s="127">
        <f t="shared" si="1"/>
        <v>0</v>
      </c>
      <c r="M29" s="127">
        <f t="shared" si="10"/>
        <v>0</v>
      </c>
    </row>
    <row r="30" spans="1:13" s="43" customFormat="1">
      <c r="A30" s="124">
        <f t="shared" si="8"/>
        <v>27</v>
      </c>
      <c r="B30" s="138"/>
      <c r="C30" s="125" t="str">
        <f t="shared" si="0"/>
        <v/>
      </c>
      <c r="D30" s="34"/>
      <c r="E30" s="51" t="str">
        <f t="shared" si="9"/>
        <v/>
      </c>
      <c r="F30" s="51">
        <f t="shared" si="2"/>
        <v>0</v>
      </c>
      <c r="G30" s="51">
        <f t="shared" si="3"/>
        <v>0</v>
      </c>
      <c r="H30" s="51">
        <f t="shared" si="4"/>
        <v>0</v>
      </c>
      <c r="I30" s="51">
        <f t="shared" si="11"/>
        <v>1</v>
      </c>
      <c r="J30" s="51" t="str">
        <f t="shared" si="6"/>
        <v>Yes</v>
      </c>
      <c r="K30" s="51" t="str">
        <f t="shared" si="7"/>
        <v/>
      </c>
      <c r="L30" s="127">
        <f t="shared" si="1"/>
        <v>0</v>
      </c>
      <c r="M30" s="127">
        <f t="shared" si="10"/>
        <v>0</v>
      </c>
    </row>
    <row r="31" spans="1:13" s="43" customFormat="1" ht="14.1" customHeight="1">
      <c r="A31" s="124">
        <f t="shared" si="8"/>
        <v>28</v>
      </c>
      <c r="B31" s="138"/>
      <c r="C31" s="125" t="str">
        <f t="shared" si="0"/>
        <v/>
      </c>
      <c r="D31" s="34"/>
      <c r="E31" s="51" t="str">
        <f t="shared" si="9"/>
        <v/>
      </c>
      <c r="F31" s="51">
        <f t="shared" si="2"/>
        <v>0</v>
      </c>
      <c r="G31" s="51">
        <f t="shared" si="3"/>
        <v>0</v>
      </c>
      <c r="H31" s="51">
        <f t="shared" si="4"/>
        <v>0</v>
      </c>
      <c r="I31" s="51">
        <f t="shared" si="11"/>
        <v>1</v>
      </c>
      <c r="J31" s="51" t="str">
        <f t="shared" si="6"/>
        <v>Yes</v>
      </c>
      <c r="K31" s="51" t="str">
        <f t="shared" si="7"/>
        <v/>
      </c>
      <c r="L31" s="127">
        <f t="shared" si="1"/>
        <v>0</v>
      </c>
      <c r="M31" s="127">
        <f t="shared" si="10"/>
        <v>0</v>
      </c>
    </row>
    <row r="32" spans="1:13" s="43" customFormat="1">
      <c r="A32" s="124">
        <f t="shared" si="8"/>
        <v>29</v>
      </c>
      <c r="B32" s="138"/>
      <c r="C32" s="125" t="str">
        <f t="shared" si="0"/>
        <v/>
      </c>
      <c r="D32" s="34"/>
      <c r="E32" s="51" t="str">
        <f t="shared" si="9"/>
        <v/>
      </c>
      <c r="F32" s="51">
        <f t="shared" si="2"/>
        <v>0</v>
      </c>
      <c r="G32" s="51">
        <f t="shared" si="3"/>
        <v>0</v>
      </c>
      <c r="H32" s="51">
        <f t="shared" si="4"/>
        <v>0</v>
      </c>
      <c r="I32" s="51">
        <f t="shared" si="11"/>
        <v>1</v>
      </c>
      <c r="J32" s="51" t="str">
        <f t="shared" si="6"/>
        <v>Yes</v>
      </c>
      <c r="K32" s="51" t="str">
        <f t="shared" si="7"/>
        <v/>
      </c>
      <c r="L32" s="127">
        <f t="shared" si="1"/>
        <v>0</v>
      </c>
      <c r="M32" s="127">
        <f t="shared" si="10"/>
        <v>0</v>
      </c>
    </row>
    <row r="33" spans="1:13" s="43" customFormat="1" ht="14.1" customHeight="1">
      <c r="A33" s="124">
        <f t="shared" si="8"/>
        <v>30</v>
      </c>
      <c r="B33" s="138"/>
      <c r="C33" s="125" t="str">
        <f t="shared" si="0"/>
        <v/>
      </c>
      <c r="D33" s="34"/>
      <c r="E33" s="51" t="str">
        <f t="shared" si="9"/>
        <v/>
      </c>
      <c r="F33" s="51">
        <f t="shared" si="2"/>
        <v>0</v>
      </c>
      <c r="G33" s="51">
        <f t="shared" si="3"/>
        <v>0</v>
      </c>
      <c r="H33" s="51">
        <f t="shared" si="4"/>
        <v>0</v>
      </c>
      <c r="I33" s="51">
        <f t="shared" si="11"/>
        <v>1</v>
      </c>
      <c r="J33" s="51" t="str">
        <f t="shared" si="6"/>
        <v>Yes</v>
      </c>
      <c r="K33" s="51" t="str">
        <f t="shared" si="7"/>
        <v/>
      </c>
      <c r="L33" s="127">
        <f t="shared" si="1"/>
        <v>0</v>
      </c>
      <c r="M33" s="127">
        <f t="shared" si="10"/>
        <v>0</v>
      </c>
    </row>
    <row r="34" spans="1:13" s="43" customFormat="1" ht="14.1" customHeight="1">
      <c r="A34" s="124">
        <f t="shared" si="8"/>
        <v>31</v>
      </c>
      <c r="B34" s="138"/>
      <c r="C34" s="125" t="str">
        <f t="shared" si="0"/>
        <v/>
      </c>
      <c r="D34" s="34"/>
      <c r="E34" s="51" t="str">
        <f t="shared" si="9"/>
        <v/>
      </c>
      <c r="F34" s="51">
        <f t="shared" si="2"/>
        <v>0</v>
      </c>
      <c r="G34" s="51">
        <f t="shared" si="3"/>
        <v>0</v>
      </c>
      <c r="H34" s="51">
        <f t="shared" si="4"/>
        <v>0</v>
      </c>
      <c r="I34" s="51">
        <f t="shared" si="11"/>
        <v>1</v>
      </c>
      <c r="J34" s="51" t="str">
        <f t="shared" si="6"/>
        <v>Yes</v>
      </c>
      <c r="K34" s="51" t="str">
        <f t="shared" si="7"/>
        <v/>
      </c>
      <c r="L34" s="127">
        <f t="shared" si="1"/>
        <v>0</v>
      </c>
      <c r="M34" s="127">
        <f t="shared" si="10"/>
        <v>0</v>
      </c>
    </row>
    <row r="35" spans="1:13" s="43" customFormat="1">
      <c r="A35" s="124">
        <f t="shared" si="8"/>
        <v>32</v>
      </c>
      <c r="B35" s="138"/>
      <c r="C35" s="125" t="str">
        <f t="shared" si="0"/>
        <v/>
      </c>
      <c r="D35" s="34"/>
      <c r="E35" s="51" t="str">
        <f t="shared" si="9"/>
        <v/>
      </c>
      <c r="F35" s="51">
        <f t="shared" si="2"/>
        <v>0</v>
      </c>
      <c r="G35" s="51">
        <f t="shared" si="3"/>
        <v>0</v>
      </c>
      <c r="H35" s="51">
        <f t="shared" si="4"/>
        <v>0</v>
      </c>
      <c r="I35" s="51">
        <f t="shared" si="11"/>
        <v>1</v>
      </c>
      <c r="J35" s="51" t="str">
        <f t="shared" si="6"/>
        <v>Yes</v>
      </c>
      <c r="K35" s="51" t="str">
        <f t="shared" si="7"/>
        <v/>
      </c>
      <c r="L35" s="127">
        <f t="shared" si="1"/>
        <v>0</v>
      </c>
      <c r="M35" s="127">
        <f t="shared" si="10"/>
        <v>0</v>
      </c>
    </row>
    <row r="36" spans="1:13" s="43" customFormat="1" ht="14.1" customHeight="1">
      <c r="A36" s="124">
        <f t="shared" si="8"/>
        <v>33</v>
      </c>
      <c r="B36" s="138"/>
      <c r="C36" s="125" t="str">
        <f t="shared" si="0"/>
        <v/>
      </c>
      <c r="D36" s="34"/>
      <c r="E36" s="51" t="str">
        <f t="shared" si="9"/>
        <v/>
      </c>
      <c r="F36" s="51">
        <f t="shared" si="2"/>
        <v>0</v>
      </c>
      <c r="G36" s="51">
        <f t="shared" si="3"/>
        <v>0</v>
      </c>
      <c r="H36" s="51">
        <f t="shared" si="4"/>
        <v>0</v>
      </c>
      <c r="I36" s="51">
        <f t="shared" si="11"/>
        <v>1</v>
      </c>
      <c r="J36" s="51" t="str">
        <f t="shared" si="6"/>
        <v>Yes</v>
      </c>
      <c r="K36" s="51" t="str">
        <f t="shared" si="7"/>
        <v/>
      </c>
      <c r="L36" s="127">
        <f t="shared" si="1"/>
        <v>0</v>
      </c>
      <c r="M36" s="127">
        <f t="shared" si="10"/>
        <v>0</v>
      </c>
    </row>
    <row r="37" spans="1:13" s="43" customFormat="1" ht="14.1" customHeight="1">
      <c r="A37" s="124">
        <f t="shared" si="8"/>
        <v>34</v>
      </c>
      <c r="B37" s="138"/>
      <c r="C37" s="125" t="str">
        <f t="shared" si="0"/>
        <v/>
      </c>
      <c r="D37" s="34"/>
      <c r="E37" s="51" t="str">
        <f t="shared" si="9"/>
        <v/>
      </c>
      <c r="F37" s="51">
        <f t="shared" si="2"/>
        <v>0</v>
      </c>
      <c r="G37" s="51">
        <f t="shared" si="3"/>
        <v>0</v>
      </c>
      <c r="H37" s="51">
        <f t="shared" si="4"/>
        <v>0</v>
      </c>
      <c r="I37" s="51">
        <f t="shared" si="11"/>
        <v>1</v>
      </c>
      <c r="J37" s="51" t="str">
        <f t="shared" si="6"/>
        <v>Yes</v>
      </c>
      <c r="K37" s="51" t="str">
        <f t="shared" si="7"/>
        <v/>
      </c>
      <c r="L37" s="127">
        <f t="shared" si="1"/>
        <v>0</v>
      </c>
      <c r="M37" s="127">
        <f t="shared" si="10"/>
        <v>0</v>
      </c>
    </row>
    <row r="38" spans="1:13" s="43" customFormat="1" ht="14.1" customHeight="1">
      <c r="A38" s="124">
        <f t="shared" si="8"/>
        <v>35</v>
      </c>
      <c r="B38" s="138"/>
      <c r="C38" s="125" t="str">
        <f t="shared" si="0"/>
        <v/>
      </c>
      <c r="D38" s="34"/>
      <c r="E38" s="51" t="str">
        <f t="shared" si="9"/>
        <v/>
      </c>
      <c r="F38" s="51">
        <f t="shared" si="2"/>
        <v>0</v>
      </c>
      <c r="G38" s="51">
        <f t="shared" si="3"/>
        <v>0</v>
      </c>
      <c r="H38" s="51">
        <f t="shared" si="4"/>
        <v>0</v>
      </c>
      <c r="I38" s="51">
        <f t="shared" si="11"/>
        <v>1</v>
      </c>
      <c r="J38" s="51" t="str">
        <f t="shared" si="6"/>
        <v>Yes</v>
      </c>
      <c r="K38" s="51" t="str">
        <f t="shared" si="7"/>
        <v/>
      </c>
      <c r="L38" s="127">
        <f t="shared" si="1"/>
        <v>0</v>
      </c>
      <c r="M38" s="127">
        <f t="shared" si="10"/>
        <v>0</v>
      </c>
    </row>
    <row r="39" spans="1:13" s="43" customFormat="1" ht="14.1" customHeight="1">
      <c r="A39" s="124">
        <f t="shared" si="8"/>
        <v>36</v>
      </c>
      <c r="B39" s="138"/>
      <c r="C39" s="125" t="str">
        <f t="shared" si="0"/>
        <v/>
      </c>
      <c r="D39" s="34"/>
      <c r="E39" s="51" t="str">
        <f t="shared" si="9"/>
        <v/>
      </c>
      <c r="F39" s="51">
        <f t="shared" si="2"/>
        <v>0</v>
      </c>
      <c r="G39" s="51">
        <f t="shared" si="3"/>
        <v>0</v>
      </c>
      <c r="H39" s="51">
        <f t="shared" si="4"/>
        <v>0</v>
      </c>
      <c r="I39" s="51">
        <f t="shared" si="11"/>
        <v>1</v>
      </c>
      <c r="J39" s="51" t="str">
        <f t="shared" si="6"/>
        <v>Yes</v>
      </c>
      <c r="K39" s="51" t="str">
        <f t="shared" si="7"/>
        <v/>
      </c>
      <c r="L39" s="127">
        <f t="shared" si="1"/>
        <v>0</v>
      </c>
      <c r="M39" s="127">
        <f t="shared" si="10"/>
        <v>0</v>
      </c>
    </row>
    <row r="40" spans="1:13" s="43" customFormat="1" ht="14.1" customHeight="1">
      <c r="A40" s="124">
        <f t="shared" si="8"/>
        <v>37</v>
      </c>
      <c r="B40" s="138"/>
      <c r="C40" s="125" t="str">
        <f t="shared" si="0"/>
        <v/>
      </c>
      <c r="D40" s="34"/>
      <c r="E40" s="51" t="str">
        <f t="shared" si="9"/>
        <v/>
      </c>
      <c r="F40" s="51">
        <f t="shared" si="2"/>
        <v>0</v>
      </c>
      <c r="G40" s="51">
        <f t="shared" si="3"/>
        <v>0</v>
      </c>
      <c r="H40" s="51">
        <f t="shared" si="4"/>
        <v>0</v>
      </c>
      <c r="I40" s="51">
        <f t="shared" si="11"/>
        <v>1</v>
      </c>
      <c r="J40" s="51" t="str">
        <f t="shared" si="6"/>
        <v>Yes</v>
      </c>
      <c r="K40" s="51" t="str">
        <f t="shared" si="7"/>
        <v/>
      </c>
      <c r="L40" s="127">
        <f t="shared" si="1"/>
        <v>0</v>
      </c>
      <c r="M40" s="127">
        <f t="shared" si="10"/>
        <v>0</v>
      </c>
    </row>
    <row r="41" spans="1:13" s="43" customFormat="1">
      <c r="A41" s="124">
        <f t="shared" si="8"/>
        <v>38</v>
      </c>
      <c r="B41" s="138"/>
      <c r="C41" s="125" t="str">
        <f t="shared" si="0"/>
        <v/>
      </c>
      <c r="D41" s="34"/>
      <c r="E41" s="51" t="str">
        <f t="shared" si="9"/>
        <v/>
      </c>
      <c r="F41" s="51">
        <f t="shared" si="2"/>
        <v>0</v>
      </c>
      <c r="G41" s="51">
        <f t="shared" si="3"/>
        <v>0</v>
      </c>
      <c r="H41" s="51">
        <f t="shared" si="4"/>
        <v>0</v>
      </c>
      <c r="I41" s="51">
        <f t="shared" si="11"/>
        <v>1</v>
      </c>
      <c r="J41" s="51" t="str">
        <f t="shared" si="6"/>
        <v>Yes</v>
      </c>
      <c r="K41" s="51" t="str">
        <f t="shared" si="7"/>
        <v/>
      </c>
      <c r="L41" s="127">
        <f t="shared" si="1"/>
        <v>0</v>
      </c>
      <c r="M41" s="127">
        <f t="shared" si="10"/>
        <v>0</v>
      </c>
    </row>
    <row r="42" spans="1:13" s="43" customFormat="1" ht="14.1" customHeight="1">
      <c r="A42" s="124">
        <f t="shared" si="8"/>
        <v>39</v>
      </c>
      <c r="B42" s="138"/>
      <c r="C42" s="125" t="str">
        <f t="shared" si="0"/>
        <v/>
      </c>
      <c r="D42" s="34"/>
      <c r="E42" s="51" t="str">
        <f t="shared" si="9"/>
        <v/>
      </c>
      <c r="F42" s="51">
        <f t="shared" si="2"/>
        <v>0</v>
      </c>
      <c r="G42" s="51">
        <f t="shared" si="3"/>
        <v>0</v>
      </c>
      <c r="H42" s="51">
        <f t="shared" si="4"/>
        <v>0</v>
      </c>
      <c r="I42" s="51">
        <f t="shared" si="11"/>
        <v>1</v>
      </c>
      <c r="J42" s="51" t="str">
        <f t="shared" si="6"/>
        <v>Yes</v>
      </c>
      <c r="K42" s="51" t="str">
        <f t="shared" si="7"/>
        <v/>
      </c>
      <c r="L42" s="127">
        <f t="shared" si="1"/>
        <v>0</v>
      </c>
      <c r="M42" s="127">
        <f t="shared" si="10"/>
        <v>0</v>
      </c>
    </row>
    <row r="43" spans="1:13" s="43" customFormat="1" ht="14.1" customHeight="1">
      <c r="A43" s="124">
        <f t="shared" si="8"/>
        <v>40</v>
      </c>
      <c r="B43" s="138"/>
      <c r="C43" s="125" t="str">
        <f t="shared" si="0"/>
        <v/>
      </c>
      <c r="D43" s="34"/>
      <c r="E43" s="51" t="str">
        <f t="shared" si="9"/>
        <v/>
      </c>
      <c r="F43" s="51">
        <f t="shared" si="2"/>
        <v>0</v>
      </c>
      <c r="G43" s="51">
        <f t="shared" si="3"/>
        <v>0</v>
      </c>
      <c r="H43" s="51">
        <f t="shared" si="4"/>
        <v>0</v>
      </c>
      <c r="I43" s="51">
        <f t="shared" si="11"/>
        <v>1</v>
      </c>
      <c r="J43" s="51" t="str">
        <f t="shared" si="6"/>
        <v>Yes</v>
      </c>
      <c r="K43" s="51" t="str">
        <f t="shared" si="7"/>
        <v/>
      </c>
      <c r="L43" s="127">
        <f t="shared" si="1"/>
        <v>0</v>
      </c>
      <c r="M43" s="127">
        <f t="shared" si="10"/>
        <v>0</v>
      </c>
    </row>
    <row r="44" spans="1:13" s="43" customFormat="1" ht="14.1" customHeight="1">
      <c r="A44" s="124">
        <f t="shared" si="8"/>
        <v>41</v>
      </c>
      <c r="B44" s="138"/>
      <c r="C44" s="125" t="str">
        <f t="shared" si="0"/>
        <v/>
      </c>
      <c r="D44" s="34"/>
      <c r="E44" s="51" t="str">
        <f t="shared" si="9"/>
        <v/>
      </c>
      <c r="F44" s="51">
        <f t="shared" si="2"/>
        <v>0</v>
      </c>
      <c r="G44" s="51">
        <f t="shared" si="3"/>
        <v>0</v>
      </c>
      <c r="H44" s="51">
        <f t="shared" si="4"/>
        <v>0</v>
      </c>
      <c r="I44" s="51">
        <f t="shared" si="11"/>
        <v>1</v>
      </c>
      <c r="J44" s="51" t="str">
        <f t="shared" si="6"/>
        <v>Yes</v>
      </c>
      <c r="K44" s="51" t="str">
        <f t="shared" si="7"/>
        <v/>
      </c>
      <c r="L44" s="127">
        <f t="shared" si="1"/>
        <v>0</v>
      </c>
      <c r="M44" s="127">
        <f t="shared" si="10"/>
        <v>0</v>
      </c>
    </row>
    <row r="45" spans="1:13" s="43" customFormat="1" ht="14.1" customHeight="1">
      <c r="A45" s="124">
        <f t="shared" si="8"/>
        <v>42</v>
      </c>
      <c r="B45" s="138"/>
      <c r="C45" s="125" t="str">
        <f t="shared" si="0"/>
        <v/>
      </c>
      <c r="D45" s="34"/>
      <c r="E45" s="51" t="str">
        <f t="shared" si="9"/>
        <v/>
      </c>
      <c r="F45" s="51">
        <f t="shared" si="2"/>
        <v>0</v>
      </c>
      <c r="G45" s="51">
        <f t="shared" si="3"/>
        <v>0</v>
      </c>
      <c r="H45" s="51">
        <f t="shared" si="4"/>
        <v>0</v>
      </c>
      <c r="I45" s="51">
        <f t="shared" si="11"/>
        <v>1</v>
      </c>
      <c r="J45" s="51" t="str">
        <f t="shared" si="6"/>
        <v>Yes</v>
      </c>
      <c r="K45" s="51" t="str">
        <f t="shared" si="7"/>
        <v/>
      </c>
      <c r="L45" s="127">
        <f t="shared" si="1"/>
        <v>0</v>
      </c>
      <c r="M45" s="127">
        <f t="shared" si="10"/>
        <v>0</v>
      </c>
    </row>
    <row r="46" spans="1:13" s="43" customFormat="1" ht="14.1" customHeight="1">
      <c r="A46" s="124">
        <f t="shared" si="8"/>
        <v>43</v>
      </c>
      <c r="B46" s="138"/>
      <c r="C46" s="125" t="str">
        <f t="shared" si="0"/>
        <v/>
      </c>
      <c r="D46" s="34"/>
      <c r="E46" s="51" t="str">
        <f t="shared" si="9"/>
        <v/>
      </c>
      <c r="F46" s="51">
        <f t="shared" si="2"/>
        <v>0</v>
      </c>
      <c r="G46" s="51">
        <f t="shared" si="3"/>
        <v>0</v>
      </c>
      <c r="H46" s="51">
        <f t="shared" si="4"/>
        <v>0</v>
      </c>
      <c r="I46" s="51">
        <f t="shared" si="11"/>
        <v>1</v>
      </c>
      <c r="J46" s="51" t="str">
        <f t="shared" si="6"/>
        <v>Yes</v>
      </c>
      <c r="K46" s="51" t="str">
        <f t="shared" si="7"/>
        <v/>
      </c>
      <c r="L46" s="127">
        <f t="shared" si="1"/>
        <v>0</v>
      </c>
      <c r="M46" s="127">
        <f t="shared" si="10"/>
        <v>0</v>
      </c>
    </row>
    <row r="47" spans="1:13" s="43" customFormat="1" ht="14.1" customHeight="1">
      <c r="A47" s="124">
        <f t="shared" si="8"/>
        <v>44</v>
      </c>
      <c r="B47" s="138"/>
      <c r="C47" s="125" t="str">
        <f t="shared" si="0"/>
        <v/>
      </c>
      <c r="D47" s="34"/>
      <c r="E47" s="51" t="str">
        <f t="shared" si="9"/>
        <v/>
      </c>
      <c r="F47" s="51">
        <f t="shared" si="2"/>
        <v>0</v>
      </c>
      <c r="G47" s="51">
        <f t="shared" si="3"/>
        <v>0</v>
      </c>
      <c r="H47" s="51">
        <f t="shared" si="4"/>
        <v>0</v>
      </c>
      <c r="I47" s="51">
        <f t="shared" si="11"/>
        <v>1</v>
      </c>
      <c r="J47" s="51" t="str">
        <f t="shared" si="6"/>
        <v>Yes</v>
      </c>
      <c r="K47" s="51" t="str">
        <f t="shared" si="7"/>
        <v/>
      </c>
      <c r="L47" s="127">
        <f t="shared" si="1"/>
        <v>0</v>
      </c>
      <c r="M47" s="127">
        <f t="shared" si="10"/>
        <v>0</v>
      </c>
    </row>
    <row r="48" spans="1:13" s="43" customFormat="1" ht="14.1" customHeight="1">
      <c r="A48" s="124">
        <f t="shared" si="8"/>
        <v>45</v>
      </c>
      <c r="B48" s="138"/>
      <c r="C48" s="125" t="str">
        <f t="shared" si="0"/>
        <v/>
      </c>
      <c r="D48" s="34"/>
      <c r="E48" s="51" t="str">
        <f t="shared" si="9"/>
        <v/>
      </c>
      <c r="F48" s="51">
        <f t="shared" si="2"/>
        <v>0</v>
      </c>
      <c r="G48" s="51">
        <f t="shared" si="3"/>
        <v>0</v>
      </c>
      <c r="H48" s="51">
        <f t="shared" si="4"/>
        <v>0</v>
      </c>
      <c r="I48" s="51">
        <f t="shared" si="11"/>
        <v>1</v>
      </c>
      <c r="J48" s="51" t="str">
        <f t="shared" si="6"/>
        <v>Yes</v>
      </c>
      <c r="K48" s="51" t="str">
        <f t="shared" si="7"/>
        <v/>
      </c>
      <c r="L48" s="127">
        <f t="shared" si="1"/>
        <v>0</v>
      </c>
      <c r="M48" s="127">
        <f t="shared" si="10"/>
        <v>0</v>
      </c>
    </row>
    <row r="49" spans="1:13" s="43" customFormat="1" ht="14.1" customHeight="1">
      <c r="A49" s="124">
        <f t="shared" si="8"/>
        <v>46</v>
      </c>
      <c r="B49" s="138"/>
      <c r="C49" s="125" t="str">
        <f t="shared" si="0"/>
        <v/>
      </c>
      <c r="D49" s="34"/>
      <c r="E49" s="51" t="str">
        <f t="shared" si="9"/>
        <v/>
      </c>
      <c r="F49" s="51">
        <f t="shared" si="2"/>
        <v>0</v>
      </c>
      <c r="G49" s="51">
        <f t="shared" si="3"/>
        <v>0</v>
      </c>
      <c r="H49" s="51">
        <f t="shared" si="4"/>
        <v>0</v>
      </c>
      <c r="I49" s="51">
        <f t="shared" si="11"/>
        <v>1</v>
      </c>
      <c r="J49" s="51" t="str">
        <f t="shared" si="6"/>
        <v>Yes</v>
      </c>
      <c r="K49" s="51" t="str">
        <f t="shared" si="7"/>
        <v/>
      </c>
      <c r="L49" s="127">
        <f t="shared" si="1"/>
        <v>0</v>
      </c>
      <c r="M49" s="127">
        <f t="shared" si="10"/>
        <v>0</v>
      </c>
    </row>
    <row r="50" spans="1:13" s="43" customFormat="1" ht="14.1" customHeight="1">
      <c r="A50" s="124">
        <f t="shared" si="8"/>
        <v>47</v>
      </c>
      <c r="B50" s="138"/>
      <c r="C50" s="125" t="str">
        <f t="shared" si="0"/>
        <v/>
      </c>
      <c r="D50" s="34"/>
      <c r="E50" s="51" t="str">
        <f t="shared" si="9"/>
        <v/>
      </c>
      <c r="F50" s="51">
        <f t="shared" si="2"/>
        <v>0</v>
      </c>
      <c r="G50" s="51">
        <f t="shared" si="3"/>
        <v>0</v>
      </c>
      <c r="H50" s="51">
        <f t="shared" si="4"/>
        <v>0</v>
      </c>
      <c r="I50" s="51">
        <f t="shared" si="11"/>
        <v>1</v>
      </c>
      <c r="J50" s="51" t="str">
        <f t="shared" si="6"/>
        <v>Yes</v>
      </c>
      <c r="K50" s="51" t="str">
        <f t="shared" si="7"/>
        <v/>
      </c>
      <c r="L50" s="127">
        <f t="shared" si="1"/>
        <v>0</v>
      </c>
      <c r="M50" s="127">
        <f t="shared" si="10"/>
        <v>0</v>
      </c>
    </row>
    <row r="51" spans="1:13" s="43" customFormat="1" ht="14.1" customHeight="1">
      <c r="A51" s="124">
        <f t="shared" si="8"/>
        <v>48</v>
      </c>
      <c r="B51" s="138"/>
      <c r="C51" s="125" t="str">
        <f t="shared" si="0"/>
        <v/>
      </c>
      <c r="D51" s="34"/>
      <c r="E51" s="51" t="str">
        <f t="shared" si="9"/>
        <v/>
      </c>
      <c r="F51" s="51">
        <f t="shared" si="2"/>
        <v>0</v>
      </c>
      <c r="G51" s="51">
        <f t="shared" si="3"/>
        <v>0</v>
      </c>
      <c r="H51" s="51">
        <f t="shared" si="4"/>
        <v>0</v>
      </c>
      <c r="I51" s="51">
        <f t="shared" si="11"/>
        <v>1</v>
      </c>
      <c r="J51" s="51" t="str">
        <f t="shared" si="6"/>
        <v>Yes</v>
      </c>
      <c r="K51" s="51" t="str">
        <f t="shared" si="7"/>
        <v/>
      </c>
      <c r="L51" s="127">
        <f t="shared" si="1"/>
        <v>0</v>
      </c>
      <c r="M51" s="127">
        <f t="shared" si="10"/>
        <v>0</v>
      </c>
    </row>
    <row r="52" spans="1:13" s="43" customFormat="1" ht="14.1" customHeight="1">
      <c r="A52" s="124">
        <f t="shared" si="8"/>
        <v>49</v>
      </c>
      <c r="B52" s="138"/>
      <c r="C52" s="125" t="str">
        <f t="shared" si="0"/>
        <v/>
      </c>
      <c r="D52" s="34"/>
      <c r="E52" s="51" t="str">
        <f t="shared" si="9"/>
        <v/>
      </c>
      <c r="F52" s="51">
        <f t="shared" si="2"/>
        <v>0</v>
      </c>
      <c r="G52" s="51">
        <f t="shared" si="3"/>
        <v>0</v>
      </c>
      <c r="H52" s="51">
        <f t="shared" si="4"/>
        <v>0</v>
      </c>
      <c r="I52" s="51">
        <f t="shared" si="11"/>
        <v>1</v>
      </c>
      <c r="J52" s="51" t="str">
        <f t="shared" si="6"/>
        <v>Yes</v>
      </c>
      <c r="K52" s="51" t="str">
        <f t="shared" si="7"/>
        <v/>
      </c>
      <c r="L52" s="127">
        <f t="shared" si="1"/>
        <v>0</v>
      </c>
      <c r="M52" s="127">
        <f t="shared" si="10"/>
        <v>0</v>
      </c>
    </row>
    <row r="53" spans="1:13" s="43" customFormat="1" ht="14.1" customHeight="1">
      <c r="A53" s="124">
        <f t="shared" si="8"/>
        <v>50</v>
      </c>
      <c r="B53" s="138"/>
      <c r="C53" s="125" t="str">
        <f t="shared" si="0"/>
        <v/>
      </c>
      <c r="D53" s="34"/>
      <c r="E53" s="51" t="str">
        <f t="shared" si="9"/>
        <v/>
      </c>
      <c r="F53" s="51">
        <f t="shared" si="2"/>
        <v>0</v>
      </c>
      <c r="G53" s="51">
        <f t="shared" si="3"/>
        <v>0</v>
      </c>
      <c r="H53" s="51">
        <f t="shared" si="4"/>
        <v>0</v>
      </c>
      <c r="I53" s="51">
        <f t="shared" si="11"/>
        <v>1</v>
      </c>
      <c r="J53" s="51" t="str">
        <f t="shared" si="6"/>
        <v>Yes</v>
      </c>
      <c r="K53" s="51" t="str">
        <f t="shared" si="7"/>
        <v/>
      </c>
      <c r="L53" s="127">
        <f t="shared" si="1"/>
        <v>0</v>
      </c>
      <c r="M53" s="127">
        <f t="shared" si="10"/>
        <v>0</v>
      </c>
    </row>
    <row r="54" spans="1:13" s="43" customFormat="1" ht="14.1" customHeight="1">
      <c r="A54" s="124">
        <f t="shared" si="8"/>
        <v>51</v>
      </c>
      <c r="B54" s="138"/>
      <c r="C54" s="125" t="str">
        <f t="shared" si="0"/>
        <v/>
      </c>
      <c r="D54" s="34"/>
      <c r="E54" s="51" t="str">
        <f t="shared" si="9"/>
        <v/>
      </c>
      <c r="F54" s="51">
        <f t="shared" si="2"/>
        <v>0</v>
      </c>
      <c r="G54" s="51">
        <f t="shared" si="3"/>
        <v>0</v>
      </c>
      <c r="H54" s="51">
        <f t="shared" si="4"/>
        <v>0</v>
      </c>
      <c r="I54" s="51">
        <f t="shared" si="11"/>
        <v>1</v>
      </c>
      <c r="J54" s="51" t="str">
        <f t="shared" si="6"/>
        <v>Yes</v>
      </c>
      <c r="K54" s="51" t="str">
        <f t="shared" si="7"/>
        <v/>
      </c>
      <c r="L54" s="127">
        <f t="shared" si="1"/>
        <v>0</v>
      </c>
      <c r="M54" s="127">
        <f t="shared" si="10"/>
        <v>0</v>
      </c>
    </row>
    <row r="55" spans="1:13" s="43" customFormat="1" ht="14.1" customHeight="1">
      <c r="A55" s="124">
        <f t="shared" si="8"/>
        <v>52</v>
      </c>
      <c r="B55" s="138"/>
      <c r="C55" s="125" t="str">
        <f t="shared" si="0"/>
        <v/>
      </c>
      <c r="D55" s="34"/>
      <c r="E55" s="51" t="str">
        <f t="shared" si="9"/>
        <v/>
      </c>
      <c r="F55" s="51">
        <f t="shared" si="2"/>
        <v>0</v>
      </c>
      <c r="G55" s="51">
        <f t="shared" si="3"/>
        <v>0</v>
      </c>
      <c r="H55" s="51">
        <f t="shared" si="4"/>
        <v>0</v>
      </c>
      <c r="I55" s="51">
        <f t="shared" si="11"/>
        <v>1</v>
      </c>
      <c r="J55" s="51" t="str">
        <f t="shared" si="6"/>
        <v>Yes</v>
      </c>
      <c r="K55" s="51" t="str">
        <f t="shared" si="7"/>
        <v/>
      </c>
      <c r="L55" s="127">
        <f t="shared" si="1"/>
        <v>0</v>
      </c>
      <c r="M55" s="127">
        <f t="shared" si="10"/>
        <v>0</v>
      </c>
    </row>
    <row r="56" spans="1:13" s="43" customFormat="1" ht="14.1" customHeight="1">
      <c r="A56" s="124">
        <f t="shared" si="8"/>
        <v>53</v>
      </c>
      <c r="B56" s="138"/>
      <c r="C56" s="125" t="str">
        <f t="shared" si="0"/>
        <v/>
      </c>
      <c r="D56" s="34"/>
      <c r="E56" s="51" t="str">
        <f t="shared" si="9"/>
        <v/>
      </c>
      <c r="F56" s="51">
        <f t="shared" si="2"/>
        <v>0</v>
      </c>
      <c r="G56" s="51">
        <f t="shared" si="3"/>
        <v>0</v>
      </c>
      <c r="H56" s="51">
        <f t="shared" si="4"/>
        <v>0</v>
      </c>
      <c r="I56" s="51">
        <f t="shared" si="11"/>
        <v>1</v>
      </c>
      <c r="J56" s="51" t="str">
        <f t="shared" si="6"/>
        <v>Yes</v>
      </c>
      <c r="K56" s="51" t="str">
        <f t="shared" si="7"/>
        <v/>
      </c>
      <c r="L56" s="127">
        <f t="shared" si="1"/>
        <v>0</v>
      </c>
      <c r="M56" s="127">
        <f t="shared" si="10"/>
        <v>0</v>
      </c>
    </row>
    <row r="57" spans="1:13" s="43" customFormat="1" ht="14.1" customHeight="1">
      <c r="A57" s="124">
        <f t="shared" si="8"/>
        <v>54</v>
      </c>
      <c r="B57" s="138"/>
      <c r="C57" s="125" t="str">
        <f t="shared" si="0"/>
        <v/>
      </c>
      <c r="D57" s="34"/>
      <c r="E57" s="51" t="str">
        <f t="shared" si="9"/>
        <v/>
      </c>
      <c r="F57" s="51">
        <f t="shared" si="2"/>
        <v>0</v>
      </c>
      <c r="G57" s="51">
        <f t="shared" si="3"/>
        <v>0</v>
      </c>
      <c r="H57" s="51">
        <f t="shared" si="4"/>
        <v>0</v>
      </c>
      <c r="I57" s="51">
        <f t="shared" si="11"/>
        <v>1</v>
      </c>
      <c r="J57" s="51" t="str">
        <f t="shared" si="6"/>
        <v>Yes</v>
      </c>
      <c r="K57" s="51" t="str">
        <f t="shared" si="7"/>
        <v/>
      </c>
      <c r="L57" s="127">
        <f t="shared" si="1"/>
        <v>0</v>
      </c>
      <c r="M57" s="127">
        <f t="shared" si="10"/>
        <v>0</v>
      </c>
    </row>
    <row r="58" spans="1:13" s="43" customFormat="1" ht="14.1" customHeight="1">
      <c r="A58" s="124">
        <f t="shared" si="8"/>
        <v>55</v>
      </c>
      <c r="B58" s="138"/>
      <c r="C58" s="125" t="str">
        <f t="shared" si="0"/>
        <v/>
      </c>
      <c r="D58" s="34"/>
      <c r="E58" s="51" t="str">
        <f t="shared" si="9"/>
        <v/>
      </c>
      <c r="F58" s="51">
        <f t="shared" si="2"/>
        <v>0</v>
      </c>
      <c r="G58" s="51">
        <f t="shared" si="3"/>
        <v>0</v>
      </c>
      <c r="H58" s="51">
        <f t="shared" si="4"/>
        <v>0</v>
      </c>
      <c r="I58" s="51">
        <f t="shared" si="11"/>
        <v>1</v>
      </c>
      <c r="J58" s="51" t="str">
        <f t="shared" si="6"/>
        <v>Yes</v>
      </c>
      <c r="K58" s="51" t="str">
        <f t="shared" si="7"/>
        <v/>
      </c>
      <c r="L58" s="127">
        <f t="shared" si="1"/>
        <v>0</v>
      </c>
      <c r="M58" s="127">
        <f t="shared" si="10"/>
        <v>0</v>
      </c>
    </row>
    <row r="59" spans="1:13" s="43" customFormat="1" ht="14.1" customHeight="1">
      <c r="A59" s="124">
        <f t="shared" si="8"/>
        <v>56</v>
      </c>
      <c r="B59" s="138"/>
      <c r="C59" s="125" t="str">
        <f t="shared" si="0"/>
        <v/>
      </c>
      <c r="D59" s="34"/>
      <c r="E59" s="51" t="str">
        <f t="shared" si="9"/>
        <v/>
      </c>
      <c r="F59" s="51">
        <f t="shared" si="2"/>
        <v>0</v>
      </c>
      <c r="G59" s="51">
        <f t="shared" si="3"/>
        <v>0</v>
      </c>
      <c r="H59" s="51">
        <f t="shared" si="4"/>
        <v>0</v>
      </c>
      <c r="I59" s="51">
        <f t="shared" si="11"/>
        <v>1</v>
      </c>
      <c r="J59" s="51" t="str">
        <f t="shared" si="6"/>
        <v>Yes</v>
      </c>
      <c r="K59" s="51" t="str">
        <f t="shared" si="7"/>
        <v/>
      </c>
      <c r="L59" s="127">
        <f t="shared" si="1"/>
        <v>0</v>
      </c>
      <c r="M59" s="127">
        <f t="shared" si="10"/>
        <v>0</v>
      </c>
    </row>
    <row r="60" spans="1:13" s="43" customFormat="1" ht="14.1" customHeight="1">
      <c r="A60" s="124">
        <f t="shared" si="8"/>
        <v>57</v>
      </c>
      <c r="B60" s="138"/>
      <c r="C60" s="125" t="str">
        <f t="shared" si="0"/>
        <v/>
      </c>
      <c r="D60" s="34"/>
      <c r="E60" s="51" t="str">
        <f t="shared" si="9"/>
        <v/>
      </c>
      <c r="F60" s="51">
        <f t="shared" si="2"/>
        <v>0</v>
      </c>
      <c r="G60" s="51">
        <f t="shared" si="3"/>
        <v>0</v>
      </c>
      <c r="H60" s="51">
        <f t="shared" si="4"/>
        <v>0</v>
      </c>
      <c r="I60" s="51">
        <f t="shared" si="11"/>
        <v>1</v>
      </c>
      <c r="J60" s="51" t="str">
        <f t="shared" si="6"/>
        <v>Yes</v>
      </c>
      <c r="K60" s="51" t="str">
        <f t="shared" si="7"/>
        <v/>
      </c>
      <c r="L60" s="127">
        <f t="shared" si="1"/>
        <v>0</v>
      </c>
      <c r="M60" s="127">
        <f t="shared" si="10"/>
        <v>0</v>
      </c>
    </row>
    <row r="61" spans="1:13" s="43" customFormat="1" ht="14.1" customHeight="1">
      <c r="A61" s="124">
        <f t="shared" si="8"/>
        <v>58</v>
      </c>
      <c r="B61" s="138"/>
      <c r="C61" s="125" t="str">
        <f t="shared" si="0"/>
        <v/>
      </c>
      <c r="D61" s="34"/>
      <c r="E61" s="51" t="str">
        <f t="shared" si="9"/>
        <v/>
      </c>
      <c r="F61" s="51">
        <f t="shared" si="2"/>
        <v>0</v>
      </c>
      <c r="G61" s="51">
        <f t="shared" si="3"/>
        <v>0</v>
      </c>
      <c r="H61" s="51">
        <f t="shared" si="4"/>
        <v>0</v>
      </c>
      <c r="I61" s="51">
        <f t="shared" si="11"/>
        <v>1</v>
      </c>
      <c r="J61" s="51" t="str">
        <f t="shared" si="6"/>
        <v>Yes</v>
      </c>
      <c r="K61" s="51" t="str">
        <f t="shared" si="7"/>
        <v/>
      </c>
      <c r="L61" s="127">
        <f t="shared" si="1"/>
        <v>0</v>
      </c>
      <c r="M61" s="127">
        <f t="shared" si="10"/>
        <v>0</v>
      </c>
    </row>
    <row r="62" spans="1:13" s="43" customFormat="1" ht="14.1" customHeight="1">
      <c r="A62" s="124">
        <f t="shared" si="8"/>
        <v>59</v>
      </c>
      <c r="B62" s="138"/>
      <c r="C62" s="125" t="str">
        <f t="shared" si="0"/>
        <v/>
      </c>
      <c r="D62" s="34"/>
      <c r="E62" s="51" t="str">
        <f t="shared" si="9"/>
        <v/>
      </c>
      <c r="F62" s="51">
        <f t="shared" si="2"/>
        <v>0</v>
      </c>
      <c r="G62" s="51">
        <f t="shared" si="3"/>
        <v>0</v>
      </c>
      <c r="H62" s="51">
        <f t="shared" si="4"/>
        <v>0</v>
      </c>
      <c r="I62" s="51">
        <f t="shared" si="11"/>
        <v>1</v>
      </c>
      <c r="J62" s="51" t="str">
        <f t="shared" si="6"/>
        <v>Yes</v>
      </c>
      <c r="K62" s="51" t="str">
        <f t="shared" si="7"/>
        <v/>
      </c>
      <c r="L62" s="127">
        <f t="shared" si="1"/>
        <v>0</v>
      </c>
      <c r="M62" s="127">
        <f t="shared" si="10"/>
        <v>0</v>
      </c>
    </row>
    <row r="63" spans="1:13" s="43" customFormat="1" ht="14.1" customHeight="1">
      <c r="A63" s="124">
        <f t="shared" si="8"/>
        <v>60</v>
      </c>
      <c r="B63" s="138"/>
      <c r="C63" s="125" t="str">
        <f t="shared" si="0"/>
        <v/>
      </c>
      <c r="D63" s="34"/>
      <c r="E63" s="51" t="str">
        <f t="shared" si="9"/>
        <v/>
      </c>
      <c r="F63" s="51">
        <f t="shared" si="2"/>
        <v>0</v>
      </c>
      <c r="G63" s="51">
        <f t="shared" si="3"/>
        <v>0</v>
      </c>
      <c r="H63" s="51">
        <f t="shared" si="4"/>
        <v>0</v>
      </c>
      <c r="I63" s="51">
        <f t="shared" si="11"/>
        <v>1</v>
      </c>
      <c r="J63" s="51" t="str">
        <f t="shared" si="6"/>
        <v>Yes</v>
      </c>
      <c r="K63" s="51" t="str">
        <f t="shared" si="7"/>
        <v/>
      </c>
      <c r="L63" s="127">
        <f t="shared" si="1"/>
        <v>0</v>
      </c>
      <c r="M63" s="127">
        <f t="shared" si="10"/>
        <v>0</v>
      </c>
    </row>
    <row r="64" spans="1:13" s="43" customFormat="1">
      <c r="A64" s="124">
        <f t="shared" si="8"/>
        <v>61</v>
      </c>
      <c r="B64" s="138"/>
      <c r="C64" s="125" t="str">
        <f t="shared" si="0"/>
        <v/>
      </c>
      <c r="D64" s="34"/>
      <c r="E64" s="51" t="str">
        <f t="shared" si="9"/>
        <v/>
      </c>
      <c r="F64" s="51">
        <f t="shared" si="2"/>
        <v>0</v>
      </c>
      <c r="G64" s="51">
        <f t="shared" si="3"/>
        <v>0</v>
      </c>
      <c r="H64" s="51">
        <f t="shared" si="4"/>
        <v>0</v>
      </c>
      <c r="I64" s="51">
        <f t="shared" si="11"/>
        <v>1</v>
      </c>
      <c r="J64" s="51" t="str">
        <f t="shared" si="6"/>
        <v>Yes</v>
      </c>
      <c r="K64" s="51" t="str">
        <f t="shared" si="7"/>
        <v/>
      </c>
      <c r="L64" s="127">
        <f t="shared" si="1"/>
        <v>0</v>
      </c>
      <c r="M64" s="127">
        <f t="shared" si="10"/>
        <v>0</v>
      </c>
    </row>
    <row r="65" spans="1:13" s="43" customFormat="1" ht="14.1" customHeight="1">
      <c r="A65" s="124">
        <f t="shared" si="8"/>
        <v>62</v>
      </c>
      <c r="B65" s="138"/>
      <c r="C65" s="125" t="str">
        <f t="shared" si="0"/>
        <v/>
      </c>
      <c r="D65" s="34"/>
      <c r="E65" s="51" t="str">
        <f t="shared" si="9"/>
        <v/>
      </c>
      <c r="F65" s="51">
        <f t="shared" si="2"/>
        <v>0</v>
      </c>
      <c r="G65" s="51">
        <f t="shared" si="3"/>
        <v>0</v>
      </c>
      <c r="H65" s="51">
        <f t="shared" si="4"/>
        <v>0</v>
      </c>
      <c r="I65" s="51">
        <f t="shared" si="11"/>
        <v>1</v>
      </c>
      <c r="J65" s="51" t="str">
        <f t="shared" si="6"/>
        <v>Yes</v>
      </c>
      <c r="K65" s="51" t="str">
        <f t="shared" si="7"/>
        <v/>
      </c>
      <c r="L65" s="127">
        <f t="shared" si="1"/>
        <v>0</v>
      </c>
      <c r="M65" s="127">
        <f t="shared" si="10"/>
        <v>0</v>
      </c>
    </row>
    <row r="66" spans="1:13" s="43" customFormat="1" ht="14.1" customHeight="1">
      <c r="A66" s="124">
        <f t="shared" si="8"/>
        <v>63</v>
      </c>
      <c r="B66" s="138"/>
      <c r="C66" s="125" t="str">
        <f t="shared" si="0"/>
        <v/>
      </c>
      <c r="D66" s="34"/>
      <c r="E66" s="51" t="str">
        <f t="shared" si="9"/>
        <v/>
      </c>
      <c r="F66" s="51">
        <f t="shared" si="2"/>
        <v>0</v>
      </c>
      <c r="G66" s="51">
        <f t="shared" si="3"/>
        <v>0</v>
      </c>
      <c r="H66" s="51">
        <f t="shared" si="4"/>
        <v>0</v>
      </c>
      <c r="I66" s="51">
        <f t="shared" si="11"/>
        <v>1</v>
      </c>
      <c r="J66" s="51" t="str">
        <f t="shared" si="6"/>
        <v>Yes</v>
      </c>
      <c r="K66" s="51" t="str">
        <f t="shared" si="7"/>
        <v/>
      </c>
      <c r="L66" s="127">
        <f t="shared" si="1"/>
        <v>0</v>
      </c>
      <c r="M66" s="127">
        <f t="shared" si="10"/>
        <v>0</v>
      </c>
    </row>
    <row r="67" spans="1:13" s="43" customFormat="1" ht="14.1" customHeight="1">
      <c r="A67" s="124">
        <f t="shared" si="8"/>
        <v>64</v>
      </c>
      <c r="B67" s="138"/>
      <c r="C67" s="125" t="str">
        <f t="shared" si="0"/>
        <v/>
      </c>
      <c r="D67" s="34"/>
      <c r="E67" s="51" t="str">
        <f t="shared" si="9"/>
        <v/>
      </c>
      <c r="F67" s="51">
        <f t="shared" si="2"/>
        <v>0</v>
      </c>
      <c r="G67" s="51">
        <f t="shared" si="3"/>
        <v>0</v>
      </c>
      <c r="H67" s="51">
        <f t="shared" si="4"/>
        <v>0</v>
      </c>
      <c r="I67" s="51">
        <f t="shared" si="11"/>
        <v>1</v>
      </c>
      <c r="J67" s="51" t="str">
        <f t="shared" si="6"/>
        <v>Yes</v>
      </c>
      <c r="K67" s="51" t="str">
        <f t="shared" si="7"/>
        <v/>
      </c>
      <c r="L67" s="127">
        <f t="shared" si="1"/>
        <v>0</v>
      </c>
      <c r="M67" s="127">
        <f t="shared" si="10"/>
        <v>0</v>
      </c>
    </row>
    <row r="68" spans="1:13" s="43" customFormat="1">
      <c r="A68" s="124">
        <f t="shared" si="8"/>
        <v>65</v>
      </c>
      <c r="B68" s="138"/>
      <c r="C68" s="125" t="str">
        <f t="shared" ref="C68:C131" si="12">IF(J68="No",M68,"")</f>
        <v/>
      </c>
      <c r="D68" s="34"/>
      <c r="E68" s="51" t="str">
        <f t="shared" si="9"/>
        <v/>
      </c>
      <c r="F68" s="51">
        <f t="shared" si="2"/>
        <v>0</v>
      </c>
      <c r="G68" s="51">
        <f t="shared" si="3"/>
        <v>0</v>
      </c>
      <c r="H68" s="51">
        <f t="shared" si="4"/>
        <v>0</v>
      </c>
      <c r="I68" s="51">
        <f t="shared" si="11"/>
        <v>1</v>
      </c>
      <c r="J68" s="51" t="str">
        <f t="shared" si="6"/>
        <v>Yes</v>
      </c>
      <c r="K68" s="51" t="str">
        <f t="shared" si="7"/>
        <v/>
      </c>
      <c r="L68" s="127">
        <f t="shared" ref="L68:L131" si="13">TIME(F68,G68,H68)</f>
        <v>0</v>
      </c>
      <c r="M68" s="127">
        <f t="shared" si="10"/>
        <v>0</v>
      </c>
    </row>
    <row r="69" spans="1:13" s="43" customFormat="1" ht="14.1" customHeight="1">
      <c r="A69" s="124">
        <f t="shared" si="8"/>
        <v>66</v>
      </c>
      <c r="B69" s="138"/>
      <c r="C69" s="125" t="str">
        <f t="shared" si="12"/>
        <v/>
      </c>
      <c r="D69" s="34"/>
      <c r="E69" s="51" t="str">
        <f t="shared" si="9"/>
        <v/>
      </c>
      <c r="F69" s="51">
        <f t="shared" ref="F69:F132" si="14">IF(ISERROR(MID($E69,FIND("h",$E69)-2,2)+0),0,MID($E69,FIND("h",$E69)-2,2)+0)</f>
        <v>0</v>
      </c>
      <c r="G69" s="51">
        <f t="shared" ref="G69:G132" si="15">IF(ISERROR(MID($E69,FIND("m",$E69)-2,2)+0),0,MID($E69,FIND("m",$E69)-2,2)+0)</f>
        <v>0</v>
      </c>
      <c r="H69" s="51">
        <f t="shared" ref="H69:H132" si="16">IF(ISERROR(MID($E69,FIND("s",$E69)-2,2)+0),0,MID($E69,FIND("s",$E69)-2,2)+0)</f>
        <v>0</v>
      </c>
      <c r="I69" s="51">
        <f t="shared" ref="I69:I132" si="17">IF(J69="No",I68+1,I68)</f>
        <v>1</v>
      </c>
      <c r="J69" s="51" t="str">
        <f t="shared" ref="J69:J132" si="18">IF(AND(F69=0,G69=0),"Yes","No")</f>
        <v>Yes</v>
      </c>
      <c r="K69" s="51" t="str">
        <f t="shared" ref="K69:K132" si="19">IF(J69="No",J69&amp;I69,"")</f>
        <v/>
      </c>
      <c r="L69" s="127">
        <f t="shared" si="13"/>
        <v>0</v>
      </c>
      <c r="M69" s="127">
        <f t="shared" si="10"/>
        <v>0</v>
      </c>
    </row>
    <row r="70" spans="1:13" s="43" customFormat="1" ht="14.1" customHeight="1">
      <c r="A70" s="124">
        <f t="shared" ref="A70:A133" si="20">A69+1</f>
        <v>67</v>
      </c>
      <c r="B70" s="138"/>
      <c r="C70" s="125" t="str">
        <f t="shared" si="12"/>
        <v/>
      </c>
      <c r="D70" s="34"/>
      <c r="E70" s="51" t="str">
        <f t="shared" si="9"/>
        <v/>
      </c>
      <c r="F70" s="51">
        <f t="shared" si="14"/>
        <v>0</v>
      </c>
      <c r="G70" s="51">
        <f t="shared" si="15"/>
        <v>0</v>
      </c>
      <c r="H70" s="51">
        <f t="shared" si="16"/>
        <v>0</v>
      </c>
      <c r="I70" s="51">
        <f t="shared" si="17"/>
        <v>1</v>
      </c>
      <c r="J70" s="51" t="str">
        <f t="shared" si="18"/>
        <v>Yes</v>
      </c>
      <c r="K70" s="51" t="str">
        <f t="shared" si="19"/>
        <v/>
      </c>
      <c r="L70" s="127">
        <f t="shared" si="13"/>
        <v>0</v>
      </c>
      <c r="M70" s="127">
        <f t="shared" si="10"/>
        <v>0</v>
      </c>
    </row>
    <row r="71" spans="1:13" s="43" customFormat="1" ht="14.1" customHeight="1">
      <c r="A71" s="124">
        <f t="shared" si="20"/>
        <v>68</v>
      </c>
      <c r="B71" s="138"/>
      <c r="C71" s="125" t="str">
        <f t="shared" si="12"/>
        <v/>
      </c>
      <c r="D71" s="34"/>
      <c r="E71" s="51" t="str">
        <f t="shared" ref="E71:E134" si="21">IF(ISERROR(LEFT(B71,FIND(")",B71))),"",LEFT(B71,FIND(")",B71)))</f>
        <v/>
      </c>
      <c r="F71" s="51">
        <f t="shared" si="14"/>
        <v>0</v>
      </c>
      <c r="G71" s="51">
        <f t="shared" si="15"/>
        <v>0</v>
      </c>
      <c r="H71" s="51">
        <f t="shared" si="16"/>
        <v>0</v>
      </c>
      <c r="I71" s="51">
        <f t="shared" si="17"/>
        <v>1</v>
      </c>
      <c r="J71" s="51" t="str">
        <f t="shared" si="18"/>
        <v>Yes</v>
      </c>
      <c r="K71" s="51" t="str">
        <f t="shared" si="19"/>
        <v/>
      </c>
      <c r="L71" s="127">
        <f t="shared" si="13"/>
        <v>0</v>
      </c>
      <c r="M71" s="127">
        <f t="shared" ref="M71:M134" si="22">IF(I71=1,0,INDEX(L:L,MATCH("No"&amp;I71,K:K,0))-INDEX(L:L,MATCH("No"&amp;I71-1,K:K,0)))</f>
        <v>0</v>
      </c>
    </row>
    <row r="72" spans="1:13" s="43" customFormat="1" ht="14.1" customHeight="1">
      <c r="A72" s="124">
        <f t="shared" si="20"/>
        <v>69</v>
      </c>
      <c r="B72" s="138"/>
      <c r="C72" s="125" t="str">
        <f t="shared" si="12"/>
        <v/>
      </c>
      <c r="D72" s="34"/>
      <c r="E72" s="51" t="str">
        <f t="shared" si="21"/>
        <v/>
      </c>
      <c r="F72" s="51">
        <f t="shared" si="14"/>
        <v>0</v>
      </c>
      <c r="G72" s="51">
        <f t="shared" si="15"/>
        <v>0</v>
      </c>
      <c r="H72" s="51">
        <f t="shared" si="16"/>
        <v>0</v>
      </c>
      <c r="I72" s="51">
        <f t="shared" si="17"/>
        <v>1</v>
      </c>
      <c r="J72" s="51" t="str">
        <f t="shared" si="18"/>
        <v>Yes</v>
      </c>
      <c r="K72" s="51" t="str">
        <f t="shared" si="19"/>
        <v/>
      </c>
      <c r="L72" s="127">
        <f t="shared" si="13"/>
        <v>0</v>
      </c>
      <c r="M72" s="127">
        <f t="shared" si="22"/>
        <v>0</v>
      </c>
    </row>
    <row r="73" spans="1:13" s="43" customFormat="1" ht="14.1" customHeight="1">
      <c r="A73" s="124">
        <f t="shared" si="20"/>
        <v>70</v>
      </c>
      <c r="B73" s="138"/>
      <c r="C73" s="125" t="str">
        <f t="shared" si="12"/>
        <v/>
      </c>
      <c r="D73" s="34"/>
      <c r="E73" s="51" t="str">
        <f t="shared" si="21"/>
        <v/>
      </c>
      <c r="F73" s="51">
        <f t="shared" si="14"/>
        <v>0</v>
      </c>
      <c r="G73" s="51">
        <f t="shared" si="15"/>
        <v>0</v>
      </c>
      <c r="H73" s="51">
        <f t="shared" si="16"/>
        <v>0</v>
      </c>
      <c r="I73" s="51">
        <f t="shared" si="17"/>
        <v>1</v>
      </c>
      <c r="J73" s="51" t="str">
        <f t="shared" si="18"/>
        <v>Yes</v>
      </c>
      <c r="K73" s="51" t="str">
        <f t="shared" si="19"/>
        <v/>
      </c>
      <c r="L73" s="127">
        <f t="shared" si="13"/>
        <v>0</v>
      </c>
      <c r="M73" s="127">
        <f t="shared" si="22"/>
        <v>0</v>
      </c>
    </row>
    <row r="74" spans="1:13" s="43" customFormat="1" ht="14.1" customHeight="1">
      <c r="A74" s="124">
        <f t="shared" si="20"/>
        <v>71</v>
      </c>
      <c r="B74" s="138"/>
      <c r="C74" s="125" t="str">
        <f t="shared" si="12"/>
        <v/>
      </c>
      <c r="D74" s="34"/>
      <c r="E74" s="51" t="str">
        <f t="shared" si="21"/>
        <v/>
      </c>
      <c r="F74" s="51">
        <f t="shared" si="14"/>
        <v>0</v>
      </c>
      <c r="G74" s="51">
        <f t="shared" si="15"/>
        <v>0</v>
      </c>
      <c r="H74" s="51">
        <f t="shared" si="16"/>
        <v>0</v>
      </c>
      <c r="I74" s="51">
        <f t="shared" si="17"/>
        <v>1</v>
      </c>
      <c r="J74" s="51" t="str">
        <f t="shared" si="18"/>
        <v>Yes</v>
      </c>
      <c r="K74" s="51" t="str">
        <f t="shared" si="19"/>
        <v/>
      </c>
      <c r="L74" s="127">
        <f t="shared" si="13"/>
        <v>0</v>
      </c>
      <c r="M74" s="127">
        <f t="shared" si="22"/>
        <v>0</v>
      </c>
    </row>
    <row r="75" spans="1:13" s="43" customFormat="1" ht="14.1" customHeight="1">
      <c r="A75" s="124">
        <f t="shared" si="20"/>
        <v>72</v>
      </c>
      <c r="B75" s="138"/>
      <c r="C75" s="125" t="str">
        <f t="shared" si="12"/>
        <v/>
      </c>
      <c r="D75" s="34"/>
      <c r="E75" s="51" t="str">
        <f t="shared" si="21"/>
        <v/>
      </c>
      <c r="F75" s="51">
        <f t="shared" si="14"/>
        <v>0</v>
      </c>
      <c r="G75" s="51">
        <f t="shared" si="15"/>
        <v>0</v>
      </c>
      <c r="H75" s="51">
        <f t="shared" si="16"/>
        <v>0</v>
      </c>
      <c r="I75" s="51">
        <f t="shared" si="17"/>
        <v>1</v>
      </c>
      <c r="J75" s="51" t="str">
        <f t="shared" si="18"/>
        <v>Yes</v>
      </c>
      <c r="K75" s="51" t="str">
        <f t="shared" si="19"/>
        <v/>
      </c>
      <c r="L75" s="127">
        <f t="shared" si="13"/>
        <v>0</v>
      </c>
      <c r="M75" s="127">
        <f t="shared" si="22"/>
        <v>0</v>
      </c>
    </row>
    <row r="76" spans="1:13" s="43" customFormat="1" ht="14.1" customHeight="1">
      <c r="A76" s="124">
        <f t="shared" si="20"/>
        <v>73</v>
      </c>
      <c r="B76" s="138"/>
      <c r="C76" s="125" t="str">
        <f t="shared" si="12"/>
        <v/>
      </c>
      <c r="D76" s="34"/>
      <c r="E76" s="51" t="str">
        <f t="shared" si="21"/>
        <v/>
      </c>
      <c r="F76" s="51">
        <f t="shared" si="14"/>
        <v>0</v>
      </c>
      <c r="G76" s="51">
        <f t="shared" si="15"/>
        <v>0</v>
      </c>
      <c r="H76" s="51">
        <f t="shared" si="16"/>
        <v>0</v>
      </c>
      <c r="I76" s="51">
        <f t="shared" si="17"/>
        <v>1</v>
      </c>
      <c r="J76" s="51" t="str">
        <f t="shared" si="18"/>
        <v>Yes</v>
      </c>
      <c r="K76" s="51" t="str">
        <f t="shared" si="19"/>
        <v/>
      </c>
      <c r="L76" s="127">
        <f t="shared" si="13"/>
        <v>0</v>
      </c>
      <c r="M76" s="127">
        <f t="shared" si="22"/>
        <v>0</v>
      </c>
    </row>
    <row r="77" spans="1:13" s="43" customFormat="1" ht="14.1" customHeight="1">
      <c r="A77" s="124">
        <f t="shared" si="20"/>
        <v>74</v>
      </c>
      <c r="B77" s="138"/>
      <c r="C77" s="125" t="str">
        <f t="shared" si="12"/>
        <v/>
      </c>
      <c r="D77" s="34"/>
      <c r="E77" s="51" t="str">
        <f t="shared" si="21"/>
        <v/>
      </c>
      <c r="F77" s="51">
        <f t="shared" si="14"/>
        <v>0</v>
      </c>
      <c r="G77" s="51">
        <f t="shared" si="15"/>
        <v>0</v>
      </c>
      <c r="H77" s="51">
        <f t="shared" si="16"/>
        <v>0</v>
      </c>
      <c r="I77" s="51">
        <f t="shared" si="17"/>
        <v>1</v>
      </c>
      <c r="J77" s="51" t="str">
        <f t="shared" si="18"/>
        <v>Yes</v>
      </c>
      <c r="K77" s="51" t="str">
        <f t="shared" si="19"/>
        <v/>
      </c>
      <c r="L77" s="127">
        <f t="shared" si="13"/>
        <v>0</v>
      </c>
      <c r="M77" s="127">
        <f t="shared" si="22"/>
        <v>0</v>
      </c>
    </row>
    <row r="78" spans="1:13" s="43" customFormat="1" ht="14.1" customHeight="1">
      <c r="A78" s="124">
        <f t="shared" si="20"/>
        <v>75</v>
      </c>
      <c r="B78" s="138"/>
      <c r="C78" s="125" t="str">
        <f t="shared" si="12"/>
        <v/>
      </c>
      <c r="D78" s="34"/>
      <c r="E78" s="51" t="str">
        <f t="shared" si="21"/>
        <v/>
      </c>
      <c r="F78" s="51">
        <f t="shared" si="14"/>
        <v>0</v>
      </c>
      <c r="G78" s="51">
        <f t="shared" si="15"/>
        <v>0</v>
      </c>
      <c r="H78" s="51">
        <f t="shared" si="16"/>
        <v>0</v>
      </c>
      <c r="I78" s="51">
        <f t="shared" si="17"/>
        <v>1</v>
      </c>
      <c r="J78" s="51" t="str">
        <f t="shared" si="18"/>
        <v>Yes</v>
      </c>
      <c r="K78" s="51" t="str">
        <f t="shared" si="19"/>
        <v/>
      </c>
      <c r="L78" s="127">
        <f t="shared" si="13"/>
        <v>0</v>
      </c>
      <c r="M78" s="127">
        <f t="shared" si="22"/>
        <v>0</v>
      </c>
    </row>
    <row r="79" spans="1:13" s="43" customFormat="1" ht="14.1" customHeight="1">
      <c r="A79" s="124">
        <f t="shared" si="20"/>
        <v>76</v>
      </c>
      <c r="B79" s="138"/>
      <c r="C79" s="125" t="str">
        <f t="shared" si="12"/>
        <v/>
      </c>
      <c r="D79" s="34"/>
      <c r="E79" s="51" t="str">
        <f t="shared" si="21"/>
        <v/>
      </c>
      <c r="F79" s="51">
        <f t="shared" si="14"/>
        <v>0</v>
      </c>
      <c r="G79" s="51">
        <f t="shared" si="15"/>
        <v>0</v>
      </c>
      <c r="H79" s="51">
        <f t="shared" si="16"/>
        <v>0</v>
      </c>
      <c r="I79" s="51">
        <f t="shared" si="17"/>
        <v>1</v>
      </c>
      <c r="J79" s="51" t="str">
        <f t="shared" si="18"/>
        <v>Yes</v>
      </c>
      <c r="K79" s="51" t="str">
        <f t="shared" si="19"/>
        <v/>
      </c>
      <c r="L79" s="127">
        <f t="shared" si="13"/>
        <v>0</v>
      </c>
      <c r="M79" s="127">
        <f t="shared" si="22"/>
        <v>0</v>
      </c>
    </row>
    <row r="80" spans="1:13" s="43" customFormat="1" ht="14.1" customHeight="1">
      <c r="A80" s="124">
        <f t="shared" si="20"/>
        <v>77</v>
      </c>
      <c r="B80" s="138"/>
      <c r="C80" s="125" t="str">
        <f t="shared" si="12"/>
        <v/>
      </c>
      <c r="D80" s="34"/>
      <c r="E80" s="51" t="str">
        <f t="shared" si="21"/>
        <v/>
      </c>
      <c r="F80" s="51">
        <f t="shared" si="14"/>
        <v>0</v>
      </c>
      <c r="G80" s="51">
        <f t="shared" si="15"/>
        <v>0</v>
      </c>
      <c r="H80" s="51">
        <f t="shared" si="16"/>
        <v>0</v>
      </c>
      <c r="I80" s="51">
        <f t="shared" si="17"/>
        <v>1</v>
      </c>
      <c r="J80" s="51" t="str">
        <f t="shared" si="18"/>
        <v>Yes</v>
      </c>
      <c r="K80" s="51" t="str">
        <f t="shared" si="19"/>
        <v/>
      </c>
      <c r="L80" s="127">
        <f t="shared" si="13"/>
        <v>0</v>
      </c>
      <c r="M80" s="127">
        <f t="shared" si="22"/>
        <v>0</v>
      </c>
    </row>
    <row r="81" spans="1:13" s="43" customFormat="1" ht="14.1" customHeight="1">
      <c r="A81" s="124">
        <f t="shared" si="20"/>
        <v>78</v>
      </c>
      <c r="B81" s="138"/>
      <c r="C81" s="125" t="str">
        <f t="shared" si="12"/>
        <v/>
      </c>
      <c r="D81" s="34"/>
      <c r="E81" s="51" t="str">
        <f t="shared" si="21"/>
        <v/>
      </c>
      <c r="F81" s="51">
        <f t="shared" si="14"/>
        <v>0</v>
      </c>
      <c r="G81" s="51">
        <f t="shared" si="15"/>
        <v>0</v>
      </c>
      <c r="H81" s="51">
        <f t="shared" si="16"/>
        <v>0</v>
      </c>
      <c r="I81" s="51">
        <f t="shared" si="17"/>
        <v>1</v>
      </c>
      <c r="J81" s="51" t="str">
        <f t="shared" si="18"/>
        <v>Yes</v>
      </c>
      <c r="K81" s="51" t="str">
        <f t="shared" si="19"/>
        <v/>
      </c>
      <c r="L81" s="127">
        <f t="shared" si="13"/>
        <v>0</v>
      </c>
      <c r="M81" s="127">
        <f t="shared" si="22"/>
        <v>0</v>
      </c>
    </row>
    <row r="82" spans="1:13" s="43" customFormat="1" ht="14.1" customHeight="1">
      <c r="A82" s="124">
        <f t="shared" si="20"/>
        <v>79</v>
      </c>
      <c r="B82" s="138"/>
      <c r="C82" s="125" t="str">
        <f t="shared" si="12"/>
        <v/>
      </c>
      <c r="D82" s="34"/>
      <c r="E82" s="51" t="str">
        <f t="shared" si="21"/>
        <v/>
      </c>
      <c r="F82" s="51">
        <f t="shared" si="14"/>
        <v>0</v>
      </c>
      <c r="G82" s="51">
        <f t="shared" si="15"/>
        <v>0</v>
      </c>
      <c r="H82" s="51">
        <f t="shared" si="16"/>
        <v>0</v>
      </c>
      <c r="I82" s="51">
        <f t="shared" si="17"/>
        <v>1</v>
      </c>
      <c r="J82" s="51" t="str">
        <f t="shared" si="18"/>
        <v>Yes</v>
      </c>
      <c r="K82" s="51" t="str">
        <f t="shared" si="19"/>
        <v/>
      </c>
      <c r="L82" s="127">
        <f t="shared" si="13"/>
        <v>0</v>
      </c>
      <c r="M82" s="127">
        <f t="shared" si="22"/>
        <v>0</v>
      </c>
    </row>
    <row r="83" spans="1:13" s="43" customFormat="1">
      <c r="A83" s="124">
        <f t="shared" si="20"/>
        <v>80</v>
      </c>
      <c r="B83" s="138"/>
      <c r="C83" s="125" t="str">
        <f t="shared" si="12"/>
        <v/>
      </c>
      <c r="D83" s="34"/>
      <c r="E83" s="51" t="str">
        <f t="shared" si="21"/>
        <v/>
      </c>
      <c r="F83" s="51">
        <f t="shared" si="14"/>
        <v>0</v>
      </c>
      <c r="G83" s="51">
        <f t="shared" si="15"/>
        <v>0</v>
      </c>
      <c r="H83" s="51">
        <f t="shared" si="16"/>
        <v>0</v>
      </c>
      <c r="I83" s="51">
        <f t="shared" si="17"/>
        <v>1</v>
      </c>
      <c r="J83" s="51" t="str">
        <f t="shared" si="18"/>
        <v>Yes</v>
      </c>
      <c r="K83" s="51" t="str">
        <f t="shared" si="19"/>
        <v/>
      </c>
      <c r="L83" s="127">
        <f t="shared" si="13"/>
        <v>0</v>
      </c>
      <c r="M83" s="127">
        <f t="shared" si="22"/>
        <v>0</v>
      </c>
    </row>
    <row r="84" spans="1:13" s="43" customFormat="1">
      <c r="A84" s="124">
        <f t="shared" si="20"/>
        <v>81</v>
      </c>
      <c r="B84" s="138"/>
      <c r="C84" s="125" t="str">
        <f t="shared" si="12"/>
        <v/>
      </c>
      <c r="D84" s="34"/>
      <c r="E84" s="51" t="str">
        <f t="shared" si="21"/>
        <v/>
      </c>
      <c r="F84" s="51">
        <f t="shared" si="14"/>
        <v>0</v>
      </c>
      <c r="G84" s="51">
        <f t="shared" si="15"/>
        <v>0</v>
      </c>
      <c r="H84" s="51">
        <f t="shared" si="16"/>
        <v>0</v>
      </c>
      <c r="I84" s="51">
        <f t="shared" si="17"/>
        <v>1</v>
      </c>
      <c r="J84" s="51" t="str">
        <f t="shared" si="18"/>
        <v>Yes</v>
      </c>
      <c r="K84" s="51" t="str">
        <f t="shared" si="19"/>
        <v/>
      </c>
      <c r="L84" s="127">
        <f t="shared" si="13"/>
        <v>0</v>
      </c>
      <c r="M84" s="127">
        <f t="shared" si="22"/>
        <v>0</v>
      </c>
    </row>
    <row r="85" spans="1:13" s="43" customFormat="1" ht="14.1" customHeight="1">
      <c r="A85" s="124">
        <f t="shared" si="20"/>
        <v>82</v>
      </c>
      <c r="B85" s="138"/>
      <c r="C85" s="125" t="str">
        <f t="shared" si="12"/>
        <v/>
      </c>
      <c r="D85" s="34"/>
      <c r="E85" s="51" t="str">
        <f t="shared" si="21"/>
        <v/>
      </c>
      <c r="F85" s="51">
        <f t="shared" si="14"/>
        <v>0</v>
      </c>
      <c r="G85" s="51">
        <f t="shared" si="15"/>
        <v>0</v>
      </c>
      <c r="H85" s="51">
        <f t="shared" si="16"/>
        <v>0</v>
      </c>
      <c r="I85" s="51">
        <f t="shared" si="17"/>
        <v>1</v>
      </c>
      <c r="J85" s="51" t="str">
        <f t="shared" si="18"/>
        <v>Yes</v>
      </c>
      <c r="K85" s="51" t="str">
        <f t="shared" si="19"/>
        <v/>
      </c>
      <c r="L85" s="127">
        <f t="shared" si="13"/>
        <v>0</v>
      </c>
      <c r="M85" s="127">
        <f t="shared" si="22"/>
        <v>0</v>
      </c>
    </row>
    <row r="86" spans="1:13" s="43" customFormat="1" ht="14.1" customHeight="1">
      <c r="A86" s="124">
        <f t="shared" si="20"/>
        <v>83</v>
      </c>
      <c r="B86" s="36"/>
      <c r="C86" s="125" t="str">
        <f t="shared" si="12"/>
        <v/>
      </c>
      <c r="D86" s="34"/>
      <c r="E86" s="51" t="str">
        <f t="shared" si="21"/>
        <v/>
      </c>
      <c r="F86" s="51">
        <f t="shared" si="14"/>
        <v>0</v>
      </c>
      <c r="G86" s="51">
        <f t="shared" si="15"/>
        <v>0</v>
      </c>
      <c r="H86" s="51">
        <f t="shared" si="16"/>
        <v>0</v>
      </c>
      <c r="I86" s="51">
        <f t="shared" si="17"/>
        <v>1</v>
      </c>
      <c r="J86" s="51" t="str">
        <f t="shared" si="18"/>
        <v>Yes</v>
      </c>
      <c r="K86" s="51" t="str">
        <f t="shared" si="19"/>
        <v/>
      </c>
      <c r="L86" s="127">
        <f t="shared" si="13"/>
        <v>0</v>
      </c>
      <c r="M86" s="127">
        <f t="shared" si="22"/>
        <v>0</v>
      </c>
    </row>
    <row r="87" spans="1:13" s="43" customFormat="1" ht="14.1" customHeight="1">
      <c r="A87" s="124">
        <f t="shared" si="20"/>
        <v>84</v>
      </c>
      <c r="B87" s="36"/>
      <c r="C87" s="125" t="str">
        <f t="shared" si="12"/>
        <v/>
      </c>
      <c r="D87" s="34"/>
      <c r="E87" s="51" t="str">
        <f t="shared" si="21"/>
        <v/>
      </c>
      <c r="F87" s="51">
        <f t="shared" si="14"/>
        <v>0</v>
      </c>
      <c r="G87" s="51">
        <f t="shared" si="15"/>
        <v>0</v>
      </c>
      <c r="H87" s="51">
        <f t="shared" si="16"/>
        <v>0</v>
      </c>
      <c r="I87" s="51">
        <f t="shared" si="17"/>
        <v>1</v>
      </c>
      <c r="J87" s="51" t="str">
        <f t="shared" si="18"/>
        <v>Yes</v>
      </c>
      <c r="K87" s="51" t="str">
        <f t="shared" si="19"/>
        <v/>
      </c>
      <c r="L87" s="127">
        <f t="shared" si="13"/>
        <v>0</v>
      </c>
      <c r="M87" s="127">
        <f t="shared" si="22"/>
        <v>0</v>
      </c>
    </row>
    <row r="88" spans="1:13" s="43" customFormat="1" ht="14.1" customHeight="1">
      <c r="A88" s="124">
        <f t="shared" si="20"/>
        <v>85</v>
      </c>
      <c r="B88" s="36"/>
      <c r="C88" s="125" t="str">
        <f t="shared" si="12"/>
        <v/>
      </c>
      <c r="D88" s="34"/>
      <c r="E88" s="51" t="str">
        <f t="shared" si="21"/>
        <v/>
      </c>
      <c r="F88" s="51">
        <f t="shared" si="14"/>
        <v>0</v>
      </c>
      <c r="G88" s="51">
        <f t="shared" si="15"/>
        <v>0</v>
      </c>
      <c r="H88" s="51">
        <f t="shared" si="16"/>
        <v>0</v>
      </c>
      <c r="I88" s="51">
        <f t="shared" si="17"/>
        <v>1</v>
      </c>
      <c r="J88" s="51" t="str">
        <f t="shared" si="18"/>
        <v>Yes</v>
      </c>
      <c r="K88" s="51" t="str">
        <f t="shared" si="19"/>
        <v/>
      </c>
      <c r="L88" s="127">
        <f t="shared" si="13"/>
        <v>0</v>
      </c>
      <c r="M88" s="127">
        <f t="shared" si="22"/>
        <v>0</v>
      </c>
    </row>
    <row r="89" spans="1:13" s="43" customFormat="1" ht="14.1" customHeight="1">
      <c r="A89" s="124">
        <f t="shared" si="20"/>
        <v>86</v>
      </c>
      <c r="B89" s="36"/>
      <c r="C89" s="125" t="str">
        <f t="shared" si="12"/>
        <v/>
      </c>
      <c r="D89" s="34"/>
      <c r="E89" s="51" t="str">
        <f t="shared" si="21"/>
        <v/>
      </c>
      <c r="F89" s="51">
        <f t="shared" si="14"/>
        <v>0</v>
      </c>
      <c r="G89" s="51">
        <f t="shared" si="15"/>
        <v>0</v>
      </c>
      <c r="H89" s="51">
        <f t="shared" si="16"/>
        <v>0</v>
      </c>
      <c r="I89" s="51">
        <f t="shared" si="17"/>
        <v>1</v>
      </c>
      <c r="J89" s="51" t="str">
        <f t="shared" si="18"/>
        <v>Yes</v>
      </c>
      <c r="K89" s="51" t="str">
        <f t="shared" si="19"/>
        <v/>
      </c>
      <c r="L89" s="127">
        <f t="shared" si="13"/>
        <v>0</v>
      </c>
      <c r="M89" s="127">
        <f t="shared" si="22"/>
        <v>0</v>
      </c>
    </row>
    <row r="90" spans="1:13" s="43" customFormat="1" ht="14.1" customHeight="1">
      <c r="A90" s="124">
        <f t="shared" si="20"/>
        <v>87</v>
      </c>
      <c r="B90" s="36"/>
      <c r="C90" s="125" t="str">
        <f t="shared" si="12"/>
        <v/>
      </c>
      <c r="D90" s="34"/>
      <c r="E90" s="51" t="str">
        <f t="shared" si="21"/>
        <v/>
      </c>
      <c r="F90" s="51">
        <f t="shared" si="14"/>
        <v>0</v>
      </c>
      <c r="G90" s="51">
        <f t="shared" si="15"/>
        <v>0</v>
      </c>
      <c r="H90" s="51">
        <f t="shared" si="16"/>
        <v>0</v>
      </c>
      <c r="I90" s="51">
        <f t="shared" si="17"/>
        <v>1</v>
      </c>
      <c r="J90" s="51" t="str">
        <f t="shared" si="18"/>
        <v>Yes</v>
      </c>
      <c r="K90" s="51" t="str">
        <f t="shared" si="19"/>
        <v/>
      </c>
      <c r="L90" s="127">
        <f t="shared" si="13"/>
        <v>0</v>
      </c>
      <c r="M90" s="127">
        <f t="shared" si="22"/>
        <v>0</v>
      </c>
    </row>
    <row r="91" spans="1:13" s="43" customFormat="1" ht="14.1" customHeight="1">
      <c r="A91" s="124">
        <f t="shared" si="20"/>
        <v>88</v>
      </c>
      <c r="B91" s="36"/>
      <c r="C91" s="125" t="str">
        <f t="shared" si="12"/>
        <v/>
      </c>
      <c r="D91" s="34"/>
      <c r="E91" s="51" t="str">
        <f t="shared" si="21"/>
        <v/>
      </c>
      <c r="F91" s="51">
        <f t="shared" si="14"/>
        <v>0</v>
      </c>
      <c r="G91" s="51">
        <f t="shared" si="15"/>
        <v>0</v>
      </c>
      <c r="H91" s="51">
        <f t="shared" si="16"/>
        <v>0</v>
      </c>
      <c r="I91" s="51">
        <f t="shared" si="17"/>
        <v>1</v>
      </c>
      <c r="J91" s="51" t="str">
        <f t="shared" si="18"/>
        <v>Yes</v>
      </c>
      <c r="K91" s="51" t="str">
        <f t="shared" si="19"/>
        <v/>
      </c>
      <c r="L91" s="127">
        <f t="shared" si="13"/>
        <v>0</v>
      </c>
      <c r="M91" s="127">
        <f t="shared" si="22"/>
        <v>0</v>
      </c>
    </row>
    <row r="92" spans="1:13" s="43" customFormat="1" ht="14.1" customHeight="1">
      <c r="A92" s="124">
        <f t="shared" si="20"/>
        <v>89</v>
      </c>
      <c r="B92" s="36"/>
      <c r="C92" s="125" t="str">
        <f t="shared" si="12"/>
        <v/>
      </c>
      <c r="D92" s="34"/>
      <c r="E92" s="51" t="str">
        <f t="shared" si="21"/>
        <v/>
      </c>
      <c r="F92" s="51">
        <f t="shared" si="14"/>
        <v>0</v>
      </c>
      <c r="G92" s="51">
        <f t="shared" si="15"/>
        <v>0</v>
      </c>
      <c r="H92" s="51">
        <f t="shared" si="16"/>
        <v>0</v>
      </c>
      <c r="I92" s="51">
        <f t="shared" si="17"/>
        <v>1</v>
      </c>
      <c r="J92" s="51" t="str">
        <f t="shared" si="18"/>
        <v>Yes</v>
      </c>
      <c r="K92" s="51" t="str">
        <f t="shared" si="19"/>
        <v/>
      </c>
      <c r="L92" s="127">
        <f t="shared" si="13"/>
        <v>0</v>
      </c>
      <c r="M92" s="127">
        <f t="shared" si="22"/>
        <v>0</v>
      </c>
    </row>
    <row r="93" spans="1:13" s="43" customFormat="1" ht="14.1" customHeight="1">
      <c r="A93" s="124">
        <f t="shared" si="20"/>
        <v>90</v>
      </c>
      <c r="B93" s="36"/>
      <c r="C93" s="125" t="str">
        <f t="shared" si="12"/>
        <v/>
      </c>
      <c r="D93" s="34"/>
      <c r="E93" s="51" t="str">
        <f t="shared" si="21"/>
        <v/>
      </c>
      <c r="F93" s="51">
        <f t="shared" si="14"/>
        <v>0</v>
      </c>
      <c r="G93" s="51">
        <f t="shared" si="15"/>
        <v>0</v>
      </c>
      <c r="H93" s="51">
        <f t="shared" si="16"/>
        <v>0</v>
      </c>
      <c r="I93" s="51">
        <f t="shared" si="17"/>
        <v>1</v>
      </c>
      <c r="J93" s="51" t="str">
        <f t="shared" si="18"/>
        <v>Yes</v>
      </c>
      <c r="K93" s="51" t="str">
        <f t="shared" si="19"/>
        <v/>
      </c>
      <c r="L93" s="127">
        <f t="shared" si="13"/>
        <v>0</v>
      </c>
      <c r="M93" s="127">
        <f t="shared" si="22"/>
        <v>0</v>
      </c>
    </row>
    <row r="94" spans="1:13" s="43" customFormat="1" ht="14.1" customHeight="1">
      <c r="A94" s="124">
        <f t="shared" si="20"/>
        <v>91</v>
      </c>
      <c r="B94" s="36"/>
      <c r="C94" s="125" t="str">
        <f t="shared" si="12"/>
        <v/>
      </c>
      <c r="D94" s="34"/>
      <c r="E94" s="51" t="str">
        <f t="shared" si="21"/>
        <v/>
      </c>
      <c r="F94" s="51">
        <f t="shared" si="14"/>
        <v>0</v>
      </c>
      <c r="G94" s="51">
        <f t="shared" si="15"/>
        <v>0</v>
      </c>
      <c r="H94" s="51">
        <f t="shared" si="16"/>
        <v>0</v>
      </c>
      <c r="I94" s="51">
        <f t="shared" si="17"/>
        <v>1</v>
      </c>
      <c r="J94" s="51" t="str">
        <f t="shared" si="18"/>
        <v>Yes</v>
      </c>
      <c r="K94" s="51" t="str">
        <f t="shared" si="19"/>
        <v/>
      </c>
      <c r="L94" s="127">
        <f t="shared" si="13"/>
        <v>0</v>
      </c>
      <c r="M94" s="127">
        <f t="shared" si="22"/>
        <v>0</v>
      </c>
    </row>
    <row r="95" spans="1:13" s="43" customFormat="1" ht="14.1" customHeight="1">
      <c r="A95" s="124">
        <f t="shared" si="20"/>
        <v>92</v>
      </c>
      <c r="B95" s="36"/>
      <c r="C95" s="125" t="str">
        <f t="shared" si="12"/>
        <v/>
      </c>
      <c r="D95" s="34"/>
      <c r="E95" s="51" t="str">
        <f t="shared" si="21"/>
        <v/>
      </c>
      <c r="F95" s="51">
        <f t="shared" si="14"/>
        <v>0</v>
      </c>
      <c r="G95" s="51">
        <f t="shared" si="15"/>
        <v>0</v>
      </c>
      <c r="H95" s="51">
        <f t="shared" si="16"/>
        <v>0</v>
      </c>
      <c r="I95" s="51">
        <f t="shared" si="17"/>
        <v>1</v>
      </c>
      <c r="J95" s="51" t="str">
        <f t="shared" si="18"/>
        <v>Yes</v>
      </c>
      <c r="K95" s="51" t="str">
        <f t="shared" si="19"/>
        <v/>
      </c>
      <c r="L95" s="127">
        <f t="shared" si="13"/>
        <v>0</v>
      </c>
      <c r="M95" s="127">
        <f t="shared" si="22"/>
        <v>0</v>
      </c>
    </row>
    <row r="96" spans="1:13" s="43" customFormat="1" ht="14.1" customHeight="1">
      <c r="A96" s="124">
        <f t="shared" si="20"/>
        <v>93</v>
      </c>
      <c r="B96" s="36"/>
      <c r="C96" s="125" t="str">
        <f t="shared" si="12"/>
        <v/>
      </c>
      <c r="D96" s="34"/>
      <c r="E96" s="51" t="str">
        <f t="shared" si="21"/>
        <v/>
      </c>
      <c r="F96" s="51">
        <f t="shared" si="14"/>
        <v>0</v>
      </c>
      <c r="G96" s="51">
        <f t="shared" si="15"/>
        <v>0</v>
      </c>
      <c r="H96" s="51">
        <f t="shared" si="16"/>
        <v>0</v>
      </c>
      <c r="I96" s="51">
        <f t="shared" si="17"/>
        <v>1</v>
      </c>
      <c r="J96" s="51" t="str">
        <f t="shared" si="18"/>
        <v>Yes</v>
      </c>
      <c r="K96" s="51" t="str">
        <f t="shared" si="19"/>
        <v/>
      </c>
      <c r="L96" s="127">
        <f t="shared" si="13"/>
        <v>0</v>
      </c>
      <c r="M96" s="127">
        <f t="shared" si="22"/>
        <v>0</v>
      </c>
    </row>
    <row r="97" spans="1:13" s="43" customFormat="1" ht="14.1" customHeight="1">
      <c r="A97" s="124">
        <f t="shared" si="20"/>
        <v>94</v>
      </c>
      <c r="B97" s="36"/>
      <c r="C97" s="125" t="str">
        <f t="shared" si="12"/>
        <v/>
      </c>
      <c r="D97" s="34"/>
      <c r="E97" s="51" t="str">
        <f t="shared" si="21"/>
        <v/>
      </c>
      <c r="F97" s="51">
        <f t="shared" si="14"/>
        <v>0</v>
      </c>
      <c r="G97" s="51">
        <f t="shared" si="15"/>
        <v>0</v>
      </c>
      <c r="H97" s="51">
        <f t="shared" si="16"/>
        <v>0</v>
      </c>
      <c r="I97" s="51">
        <f t="shared" si="17"/>
        <v>1</v>
      </c>
      <c r="J97" s="51" t="str">
        <f t="shared" si="18"/>
        <v>Yes</v>
      </c>
      <c r="K97" s="51" t="str">
        <f t="shared" si="19"/>
        <v/>
      </c>
      <c r="L97" s="127">
        <f t="shared" si="13"/>
        <v>0</v>
      </c>
      <c r="M97" s="127">
        <f t="shared" si="22"/>
        <v>0</v>
      </c>
    </row>
    <row r="98" spans="1:13" s="43" customFormat="1" ht="14.1" customHeight="1">
      <c r="A98" s="124">
        <f t="shared" si="20"/>
        <v>95</v>
      </c>
      <c r="B98" s="36"/>
      <c r="C98" s="125" t="str">
        <f t="shared" si="12"/>
        <v/>
      </c>
      <c r="D98" s="34"/>
      <c r="E98" s="51" t="str">
        <f t="shared" si="21"/>
        <v/>
      </c>
      <c r="F98" s="51">
        <f t="shared" si="14"/>
        <v>0</v>
      </c>
      <c r="G98" s="51">
        <f t="shared" si="15"/>
        <v>0</v>
      </c>
      <c r="H98" s="51">
        <f t="shared" si="16"/>
        <v>0</v>
      </c>
      <c r="I98" s="51">
        <f t="shared" si="17"/>
        <v>1</v>
      </c>
      <c r="J98" s="51" t="str">
        <f t="shared" si="18"/>
        <v>Yes</v>
      </c>
      <c r="K98" s="51" t="str">
        <f t="shared" si="19"/>
        <v/>
      </c>
      <c r="L98" s="127">
        <f t="shared" si="13"/>
        <v>0</v>
      </c>
      <c r="M98" s="127">
        <f t="shared" si="22"/>
        <v>0</v>
      </c>
    </row>
    <row r="99" spans="1:13" s="43" customFormat="1" ht="14.1" customHeight="1">
      <c r="A99" s="124">
        <f t="shared" si="20"/>
        <v>96</v>
      </c>
      <c r="B99" s="36"/>
      <c r="C99" s="125" t="str">
        <f t="shared" si="12"/>
        <v/>
      </c>
      <c r="D99" s="34"/>
      <c r="E99" s="51" t="str">
        <f t="shared" si="21"/>
        <v/>
      </c>
      <c r="F99" s="51">
        <f t="shared" si="14"/>
        <v>0</v>
      </c>
      <c r="G99" s="51">
        <f t="shared" si="15"/>
        <v>0</v>
      </c>
      <c r="H99" s="51">
        <f t="shared" si="16"/>
        <v>0</v>
      </c>
      <c r="I99" s="51">
        <f t="shared" si="17"/>
        <v>1</v>
      </c>
      <c r="J99" s="51" t="str">
        <f t="shared" si="18"/>
        <v>Yes</v>
      </c>
      <c r="K99" s="51" t="str">
        <f t="shared" si="19"/>
        <v/>
      </c>
      <c r="L99" s="127">
        <f t="shared" si="13"/>
        <v>0</v>
      </c>
      <c r="M99" s="127">
        <f t="shared" si="22"/>
        <v>0</v>
      </c>
    </row>
    <row r="100" spans="1:13" s="43" customFormat="1" ht="14.1" customHeight="1">
      <c r="A100" s="124">
        <f t="shared" si="20"/>
        <v>97</v>
      </c>
      <c r="B100" s="36"/>
      <c r="C100" s="125" t="str">
        <f t="shared" si="12"/>
        <v/>
      </c>
      <c r="D100" s="34"/>
      <c r="E100" s="51" t="str">
        <f t="shared" si="21"/>
        <v/>
      </c>
      <c r="F100" s="51">
        <f t="shared" si="14"/>
        <v>0</v>
      </c>
      <c r="G100" s="51">
        <f t="shared" si="15"/>
        <v>0</v>
      </c>
      <c r="H100" s="51">
        <f t="shared" si="16"/>
        <v>0</v>
      </c>
      <c r="I100" s="51">
        <f t="shared" si="17"/>
        <v>1</v>
      </c>
      <c r="J100" s="51" t="str">
        <f t="shared" si="18"/>
        <v>Yes</v>
      </c>
      <c r="K100" s="51" t="str">
        <f t="shared" si="19"/>
        <v/>
      </c>
      <c r="L100" s="127">
        <f t="shared" si="13"/>
        <v>0</v>
      </c>
      <c r="M100" s="127">
        <f t="shared" si="22"/>
        <v>0</v>
      </c>
    </row>
    <row r="101" spans="1:13" s="43" customFormat="1" ht="14.1" customHeight="1">
      <c r="A101" s="124">
        <f t="shared" si="20"/>
        <v>98</v>
      </c>
      <c r="B101" s="36"/>
      <c r="C101" s="125" t="str">
        <f t="shared" si="12"/>
        <v/>
      </c>
      <c r="D101" s="34"/>
      <c r="E101" s="51" t="str">
        <f t="shared" si="21"/>
        <v/>
      </c>
      <c r="F101" s="51">
        <f t="shared" si="14"/>
        <v>0</v>
      </c>
      <c r="G101" s="51">
        <f t="shared" si="15"/>
        <v>0</v>
      </c>
      <c r="H101" s="51">
        <f t="shared" si="16"/>
        <v>0</v>
      </c>
      <c r="I101" s="51">
        <f t="shared" si="17"/>
        <v>1</v>
      </c>
      <c r="J101" s="51" t="str">
        <f t="shared" si="18"/>
        <v>Yes</v>
      </c>
      <c r="K101" s="51" t="str">
        <f t="shared" si="19"/>
        <v/>
      </c>
      <c r="L101" s="127">
        <f t="shared" si="13"/>
        <v>0</v>
      </c>
      <c r="M101" s="127">
        <f t="shared" si="22"/>
        <v>0</v>
      </c>
    </row>
    <row r="102" spans="1:13" s="43" customFormat="1" ht="14.1" customHeight="1">
      <c r="A102" s="124">
        <f t="shared" si="20"/>
        <v>99</v>
      </c>
      <c r="B102" s="36"/>
      <c r="C102" s="125" t="str">
        <f t="shared" si="12"/>
        <v/>
      </c>
      <c r="D102" s="34"/>
      <c r="E102" s="51" t="str">
        <f t="shared" si="21"/>
        <v/>
      </c>
      <c r="F102" s="51">
        <f t="shared" si="14"/>
        <v>0</v>
      </c>
      <c r="G102" s="51">
        <f t="shared" si="15"/>
        <v>0</v>
      </c>
      <c r="H102" s="51">
        <f t="shared" si="16"/>
        <v>0</v>
      </c>
      <c r="I102" s="51">
        <f t="shared" si="17"/>
        <v>1</v>
      </c>
      <c r="J102" s="51" t="str">
        <f t="shared" si="18"/>
        <v>Yes</v>
      </c>
      <c r="K102" s="51" t="str">
        <f t="shared" si="19"/>
        <v/>
      </c>
      <c r="L102" s="127">
        <f t="shared" si="13"/>
        <v>0</v>
      </c>
      <c r="M102" s="127">
        <f t="shared" si="22"/>
        <v>0</v>
      </c>
    </row>
    <row r="103" spans="1:13" s="43" customFormat="1" ht="14.1" customHeight="1">
      <c r="A103" s="124">
        <f t="shared" si="20"/>
        <v>100</v>
      </c>
      <c r="B103" s="36"/>
      <c r="C103" s="125" t="str">
        <f t="shared" si="12"/>
        <v/>
      </c>
      <c r="D103" s="34"/>
      <c r="E103" s="51" t="str">
        <f t="shared" si="21"/>
        <v/>
      </c>
      <c r="F103" s="51">
        <f t="shared" si="14"/>
        <v>0</v>
      </c>
      <c r="G103" s="51">
        <f t="shared" si="15"/>
        <v>0</v>
      </c>
      <c r="H103" s="51">
        <f t="shared" si="16"/>
        <v>0</v>
      </c>
      <c r="I103" s="51">
        <f t="shared" si="17"/>
        <v>1</v>
      </c>
      <c r="J103" s="51" t="str">
        <f t="shared" si="18"/>
        <v>Yes</v>
      </c>
      <c r="K103" s="51" t="str">
        <f t="shared" si="19"/>
        <v/>
      </c>
      <c r="L103" s="127">
        <f t="shared" si="13"/>
        <v>0</v>
      </c>
      <c r="M103" s="127">
        <f t="shared" si="22"/>
        <v>0</v>
      </c>
    </row>
    <row r="104" spans="1:13" s="43" customFormat="1" ht="14.1" customHeight="1">
      <c r="A104" s="124">
        <f t="shared" si="20"/>
        <v>101</v>
      </c>
      <c r="B104" s="36"/>
      <c r="C104" s="125" t="str">
        <f t="shared" si="12"/>
        <v/>
      </c>
      <c r="D104" s="34"/>
      <c r="E104" s="51" t="str">
        <f t="shared" si="21"/>
        <v/>
      </c>
      <c r="F104" s="51">
        <f t="shared" si="14"/>
        <v>0</v>
      </c>
      <c r="G104" s="51">
        <f t="shared" si="15"/>
        <v>0</v>
      </c>
      <c r="H104" s="51">
        <f t="shared" si="16"/>
        <v>0</v>
      </c>
      <c r="I104" s="51">
        <f t="shared" si="17"/>
        <v>1</v>
      </c>
      <c r="J104" s="51" t="str">
        <f t="shared" si="18"/>
        <v>Yes</v>
      </c>
      <c r="K104" s="51" t="str">
        <f t="shared" si="19"/>
        <v/>
      </c>
      <c r="L104" s="127">
        <f t="shared" si="13"/>
        <v>0</v>
      </c>
      <c r="M104" s="127">
        <f t="shared" si="22"/>
        <v>0</v>
      </c>
    </row>
    <row r="105" spans="1:13" s="43" customFormat="1" ht="14.1" customHeight="1">
      <c r="A105" s="124">
        <f t="shared" si="20"/>
        <v>102</v>
      </c>
      <c r="B105" s="36"/>
      <c r="C105" s="125" t="str">
        <f t="shared" si="12"/>
        <v/>
      </c>
      <c r="D105" s="34"/>
      <c r="E105" s="51" t="str">
        <f t="shared" si="21"/>
        <v/>
      </c>
      <c r="F105" s="51">
        <f t="shared" si="14"/>
        <v>0</v>
      </c>
      <c r="G105" s="51">
        <f t="shared" si="15"/>
        <v>0</v>
      </c>
      <c r="H105" s="51">
        <f t="shared" si="16"/>
        <v>0</v>
      </c>
      <c r="I105" s="51">
        <f t="shared" si="17"/>
        <v>1</v>
      </c>
      <c r="J105" s="51" t="str">
        <f t="shared" si="18"/>
        <v>Yes</v>
      </c>
      <c r="K105" s="51" t="str">
        <f t="shared" si="19"/>
        <v/>
      </c>
      <c r="L105" s="127">
        <f t="shared" si="13"/>
        <v>0</v>
      </c>
      <c r="M105" s="127">
        <f t="shared" si="22"/>
        <v>0</v>
      </c>
    </row>
    <row r="106" spans="1:13" s="43" customFormat="1" ht="14.1" customHeight="1">
      <c r="A106" s="124">
        <f t="shared" si="20"/>
        <v>103</v>
      </c>
      <c r="B106" s="36"/>
      <c r="C106" s="125" t="str">
        <f t="shared" si="12"/>
        <v/>
      </c>
      <c r="D106" s="34"/>
      <c r="E106" s="51" t="str">
        <f t="shared" si="21"/>
        <v/>
      </c>
      <c r="F106" s="51">
        <f t="shared" si="14"/>
        <v>0</v>
      </c>
      <c r="G106" s="51">
        <f t="shared" si="15"/>
        <v>0</v>
      </c>
      <c r="H106" s="51">
        <f t="shared" si="16"/>
        <v>0</v>
      </c>
      <c r="I106" s="51">
        <f t="shared" si="17"/>
        <v>1</v>
      </c>
      <c r="J106" s="51" t="str">
        <f t="shared" si="18"/>
        <v>Yes</v>
      </c>
      <c r="K106" s="51" t="str">
        <f t="shared" si="19"/>
        <v/>
      </c>
      <c r="L106" s="127">
        <f t="shared" si="13"/>
        <v>0</v>
      </c>
      <c r="M106" s="127">
        <f t="shared" si="22"/>
        <v>0</v>
      </c>
    </row>
    <row r="107" spans="1:13" s="43" customFormat="1" ht="14.1" customHeight="1">
      <c r="A107" s="124">
        <f t="shared" si="20"/>
        <v>104</v>
      </c>
      <c r="B107" s="36"/>
      <c r="C107" s="125" t="str">
        <f t="shared" si="12"/>
        <v/>
      </c>
      <c r="D107" s="34"/>
      <c r="E107" s="51" t="str">
        <f t="shared" si="21"/>
        <v/>
      </c>
      <c r="F107" s="51">
        <f t="shared" si="14"/>
        <v>0</v>
      </c>
      <c r="G107" s="51">
        <f t="shared" si="15"/>
        <v>0</v>
      </c>
      <c r="H107" s="51">
        <f t="shared" si="16"/>
        <v>0</v>
      </c>
      <c r="I107" s="51">
        <f t="shared" si="17"/>
        <v>1</v>
      </c>
      <c r="J107" s="51" t="str">
        <f t="shared" si="18"/>
        <v>Yes</v>
      </c>
      <c r="K107" s="51" t="str">
        <f t="shared" si="19"/>
        <v/>
      </c>
      <c r="L107" s="127">
        <f t="shared" si="13"/>
        <v>0</v>
      </c>
      <c r="M107" s="127">
        <f t="shared" si="22"/>
        <v>0</v>
      </c>
    </row>
    <row r="108" spans="1:13" s="43" customFormat="1" ht="14.1" customHeight="1">
      <c r="A108" s="124">
        <f t="shared" si="20"/>
        <v>105</v>
      </c>
      <c r="B108" s="36"/>
      <c r="C108" s="125" t="str">
        <f t="shared" si="12"/>
        <v/>
      </c>
      <c r="D108" s="34"/>
      <c r="E108" s="51" t="str">
        <f t="shared" si="21"/>
        <v/>
      </c>
      <c r="F108" s="51">
        <f t="shared" si="14"/>
        <v>0</v>
      </c>
      <c r="G108" s="51">
        <f t="shared" si="15"/>
        <v>0</v>
      </c>
      <c r="H108" s="51">
        <f t="shared" si="16"/>
        <v>0</v>
      </c>
      <c r="I108" s="51">
        <f t="shared" si="17"/>
        <v>1</v>
      </c>
      <c r="J108" s="51" t="str">
        <f t="shared" si="18"/>
        <v>Yes</v>
      </c>
      <c r="K108" s="51" t="str">
        <f t="shared" si="19"/>
        <v/>
      </c>
      <c r="L108" s="127">
        <f t="shared" si="13"/>
        <v>0</v>
      </c>
      <c r="M108" s="127">
        <f t="shared" si="22"/>
        <v>0</v>
      </c>
    </row>
    <row r="109" spans="1:13" s="43" customFormat="1" ht="14.1" customHeight="1">
      <c r="A109" s="124">
        <f t="shared" si="20"/>
        <v>106</v>
      </c>
      <c r="B109" s="36"/>
      <c r="C109" s="125" t="str">
        <f t="shared" si="12"/>
        <v/>
      </c>
      <c r="D109" s="34"/>
      <c r="E109" s="51" t="str">
        <f t="shared" si="21"/>
        <v/>
      </c>
      <c r="F109" s="51">
        <f t="shared" si="14"/>
        <v>0</v>
      </c>
      <c r="G109" s="51">
        <f t="shared" si="15"/>
        <v>0</v>
      </c>
      <c r="H109" s="51">
        <f t="shared" si="16"/>
        <v>0</v>
      </c>
      <c r="I109" s="51">
        <f t="shared" si="17"/>
        <v>1</v>
      </c>
      <c r="J109" s="51" t="str">
        <f t="shared" si="18"/>
        <v>Yes</v>
      </c>
      <c r="K109" s="51" t="str">
        <f t="shared" si="19"/>
        <v/>
      </c>
      <c r="L109" s="127">
        <f t="shared" si="13"/>
        <v>0</v>
      </c>
      <c r="M109" s="127">
        <f t="shared" si="22"/>
        <v>0</v>
      </c>
    </row>
    <row r="110" spans="1:13" s="43" customFormat="1" ht="14.1" customHeight="1">
      <c r="A110" s="124">
        <f t="shared" si="20"/>
        <v>107</v>
      </c>
      <c r="B110" s="36"/>
      <c r="C110" s="125" t="str">
        <f t="shared" si="12"/>
        <v/>
      </c>
      <c r="D110" s="34"/>
      <c r="E110" s="51" t="str">
        <f t="shared" si="21"/>
        <v/>
      </c>
      <c r="F110" s="51">
        <f t="shared" si="14"/>
        <v>0</v>
      </c>
      <c r="G110" s="51">
        <f t="shared" si="15"/>
        <v>0</v>
      </c>
      <c r="H110" s="51">
        <f t="shared" si="16"/>
        <v>0</v>
      </c>
      <c r="I110" s="51">
        <f t="shared" si="17"/>
        <v>1</v>
      </c>
      <c r="J110" s="51" t="str">
        <f t="shared" si="18"/>
        <v>Yes</v>
      </c>
      <c r="K110" s="51" t="str">
        <f t="shared" si="19"/>
        <v/>
      </c>
      <c r="L110" s="127">
        <f t="shared" si="13"/>
        <v>0</v>
      </c>
      <c r="M110" s="127">
        <f t="shared" si="22"/>
        <v>0</v>
      </c>
    </row>
    <row r="111" spans="1:13" s="43" customFormat="1" ht="14.1" customHeight="1">
      <c r="A111" s="124">
        <f t="shared" si="20"/>
        <v>108</v>
      </c>
      <c r="B111" s="36"/>
      <c r="C111" s="125" t="str">
        <f t="shared" si="12"/>
        <v/>
      </c>
      <c r="D111" s="34"/>
      <c r="E111" s="51" t="str">
        <f t="shared" si="21"/>
        <v/>
      </c>
      <c r="F111" s="51">
        <f t="shared" si="14"/>
        <v>0</v>
      </c>
      <c r="G111" s="51">
        <f t="shared" si="15"/>
        <v>0</v>
      </c>
      <c r="H111" s="51">
        <f t="shared" si="16"/>
        <v>0</v>
      </c>
      <c r="I111" s="51">
        <f t="shared" si="17"/>
        <v>1</v>
      </c>
      <c r="J111" s="51" t="str">
        <f t="shared" si="18"/>
        <v>Yes</v>
      </c>
      <c r="K111" s="51" t="str">
        <f t="shared" si="19"/>
        <v/>
      </c>
      <c r="L111" s="127">
        <f t="shared" si="13"/>
        <v>0</v>
      </c>
      <c r="M111" s="127">
        <f t="shared" si="22"/>
        <v>0</v>
      </c>
    </row>
    <row r="112" spans="1:13" s="43" customFormat="1" ht="14.1" customHeight="1">
      <c r="A112" s="124">
        <f t="shared" si="20"/>
        <v>109</v>
      </c>
      <c r="B112" s="36"/>
      <c r="C112" s="125" t="str">
        <f t="shared" si="12"/>
        <v/>
      </c>
      <c r="D112" s="34"/>
      <c r="E112" s="51" t="str">
        <f t="shared" si="21"/>
        <v/>
      </c>
      <c r="F112" s="51">
        <f t="shared" si="14"/>
        <v>0</v>
      </c>
      <c r="G112" s="51">
        <f t="shared" si="15"/>
        <v>0</v>
      </c>
      <c r="H112" s="51">
        <f t="shared" si="16"/>
        <v>0</v>
      </c>
      <c r="I112" s="51">
        <f t="shared" si="17"/>
        <v>1</v>
      </c>
      <c r="J112" s="51" t="str">
        <f t="shared" si="18"/>
        <v>Yes</v>
      </c>
      <c r="K112" s="51" t="str">
        <f t="shared" si="19"/>
        <v/>
      </c>
      <c r="L112" s="127">
        <f t="shared" si="13"/>
        <v>0</v>
      </c>
      <c r="M112" s="127">
        <f t="shared" si="22"/>
        <v>0</v>
      </c>
    </row>
    <row r="113" spans="1:13" s="43" customFormat="1" ht="14.1" customHeight="1">
      <c r="A113" s="124">
        <f t="shared" si="20"/>
        <v>110</v>
      </c>
      <c r="B113" s="36"/>
      <c r="C113" s="125" t="str">
        <f t="shared" si="12"/>
        <v/>
      </c>
      <c r="D113" s="34"/>
      <c r="E113" s="51" t="str">
        <f t="shared" si="21"/>
        <v/>
      </c>
      <c r="F113" s="51">
        <f t="shared" si="14"/>
        <v>0</v>
      </c>
      <c r="G113" s="51">
        <f t="shared" si="15"/>
        <v>0</v>
      </c>
      <c r="H113" s="51">
        <f t="shared" si="16"/>
        <v>0</v>
      </c>
      <c r="I113" s="51">
        <f t="shared" si="17"/>
        <v>1</v>
      </c>
      <c r="J113" s="51" t="str">
        <f t="shared" si="18"/>
        <v>Yes</v>
      </c>
      <c r="K113" s="51" t="str">
        <f t="shared" si="19"/>
        <v/>
      </c>
      <c r="L113" s="127">
        <f t="shared" si="13"/>
        <v>0</v>
      </c>
      <c r="M113" s="127">
        <f t="shared" si="22"/>
        <v>0</v>
      </c>
    </row>
    <row r="114" spans="1:13" s="43" customFormat="1" ht="14.1" customHeight="1">
      <c r="A114" s="124">
        <f t="shared" si="20"/>
        <v>111</v>
      </c>
      <c r="B114" s="36"/>
      <c r="C114" s="125" t="str">
        <f t="shared" si="12"/>
        <v/>
      </c>
      <c r="D114" s="34"/>
      <c r="E114" s="51" t="str">
        <f t="shared" si="21"/>
        <v/>
      </c>
      <c r="F114" s="51">
        <f t="shared" si="14"/>
        <v>0</v>
      </c>
      <c r="G114" s="51">
        <f t="shared" si="15"/>
        <v>0</v>
      </c>
      <c r="H114" s="51">
        <f t="shared" si="16"/>
        <v>0</v>
      </c>
      <c r="I114" s="51">
        <f t="shared" si="17"/>
        <v>1</v>
      </c>
      <c r="J114" s="51" t="str">
        <f t="shared" si="18"/>
        <v>Yes</v>
      </c>
      <c r="K114" s="51" t="str">
        <f t="shared" si="19"/>
        <v/>
      </c>
      <c r="L114" s="127">
        <f t="shared" si="13"/>
        <v>0</v>
      </c>
      <c r="M114" s="127">
        <f t="shared" si="22"/>
        <v>0</v>
      </c>
    </row>
    <row r="115" spans="1:13" s="43" customFormat="1" ht="14.1" customHeight="1">
      <c r="A115" s="124">
        <f t="shared" si="20"/>
        <v>112</v>
      </c>
      <c r="B115" s="36"/>
      <c r="C115" s="125" t="str">
        <f t="shared" si="12"/>
        <v/>
      </c>
      <c r="D115" s="34"/>
      <c r="E115" s="51" t="str">
        <f t="shared" si="21"/>
        <v/>
      </c>
      <c r="F115" s="51">
        <f t="shared" si="14"/>
        <v>0</v>
      </c>
      <c r="G115" s="51">
        <f t="shared" si="15"/>
        <v>0</v>
      </c>
      <c r="H115" s="51">
        <f t="shared" si="16"/>
        <v>0</v>
      </c>
      <c r="I115" s="51">
        <f t="shared" si="17"/>
        <v>1</v>
      </c>
      <c r="J115" s="51" t="str">
        <f t="shared" si="18"/>
        <v>Yes</v>
      </c>
      <c r="K115" s="51" t="str">
        <f t="shared" si="19"/>
        <v/>
      </c>
      <c r="L115" s="127">
        <f t="shared" si="13"/>
        <v>0</v>
      </c>
      <c r="M115" s="127">
        <f t="shared" si="22"/>
        <v>0</v>
      </c>
    </row>
    <row r="116" spans="1:13" s="43" customFormat="1" ht="14.1" customHeight="1">
      <c r="A116" s="124">
        <f t="shared" si="20"/>
        <v>113</v>
      </c>
      <c r="B116" s="36"/>
      <c r="C116" s="125" t="str">
        <f t="shared" si="12"/>
        <v/>
      </c>
      <c r="D116" s="34"/>
      <c r="E116" s="51" t="str">
        <f t="shared" si="21"/>
        <v/>
      </c>
      <c r="F116" s="51">
        <f t="shared" si="14"/>
        <v>0</v>
      </c>
      <c r="G116" s="51">
        <f t="shared" si="15"/>
        <v>0</v>
      </c>
      <c r="H116" s="51">
        <f t="shared" si="16"/>
        <v>0</v>
      </c>
      <c r="I116" s="51">
        <f t="shared" si="17"/>
        <v>1</v>
      </c>
      <c r="J116" s="51" t="str">
        <f t="shared" si="18"/>
        <v>Yes</v>
      </c>
      <c r="K116" s="51" t="str">
        <f t="shared" si="19"/>
        <v/>
      </c>
      <c r="L116" s="127">
        <f t="shared" si="13"/>
        <v>0</v>
      </c>
      <c r="M116" s="127">
        <f t="shared" si="22"/>
        <v>0</v>
      </c>
    </row>
    <row r="117" spans="1:13" s="43" customFormat="1" ht="14.1" customHeight="1">
      <c r="A117" s="124">
        <f t="shared" si="20"/>
        <v>114</v>
      </c>
      <c r="B117" s="36"/>
      <c r="C117" s="125" t="str">
        <f t="shared" si="12"/>
        <v/>
      </c>
      <c r="D117" s="34"/>
      <c r="E117" s="51" t="str">
        <f t="shared" si="21"/>
        <v/>
      </c>
      <c r="F117" s="51">
        <f t="shared" si="14"/>
        <v>0</v>
      </c>
      <c r="G117" s="51">
        <f t="shared" si="15"/>
        <v>0</v>
      </c>
      <c r="H117" s="51">
        <f t="shared" si="16"/>
        <v>0</v>
      </c>
      <c r="I117" s="51">
        <f t="shared" si="17"/>
        <v>1</v>
      </c>
      <c r="J117" s="51" t="str">
        <f t="shared" si="18"/>
        <v>Yes</v>
      </c>
      <c r="K117" s="51" t="str">
        <f t="shared" si="19"/>
        <v/>
      </c>
      <c r="L117" s="127">
        <f t="shared" si="13"/>
        <v>0</v>
      </c>
      <c r="M117" s="127">
        <f t="shared" si="22"/>
        <v>0</v>
      </c>
    </row>
    <row r="118" spans="1:13" s="43" customFormat="1" ht="14.1" customHeight="1">
      <c r="A118" s="124">
        <f t="shared" si="20"/>
        <v>115</v>
      </c>
      <c r="B118" s="36"/>
      <c r="C118" s="125" t="str">
        <f t="shared" si="12"/>
        <v/>
      </c>
      <c r="D118" s="34"/>
      <c r="E118" s="51" t="str">
        <f t="shared" si="21"/>
        <v/>
      </c>
      <c r="F118" s="51">
        <f t="shared" si="14"/>
        <v>0</v>
      </c>
      <c r="G118" s="51">
        <f t="shared" si="15"/>
        <v>0</v>
      </c>
      <c r="H118" s="51">
        <f t="shared" si="16"/>
        <v>0</v>
      </c>
      <c r="I118" s="51">
        <f t="shared" si="17"/>
        <v>1</v>
      </c>
      <c r="J118" s="51" t="str">
        <f t="shared" si="18"/>
        <v>Yes</v>
      </c>
      <c r="K118" s="51" t="str">
        <f t="shared" si="19"/>
        <v/>
      </c>
      <c r="L118" s="127">
        <f t="shared" si="13"/>
        <v>0</v>
      </c>
      <c r="M118" s="127">
        <f t="shared" si="22"/>
        <v>0</v>
      </c>
    </row>
    <row r="119" spans="1:13" s="43" customFormat="1" ht="14.1" customHeight="1">
      <c r="A119" s="124">
        <f t="shared" si="20"/>
        <v>116</v>
      </c>
      <c r="B119" s="36"/>
      <c r="C119" s="125" t="str">
        <f t="shared" si="12"/>
        <v/>
      </c>
      <c r="D119" s="34"/>
      <c r="E119" s="51" t="str">
        <f t="shared" si="21"/>
        <v/>
      </c>
      <c r="F119" s="51">
        <f t="shared" si="14"/>
        <v>0</v>
      </c>
      <c r="G119" s="51">
        <f t="shared" si="15"/>
        <v>0</v>
      </c>
      <c r="H119" s="51">
        <f t="shared" si="16"/>
        <v>0</v>
      </c>
      <c r="I119" s="51">
        <f t="shared" si="17"/>
        <v>1</v>
      </c>
      <c r="J119" s="51" t="str">
        <f t="shared" si="18"/>
        <v>Yes</v>
      </c>
      <c r="K119" s="51" t="str">
        <f t="shared" si="19"/>
        <v/>
      </c>
      <c r="L119" s="127">
        <f t="shared" si="13"/>
        <v>0</v>
      </c>
      <c r="M119" s="127">
        <f t="shared" si="22"/>
        <v>0</v>
      </c>
    </row>
    <row r="120" spans="1:13" s="43" customFormat="1" ht="14.1" customHeight="1">
      <c r="A120" s="124">
        <f t="shared" si="20"/>
        <v>117</v>
      </c>
      <c r="B120" s="36"/>
      <c r="C120" s="125" t="str">
        <f t="shared" si="12"/>
        <v/>
      </c>
      <c r="D120" s="34"/>
      <c r="E120" s="51" t="str">
        <f t="shared" si="21"/>
        <v/>
      </c>
      <c r="F120" s="51">
        <f t="shared" si="14"/>
        <v>0</v>
      </c>
      <c r="G120" s="51">
        <f t="shared" si="15"/>
        <v>0</v>
      </c>
      <c r="H120" s="51">
        <f t="shared" si="16"/>
        <v>0</v>
      </c>
      <c r="I120" s="51">
        <f t="shared" si="17"/>
        <v>1</v>
      </c>
      <c r="J120" s="51" t="str">
        <f t="shared" si="18"/>
        <v>Yes</v>
      </c>
      <c r="K120" s="51" t="str">
        <f t="shared" si="19"/>
        <v/>
      </c>
      <c r="L120" s="127">
        <f t="shared" si="13"/>
        <v>0</v>
      </c>
      <c r="M120" s="127">
        <f t="shared" si="22"/>
        <v>0</v>
      </c>
    </row>
    <row r="121" spans="1:13" s="43" customFormat="1" ht="14.1" customHeight="1">
      <c r="A121" s="124">
        <f t="shared" si="20"/>
        <v>118</v>
      </c>
      <c r="B121" s="36"/>
      <c r="C121" s="125" t="str">
        <f t="shared" si="12"/>
        <v/>
      </c>
      <c r="D121" s="34"/>
      <c r="E121" s="51" t="str">
        <f t="shared" si="21"/>
        <v/>
      </c>
      <c r="F121" s="51">
        <f t="shared" si="14"/>
        <v>0</v>
      </c>
      <c r="G121" s="51">
        <f t="shared" si="15"/>
        <v>0</v>
      </c>
      <c r="H121" s="51">
        <f t="shared" si="16"/>
        <v>0</v>
      </c>
      <c r="I121" s="51">
        <f t="shared" si="17"/>
        <v>1</v>
      </c>
      <c r="J121" s="51" t="str">
        <f t="shared" si="18"/>
        <v>Yes</v>
      </c>
      <c r="K121" s="51" t="str">
        <f t="shared" si="19"/>
        <v/>
      </c>
      <c r="L121" s="127">
        <f t="shared" si="13"/>
        <v>0</v>
      </c>
      <c r="M121" s="127">
        <f t="shared" si="22"/>
        <v>0</v>
      </c>
    </row>
    <row r="122" spans="1:13" s="43" customFormat="1" ht="14.1" customHeight="1">
      <c r="A122" s="124">
        <f t="shared" si="20"/>
        <v>119</v>
      </c>
      <c r="B122" s="36"/>
      <c r="C122" s="125" t="str">
        <f t="shared" si="12"/>
        <v/>
      </c>
      <c r="D122" s="34"/>
      <c r="E122" s="51" t="str">
        <f t="shared" si="21"/>
        <v/>
      </c>
      <c r="F122" s="51">
        <f t="shared" si="14"/>
        <v>0</v>
      </c>
      <c r="G122" s="51">
        <f t="shared" si="15"/>
        <v>0</v>
      </c>
      <c r="H122" s="51">
        <f t="shared" si="16"/>
        <v>0</v>
      </c>
      <c r="I122" s="51">
        <f t="shared" si="17"/>
        <v>1</v>
      </c>
      <c r="J122" s="51" t="str">
        <f t="shared" si="18"/>
        <v>Yes</v>
      </c>
      <c r="K122" s="51" t="str">
        <f t="shared" si="19"/>
        <v/>
      </c>
      <c r="L122" s="127">
        <f t="shared" si="13"/>
        <v>0</v>
      </c>
      <c r="M122" s="127">
        <f t="shared" si="22"/>
        <v>0</v>
      </c>
    </row>
    <row r="123" spans="1:13" s="43" customFormat="1" ht="14.1" customHeight="1">
      <c r="A123" s="124">
        <f t="shared" si="20"/>
        <v>120</v>
      </c>
      <c r="B123" s="36"/>
      <c r="C123" s="125" t="str">
        <f t="shared" si="12"/>
        <v/>
      </c>
      <c r="D123" s="34"/>
      <c r="E123" s="51" t="str">
        <f t="shared" si="21"/>
        <v/>
      </c>
      <c r="F123" s="51">
        <f t="shared" si="14"/>
        <v>0</v>
      </c>
      <c r="G123" s="51">
        <f t="shared" si="15"/>
        <v>0</v>
      </c>
      <c r="H123" s="51">
        <f t="shared" si="16"/>
        <v>0</v>
      </c>
      <c r="I123" s="51">
        <f t="shared" si="17"/>
        <v>1</v>
      </c>
      <c r="J123" s="51" t="str">
        <f t="shared" si="18"/>
        <v>Yes</v>
      </c>
      <c r="K123" s="51" t="str">
        <f t="shared" si="19"/>
        <v/>
      </c>
      <c r="L123" s="127">
        <f t="shared" si="13"/>
        <v>0</v>
      </c>
      <c r="M123" s="127">
        <f t="shared" si="22"/>
        <v>0</v>
      </c>
    </row>
    <row r="124" spans="1:13" s="43" customFormat="1" ht="14.1" customHeight="1">
      <c r="A124" s="124">
        <f t="shared" si="20"/>
        <v>121</v>
      </c>
      <c r="B124" s="36"/>
      <c r="C124" s="125" t="str">
        <f t="shared" si="12"/>
        <v/>
      </c>
      <c r="D124" s="34"/>
      <c r="E124" s="51" t="str">
        <f t="shared" si="21"/>
        <v/>
      </c>
      <c r="F124" s="51">
        <f t="shared" si="14"/>
        <v>0</v>
      </c>
      <c r="G124" s="51">
        <f t="shared" si="15"/>
        <v>0</v>
      </c>
      <c r="H124" s="51">
        <f t="shared" si="16"/>
        <v>0</v>
      </c>
      <c r="I124" s="51">
        <f t="shared" si="17"/>
        <v>1</v>
      </c>
      <c r="J124" s="51" t="str">
        <f t="shared" si="18"/>
        <v>Yes</v>
      </c>
      <c r="K124" s="51" t="str">
        <f t="shared" si="19"/>
        <v/>
      </c>
      <c r="L124" s="127">
        <f t="shared" si="13"/>
        <v>0</v>
      </c>
      <c r="M124" s="127">
        <f t="shared" si="22"/>
        <v>0</v>
      </c>
    </row>
    <row r="125" spans="1:13" s="43" customFormat="1" ht="14.1" customHeight="1">
      <c r="A125" s="124">
        <f t="shared" si="20"/>
        <v>122</v>
      </c>
      <c r="B125" s="36"/>
      <c r="C125" s="125" t="str">
        <f t="shared" si="12"/>
        <v/>
      </c>
      <c r="D125" s="34"/>
      <c r="E125" s="51" t="str">
        <f t="shared" si="21"/>
        <v/>
      </c>
      <c r="F125" s="51">
        <f t="shared" si="14"/>
        <v>0</v>
      </c>
      <c r="G125" s="51">
        <f t="shared" si="15"/>
        <v>0</v>
      </c>
      <c r="H125" s="51">
        <f t="shared" si="16"/>
        <v>0</v>
      </c>
      <c r="I125" s="51">
        <f t="shared" si="17"/>
        <v>1</v>
      </c>
      <c r="J125" s="51" t="str">
        <f t="shared" si="18"/>
        <v>Yes</v>
      </c>
      <c r="K125" s="51" t="str">
        <f t="shared" si="19"/>
        <v/>
      </c>
      <c r="L125" s="127">
        <f t="shared" si="13"/>
        <v>0</v>
      </c>
      <c r="M125" s="127">
        <f t="shared" si="22"/>
        <v>0</v>
      </c>
    </row>
    <row r="126" spans="1:13" s="43" customFormat="1" ht="14.1" customHeight="1">
      <c r="A126" s="124">
        <f t="shared" si="20"/>
        <v>123</v>
      </c>
      <c r="B126" s="36"/>
      <c r="C126" s="125" t="str">
        <f t="shared" si="12"/>
        <v/>
      </c>
      <c r="D126" s="34"/>
      <c r="E126" s="51" t="str">
        <f t="shared" si="21"/>
        <v/>
      </c>
      <c r="F126" s="51">
        <f t="shared" si="14"/>
        <v>0</v>
      </c>
      <c r="G126" s="51">
        <f t="shared" si="15"/>
        <v>0</v>
      </c>
      <c r="H126" s="51">
        <f t="shared" si="16"/>
        <v>0</v>
      </c>
      <c r="I126" s="51">
        <f t="shared" si="17"/>
        <v>1</v>
      </c>
      <c r="J126" s="51" t="str">
        <f t="shared" si="18"/>
        <v>Yes</v>
      </c>
      <c r="K126" s="51" t="str">
        <f t="shared" si="19"/>
        <v/>
      </c>
      <c r="L126" s="127">
        <f t="shared" si="13"/>
        <v>0</v>
      </c>
      <c r="M126" s="127">
        <f t="shared" si="22"/>
        <v>0</v>
      </c>
    </row>
    <row r="127" spans="1:13" s="43" customFormat="1" ht="14.1" customHeight="1">
      <c r="A127" s="124">
        <f t="shared" si="20"/>
        <v>124</v>
      </c>
      <c r="B127" s="36"/>
      <c r="C127" s="125" t="str">
        <f t="shared" si="12"/>
        <v/>
      </c>
      <c r="D127" s="34"/>
      <c r="E127" s="51" t="str">
        <f t="shared" si="21"/>
        <v/>
      </c>
      <c r="F127" s="51">
        <f t="shared" si="14"/>
        <v>0</v>
      </c>
      <c r="G127" s="51">
        <f t="shared" si="15"/>
        <v>0</v>
      </c>
      <c r="H127" s="51">
        <f t="shared" si="16"/>
        <v>0</v>
      </c>
      <c r="I127" s="51">
        <f t="shared" si="17"/>
        <v>1</v>
      </c>
      <c r="J127" s="51" t="str">
        <f t="shared" si="18"/>
        <v>Yes</v>
      </c>
      <c r="K127" s="51" t="str">
        <f t="shared" si="19"/>
        <v/>
      </c>
      <c r="L127" s="127">
        <f t="shared" si="13"/>
        <v>0</v>
      </c>
      <c r="M127" s="127">
        <f t="shared" si="22"/>
        <v>0</v>
      </c>
    </row>
    <row r="128" spans="1:13" s="43" customFormat="1" ht="14.1" customHeight="1">
      <c r="A128" s="124">
        <f t="shared" si="20"/>
        <v>125</v>
      </c>
      <c r="B128" s="36"/>
      <c r="C128" s="125" t="str">
        <f t="shared" si="12"/>
        <v/>
      </c>
      <c r="D128" s="34"/>
      <c r="E128" s="51" t="str">
        <f t="shared" si="21"/>
        <v/>
      </c>
      <c r="F128" s="51">
        <f t="shared" si="14"/>
        <v>0</v>
      </c>
      <c r="G128" s="51">
        <f t="shared" si="15"/>
        <v>0</v>
      </c>
      <c r="H128" s="51">
        <f t="shared" si="16"/>
        <v>0</v>
      </c>
      <c r="I128" s="51">
        <f t="shared" si="17"/>
        <v>1</v>
      </c>
      <c r="J128" s="51" t="str">
        <f t="shared" si="18"/>
        <v>Yes</v>
      </c>
      <c r="K128" s="51" t="str">
        <f t="shared" si="19"/>
        <v/>
      </c>
      <c r="L128" s="127">
        <f t="shared" si="13"/>
        <v>0</v>
      </c>
      <c r="M128" s="127">
        <f t="shared" si="22"/>
        <v>0</v>
      </c>
    </row>
    <row r="129" spans="1:13" s="43" customFormat="1" ht="14.1" customHeight="1">
      <c r="A129" s="124">
        <f t="shared" si="20"/>
        <v>126</v>
      </c>
      <c r="B129" s="36"/>
      <c r="C129" s="125" t="str">
        <f t="shared" si="12"/>
        <v/>
      </c>
      <c r="D129" s="34"/>
      <c r="E129" s="51" t="str">
        <f t="shared" si="21"/>
        <v/>
      </c>
      <c r="F129" s="51">
        <f t="shared" si="14"/>
        <v>0</v>
      </c>
      <c r="G129" s="51">
        <f t="shared" si="15"/>
        <v>0</v>
      </c>
      <c r="H129" s="51">
        <f t="shared" si="16"/>
        <v>0</v>
      </c>
      <c r="I129" s="51">
        <f t="shared" si="17"/>
        <v>1</v>
      </c>
      <c r="J129" s="51" t="str">
        <f t="shared" si="18"/>
        <v>Yes</v>
      </c>
      <c r="K129" s="51" t="str">
        <f t="shared" si="19"/>
        <v/>
      </c>
      <c r="L129" s="127">
        <f t="shared" si="13"/>
        <v>0</v>
      </c>
      <c r="M129" s="127">
        <f t="shared" si="22"/>
        <v>0</v>
      </c>
    </row>
    <row r="130" spans="1:13" s="43" customFormat="1" ht="14.1" customHeight="1">
      <c r="A130" s="124">
        <f t="shared" si="20"/>
        <v>127</v>
      </c>
      <c r="B130" s="36"/>
      <c r="C130" s="125" t="str">
        <f t="shared" si="12"/>
        <v/>
      </c>
      <c r="D130" s="34"/>
      <c r="E130" s="51" t="str">
        <f t="shared" si="21"/>
        <v/>
      </c>
      <c r="F130" s="51">
        <f t="shared" si="14"/>
        <v>0</v>
      </c>
      <c r="G130" s="51">
        <f t="shared" si="15"/>
        <v>0</v>
      </c>
      <c r="H130" s="51">
        <f t="shared" si="16"/>
        <v>0</v>
      </c>
      <c r="I130" s="51">
        <f t="shared" si="17"/>
        <v>1</v>
      </c>
      <c r="J130" s="51" t="str">
        <f t="shared" si="18"/>
        <v>Yes</v>
      </c>
      <c r="K130" s="51" t="str">
        <f t="shared" si="19"/>
        <v/>
      </c>
      <c r="L130" s="127">
        <f t="shared" si="13"/>
        <v>0</v>
      </c>
      <c r="M130" s="127">
        <f t="shared" si="22"/>
        <v>0</v>
      </c>
    </row>
    <row r="131" spans="1:13" s="43" customFormat="1" ht="14.1" customHeight="1">
      <c r="A131" s="124">
        <f t="shared" si="20"/>
        <v>128</v>
      </c>
      <c r="B131" s="36"/>
      <c r="C131" s="125" t="str">
        <f t="shared" si="12"/>
        <v/>
      </c>
      <c r="D131" s="34"/>
      <c r="E131" s="51" t="str">
        <f t="shared" si="21"/>
        <v/>
      </c>
      <c r="F131" s="51">
        <f t="shared" si="14"/>
        <v>0</v>
      </c>
      <c r="G131" s="51">
        <f t="shared" si="15"/>
        <v>0</v>
      </c>
      <c r="H131" s="51">
        <f t="shared" si="16"/>
        <v>0</v>
      </c>
      <c r="I131" s="51">
        <f t="shared" si="17"/>
        <v>1</v>
      </c>
      <c r="J131" s="51" t="str">
        <f t="shared" si="18"/>
        <v>Yes</v>
      </c>
      <c r="K131" s="51" t="str">
        <f t="shared" si="19"/>
        <v/>
      </c>
      <c r="L131" s="127">
        <f t="shared" si="13"/>
        <v>0</v>
      </c>
      <c r="M131" s="127">
        <f t="shared" si="22"/>
        <v>0</v>
      </c>
    </row>
    <row r="132" spans="1:13" s="43" customFormat="1" ht="14.1" customHeight="1">
      <c r="A132" s="124">
        <f t="shared" si="20"/>
        <v>129</v>
      </c>
      <c r="B132" s="36"/>
      <c r="C132" s="125" t="str">
        <f t="shared" ref="C132:C195" si="23">IF(J132="No",M132,"")</f>
        <v/>
      </c>
      <c r="D132" s="34"/>
      <c r="E132" s="51" t="str">
        <f t="shared" si="21"/>
        <v/>
      </c>
      <c r="F132" s="51">
        <f t="shared" si="14"/>
        <v>0</v>
      </c>
      <c r="G132" s="51">
        <f t="shared" si="15"/>
        <v>0</v>
      </c>
      <c r="H132" s="51">
        <f t="shared" si="16"/>
        <v>0</v>
      </c>
      <c r="I132" s="51">
        <f t="shared" si="17"/>
        <v>1</v>
      </c>
      <c r="J132" s="51" t="str">
        <f t="shared" si="18"/>
        <v>Yes</v>
      </c>
      <c r="K132" s="51" t="str">
        <f t="shared" si="19"/>
        <v/>
      </c>
      <c r="L132" s="127">
        <f t="shared" ref="L132:L195" si="24">TIME(F132,G132,H132)</f>
        <v>0</v>
      </c>
      <c r="M132" s="127">
        <f t="shared" si="22"/>
        <v>0</v>
      </c>
    </row>
    <row r="133" spans="1:13" s="43" customFormat="1" ht="14.1" customHeight="1">
      <c r="A133" s="124">
        <f t="shared" si="20"/>
        <v>130</v>
      </c>
      <c r="B133" s="36"/>
      <c r="C133" s="125" t="str">
        <f t="shared" si="23"/>
        <v/>
      </c>
      <c r="D133" s="34"/>
      <c r="E133" s="51" t="str">
        <f t="shared" si="21"/>
        <v/>
      </c>
      <c r="F133" s="51">
        <f t="shared" ref="F133:F196" si="25">IF(ISERROR(MID($E133,FIND("h",$E133)-2,2)+0),0,MID($E133,FIND("h",$E133)-2,2)+0)</f>
        <v>0</v>
      </c>
      <c r="G133" s="51">
        <f t="shared" ref="G133:G196" si="26">IF(ISERROR(MID($E133,FIND("m",$E133)-2,2)+0),0,MID($E133,FIND("m",$E133)-2,2)+0)</f>
        <v>0</v>
      </c>
      <c r="H133" s="51">
        <f t="shared" ref="H133:H196" si="27">IF(ISERROR(MID($E133,FIND("s",$E133)-2,2)+0),0,MID($E133,FIND("s",$E133)-2,2)+0)</f>
        <v>0</v>
      </c>
      <c r="I133" s="51">
        <f t="shared" ref="I133:I196" si="28">IF(J133="No",I132+1,I132)</f>
        <v>1</v>
      </c>
      <c r="J133" s="51" t="str">
        <f t="shared" ref="J133:J140" si="29">IF(AND(F133=0,G133=0),"Yes","No")</f>
        <v>Yes</v>
      </c>
      <c r="K133" s="51" t="str">
        <f t="shared" ref="K133:K196" si="30">IF(J133="No",J133&amp;I133,"")</f>
        <v/>
      </c>
      <c r="L133" s="127">
        <f t="shared" si="24"/>
        <v>0</v>
      </c>
      <c r="M133" s="127">
        <f t="shared" si="22"/>
        <v>0</v>
      </c>
    </row>
    <row r="134" spans="1:13" s="43" customFormat="1" ht="14.1" customHeight="1">
      <c r="A134" s="124">
        <f t="shared" ref="A134:A197" si="31">A133+1</f>
        <v>131</v>
      </c>
      <c r="B134" s="36"/>
      <c r="C134" s="125" t="str">
        <f t="shared" si="23"/>
        <v/>
      </c>
      <c r="D134" s="34"/>
      <c r="E134" s="51" t="str">
        <f t="shared" si="21"/>
        <v/>
      </c>
      <c r="F134" s="51">
        <f t="shared" si="25"/>
        <v>0</v>
      </c>
      <c r="G134" s="51">
        <f t="shared" si="26"/>
        <v>0</v>
      </c>
      <c r="H134" s="51">
        <f t="shared" si="27"/>
        <v>0</v>
      </c>
      <c r="I134" s="51">
        <f t="shared" si="28"/>
        <v>1</v>
      </c>
      <c r="J134" s="51" t="str">
        <f t="shared" si="29"/>
        <v>Yes</v>
      </c>
      <c r="K134" s="51" t="str">
        <f t="shared" si="30"/>
        <v/>
      </c>
      <c r="L134" s="127">
        <f t="shared" si="24"/>
        <v>0</v>
      </c>
      <c r="M134" s="127">
        <f t="shared" si="22"/>
        <v>0</v>
      </c>
    </row>
    <row r="135" spans="1:13" s="43" customFormat="1" ht="14.1" customHeight="1">
      <c r="A135" s="124">
        <f t="shared" si="31"/>
        <v>132</v>
      </c>
      <c r="B135" s="36"/>
      <c r="C135" s="125" t="str">
        <f t="shared" si="23"/>
        <v/>
      </c>
      <c r="D135" s="34"/>
      <c r="E135" s="51" t="str">
        <f t="shared" ref="E135:E198" si="32">IF(ISERROR(LEFT(B135,FIND(")",B135))),"",LEFT(B135,FIND(")",B135)))</f>
        <v/>
      </c>
      <c r="F135" s="51">
        <f t="shared" si="25"/>
        <v>0</v>
      </c>
      <c r="G135" s="51">
        <f t="shared" si="26"/>
        <v>0</v>
      </c>
      <c r="H135" s="51">
        <f t="shared" si="27"/>
        <v>0</v>
      </c>
      <c r="I135" s="51">
        <f t="shared" si="28"/>
        <v>1</v>
      </c>
      <c r="J135" s="51" t="str">
        <f t="shared" si="29"/>
        <v>Yes</v>
      </c>
      <c r="K135" s="51" t="str">
        <f t="shared" si="30"/>
        <v/>
      </c>
      <c r="L135" s="127">
        <f t="shared" si="24"/>
        <v>0</v>
      </c>
      <c r="M135" s="127">
        <f t="shared" ref="M135:M198" si="33">IF(I135=1,0,INDEX(L:L,MATCH("No"&amp;I135,K:K,0))-INDEX(L:L,MATCH("No"&amp;I135-1,K:K,0)))</f>
        <v>0</v>
      </c>
    </row>
    <row r="136" spans="1:13" s="43" customFormat="1" ht="14.1" customHeight="1">
      <c r="A136" s="124">
        <f t="shared" si="31"/>
        <v>133</v>
      </c>
      <c r="B136" s="36"/>
      <c r="C136" s="125" t="str">
        <f t="shared" si="23"/>
        <v/>
      </c>
      <c r="D136" s="34"/>
      <c r="E136" s="51" t="str">
        <f t="shared" si="32"/>
        <v/>
      </c>
      <c r="F136" s="51">
        <f t="shared" si="25"/>
        <v>0</v>
      </c>
      <c r="G136" s="51">
        <f t="shared" si="26"/>
        <v>0</v>
      </c>
      <c r="H136" s="51">
        <f t="shared" si="27"/>
        <v>0</v>
      </c>
      <c r="I136" s="51">
        <f t="shared" si="28"/>
        <v>1</v>
      </c>
      <c r="J136" s="51" t="str">
        <f t="shared" si="29"/>
        <v>Yes</v>
      </c>
      <c r="K136" s="51" t="str">
        <f t="shared" si="30"/>
        <v/>
      </c>
      <c r="L136" s="127">
        <f t="shared" si="24"/>
        <v>0</v>
      </c>
      <c r="M136" s="127">
        <f t="shared" si="33"/>
        <v>0</v>
      </c>
    </row>
    <row r="137" spans="1:13" s="43" customFormat="1" ht="14.1" customHeight="1">
      <c r="A137" s="124">
        <f t="shared" si="31"/>
        <v>134</v>
      </c>
      <c r="B137" s="36"/>
      <c r="C137" s="125" t="str">
        <f t="shared" si="23"/>
        <v/>
      </c>
      <c r="D137" s="34"/>
      <c r="E137" s="51" t="str">
        <f t="shared" si="32"/>
        <v/>
      </c>
      <c r="F137" s="51">
        <f t="shared" si="25"/>
        <v>0</v>
      </c>
      <c r="G137" s="51">
        <f t="shared" si="26"/>
        <v>0</v>
      </c>
      <c r="H137" s="51">
        <f t="shared" si="27"/>
        <v>0</v>
      </c>
      <c r="I137" s="51">
        <f t="shared" si="28"/>
        <v>1</v>
      </c>
      <c r="J137" s="51" t="str">
        <f t="shared" si="29"/>
        <v>Yes</v>
      </c>
      <c r="K137" s="51" t="str">
        <f t="shared" si="30"/>
        <v/>
      </c>
      <c r="L137" s="127">
        <f t="shared" si="24"/>
        <v>0</v>
      </c>
      <c r="M137" s="127">
        <f t="shared" si="33"/>
        <v>0</v>
      </c>
    </row>
    <row r="138" spans="1:13" s="43" customFormat="1" ht="14.1" customHeight="1">
      <c r="A138" s="124">
        <f t="shared" si="31"/>
        <v>135</v>
      </c>
      <c r="B138" s="36"/>
      <c r="C138" s="125" t="str">
        <f t="shared" si="23"/>
        <v/>
      </c>
      <c r="D138" s="34"/>
      <c r="E138" s="51" t="str">
        <f t="shared" si="32"/>
        <v/>
      </c>
      <c r="F138" s="51">
        <f t="shared" si="25"/>
        <v>0</v>
      </c>
      <c r="G138" s="51">
        <f t="shared" si="26"/>
        <v>0</v>
      </c>
      <c r="H138" s="51">
        <f t="shared" si="27"/>
        <v>0</v>
      </c>
      <c r="I138" s="51">
        <f t="shared" si="28"/>
        <v>1</v>
      </c>
      <c r="J138" s="51" t="str">
        <f t="shared" si="29"/>
        <v>Yes</v>
      </c>
      <c r="K138" s="51" t="str">
        <f t="shared" si="30"/>
        <v/>
      </c>
      <c r="L138" s="127">
        <f t="shared" si="24"/>
        <v>0</v>
      </c>
      <c r="M138" s="127">
        <f t="shared" si="33"/>
        <v>0</v>
      </c>
    </row>
    <row r="139" spans="1:13" s="43" customFormat="1" ht="14.1" customHeight="1">
      <c r="A139" s="124">
        <f t="shared" si="31"/>
        <v>136</v>
      </c>
      <c r="B139" s="36"/>
      <c r="C139" s="125" t="str">
        <f t="shared" si="23"/>
        <v/>
      </c>
      <c r="D139" s="34"/>
      <c r="E139" s="51" t="str">
        <f t="shared" si="32"/>
        <v/>
      </c>
      <c r="F139" s="51">
        <f t="shared" si="25"/>
        <v>0</v>
      </c>
      <c r="G139" s="51">
        <f t="shared" si="26"/>
        <v>0</v>
      </c>
      <c r="H139" s="51">
        <f t="shared" si="27"/>
        <v>0</v>
      </c>
      <c r="I139" s="51">
        <f t="shared" si="28"/>
        <v>1</v>
      </c>
      <c r="J139" s="51" t="str">
        <f t="shared" si="29"/>
        <v>Yes</v>
      </c>
      <c r="K139" s="51" t="str">
        <f t="shared" si="30"/>
        <v/>
      </c>
      <c r="L139" s="127">
        <f t="shared" si="24"/>
        <v>0</v>
      </c>
      <c r="M139" s="127">
        <f t="shared" si="33"/>
        <v>0</v>
      </c>
    </row>
    <row r="140" spans="1:13" s="43" customFormat="1" ht="14.1" customHeight="1">
      <c r="A140" s="124">
        <f t="shared" si="31"/>
        <v>137</v>
      </c>
      <c r="B140" s="36"/>
      <c r="C140" s="125" t="str">
        <f t="shared" si="23"/>
        <v/>
      </c>
      <c r="D140" s="34"/>
      <c r="E140" s="51" t="str">
        <f t="shared" si="32"/>
        <v/>
      </c>
      <c r="F140" s="51">
        <f t="shared" si="25"/>
        <v>0</v>
      </c>
      <c r="G140" s="51">
        <f t="shared" si="26"/>
        <v>0</v>
      </c>
      <c r="H140" s="51">
        <f t="shared" si="27"/>
        <v>0</v>
      </c>
      <c r="I140" s="51">
        <f t="shared" si="28"/>
        <v>1</v>
      </c>
      <c r="J140" s="51" t="str">
        <f t="shared" si="29"/>
        <v>Yes</v>
      </c>
      <c r="K140" s="51" t="str">
        <f t="shared" si="30"/>
        <v/>
      </c>
      <c r="L140" s="127">
        <f t="shared" si="24"/>
        <v>0</v>
      </c>
      <c r="M140" s="127">
        <f t="shared" si="33"/>
        <v>0</v>
      </c>
    </row>
    <row r="141" spans="1:13" s="43" customFormat="1" ht="14.1" customHeight="1">
      <c r="A141" s="124">
        <f t="shared" si="31"/>
        <v>138</v>
      </c>
      <c r="B141" s="36"/>
      <c r="C141" s="125" t="str">
        <f t="shared" si="23"/>
        <v/>
      </c>
      <c r="D141" s="34"/>
      <c r="E141" s="51" t="str">
        <f t="shared" si="32"/>
        <v/>
      </c>
      <c r="F141" s="51">
        <f t="shared" si="25"/>
        <v>0</v>
      </c>
      <c r="G141" s="51">
        <f t="shared" si="26"/>
        <v>0</v>
      </c>
      <c r="H141" s="51">
        <f t="shared" si="27"/>
        <v>0</v>
      </c>
      <c r="I141" s="51">
        <f t="shared" si="28"/>
        <v>1</v>
      </c>
      <c r="J141" s="51" t="str">
        <f>IF(AND(F141=0,G141=0),"Yes","No")</f>
        <v>Yes</v>
      </c>
      <c r="K141" s="51" t="str">
        <f>IF(J141="No",J141&amp;I141,"")</f>
        <v/>
      </c>
      <c r="L141" s="127">
        <f t="shared" si="24"/>
        <v>0</v>
      </c>
      <c r="M141" s="127">
        <f t="shared" si="33"/>
        <v>0</v>
      </c>
    </row>
    <row r="142" spans="1:13" s="43" customFormat="1" ht="14.1" customHeight="1">
      <c r="A142" s="124">
        <f t="shared" si="31"/>
        <v>139</v>
      </c>
      <c r="B142" s="36"/>
      <c r="C142" s="125" t="str">
        <f t="shared" si="23"/>
        <v/>
      </c>
      <c r="D142" s="34"/>
      <c r="E142" s="51" t="str">
        <f t="shared" si="32"/>
        <v/>
      </c>
      <c r="F142" s="51">
        <f t="shared" si="25"/>
        <v>0</v>
      </c>
      <c r="G142" s="51">
        <f t="shared" si="26"/>
        <v>0</v>
      </c>
      <c r="H142" s="51">
        <f t="shared" si="27"/>
        <v>0</v>
      </c>
      <c r="I142" s="51">
        <f t="shared" si="28"/>
        <v>1</v>
      </c>
      <c r="J142" s="51" t="str">
        <f t="shared" ref="J142:J203" si="34">IF(G142=0,"Yes","No")</f>
        <v>Yes</v>
      </c>
      <c r="K142" s="51" t="str">
        <f t="shared" si="30"/>
        <v/>
      </c>
      <c r="L142" s="127">
        <f t="shared" si="24"/>
        <v>0</v>
      </c>
      <c r="M142" s="127">
        <f t="shared" si="33"/>
        <v>0</v>
      </c>
    </row>
    <row r="143" spans="1:13" s="43" customFormat="1" ht="14.1" customHeight="1">
      <c r="A143" s="124">
        <f t="shared" si="31"/>
        <v>140</v>
      </c>
      <c r="B143" s="36"/>
      <c r="C143" s="125" t="str">
        <f t="shared" si="23"/>
        <v/>
      </c>
      <c r="D143" s="34"/>
      <c r="E143" s="51" t="str">
        <f t="shared" si="32"/>
        <v/>
      </c>
      <c r="F143" s="51">
        <f t="shared" si="25"/>
        <v>0</v>
      </c>
      <c r="G143" s="51">
        <f t="shared" si="26"/>
        <v>0</v>
      </c>
      <c r="H143" s="51">
        <f t="shared" si="27"/>
        <v>0</v>
      </c>
      <c r="I143" s="51">
        <f t="shared" si="28"/>
        <v>1</v>
      </c>
      <c r="J143" s="51" t="str">
        <f t="shared" si="34"/>
        <v>Yes</v>
      </c>
      <c r="K143" s="51" t="str">
        <f t="shared" si="30"/>
        <v/>
      </c>
      <c r="L143" s="127">
        <f t="shared" si="24"/>
        <v>0</v>
      </c>
      <c r="M143" s="127">
        <f t="shared" si="33"/>
        <v>0</v>
      </c>
    </row>
    <row r="144" spans="1:13" s="43" customFormat="1" ht="14.1" customHeight="1">
      <c r="A144" s="124">
        <f t="shared" si="31"/>
        <v>141</v>
      </c>
      <c r="B144" s="36"/>
      <c r="C144" s="125" t="str">
        <f t="shared" si="23"/>
        <v/>
      </c>
      <c r="D144" s="34"/>
      <c r="E144" s="51" t="str">
        <f t="shared" si="32"/>
        <v/>
      </c>
      <c r="F144" s="51">
        <f t="shared" si="25"/>
        <v>0</v>
      </c>
      <c r="G144" s="51">
        <f t="shared" si="26"/>
        <v>0</v>
      </c>
      <c r="H144" s="51">
        <f t="shared" si="27"/>
        <v>0</v>
      </c>
      <c r="I144" s="51">
        <f t="shared" si="28"/>
        <v>1</v>
      </c>
      <c r="J144" s="51" t="str">
        <f t="shared" si="34"/>
        <v>Yes</v>
      </c>
      <c r="K144" s="51" t="str">
        <f t="shared" si="30"/>
        <v/>
      </c>
      <c r="L144" s="127">
        <f t="shared" si="24"/>
        <v>0</v>
      </c>
      <c r="M144" s="127">
        <f t="shared" si="33"/>
        <v>0</v>
      </c>
    </row>
    <row r="145" spans="1:13" s="43" customFormat="1" ht="14.1" customHeight="1">
      <c r="A145" s="124">
        <f t="shared" si="31"/>
        <v>142</v>
      </c>
      <c r="B145" s="36"/>
      <c r="C145" s="125" t="str">
        <f t="shared" si="23"/>
        <v/>
      </c>
      <c r="D145" s="34"/>
      <c r="E145" s="51" t="str">
        <f t="shared" si="32"/>
        <v/>
      </c>
      <c r="F145" s="51">
        <f t="shared" si="25"/>
        <v>0</v>
      </c>
      <c r="G145" s="51">
        <f t="shared" si="26"/>
        <v>0</v>
      </c>
      <c r="H145" s="51">
        <f t="shared" si="27"/>
        <v>0</v>
      </c>
      <c r="I145" s="51">
        <f t="shared" si="28"/>
        <v>1</v>
      </c>
      <c r="J145" s="51" t="str">
        <f t="shared" si="34"/>
        <v>Yes</v>
      </c>
      <c r="K145" s="51" t="str">
        <f t="shared" si="30"/>
        <v/>
      </c>
      <c r="L145" s="127">
        <f t="shared" si="24"/>
        <v>0</v>
      </c>
      <c r="M145" s="127">
        <f t="shared" si="33"/>
        <v>0</v>
      </c>
    </row>
    <row r="146" spans="1:13" s="43" customFormat="1" ht="14.1" customHeight="1">
      <c r="A146" s="124">
        <f t="shared" si="31"/>
        <v>143</v>
      </c>
      <c r="B146" s="36"/>
      <c r="C146" s="125" t="str">
        <f t="shared" si="23"/>
        <v/>
      </c>
      <c r="D146" s="34"/>
      <c r="E146" s="51" t="str">
        <f t="shared" si="32"/>
        <v/>
      </c>
      <c r="F146" s="51">
        <f t="shared" si="25"/>
        <v>0</v>
      </c>
      <c r="G146" s="51">
        <f t="shared" si="26"/>
        <v>0</v>
      </c>
      <c r="H146" s="51">
        <f t="shared" si="27"/>
        <v>0</v>
      </c>
      <c r="I146" s="51">
        <f t="shared" si="28"/>
        <v>1</v>
      </c>
      <c r="J146" s="51" t="str">
        <f t="shared" si="34"/>
        <v>Yes</v>
      </c>
      <c r="K146" s="51" t="str">
        <f t="shared" si="30"/>
        <v/>
      </c>
      <c r="L146" s="127">
        <f t="shared" si="24"/>
        <v>0</v>
      </c>
      <c r="M146" s="127">
        <f t="shared" si="33"/>
        <v>0</v>
      </c>
    </row>
    <row r="147" spans="1:13" s="43" customFormat="1" ht="14.1" customHeight="1">
      <c r="A147" s="124">
        <f t="shared" si="31"/>
        <v>144</v>
      </c>
      <c r="B147" s="36"/>
      <c r="C147" s="125" t="str">
        <f t="shared" si="23"/>
        <v/>
      </c>
      <c r="D147" s="34"/>
      <c r="E147" s="51" t="str">
        <f t="shared" si="32"/>
        <v/>
      </c>
      <c r="F147" s="51">
        <f t="shared" si="25"/>
        <v>0</v>
      </c>
      <c r="G147" s="51">
        <f t="shared" si="26"/>
        <v>0</v>
      </c>
      <c r="H147" s="51">
        <f t="shared" si="27"/>
        <v>0</v>
      </c>
      <c r="I147" s="51">
        <f t="shared" si="28"/>
        <v>1</v>
      </c>
      <c r="J147" s="51" t="str">
        <f t="shared" si="34"/>
        <v>Yes</v>
      </c>
      <c r="K147" s="51" t="str">
        <f t="shared" si="30"/>
        <v/>
      </c>
      <c r="L147" s="127">
        <f t="shared" si="24"/>
        <v>0</v>
      </c>
      <c r="M147" s="127">
        <f t="shared" si="33"/>
        <v>0</v>
      </c>
    </row>
    <row r="148" spans="1:13" s="43" customFormat="1" ht="14.1" customHeight="1">
      <c r="A148" s="124">
        <f t="shared" si="31"/>
        <v>145</v>
      </c>
      <c r="B148" s="36"/>
      <c r="C148" s="125" t="str">
        <f t="shared" si="23"/>
        <v/>
      </c>
      <c r="D148" s="34"/>
      <c r="E148" s="51" t="str">
        <f t="shared" si="32"/>
        <v/>
      </c>
      <c r="F148" s="51">
        <f t="shared" si="25"/>
        <v>0</v>
      </c>
      <c r="G148" s="51">
        <f t="shared" si="26"/>
        <v>0</v>
      </c>
      <c r="H148" s="51">
        <f t="shared" si="27"/>
        <v>0</v>
      </c>
      <c r="I148" s="51">
        <f t="shared" si="28"/>
        <v>1</v>
      </c>
      <c r="J148" s="51" t="str">
        <f t="shared" si="34"/>
        <v>Yes</v>
      </c>
      <c r="K148" s="51" t="str">
        <f t="shared" si="30"/>
        <v/>
      </c>
      <c r="L148" s="127">
        <f t="shared" si="24"/>
        <v>0</v>
      </c>
      <c r="M148" s="127">
        <f t="shared" si="33"/>
        <v>0</v>
      </c>
    </row>
    <row r="149" spans="1:13" s="43" customFormat="1" ht="14.1" customHeight="1">
      <c r="A149" s="124">
        <f t="shared" si="31"/>
        <v>146</v>
      </c>
      <c r="B149" s="36"/>
      <c r="C149" s="125" t="str">
        <f t="shared" si="23"/>
        <v/>
      </c>
      <c r="D149" s="34"/>
      <c r="E149" s="51" t="str">
        <f t="shared" si="32"/>
        <v/>
      </c>
      <c r="F149" s="51">
        <f t="shared" si="25"/>
        <v>0</v>
      </c>
      <c r="G149" s="51">
        <f t="shared" si="26"/>
        <v>0</v>
      </c>
      <c r="H149" s="51">
        <f t="shared" si="27"/>
        <v>0</v>
      </c>
      <c r="I149" s="51">
        <f t="shared" si="28"/>
        <v>1</v>
      </c>
      <c r="J149" s="51" t="str">
        <f t="shared" si="34"/>
        <v>Yes</v>
      </c>
      <c r="K149" s="51" t="str">
        <f t="shared" si="30"/>
        <v/>
      </c>
      <c r="L149" s="127">
        <f t="shared" si="24"/>
        <v>0</v>
      </c>
      <c r="M149" s="127">
        <f t="shared" si="33"/>
        <v>0</v>
      </c>
    </row>
    <row r="150" spans="1:13" s="43" customFormat="1" ht="14.1" customHeight="1">
      <c r="A150" s="124">
        <f t="shared" si="31"/>
        <v>147</v>
      </c>
      <c r="B150" s="36"/>
      <c r="C150" s="125" t="str">
        <f t="shared" si="23"/>
        <v/>
      </c>
      <c r="D150" s="34"/>
      <c r="E150" s="51" t="str">
        <f t="shared" si="32"/>
        <v/>
      </c>
      <c r="F150" s="51">
        <f t="shared" si="25"/>
        <v>0</v>
      </c>
      <c r="G150" s="51">
        <f t="shared" si="26"/>
        <v>0</v>
      </c>
      <c r="H150" s="51">
        <f t="shared" si="27"/>
        <v>0</v>
      </c>
      <c r="I150" s="51">
        <f t="shared" si="28"/>
        <v>1</v>
      </c>
      <c r="J150" s="51" t="str">
        <f t="shared" si="34"/>
        <v>Yes</v>
      </c>
      <c r="K150" s="51" t="str">
        <f t="shared" si="30"/>
        <v/>
      </c>
      <c r="L150" s="127">
        <f t="shared" si="24"/>
        <v>0</v>
      </c>
      <c r="M150" s="127">
        <f t="shared" si="33"/>
        <v>0</v>
      </c>
    </row>
    <row r="151" spans="1:13" s="43" customFormat="1" ht="14.1" customHeight="1">
      <c r="A151" s="124">
        <f t="shared" si="31"/>
        <v>148</v>
      </c>
      <c r="B151" s="36"/>
      <c r="C151" s="125" t="str">
        <f t="shared" si="23"/>
        <v/>
      </c>
      <c r="D151" s="34"/>
      <c r="E151" s="51" t="str">
        <f t="shared" si="32"/>
        <v/>
      </c>
      <c r="F151" s="51">
        <f t="shared" si="25"/>
        <v>0</v>
      </c>
      <c r="G151" s="51">
        <f t="shared" si="26"/>
        <v>0</v>
      </c>
      <c r="H151" s="51">
        <f t="shared" si="27"/>
        <v>0</v>
      </c>
      <c r="I151" s="51">
        <f t="shared" si="28"/>
        <v>1</v>
      </c>
      <c r="J151" s="51" t="str">
        <f t="shared" si="34"/>
        <v>Yes</v>
      </c>
      <c r="K151" s="51" t="str">
        <f t="shared" si="30"/>
        <v/>
      </c>
      <c r="L151" s="127">
        <f t="shared" si="24"/>
        <v>0</v>
      </c>
      <c r="M151" s="127">
        <f t="shared" si="33"/>
        <v>0</v>
      </c>
    </row>
    <row r="152" spans="1:13" s="43" customFormat="1" ht="14.1" customHeight="1">
      <c r="A152" s="124">
        <f t="shared" si="31"/>
        <v>149</v>
      </c>
      <c r="B152" s="36"/>
      <c r="C152" s="125" t="str">
        <f t="shared" si="23"/>
        <v/>
      </c>
      <c r="D152" s="34"/>
      <c r="E152" s="51" t="str">
        <f t="shared" si="32"/>
        <v/>
      </c>
      <c r="F152" s="51">
        <f t="shared" si="25"/>
        <v>0</v>
      </c>
      <c r="G152" s="51">
        <f t="shared" si="26"/>
        <v>0</v>
      </c>
      <c r="H152" s="51">
        <f t="shared" si="27"/>
        <v>0</v>
      </c>
      <c r="I152" s="51">
        <f t="shared" si="28"/>
        <v>1</v>
      </c>
      <c r="J152" s="51" t="str">
        <f t="shared" si="34"/>
        <v>Yes</v>
      </c>
      <c r="K152" s="51" t="str">
        <f t="shared" si="30"/>
        <v/>
      </c>
      <c r="L152" s="127">
        <f t="shared" si="24"/>
        <v>0</v>
      </c>
      <c r="M152" s="127">
        <f t="shared" si="33"/>
        <v>0</v>
      </c>
    </row>
    <row r="153" spans="1:13" s="43" customFormat="1" ht="14.1" customHeight="1">
      <c r="A153" s="124">
        <f t="shared" si="31"/>
        <v>150</v>
      </c>
      <c r="B153" s="36"/>
      <c r="C153" s="125" t="str">
        <f t="shared" si="23"/>
        <v/>
      </c>
      <c r="D153" s="34"/>
      <c r="E153" s="51" t="str">
        <f t="shared" si="32"/>
        <v/>
      </c>
      <c r="F153" s="51">
        <f t="shared" si="25"/>
        <v>0</v>
      </c>
      <c r="G153" s="51">
        <f t="shared" si="26"/>
        <v>0</v>
      </c>
      <c r="H153" s="51">
        <f t="shared" si="27"/>
        <v>0</v>
      </c>
      <c r="I153" s="51">
        <f t="shared" si="28"/>
        <v>1</v>
      </c>
      <c r="J153" s="51" t="str">
        <f t="shared" si="34"/>
        <v>Yes</v>
      </c>
      <c r="K153" s="51" t="str">
        <f t="shared" si="30"/>
        <v/>
      </c>
      <c r="L153" s="127">
        <f t="shared" si="24"/>
        <v>0</v>
      </c>
      <c r="M153" s="127">
        <f t="shared" si="33"/>
        <v>0</v>
      </c>
    </row>
    <row r="154" spans="1:13" s="43" customFormat="1" ht="14.1" customHeight="1">
      <c r="A154" s="124">
        <f t="shared" si="31"/>
        <v>151</v>
      </c>
      <c r="B154" s="36"/>
      <c r="C154" s="125" t="str">
        <f t="shared" si="23"/>
        <v/>
      </c>
      <c r="D154" s="34"/>
      <c r="E154" s="51" t="str">
        <f t="shared" si="32"/>
        <v/>
      </c>
      <c r="F154" s="51">
        <f t="shared" si="25"/>
        <v>0</v>
      </c>
      <c r="G154" s="51">
        <f t="shared" si="26"/>
        <v>0</v>
      </c>
      <c r="H154" s="51">
        <f t="shared" si="27"/>
        <v>0</v>
      </c>
      <c r="I154" s="51">
        <f t="shared" si="28"/>
        <v>1</v>
      </c>
      <c r="J154" s="51" t="str">
        <f t="shared" si="34"/>
        <v>Yes</v>
      </c>
      <c r="K154" s="51" t="str">
        <f t="shared" si="30"/>
        <v/>
      </c>
      <c r="L154" s="127">
        <f t="shared" si="24"/>
        <v>0</v>
      </c>
      <c r="M154" s="127">
        <f t="shared" si="33"/>
        <v>0</v>
      </c>
    </row>
    <row r="155" spans="1:13" s="43" customFormat="1" ht="14.1" customHeight="1">
      <c r="A155" s="124">
        <f t="shared" si="31"/>
        <v>152</v>
      </c>
      <c r="B155" s="36"/>
      <c r="C155" s="125" t="str">
        <f t="shared" si="23"/>
        <v/>
      </c>
      <c r="D155" s="34"/>
      <c r="E155" s="51" t="str">
        <f t="shared" si="32"/>
        <v/>
      </c>
      <c r="F155" s="51">
        <f t="shared" si="25"/>
        <v>0</v>
      </c>
      <c r="G155" s="51">
        <f t="shared" si="26"/>
        <v>0</v>
      </c>
      <c r="H155" s="51">
        <f t="shared" si="27"/>
        <v>0</v>
      </c>
      <c r="I155" s="51">
        <f t="shared" si="28"/>
        <v>1</v>
      </c>
      <c r="J155" s="51" t="str">
        <f t="shared" si="34"/>
        <v>Yes</v>
      </c>
      <c r="K155" s="51" t="str">
        <f t="shared" si="30"/>
        <v/>
      </c>
      <c r="L155" s="127">
        <f t="shared" si="24"/>
        <v>0</v>
      </c>
      <c r="M155" s="127">
        <f t="shared" si="33"/>
        <v>0</v>
      </c>
    </row>
    <row r="156" spans="1:13" s="43" customFormat="1" ht="14.1" customHeight="1">
      <c r="A156" s="124">
        <f t="shared" si="31"/>
        <v>153</v>
      </c>
      <c r="B156" s="36"/>
      <c r="C156" s="125" t="str">
        <f t="shared" si="23"/>
        <v/>
      </c>
      <c r="D156" s="34"/>
      <c r="E156" s="51" t="str">
        <f t="shared" si="32"/>
        <v/>
      </c>
      <c r="F156" s="51">
        <f t="shared" si="25"/>
        <v>0</v>
      </c>
      <c r="G156" s="51">
        <f t="shared" si="26"/>
        <v>0</v>
      </c>
      <c r="H156" s="51">
        <f t="shared" si="27"/>
        <v>0</v>
      </c>
      <c r="I156" s="51">
        <f t="shared" si="28"/>
        <v>1</v>
      </c>
      <c r="J156" s="51" t="str">
        <f t="shared" si="34"/>
        <v>Yes</v>
      </c>
      <c r="K156" s="51" t="str">
        <f t="shared" si="30"/>
        <v/>
      </c>
      <c r="L156" s="127">
        <f t="shared" si="24"/>
        <v>0</v>
      </c>
      <c r="M156" s="127">
        <f t="shared" si="33"/>
        <v>0</v>
      </c>
    </row>
    <row r="157" spans="1:13" s="43" customFormat="1" ht="14.1" customHeight="1">
      <c r="A157" s="124">
        <f t="shared" si="31"/>
        <v>154</v>
      </c>
      <c r="B157" s="36"/>
      <c r="C157" s="125" t="str">
        <f t="shared" si="23"/>
        <v/>
      </c>
      <c r="D157" s="34"/>
      <c r="E157" s="51" t="str">
        <f t="shared" si="32"/>
        <v/>
      </c>
      <c r="F157" s="51">
        <f t="shared" si="25"/>
        <v>0</v>
      </c>
      <c r="G157" s="51">
        <f t="shared" si="26"/>
        <v>0</v>
      </c>
      <c r="H157" s="51">
        <f t="shared" si="27"/>
        <v>0</v>
      </c>
      <c r="I157" s="51">
        <f t="shared" si="28"/>
        <v>1</v>
      </c>
      <c r="J157" s="51" t="str">
        <f t="shared" si="34"/>
        <v>Yes</v>
      </c>
      <c r="K157" s="51" t="str">
        <f t="shared" si="30"/>
        <v/>
      </c>
      <c r="L157" s="127">
        <f t="shared" si="24"/>
        <v>0</v>
      </c>
      <c r="M157" s="127">
        <f t="shared" si="33"/>
        <v>0</v>
      </c>
    </row>
    <row r="158" spans="1:13" s="43" customFormat="1" ht="14.1" customHeight="1">
      <c r="A158" s="124">
        <f t="shared" si="31"/>
        <v>155</v>
      </c>
      <c r="B158" s="36"/>
      <c r="C158" s="125" t="str">
        <f t="shared" si="23"/>
        <v/>
      </c>
      <c r="D158" s="34"/>
      <c r="E158" s="51" t="str">
        <f t="shared" si="32"/>
        <v/>
      </c>
      <c r="F158" s="51">
        <f t="shared" si="25"/>
        <v>0</v>
      </c>
      <c r="G158" s="51">
        <f t="shared" si="26"/>
        <v>0</v>
      </c>
      <c r="H158" s="51">
        <f t="shared" si="27"/>
        <v>0</v>
      </c>
      <c r="I158" s="51">
        <f t="shared" si="28"/>
        <v>1</v>
      </c>
      <c r="J158" s="51" t="str">
        <f t="shared" si="34"/>
        <v>Yes</v>
      </c>
      <c r="K158" s="51" t="str">
        <f t="shared" si="30"/>
        <v/>
      </c>
      <c r="L158" s="127">
        <f t="shared" si="24"/>
        <v>0</v>
      </c>
      <c r="M158" s="127">
        <f t="shared" si="33"/>
        <v>0</v>
      </c>
    </row>
    <row r="159" spans="1:13" s="43" customFormat="1" ht="14.1" customHeight="1">
      <c r="A159" s="124">
        <f t="shared" si="31"/>
        <v>156</v>
      </c>
      <c r="B159" s="36"/>
      <c r="C159" s="125" t="str">
        <f t="shared" si="23"/>
        <v/>
      </c>
      <c r="D159" s="34"/>
      <c r="E159" s="51" t="str">
        <f t="shared" si="32"/>
        <v/>
      </c>
      <c r="F159" s="51">
        <f t="shared" si="25"/>
        <v>0</v>
      </c>
      <c r="G159" s="51">
        <f t="shared" si="26"/>
        <v>0</v>
      </c>
      <c r="H159" s="51">
        <f t="shared" si="27"/>
        <v>0</v>
      </c>
      <c r="I159" s="51">
        <f t="shared" si="28"/>
        <v>1</v>
      </c>
      <c r="J159" s="51" t="str">
        <f t="shared" si="34"/>
        <v>Yes</v>
      </c>
      <c r="K159" s="51" t="str">
        <f t="shared" si="30"/>
        <v/>
      </c>
      <c r="L159" s="127">
        <f t="shared" si="24"/>
        <v>0</v>
      </c>
      <c r="M159" s="127">
        <f t="shared" si="33"/>
        <v>0</v>
      </c>
    </row>
    <row r="160" spans="1:13" s="43" customFormat="1" ht="14.1" customHeight="1">
      <c r="A160" s="124">
        <f t="shared" si="31"/>
        <v>157</v>
      </c>
      <c r="B160" s="36"/>
      <c r="C160" s="125" t="str">
        <f t="shared" si="23"/>
        <v/>
      </c>
      <c r="D160" s="34"/>
      <c r="E160" s="51" t="str">
        <f t="shared" si="32"/>
        <v/>
      </c>
      <c r="F160" s="51">
        <f t="shared" si="25"/>
        <v>0</v>
      </c>
      <c r="G160" s="51">
        <f t="shared" si="26"/>
        <v>0</v>
      </c>
      <c r="H160" s="51">
        <f t="shared" si="27"/>
        <v>0</v>
      </c>
      <c r="I160" s="51">
        <f t="shared" si="28"/>
        <v>1</v>
      </c>
      <c r="J160" s="51" t="str">
        <f t="shared" si="34"/>
        <v>Yes</v>
      </c>
      <c r="K160" s="51" t="str">
        <f t="shared" si="30"/>
        <v/>
      </c>
      <c r="L160" s="127">
        <f t="shared" si="24"/>
        <v>0</v>
      </c>
      <c r="M160" s="127">
        <f t="shared" si="33"/>
        <v>0</v>
      </c>
    </row>
    <row r="161" spans="1:13" s="43" customFormat="1" ht="14.1" customHeight="1">
      <c r="A161" s="124">
        <f t="shared" si="31"/>
        <v>158</v>
      </c>
      <c r="B161" s="36"/>
      <c r="C161" s="125" t="str">
        <f t="shared" si="23"/>
        <v/>
      </c>
      <c r="D161" s="34"/>
      <c r="E161" s="51" t="str">
        <f t="shared" si="32"/>
        <v/>
      </c>
      <c r="F161" s="51">
        <f t="shared" si="25"/>
        <v>0</v>
      </c>
      <c r="G161" s="51">
        <f t="shared" si="26"/>
        <v>0</v>
      </c>
      <c r="H161" s="51">
        <f t="shared" si="27"/>
        <v>0</v>
      </c>
      <c r="I161" s="51">
        <f t="shared" si="28"/>
        <v>1</v>
      </c>
      <c r="J161" s="51" t="str">
        <f t="shared" si="34"/>
        <v>Yes</v>
      </c>
      <c r="K161" s="51" t="str">
        <f t="shared" si="30"/>
        <v/>
      </c>
      <c r="L161" s="127">
        <f t="shared" si="24"/>
        <v>0</v>
      </c>
      <c r="M161" s="127">
        <f t="shared" si="33"/>
        <v>0</v>
      </c>
    </row>
    <row r="162" spans="1:13" s="43" customFormat="1" ht="14.1" customHeight="1">
      <c r="A162" s="124">
        <f t="shared" si="31"/>
        <v>159</v>
      </c>
      <c r="B162" s="36"/>
      <c r="C162" s="125" t="str">
        <f t="shared" si="23"/>
        <v/>
      </c>
      <c r="D162" s="34"/>
      <c r="E162" s="51" t="str">
        <f t="shared" si="32"/>
        <v/>
      </c>
      <c r="F162" s="51">
        <f t="shared" si="25"/>
        <v>0</v>
      </c>
      <c r="G162" s="51">
        <f t="shared" si="26"/>
        <v>0</v>
      </c>
      <c r="H162" s="51">
        <f t="shared" si="27"/>
        <v>0</v>
      </c>
      <c r="I162" s="51">
        <f t="shared" si="28"/>
        <v>1</v>
      </c>
      <c r="J162" s="51" t="str">
        <f t="shared" si="34"/>
        <v>Yes</v>
      </c>
      <c r="K162" s="51" t="str">
        <f t="shared" si="30"/>
        <v/>
      </c>
      <c r="L162" s="127">
        <f t="shared" si="24"/>
        <v>0</v>
      </c>
      <c r="M162" s="127">
        <f t="shared" si="33"/>
        <v>0</v>
      </c>
    </row>
    <row r="163" spans="1:13" s="43" customFormat="1" ht="14.1" customHeight="1">
      <c r="A163" s="124">
        <f t="shared" si="31"/>
        <v>160</v>
      </c>
      <c r="B163" s="36"/>
      <c r="C163" s="125" t="str">
        <f t="shared" si="23"/>
        <v/>
      </c>
      <c r="D163" s="34"/>
      <c r="E163" s="51" t="str">
        <f t="shared" si="32"/>
        <v/>
      </c>
      <c r="F163" s="51">
        <f t="shared" si="25"/>
        <v>0</v>
      </c>
      <c r="G163" s="51">
        <f t="shared" si="26"/>
        <v>0</v>
      </c>
      <c r="H163" s="51">
        <f t="shared" si="27"/>
        <v>0</v>
      </c>
      <c r="I163" s="51">
        <f t="shared" si="28"/>
        <v>1</v>
      </c>
      <c r="J163" s="51" t="str">
        <f t="shared" si="34"/>
        <v>Yes</v>
      </c>
      <c r="K163" s="51" t="str">
        <f t="shared" si="30"/>
        <v/>
      </c>
      <c r="L163" s="127">
        <f t="shared" si="24"/>
        <v>0</v>
      </c>
      <c r="M163" s="127">
        <f t="shared" si="33"/>
        <v>0</v>
      </c>
    </row>
    <row r="164" spans="1:13" s="43" customFormat="1" ht="14.1" customHeight="1">
      <c r="A164" s="124">
        <f t="shared" si="31"/>
        <v>161</v>
      </c>
      <c r="B164" s="36"/>
      <c r="C164" s="125" t="str">
        <f t="shared" si="23"/>
        <v/>
      </c>
      <c r="D164" s="34"/>
      <c r="E164" s="51" t="str">
        <f t="shared" si="32"/>
        <v/>
      </c>
      <c r="F164" s="51">
        <f t="shared" si="25"/>
        <v>0</v>
      </c>
      <c r="G164" s="51">
        <f t="shared" si="26"/>
        <v>0</v>
      </c>
      <c r="H164" s="51">
        <f t="shared" si="27"/>
        <v>0</v>
      </c>
      <c r="I164" s="51">
        <f t="shared" si="28"/>
        <v>1</v>
      </c>
      <c r="J164" s="51" t="str">
        <f t="shared" si="34"/>
        <v>Yes</v>
      </c>
      <c r="K164" s="51" t="str">
        <f t="shared" si="30"/>
        <v/>
      </c>
      <c r="L164" s="127">
        <f t="shared" si="24"/>
        <v>0</v>
      </c>
      <c r="M164" s="127">
        <f t="shared" si="33"/>
        <v>0</v>
      </c>
    </row>
    <row r="165" spans="1:13" s="43" customFormat="1" ht="14.1" customHeight="1">
      <c r="A165" s="124">
        <f t="shared" si="31"/>
        <v>162</v>
      </c>
      <c r="B165" s="36"/>
      <c r="C165" s="125" t="str">
        <f t="shared" si="23"/>
        <v/>
      </c>
      <c r="D165" s="34"/>
      <c r="E165" s="51" t="str">
        <f t="shared" si="32"/>
        <v/>
      </c>
      <c r="F165" s="51">
        <f t="shared" si="25"/>
        <v>0</v>
      </c>
      <c r="G165" s="51">
        <f t="shared" si="26"/>
        <v>0</v>
      </c>
      <c r="H165" s="51">
        <f t="shared" si="27"/>
        <v>0</v>
      </c>
      <c r="I165" s="51">
        <f t="shared" si="28"/>
        <v>1</v>
      </c>
      <c r="J165" s="51" t="str">
        <f t="shared" si="34"/>
        <v>Yes</v>
      </c>
      <c r="K165" s="51" t="str">
        <f t="shared" si="30"/>
        <v/>
      </c>
      <c r="L165" s="127">
        <f t="shared" si="24"/>
        <v>0</v>
      </c>
      <c r="M165" s="127">
        <f t="shared" si="33"/>
        <v>0</v>
      </c>
    </row>
    <row r="166" spans="1:13" s="43" customFormat="1" ht="14.1" customHeight="1">
      <c r="A166" s="124">
        <f t="shared" si="31"/>
        <v>163</v>
      </c>
      <c r="B166" s="36"/>
      <c r="C166" s="125" t="str">
        <f t="shared" si="23"/>
        <v/>
      </c>
      <c r="D166" s="34"/>
      <c r="E166" s="51" t="str">
        <f t="shared" si="32"/>
        <v/>
      </c>
      <c r="F166" s="51">
        <f t="shared" si="25"/>
        <v>0</v>
      </c>
      <c r="G166" s="51">
        <f t="shared" si="26"/>
        <v>0</v>
      </c>
      <c r="H166" s="51">
        <f t="shared" si="27"/>
        <v>0</v>
      </c>
      <c r="I166" s="51">
        <f t="shared" si="28"/>
        <v>1</v>
      </c>
      <c r="J166" s="51" t="str">
        <f t="shared" si="34"/>
        <v>Yes</v>
      </c>
      <c r="K166" s="51" t="str">
        <f t="shared" si="30"/>
        <v/>
      </c>
      <c r="L166" s="127">
        <f t="shared" si="24"/>
        <v>0</v>
      </c>
      <c r="M166" s="127">
        <f t="shared" si="33"/>
        <v>0</v>
      </c>
    </row>
    <row r="167" spans="1:13" s="43" customFormat="1" ht="14.1" customHeight="1">
      <c r="A167" s="124">
        <f t="shared" si="31"/>
        <v>164</v>
      </c>
      <c r="B167" s="36"/>
      <c r="C167" s="125" t="str">
        <f t="shared" si="23"/>
        <v/>
      </c>
      <c r="D167" s="34"/>
      <c r="E167" s="51" t="str">
        <f t="shared" si="32"/>
        <v/>
      </c>
      <c r="F167" s="51">
        <f t="shared" si="25"/>
        <v>0</v>
      </c>
      <c r="G167" s="51">
        <f t="shared" si="26"/>
        <v>0</v>
      </c>
      <c r="H167" s="51">
        <f t="shared" si="27"/>
        <v>0</v>
      </c>
      <c r="I167" s="51">
        <f t="shared" si="28"/>
        <v>1</v>
      </c>
      <c r="J167" s="51" t="str">
        <f t="shared" si="34"/>
        <v>Yes</v>
      </c>
      <c r="K167" s="51" t="str">
        <f t="shared" si="30"/>
        <v/>
      </c>
      <c r="L167" s="127">
        <f t="shared" si="24"/>
        <v>0</v>
      </c>
      <c r="M167" s="127">
        <f t="shared" si="33"/>
        <v>0</v>
      </c>
    </row>
    <row r="168" spans="1:13" s="43" customFormat="1" ht="14.1" customHeight="1">
      <c r="A168" s="124">
        <f t="shared" si="31"/>
        <v>165</v>
      </c>
      <c r="B168" s="36"/>
      <c r="C168" s="125" t="str">
        <f t="shared" si="23"/>
        <v/>
      </c>
      <c r="D168" s="34"/>
      <c r="E168" s="51" t="str">
        <f t="shared" si="32"/>
        <v/>
      </c>
      <c r="F168" s="51">
        <f t="shared" si="25"/>
        <v>0</v>
      </c>
      <c r="G168" s="51">
        <f t="shared" si="26"/>
        <v>0</v>
      </c>
      <c r="H168" s="51">
        <f t="shared" si="27"/>
        <v>0</v>
      </c>
      <c r="I168" s="51">
        <f t="shared" si="28"/>
        <v>1</v>
      </c>
      <c r="J168" s="51" t="str">
        <f t="shared" si="34"/>
        <v>Yes</v>
      </c>
      <c r="K168" s="51" t="str">
        <f t="shared" si="30"/>
        <v/>
      </c>
      <c r="L168" s="127">
        <f t="shared" si="24"/>
        <v>0</v>
      </c>
      <c r="M168" s="127">
        <f t="shared" si="33"/>
        <v>0</v>
      </c>
    </row>
    <row r="169" spans="1:13" s="43" customFormat="1" ht="14.1" customHeight="1">
      <c r="A169" s="124">
        <f t="shared" si="31"/>
        <v>166</v>
      </c>
      <c r="B169" s="36"/>
      <c r="C169" s="125" t="str">
        <f t="shared" si="23"/>
        <v/>
      </c>
      <c r="D169" s="34"/>
      <c r="E169" s="51" t="str">
        <f t="shared" si="32"/>
        <v/>
      </c>
      <c r="F169" s="51">
        <f t="shared" si="25"/>
        <v>0</v>
      </c>
      <c r="G169" s="51">
        <f t="shared" si="26"/>
        <v>0</v>
      </c>
      <c r="H169" s="51">
        <f t="shared" si="27"/>
        <v>0</v>
      </c>
      <c r="I169" s="51">
        <f t="shared" si="28"/>
        <v>1</v>
      </c>
      <c r="J169" s="51" t="str">
        <f t="shared" si="34"/>
        <v>Yes</v>
      </c>
      <c r="K169" s="51" t="str">
        <f t="shared" si="30"/>
        <v/>
      </c>
      <c r="L169" s="127">
        <f t="shared" si="24"/>
        <v>0</v>
      </c>
      <c r="M169" s="127">
        <f t="shared" si="33"/>
        <v>0</v>
      </c>
    </row>
    <row r="170" spans="1:13" s="43" customFormat="1" ht="14.1" customHeight="1">
      <c r="A170" s="124">
        <f t="shared" si="31"/>
        <v>167</v>
      </c>
      <c r="B170" s="36"/>
      <c r="C170" s="125" t="str">
        <f t="shared" si="23"/>
        <v/>
      </c>
      <c r="D170" s="34"/>
      <c r="E170" s="51" t="str">
        <f t="shared" si="32"/>
        <v/>
      </c>
      <c r="F170" s="51">
        <f t="shared" si="25"/>
        <v>0</v>
      </c>
      <c r="G170" s="51">
        <f t="shared" si="26"/>
        <v>0</v>
      </c>
      <c r="H170" s="51">
        <f t="shared" si="27"/>
        <v>0</v>
      </c>
      <c r="I170" s="51">
        <f t="shared" si="28"/>
        <v>1</v>
      </c>
      <c r="J170" s="51" t="str">
        <f t="shared" si="34"/>
        <v>Yes</v>
      </c>
      <c r="K170" s="51" t="str">
        <f t="shared" si="30"/>
        <v/>
      </c>
      <c r="L170" s="127">
        <f t="shared" si="24"/>
        <v>0</v>
      </c>
      <c r="M170" s="127">
        <f t="shared" si="33"/>
        <v>0</v>
      </c>
    </row>
    <row r="171" spans="1:13" s="43" customFormat="1" ht="14.1" customHeight="1">
      <c r="A171" s="124">
        <f t="shared" si="31"/>
        <v>168</v>
      </c>
      <c r="B171" s="36"/>
      <c r="C171" s="125" t="str">
        <f t="shared" si="23"/>
        <v/>
      </c>
      <c r="D171" s="34"/>
      <c r="E171" s="51" t="str">
        <f t="shared" si="32"/>
        <v/>
      </c>
      <c r="F171" s="51">
        <f t="shared" si="25"/>
        <v>0</v>
      </c>
      <c r="G171" s="51">
        <f t="shared" si="26"/>
        <v>0</v>
      </c>
      <c r="H171" s="51">
        <f t="shared" si="27"/>
        <v>0</v>
      </c>
      <c r="I171" s="51">
        <f t="shared" si="28"/>
        <v>1</v>
      </c>
      <c r="J171" s="51" t="str">
        <f t="shared" si="34"/>
        <v>Yes</v>
      </c>
      <c r="K171" s="51" t="str">
        <f t="shared" si="30"/>
        <v/>
      </c>
      <c r="L171" s="127">
        <f t="shared" si="24"/>
        <v>0</v>
      </c>
      <c r="M171" s="127">
        <f t="shared" si="33"/>
        <v>0</v>
      </c>
    </row>
    <row r="172" spans="1:13" s="43" customFormat="1" ht="14.1" customHeight="1">
      <c r="A172" s="124">
        <f t="shared" si="31"/>
        <v>169</v>
      </c>
      <c r="B172" s="36"/>
      <c r="C172" s="125" t="str">
        <f t="shared" si="23"/>
        <v/>
      </c>
      <c r="D172" s="34"/>
      <c r="E172" s="51" t="str">
        <f t="shared" si="32"/>
        <v/>
      </c>
      <c r="F172" s="51">
        <f t="shared" si="25"/>
        <v>0</v>
      </c>
      <c r="G172" s="51">
        <f t="shared" si="26"/>
        <v>0</v>
      </c>
      <c r="H172" s="51">
        <f t="shared" si="27"/>
        <v>0</v>
      </c>
      <c r="I172" s="51">
        <f t="shared" si="28"/>
        <v>1</v>
      </c>
      <c r="J172" s="51" t="str">
        <f t="shared" si="34"/>
        <v>Yes</v>
      </c>
      <c r="K172" s="51" t="str">
        <f t="shared" si="30"/>
        <v/>
      </c>
      <c r="L172" s="127">
        <f t="shared" si="24"/>
        <v>0</v>
      </c>
      <c r="M172" s="127">
        <f t="shared" si="33"/>
        <v>0</v>
      </c>
    </row>
    <row r="173" spans="1:13" s="43" customFormat="1" ht="14.1" customHeight="1">
      <c r="A173" s="124">
        <f t="shared" si="31"/>
        <v>170</v>
      </c>
      <c r="B173" s="36"/>
      <c r="C173" s="125" t="str">
        <f t="shared" si="23"/>
        <v/>
      </c>
      <c r="D173" s="34"/>
      <c r="E173" s="51" t="str">
        <f t="shared" si="32"/>
        <v/>
      </c>
      <c r="F173" s="51">
        <f t="shared" si="25"/>
        <v>0</v>
      </c>
      <c r="G173" s="51">
        <f t="shared" si="26"/>
        <v>0</v>
      </c>
      <c r="H173" s="51">
        <f t="shared" si="27"/>
        <v>0</v>
      </c>
      <c r="I173" s="51">
        <f t="shared" si="28"/>
        <v>1</v>
      </c>
      <c r="J173" s="51" t="str">
        <f t="shared" si="34"/>
        <v>Yes</v>
      </c>
      <c r="K173" s="51" t="str">
        <f t="shared" si="30"/>
        <v/>
      </c>
      <c r="L173" s="127">
        <f t="shared" si="24"/>
        <v>0</v>
      </c>
      <c r="M173" s="127">
        <f t="shared" si="33"/>
        <v>0</v>
      </c>
    </row>
    <row r="174" spans="1:13" s="43" customFormat="1" ht="14.1" customHeight="1">
      <c r="A174" s="124">
        <f t="shared" si="31"/>
        <v>171</v>
      </c>
      <c r="B174" s="36"/>
      <c r="C174" s="125" t="str">
        <f t="shared" si="23"/>
        <v/>
      </c>
      <c r="D174" s="34"/>
      <c r="E174" s="51" t="str">
        <f t="shared" si="32"/>
        <v/>
      </c>
      <c r="F174" s="51">
        <f t="shared" si="25"/>
        <v>0</v>
      </c>
      <c r="G174" s="51">
        <f t="shared" si="26"/>
        <v>0</v>
      </c>
      <c r="H174" s="51">
        <f t="shared" si="27"/>
        <v>0</v>
      </c>
      <c r="I174" s="51">
        <f t="shared" si="28"/>
        <v>1</v>
      </c>
      <c r="J174" s="51" t="str">
        <f t="shared" si="34"/>
        <v>Yes</v>
      </c>
      <c r="K174" s="51" t="str">
        <f t="shared" si="30"/>
        <v/>
      </c>
      <c r="L174" s="127">
        <f t="shared" si="24"/>
        <v>0</v>
      </c>
      <c r="M174" s="127">
        <f t="shared" si="33"/>
        <v>0</v>
      </c>
    </row>
    <row r="175" spans="1:13" s="43" customFormat="1" ht="14.1" customHeight="1">
      <c r="A175" s="124">
        <f t="shared" si="31"/>
        <v>172</v>
      </c>
      <c r="B175" s="36"/>
      <c r="C175" s="125" t="str">
        <f t="shared" si="23"/>
        <v/>
      </c>
      <c r="D175" s="34"/>
      <c r="E175" s="51" t="str">
        <f t="shared" si="32"/>
        <v/>
      </c>
      <c r="F175" s="51">
        <f t="shared" si="25"/>
        <v>0</v>
      </c>
      <c r="G175" s="51">
        <f t="shared" si="26"/>
        <v>0</v>
      </c>
      <c r="H175" s="51">
        <f t="shared" si="27"/>
        <v>0</v>
      </c>
      <c r="I175" s="51">
        <f t="shared" si="28"/>
        <v>1</v>
      </c>
      <c r="J175" s="51" t="str">
        <f t="shared" si="34"/>
        <v>Yes</v>
      </c>
      <c r="K175" s="51" t="str">
        <f t="shared" si="30"/>
        <v/>
      </c>
      <c r="L175" s="127">
        <f t="shared" si="24"/>
        <v>0</v>
      </c>
      <c r="M175" s="127">
        <f t="shared" si="33"/>
        <v>0</v>
      </c>
    </row>
    <row r="176" spans="1:13" s="43" customFormat="1" ht="14.1" customHeight="1">
      <c r="A176" s="124">
        <f t="shared" si="31"/>
        <v>173</v>
      </c>
      <c r="B176" s="36"/>
      <c r="C176" s="125" t="str">
        <f t="shared" si="23"/>
        <v/>
      </c>
      <c r="D176" s="34"/>
      <c r="E176" s="51" t="str">
        <f t="shared" si="32"/>
        <v/>
      </c>
      <c r="F176" s="51">
        <f t="shared" si="25"/>
        <v>0</v>
      </c>
      <c r="G176" s="51">
        <f t="shared" si="26"/>
        <v>0</v>
      </c>
      <c r="H176" s="51">
        <f t="shared" si="27"/>
        <v>0</v>
      </c>
      <c r="I176" s="51">
        <f t="shared" si="28"/>
        <v>1</v>
      </c>
      <c r="J176" s="51" t="str">
        <f t="shared" si="34"/>
        <v>Yes</v>
      </c>
      <c r="K176" s="51" t="str">
        <f t="shared" si="30"/>
        <v/>
      </c>
      <c r="L176" s="127">
        <f t="shared" si="24"/>
        <v>0</v>
      </c>
      <c r="M176" s="127">
        <f t="shared" si="33"/>
        <v>0</v>
      </c>
    </row>
    <row r="177" spans="1:13" s="43" customFormat="1" ht="14.1" customHeight="1">
      <c r="A177" s="124">
        <f t="shared" si="31"/>
        <v>174</v>
      </c>
      <c r="B177" s="36"/>
      <c r="C177" s="125" t="str">
        <f t="shared" si="23"/>
        <v/>
      </c>
      <c r="D177" s="34"/>
      <c r="E177" s="51" t="str">
        <f t="shared" si="32"/>
        <v/>
      </c>
      <c r="F177" s="51">
        <f t="shared" si="25"/>
        <v>0</v>
      </c>
      <c r="G177" s="51">
        <f t="shared" si="26"/>
        <v>0</v>
      </c>
      <c r="H177" s="51">
        <f t="shared" si="27"/>
        <v>0</v>
      </c>
      <c r="I177" s="51">
        <f t="shared" si="28"/>
        <v>1</v>
      </c>
      <c r="J177" s="51" t="str">
        <f t="shared" si="34"/>
        <v>Yes</v>
      </c>
      <c r="K177" s="51" t="str">
        <f t="shared" si="30"/>
        <v/>
      </c>
      <c r="L177" s="127">
        <f t="shared" si="24"/>
        <v>0</v>
      </c>
      <c r="M177" s="127">
        <f t="shared" si="33"/>
        <v>0</v>
      </c>
    </row>
    <row r="178" spans="1:13" s="43" customFormat="1" ht="14.1" customHeight="1">
      <c r="A178" s="124">
        <f t="shared" si="31"/>
        <v>175</v>
      </c>
      <c r="B178" s="36"/>
      <c r="C178" s="125" t="str">
        <f t="shared" si="23"/>
        <v/>
      </c>
      <c r="D178" s="34"/>
      <c r="E178" s="51" t="str">
        <f t="shared" si="32"/>
        <v/>
      </c>
      <c r="F178" s="51">
        <f t="shared" si="25"/>
        <v>0</v>
      </c>
      <c r="G178" s="51">
        <f t="shared" si="26"/>
        <v>0</v>
      </c>
      <c r="H178" s="51">
        <f t="shared" si="27"/>
        <v>0</v>
      </c>
      <c r="I178" s="51">
        <f t="shared" si="28"/>
        <v>1</v>
      </c>
      <c r="J178" s="51" t="str">
        <f t="shared" si="34"/>
        <v>Yes</v>
      </c>
      <c r="K178" s="51" t="str">
        <f t="shared" si="30"/>
        <v/>
      </c>
      <c r="L178" s="127">
        <f t="shared" si="24"/>
        <v>0</v>
      </c>
      <c r="M178" s="127">
        <f t="shared" si="33"/>
        <v>0</v>
      </c>
    </row>
    <row r="179" spans="1:13" s="43" customFormat="1" ht="14.1" customHeight="1">
      <c r="A179" s="124">
        <f t="shared" si="31"/>
        <v>176</v>
      </c>
      <c r="B179" s="36"/>
      <c r="C179" s="125" t="str">
        <f t="shared" si="23"/>
        <v/>
      </c>
      <c r="D179" s="34"/>
      <c r="E179" s="51" t="str">
        <f t="shared" si="32"/>
        <v/>
      </c>
      <c r="F179" s="51">
        <f t="shared" si="25"/>
        <v>0</v>
      </c>
      <c r="G179" s="51">
        <f t="shared" si="26"/>
        <v>0</v>
      </c>
      <c r="H179" s="51">
        <f t="shared" si="27"/>
        <v>0</v>
      </c>
      <c r="I179" s="51">
        <f t="shared" si="28"/>
        <v>1</v>
      </c>
      <c r="J179" s="51" t="str">
        <f t="shared" si="34"/>
        <v>Yes</v>
      </c>
      <c r="K179" s="51" t="str">
        <f t="shared" si="30"/>
        <v/>
      </c>
      <c r="L179" s="127">
        <f t="shared" si="24"/>
        <v>0</v>
      </c>
      <c r="M179" s="127">
        <f t="shared" si="33"/>
        <v>0</v>
      </c>
    </row>
    <row r="180" spans="1:13" s="43" customFormat="1" ht="14.1" customHeight="1">
      <c r="A180" s="124">
        <f t="shared" si="31"/>
        <v>177</v>
      </c>
      <c r="B180" s="36"/>
      <c r="C180" s="125" t="str">
        <f t="shared" si="23"/>
        <v/>
      </c>
      <c r="D180" s="34"/>
      <c r="E180" s="51" t="str">
        <f t="shared" si="32"/>
        <v/>
      </c>
      <c r="F180" s="51">
        <f t="shared" si="25"/>
        <v>0</v>
      </c>
      <c r="G180" s="51">
        <f t="shared" si="26"/>
        <v>0</v>
      </c>
      <c r="H180" s="51">
        <f t="shared" si="27"/>
        <v>0</v>
      </c>
      <c r="I180" s="51">
        <f t="shared" si="28"/>
        <v>1</v>
      </c>
      <c r="J180" s="51" t="str">
        <f t="shared" si="34"/>
        <v>Yes</v>
      </c>
      <c r="K180" s="51" t="str">
        <f t="shared" si="30"/>
        <v/>
      </c>
      <c r="L180" s="127">
        <f t="shared" si="24"/>
        <v>0</v>
      </c>
      <c r="M180" s="127">
        <f t="shared" si="33"/>
        <v>0</v>
      </c>
    </row>
    <row r="181" spans="1:13" s="43" customFormat="1" ht="14.1" customHeight="1">
      <c r="A181" s="124">
        <f t="shared" si="31"/>
        <v>178</v>
      </c>
      <c r="B181" s="36"/>
      <c r="C181" s="125" t="str">
        <f t="shared" si="23"/>
        <v/>
      </c>
      <c r="D181" s="34"/>
      <c r="E181" s="51" t="str">
        <f t="shared" si="32"/>
        <v/>
      </c>
      <c r="F181" s="51">
        <f t="shared" si="25"/>
        <v>0</v>
      </c>
      <c r="G181" s="51">
        <f t="shared" si="26"/>
        <v>0</v>
      </c>
      <c r="H181" s="51">
        <f t="shared" si="27"/>
        <v>0</v>
      </c>
      <c r="I181" s="51">
        <f t="shared" si="28"/>
        <v>1</v>
      </c>
      <c r="J181" s="51" t="str">
        <f t="shared" si="34"/>
        <v>Yes</v>
      </c>
      <c r="K181" s="51" t="str">
        <f t="shared" si="30"/>
        <v/>
      </c>
      <c r="L181" s="127">
        <f t="shared" si="24"/>
        <v>0</v>
      </c>
      <c r="M181" s="127">
        <f t="shared" si="33"/>
        <v>0</v>
      </c>
    </row>
    <row r="182" spans="1:13" s="43" customFormat="1" ht="14.1" customHeight="1">
      <c r="A182" s="124">
        <f t="shared" si="31"/>
        <v>179</v>
      </c>
      <c r="B182" s="36"/>
      <c r="C182" s="125" t="str">
        <f t="shared" si="23"/>
        <v/>
      </c>
      <c r="D182" s="34"/>
      <c r="E182" s="51" t="str">
        <f t="shared" si="32"/>
        <v/>
      </c>
      <c r="F182" s="51">
        <f t="shared" si="25"/>
        <v>0</v>
      </c>
      <c r="G182" s="51">
        <f t="shared" si="26"/>
        <v>0</v>
      </c>
      <c r="H182" s="51">
        <f t="shared" si="27"/>
        <v>0</v>
      </c>
      <c r="I182" s="51">
        <f t="shared" si="28"/>
        <v>1</v>
      </c>
      <c r="J182" s="51" t="str">
        <f t="shared" si="34"/>
        <v>Yes</v>
      </c>
      <c r="K182" s="51" t="str">
        <f t="shared" si="30"/>
        <v/>
      </c>
      <c r="L182" s="127">
        <f t="shared" si="24"/>
        <v>0</v>
      </c>
      <c r="M182" s="127">
        <f t="shared" si="33"/>
        <v>0</v>
      </c>
    </row>
    <row r="183" spans="1:13" s="43" customFormat="1" ht="14.1" customHeight="1">
      <c r="A183" s="124">
        <f t="shared" si="31"/>
        <v>180</v>
      </c>
      <c r="B183" s="36"/>
      <c r="C183" s="125" t="str">
        <f t="shared" si="23"/>
        <v/>
      </c>
      <c r="D183" s="34"/>
      <c r="E183" s="51" t="str">
        <f t="shared" si="32"/>
        <v/>
      </c>
      <c r="F183" s="51">
        <f t="shared" si="25"/>
        <v>0</v>
      </c>
      <c r="G183" s="51">
        <f t="shared" si="26"/>
        <v>0</v>
      </c>
      <c r="H183" s="51">
        <f t="shared" si="27"/>
        <v>0</v>
      </c>
      <c r="I183" s="51">
        <f t="shared" si="28"/>
        <v>1</v>
      </c>
      <c r="J183" s="51" t="str">
        <f t="shared" si="34"/>
        <v>Yes</v>
      </c>
      <c r="K183" s="51" t="str">
        <f t="shared" si="30"/>
        <v/>
      </c>
      <c r="L183" s="127">
        <f t="shared" si="24"/>
        <v>0</v>
      </c>
      <c r="M183" s="127">
        <f t="shared" si="33"/>
        <v>0</v>
      </c>
    </row>
    <row r="184" spans="1:13" s="43" customFormat="1" ht="14.1" customHeight="1">
      <c r="A184" s="124">
        <f t="shared" si="31"/>
        <v>181</v>
      </c>
      <c r="B184" s="36"/>
      <c r="C184" s="125" t="str">
        <f t="shared" si="23"/>
        <v/>
      </c>
      <c r="D184" s="34"/>
      <c r="E184" s="51" t="str">
        <f t="shared" si="32"/>
        <v/>
      </c>
      <c r="F184" s="51">
        <f t="shared" si="25"/>
        <v>0</v>
      </c>
      <c r="G184" s="51">
        <f t="shared" si="26"/>
        <v>0</v>
      </c>
      <c r="H184" s="51">
        <f t="shared" si="27"/>
        <v>0</v>
      </c>
      <c r="I184" s="51">
        <f t="shared" si="28"/>
        <v>1</v>
      </c>
      <c r="J184" s="51" t="str">
        <f t="shared" si="34"/>
        <v>Yes</v>
      </c>
      <c r="K184" s="51" t="str">
        <f t="shared" si="30"/>
        <v/>
      </c>
      <c r="L184" s="127">
        <f t="shared" si="24"/>
        <v>0</v>
      </c>
      <c r="M184" s="127">
        <f t="shared" si="33"/>
        <v>0</v>
      </c>
    </row>
    <row r="185" spans="1:13" s="43" customFormat="1" ht="14.1" customHeight="1">
      <c r="A185" s="124">
        <f t="shared" si="31"/>
        <v>182</v>
      </c>
      <c r="B185" s="36"/>
      <c r="C185" s="125" t="str">
        <f t="shared" si="23"/>
        <v/>
      </c>
      <c r="D185" s="34"/>
      <c r="E185" s="51" t="str">
        <f t="shared" si="32"/>
        <v/>
      </c>
      <c r="F185" s="51">
        <f t="shared" si="25"/>
        <v>0</v>
      </c>
      <c r="G185" s="51">
        <f t="shared" si="26"/>
        <v>0</v>
      </c>
      <c r="H185" s="51">
        <f t="shared" si="27"/>
        <v>0</v>
      </c>
      <c r="I185" s="51">
        <f t="shared" si="28"/>
        <v>1</v>
      </c>
      <c r="J185" s="51" t="str">
        <f t="shared" si="34"/>
        <v>Yes</v>
      </c>
      <c r="K185" s="51" t="str">
        <f t="shared" si="30"/>
        <v/>
      </c>
      <c r="L185" s="127">
        <f t="shared" si="24"/>
        <v>0</v>
      </c>
      <c r="M185" s="127">
        <f t="shared" si="33"/>
        <v>0</v>
      </c>
    </row>
    <row r="186" spans="1:13" s="43" customFormat="1" ht="14.1" customHeight="1">
      <c r="A186" s="124">
        <f t="shared" si="31"/>
        <v>183</v>
      </c>
      <c r="B186" s="36"/>
      <c r="C186" s="125" t="str">
        <f t="shared" si="23"/>
        <v/>
      </c>
      <c r="D186" s="34"/>
      <c r="E186" s="51" t="str">
        <f t="shared" si="32"/>
        <v/>
      </c>
      <c r="F186" s="51">
        <f t="shared" si="25"/>
        <v>0</v>
      </c>
      <c r="G186" s="51">
        <f t="shared" si="26"/>
        <v>0</v>
      </c>
      <c r="H186" s="51">
        <f t="shared" si="27"/>
        <v>0</v>
      </c>
      <c r="I186" s="51">
        <f t="shared" si="28"/>
        <v>1</v>
      </c>
      <c r="J186" s="51" t="str">
        <f t="shared" si="34"/>
        <v>Yes</v>
      </c>
      <c r="K186" s="51" t="str">
        <f t="shared" si="30"/>
        <v/>
      </c>
      <c r="L186" s="127">
        <f t="shared" si="24"/>
        <v>0</v>
      </c>
      <c r="M186" s="127">
        <f t="shared" si="33"/>
        <v>0</v>
      </c>
    </row>
    <row r="187" spans="1:13" s="43" customFormat="1" ht="14.1" customHeight="1">
      <c r="A187" s="124">
        <f t="shared" si="31"/>
        <v>184</v>
      </c>
      <c r="B187" s="36"/>
      <c r="C187" s="125" t="str">
        <f t="shared" si="23"/>
        <v/>
      </c>
      <c r="D187" s="34"/>
      <c r="E187" s="51" t="str">
        <f t="shared" si="32"/>
        <v/>
      </c>
      <c r="F187" s="51">
        <f t="shared" si="25"/>
        <v>0</v>
      </c>
      <c r="G187" s="51">
        <f t="shared" si="26"/>
        <v>0</v>
      </c>
      <c r="H187" s="51">
        <f t="shared" si="27"/>
        <v>0</v>
      </c>
      <c r="I187" s="51">
        <f t="shared" si="28"/>
        <v>1</v>
      </c>
      <c r="J187" s="51" t="str">
        <f t="shared" si="34"/>
        <v>Yes</v>
      </c>
      <c r="K187" s="51" t="str">
        <f t="shared" si="30"/>
        <v/>
      </c>
      <c r="L187" s="127">
        <f t="shared" si="24"/>
        <v>0</v>
      </c>
      <c r="M187" s="127">
        <f t="shared" si="33"/>
        <v>0</v>
      </c>
    </row>
    <row r="188" spans="1:13" s="43" customFormat="1" ht="14.1" customHeight="1">
      <c r="A188" s="124">
        <f t="shared" si="31"/>
        <v>185</v>
      </c>
      <c r="B188" s="36"/>
      <c r="C188" s="125" t="str">
        <f t="shared" si="23"/>
        <v/>
      </c>
      <c r="D188" s="34"/>
      <c r="E188" s="51" t="str">
        <f t="shared" si="32"/>
        <v/>
      </c>
      <c r="F188" s="51">
        <f t="shared" si="25"/>
        <v>0</v>
      </c>
      <c r="G188" s="51">
        <f t="shared" si="26"/>
        <v>0</v>
      </c>
      <c r="H188" s="51">
        <f t="shared" si="27"/>
        <v>0</v>
      </c>
      <c r="I188" s="51">
        <f t="shared" si="28"/>
        <v>1</v>
      </c>
      <c r="J188" s="51" t="str">
        <f t="shared" si="34"/>
        <v>Yes</v>
      </c>
      <c r="K188" s="51" t="str">
        <f t="shared" si="30"/>
        <v/>
      </c>
      <c r="L188" s="127">
        <f t="shared" si="24"/>
        <v>0</v>
      </c>
      <c r="M188" s="127">
        <f t="shared" si="33"/>
        <v>0</v>
      </c>
    </row>
    <row r="189" spans="1:13" s="43" customFormat="1" ht="14.1" customHeight="1">
      <c r="A189" s="124">
        <f t="shared" si="31"/>
        <v>186</v>
      </c>
      <c r="B189" s="36"/>
      <c r="C189" s="125" t="str">
        <f t="shared" si="23"/>
        <v/>
      </c>
      <c r="D189" s="34"/>
      <c r="E189" s="51" t="str">
        <f t="shared" si="32"/>
        <v/>
      </c>
      <c r="F189" s="51">
        <f t="shared" si="25"/>
        <v>0</v>
      </c>
      <c r="G189" s="51">
        <f t="shared" si="26"/>
        <v>0</v>
      </c>
      <c r="H189" s="51">
        <f t="shared" si="27"/>
        <v>0</v>
      </c>
      <c r="I189" s="51">
        <f t="shared" si="28"/>
        <v>1</v>
      </c>
      <c r="J189" s="51" t="str">
        <f t="shared" si="34"/>
        <v>Yes</v>
      </c>
      <c r="K189" s="51" t="str">
        <f t="shared" si="30"/>
        <v/>
      </c>
      <c r="L189" s="127">
        <f t="shared" si="24"/>
        <v>0</v>
      </c>
      <c r="M189" s="127">
        <f t="shared" si="33"/>
        <v>0</v>
      </c>
    </row>
    <row r="190" spans="1:13" s="43" customFormat="1" ht="14.1" customHeight="1">
      <c r="A190" s="124">
        <f t="shared" si="31"/>
        <v>187</v>
      </c>
      <c r="B190" s="36"/>
      <c r="C190" s="125" t="str">
        <f t="shared" si="23"/>
        <v/>
      </c>
      <c r="D190" s="34"/>
      <c r="E190" s="51" t="str">
        <f t="shared" si="32"/>
        <v/>
      </c>
      <c r="F190" s="51">
        <f t="shared" si="25"/>
        <v>0</v>
      </c>
      <c r="G190" s="51">
        <f t="shared" si="26"/>
        <v>0</v>
      </c>
      <c r="H190" s="51">
        <f t="shared" si="27"/>
        <v>0</v>
      </c>
      <c r="I190" s="51">
        <f t="shared" si="28"/>
        <v>1</v>
      </c>
      <c r="J190" s="51" t="str">
        <f t="shared" si="34"/>
        <v>Yes</v>
      </c>
      <c r="K190" s="51" t="str">
        <f t="shared" si="30"/>
        <v/>
      </c>
      <c r="L190" s="127">
        <f t="shared" si="24"/>
        <v>0</v>
      </c>
      <c r="M190" s="127">
        <f t="shared" si="33"/>
        <v>0</v>
      </c>
    </row>
    <row r="191" spans="1:13" s="43" customFormat="1" ht="14.1" customHeight="1">
      <c r="A191" s="124">
        <f t="shared" si="31"/>
        <v>188</v>
      </c>
      <c r="B191" s="36"/>
      <c r="C191" s="125" t="str">
        <f t="shared" si="23"/>
        <v/>
      </c>
      <c r="D191" s="34"/>
      <c r="E191" s="51" t="str">
        <f t="shared" si="32"/>
        <v/>
      </c>
      <c r="F191" s="51">
        <f t="shared" si="25"/>
        <v>0</v>
      </c>
      <c r="G191" s="51">
        <f t="shared" si="26"/>
        <v>0</v>
      </c>
      <c r="H191" s="51">
        <f t="shared" si="27"/>
        <v>0</v>
      </c>
      <c r="I191" s="51">
        <f t="shared" si="28"/>
        <v>1</v>
      </c>
      <c r="J191" s="51" t="str">
        <f t="shared" si="34"/>
        <v>Yes</v>
      </c>
      <c r="K191" s="51" t="str">
        <f t="shared" si="30"/>
        <v/>
      </c>
      <c r="L191" s="127">
        <f t="shared" si="24"/>
        <v>0</v>
      </c>
      <c r="M191" s="127">
        <f t="shared" si="33"/>
        <v>0</v>
      </c>
    </row>
    <row r="192" spans="1:13" s="43" customFormat="1" ht="14.1" customHeight="1">
      <c r="A192" s="124">
        <f t="shared" si="31"/>
        <v>189</v>
      </c>
      <c r="B192" s="36"/>
      <c r="C192" s="125" t="str">
        <f t="shared" si="23"/>
        <v/>
      </c>
      <c r="D192" s="34"/>
      <c r="E192" s="51" t="str">
        <f t="shared" si="32"/>
        <v/>
      </c>
      <c r="F192" s="51">
        <f t="shared" si="25"/>
        <v>0</v>
      </c>
      <c r="G192" s="51">
        <f t="shared" si="26"/>
        <v>0</v>
      </c>
      <c r="H192" s="51">
        <f t="shared" si="27"/>
        <v>0</v>
      </c>
      <c r="I192" s="51">
        <f t="shared" si="28"/>
        <v>1</v>
      </c>
      <c r="J192" s="51" t="str">
        <f t="shared" si="34"/>
        <v>Yes</v>
      </c>
      <c r="K192" s="51" t="str">
        <f t="shared" si="30"/>
        <v/>
      </c>
      <c r="L192" s="127">
        <f t="shared" si="24"/>
        <v>0</v>
      </c>
      <c r="M192" s="127">
        <f t="shared" si="33"/>
        <v>0</v>
      </c>
    </row>
    <row r="193" spans="1:13" s="43" customFormat="1" ht="14.1" customHeight="1">
      <c r="A193" s="124">
        <f t="shared" si="31"/>
        <v>190</v>
      </c>
      <c r="B193" s="36"/>
      <c r="C193" s="125" t="str">
        <f t="shared" si="23"/>
        <v/>
      </c>
      <c r="D193" s="34"/>
      <c r="E193" s="51" t="str">
        <f t="shared" si="32"/>
        <v/>
      </c>
      <c r="F193" s="51">
        <f t="shared" si="25"/>
        <v>0</v>
      </c>
      <c r="G193" s="51">
        <f t="shared" si="26"/>
        <v>0</v>
      </c>
      <c r="H193" s="51">
        <f t="shared" si="27"/>
        <v>0</v>
      </c>
      <c r="I193" s="51">
        <f t="shared" si="28"/>
        <v>1</v>
      </c>
      <c r="J193" s="51" t="str">
        <f t="shared" si="34"/>
        <v>Yes</v>
      </c>
      <c r="K193" s="51" t="str">
        <f t="shared" si="30"/>
        <v/>
      </c>
      <c r="L193" s="127">
        <f t="shared" si="24"/>
        <v>0</v>
      </c>
      <c r="M193" s="127">
        <f t="shared" si="33"/>
        <v>0</v>
      </c>
    </row>
    <row r="194" spans="1:13" s="43" customFormat="1" ht="14.1" customHeight="1">
      <c r="A194" s="124">
        <f t="shared" si="31"/>
        <v>191</v>
      </c>
      <c r="B194" s="36"/>
      <c r="C194" s="125" t="str">
        <f t="shared" si="23"/>
        <v/>
      </c>
      <c r="D194" s="34"/>
      <c r="E194" s="51" t="str">
        <f t="shared" si="32"/>
        <v/>
      </c>
      <c r="F194" s="51">
        <f t="shared" si="25"/>
        <v>0</v>
      </c>
      <c r="G194" s="51">
        <f t="shared" si="26"/>
        <v>0</v>
      </c>
      <c r="H194" s="51">
        <f t="shared" si="27"/>
        <v>0</v>
      </c>
      <c r="I194" s="51">
        <f t="shared" si="28"/>
        <v>1</v>
      </c>
      <c r="J194" s="51" t="str">
        <f t="shared" si="34"/>
        <v>Yes</v>
      </c>
      <c r="K194" s="51" t="str">
        <f t="shared" si="30"/>
        <v/>
      </c>
      <c r="L194" s="127">
        <f t="shared" si="24"/>
        <v>0</v>
      </c>
      <c r="M194" s="127">
        <f t="shared" si="33"/>
        <v>0</v>
      </c>
    </row>
    <row r="195" spans="1:13" s="43" customFormat="1" ht="14.1" customHeight="1">
      <c r="A195" s="124">
        <f t="shared" si="31"/>
        <v>192</v>
      </c>
      <c r="B195" s="36"/>
      <c r="C195" s="125" t="str">
        <f t="shared" si="23"/>
        <v/>
      </c>
      <c r="D195" s="34"/>
      <c r="E195" s="51" t="str">
        <f t="shared" si="32"/>
        <v/>
      </c>
      <c r="F195" s="51">
        <f t="shared" si="25"/>
        <v>0</v>
      </c>
      <c r="G195" s="51">
        <f t="shared" si="26"/>
        <v>0</v>
      </c>
      <c r="H195" s="51">
        <f t="shared" si="27"/>
        <v>0</v>
      </c>
      <c r="I195" s="51">
        <f t="shared" si="28"/>
        <v>1</v>
      </c>
      <c r="J195" s="51" t="str">
        <f t="shared" si="34"/>
        <v>Yes</v>
      </c>
      <c r="K195" s="51" t="str">
        <f t="shared" si="30"/>
        <v/>
      </c>
      <c r="L195" s="127">
        <f t="shared" si="24"/>
        <v>0</v>
      </c>
      <c r="M195" s="127">
        <f t="shared" si="33"/>
        <v>0</v>
      </c>
    </row>
    <row r="196" spans="1:13" s="43" customFormat="1" ht="14.1" customHeight="1">
      <c r="A196" s="124">
        <f t="shared" si="31"/>
        <v>193</v>
      </c>
      <c r="B196" s="36"/>
      <c r="C196" s="125" t="str">
        <f t="shared" ref="C196:C203" si="35">IF(J196="No",M196,"")</f>
        <v/>
      </c>
      <c r="D196" s="34"/>
      <c r="E196" s="51" t="str">
        <f t="shared" si="32"/>
        <v/>
      </c>
      <c r="F196" s="51">
        <f t="shared" si="25"/>
        <v>0</v>
      </c>
      <c r="G196" s="51">
        <f t="shared" si="26"/>
        <v>0</v>
      </c>
      <c r="H196" s="51">
        <f t="shared" si="27"/>
        <v>0</v>
      </c>
      <c r="I196" s="51">
        <f t="shared" si="28"/>
        <v>1</v>
      </c>
      <c r="J196" s="51" t="str">
        <f t="shared" si="34"/>
        <v>Yes</v>
      </c>
      <c r="K196" s="51" t="str">
        <f t="shared" si="30"/>
        <v/>
      </c>
      <c r="L196" s="127">
        <f t="shared" ref="L196:L203" si="36">TIME(F196,G196,H196)</f>
        <v>0</v>
      </c>
      <c r="M196" s="127">
        <f t="shared" si="33"/>
        <v>0</v>
      </c>
    </row>
    <row r="197" spans="1:13" s="43" customFormat="1" ht="14.1" customHeight="1">
      <c r="A197" s="124">
        <f t="shared" si="31"/>
        <v>194</v>
      </c>
      <c r="B197" s="36"/>
      <c r="C197" s="125" t="str">
        <f t="shared" si="35"/>
        <v/>
      </c>
      <c r="D197" s="34"/>
      <c r="E197" s="51" t="str">
        <f t="shared" si="32"/>
        <v/>
      </c>
      <c r="F197" s="51">
        <f t="shared" ref="F197:F260" si="37">IF(ISERROR(MID($E197,FIND("h",$E197)-2,2)+0),0,MID($E197,FIND("h",$E197)-2,2)+0)</f>
        <v>0</v>
      </c>
      <c r="G197" s="51">
        <f t="shared" ref="G197:G260" si="38">IF(ISERROR(MID($E197,FIND("m",$E197)-2,2)+0),0,MID($E197,FIND("m",$E197)-2,2)+0)</f>
        <v>0</v>
      </c>
      <c r="H197" s="51">
        <f t="shared" ref="H197:H260" si="39">IF(ISERROR(MID($E197,FIND("s",$E197)-2,2)+0),0,MID($E197,FIND("s",$E197)-2,2)+0)</f>
        <v>0</v>
      </c>
      <c r="I197" s="51">
        <f t="shared" ref="I197:I199" si="40">IF(J197="No",I196+1,I196)</f>
        <v>1</v>
      </c>
      <c r="J197" s="51" t="str">
        <f t="shared" si="34"/>
        <v>Yes</v>
      </c>
      <c r="K197" s="51" t="str">
        <f t="shared" ref="K197:K203" si="41">IF(J197="No",J197&amp;I197,"")</f>
        <v/>
      </c>
      <c r="L197" s="127">
        <f t="shared" si="36"/>
        <v>0</v>
      </c>
      <c r="M197" s="127">
        <f t="shared" si="33"/>
        <v>0</v>
      </c>
    </row>
    <row r="198" spans="1:13" s="43" customFormat="1" ht="14.1" customHeight="1">
      <c r="A198" s="124">
        <f t="shared" ref="A198:A203" si="42">A197+1</f>
        <v>195</v>
      </c>
      <c r="B198" s="36"/>
      <c r="C198" s="125" t="str">
        <f t="shared" si="35"/>
        <v/>
      </c>
      <c r="D198" s="34"/>
      <c r="E198" s="51" t="str">
        <f t="shared" si="32"/>
        <v/>
      </c>
      <c r="F198" s="51">
        <f t="shared" si="37"/>
        <v>0</v>
      </c>
      <c r="G198" s="51">
        <f t="shared" si="38"/>
        <v>0</v>
      </c>
      <c r="H198" s="51">
        <f t="shared" si="39"/>
        <v>0</v>
      </c>
      <c r="I198" s="51">
        <f t="shared" si="40"/>
        <v>1</v>
      </c>
      <c r="J198" s="51" t="str">
        <f t="shared" si="34"/>
        <v>Yes</v>
      </c>
      <c r="K198" s="51" t="str">
        <f t="shared" si="41"/>
        <v/>
      </c>
      <c r="L198" s="127">
        <f t="shared" si="36"/>
        <v>0</v>
      </c>
      <c r="M198" s="127">
        <f t="shared" si="33"/>
        <v>0</v>
      </c>
    </row>
    <row r="199" spans="1:13" s="43" customFormat="1" ht="14.1" customHeight="1">
      <c r="A199" s="124">
        <f t="shared" si="42"/>
        <v>196</v>
      </c>
      <c r="B199" s="36"/>
      <c r="C199" s="125" t="str">
        <f t="shared" si="35"/>
        <v/>
      </c>
      <c r="D199" s="34"/>
      <c r="E199" s="51" t="str">
        <f>IF(ISERROR(LEFT(B199,FIND(")",B199))),"",LEFT(B199,FIND(")",B199)))</f>
        <v/>
      </c>
      <c r="F199" s="51">
        <f t="shared" si="37"/>
        <v>0</v>
      </c>
      <c r="G199" s="51">
        <f t="shared" si="38"/>
        <v>0</v>
      </c>
      <c r="H199" s="51">
        <f t="shared" si="39"/>
        <v>0</v>
      </c>
      <c r="I199" s="51">
        <f t="shared" si="40"/>
        <v>1</v>
      </c>
      <c r="J199" s="51" t="str">
        <f t="shared" si="34"/>
        <v>Yes</v>
      </c>
      <c r="K199" s="51" t="str">
        <f t="shared" si="41"/>
        <v/>
      </c>
      <c r="L199" s="127">
        <f t="shared" si="36"/>
        <v>0</v>
      </c>
      <c r="M199" s="127">
        <f t="shared" ref="M199:M203" si="43">IF(I199=1,0,INDEX(L:L,MATCH("No"&amp;I199,K:K,0))-INDEX(L:L,MATCH("No"&amp;I199-1,K:K,0)))</f>
        <v>0</v>
      </c>
    </row>
    <row r="200" spans="1:13" s="43" customFormat="1" ht="14.1" customHeight="1">
      <c r="A200" s="124">
        <f t="shared" si="42"/>
        <v>197</v>
      </c>
      <c r="B200" s="36"/>
      <c r="C200" s="125" t="str">
        <f t="shared" si="35"/>
        <v/>
      </c>
      <c r="D200" s="34"/>
      <c r="E200" s="51" t="str">
        <f>IF(ISERROR(LEFT(B200,FIND(")",B200))),"",LEFT(B200,FIND(")",B200)))</f>
        <v/>
      </c>
      <c r="F200" s="51">
        <f t="shared" si="37"/>
        <v>0</v>
      </c>
      <c r="G200" s="51">
        <f t="shared" si="38"/>
        <v>0</v>
      </c>
      <c r="H200" s="51">
        <f t="shared" si="39"/>
        <v>0</v>
      </c>
      <c r="I200" s="51">
        <f>IF(J200="No",I199+1,I199)</f>
        <v>1</v>
      </c>
      <c r="J200" s="51" t="str">
        <f t="shared" si="34"/>
        <v>Yes</v>
      </c>
      <c r="K200" s="51" t="str">
        <f t="shared" si="41"/>
        <v/>
      </c>
      <c r="L200" s="127">
        <f t="shared" si="36"/>
        <v>0</v>
      </c>
      <c r="M200" s="127">
        <f t="shared" si="43"/>
        <v>0</v>
      </c>
    </row>
    <row r="201" spans="1:13" s="43" customFormat="1" ht="14.1" customHeight="1">
      <c r="A201" s="124">
        <f t="shared" si="42"/>
        <v>198</v>
      </c>
      <c r="B201" s="36"/>
      <c r="C201" s="125" t="str">
        <f t="shared" si="35"/>
        <v/>
      </c>
      <c r="D201" s="34"/>
      <c r="E201" s="51" t="str">
        <f>IF(ISERROR(LEFT(B201,FIND(")",B201))),"",LEFT(B201,FIND(")",B201)))</f>
        <v/>
      </c>
      <c r="F201" s="51">
        <f t="shared" si="37"/>
        <v>0</v>
      </c>
      <c r="G201" s="51">
        <f t="shared" si="38"/>
        <v>0</v>
      </c>
      <c r="H201" s="51">
        <f t="shared" si="39"/>
        <v>0</v>
      </c>
      <c r="I201" s="51">
        <f>IF(J201="No",I200+1,I200)</f>
        <v>1</v>
      </c>
      <c r="J201" s="51" t="str">
        <f t="shared" si="34"/>
        <v>Yes</v>
      </c>
      <c r="K201" s="51" t="str">
        <f t="shared" si="41"/>
        <v/>
      </c>
      <c r="L201" s="127">
        <f t="shared" si="36"/>
        <v>0</v>
      </c>
      <c r="M201" s="127">
        <f t="shared" si="43"/>
        <v>0</v>
      </c>
    </row>
    <row r="202" spans="1:13" s="43" customFormat="1" ht="14.1" customHeight="1">
      <c r="A202" s="124">
        <f t="shared" si="42"/>
        <v>199</v>
      </c>
      <c r="B202" s="36"/>
      <c r="C202" s="125" t="str">
        <f t="shared" si="35"/>
        <v/>
      </c>
      <c r="D202" s="34"/>
      <c r="E202" s="51" t="str">
        <f>IF(ISERROR(LEFT(B202,FIND(")",B202))),"",LEFT(B202,FIND(")",B202)))</f>
        <v/>
      </c>
      <c r="F202" s="51">
        <f t="shared" si="37"/>
        <v>0</v>
      </c>
      <c r="G202" s="51">
        <f t="shared" si="38"/>
        <v>0</v>
      </c>
      <c r="H202" s="51">
        <f t="shared" si="39"/>
        <v>0</v>
      </c>
      <c r="I202" s="51">
        <f>IF(J202="No",I201+1,I201)</f>
        <v>1</v>
      </c>
      <c r="J202" s="51" t="str">
        <f t="shared" si="34"/>
        <v>Yes</v>
      </c>
      <c r="K202" s="51" t="str">
        <f t="shared" si="41"/>
        <v/>
      </c>
      <c r="L202" s="127">
        <f t="shared" si="36"/>
        <v>0</v>
      </c>
      <c r="M202" s="127">
        <f t="shared" si="43"/>
        <v>0</v>
      </c>
    </row>
    <row r="203" spans="1:13" s="43" customFormat="1" ht="14.1" customHeight="1">
      <c r="A203" s="124">
        <f t="shared" si="42"/>
        <v>200</v>
      </c>
      <c r="B203" s="36"/>
      <c r="C203" s="125" t="str">
        <f t="shared" si="35"/>
        <v/>
      </c>
      <c r="D203" s="34"/>
      <c r="E203" s="51" t="str">
        <f>IF(ISERROR(LEFT(B203,FIND(")",B203))),"",LEFT(B203,FIND(")",B203)))</f>
        <v/>
      </c>
      <c r="F203" s="51">
        <f t="shared" si="37"/>
        <v>0</v>
      </c>
      <c r="G203" s="51">
        <f t="shared" si="38"/>
        <v>0</v>
      </c>
      <c r="H203" s="51">
        <f t="shared" si="39"/>
        <v>0</v>
      </c>
      <c r="I203" s="51">
        <f>IF(J203="No",I202+1,I202)</f>
        <v>1</v>
      </c>
      <c r="J203" s="51" t="str">
        <f t="shared" si="34"/>
        <v>Yes</v>
      </c>
      <c r="K203" s="51" t="str">
        <f t="shared" si="41"/>
        <v/>
      </c>
      <c r="L203" s="127">
        <f t="shared" si="36"/>
        <v>0</v>
      </c>
      <c r="M203" s="127">
        <f t="shared" si="43"/>
        <v>0</v>
      </c>
    </row>
    <row r="204" spans="1:13">
      <c r="E204" s="32" t="str">
        <f t="shared" ref="E204:E267" si="44">IF(ISERROR(LEFT(B204,FIND(")",B204))),"",LEFT(B204,FIND(")",B204)))</f>
        <v/>
      </c>
      <c r="F204" s="32">
        <f t="shared" si="37"/>
        <v>0</v>
      </c>
      <c r="G204" s="32">
        <f t="shared" si="38"/>
        <v>0</v>
      </c>
      <c r="H204" s="32">
        <f t="shared" si="39"/>
        <v>0</v>
      </c>
      <c r="I204" s="32">
        <f t="shared" ref="I204:I267" si="45">IF(J204="No",I203+1,I203)</f>
        <v>1</v>
      </c>
      <c r="J204" s="32" t="str">
        <f t="shared" ref="J204:J267" si="46">IF(G204=0,"Yes","No")</f>
        <v>Yes</v>
      </c>
      <c r="K204" s="32" t="str">
        <f t="shared" ref="K204:K267" si="47">IF(J204="No",J204&amp;I204,"")</f>
        <v/>
      </c>
      <c r="L204" s="35">
        <f t="shared" ref="L204:L267" si="48">TIME(F204,G204,H204)</f>
        <v>0</v>
      </c>
      <c r="M204" s="35">
        <f t="shared" ref="M204:M267" si="49">IF(I204=1,0,INDEX(L:L,MATCH("No"&amp;I204,K:K,0))-INDEX(L:L,MATCH("No"&amp;I204-1,K:K,0)))</f>
        <v>0</v>
      </c>
    </row>
    <row r="205" spans="1:13">
      <c r="E205" s="32" t="str">
        <f t="shared" si="44"/>
        <v/>
      </c>
      <c r="F205" s="32">
        <f t="shared" si="37"/>
        <v>0</v>
      </c>
      <c r="G205" s="32">
        <f t="shared" si="38"/>
        <v>0</v>
      </c>
      <c r="H205" s="32">
        <f t="shared" si="39"/>
        <v>0</v>
      </c>
      <c r="I205" s="32">
        <f t="shared" si="45"/>
        <v>1</v>
      </c>
      <c r="J205" s="32" t="str">
        <f t="shared" si="46"/>
        <v>Yes</v>
      </c>
      <c r="K205" s="32" t="str">
        <f t="shared" si="47"/>
        <v/>
      </c>
      <c r="L205" s="35">
        <f t="shared" si="48"/>
        <v>0</v>
      </c>
      <c r="M205" s="35">
        <f t="shared" si="49"/>
        <v>0</v>
      </c>
    </row>
    <row r="206" spans="1:13">
      <c r="E206" s="32" t="str">
        <f t="shared" si="44"/>
        <v/>
      </c>
      <c r="F206" s="32">
        <f t="shared" si="37"/>
        <v>0</v>
      </c>
      <c r="G206" s="32">
        <f t="shared" si="38"/>
        <v>0</v>
      </c>
      <c r="H206" s="32">
        <f t="shared" si="39"/>
        <v>0</v>
      </c>
      <c r="I206" s="32">
        <f t="shared" si="45"/>
        <v>1</v>
      </c>
      <c r="J206" s="32" t="str">
        <f t="shared" si="46"/>
        <v>Yes</v>
      </c>
      <c r="K206" s="32" t="str">
        <f t="shared" si="47"/>
        <v/>
      </c>
      <c r="L206" s="35">
        <f t="shared" si="48"/>
        <v>0</v>
      </c>
      <c r="M206" s="35">
        <f t="shared" si="49"/>
        <v>0</v>
      </c>
    </row>
    <row r="207" spans="1:13">
      <c r="E207" s="32" t="str">
        <f t="shared" si="44"/>
        <v/>
      </c>
      <c r="F207" s="32">
        <f t="shared" si="37"/>
        <v>0</v>
      </c>
      <c r="G207" s="32">
        <f t="shared" si="38"/>
        <v>0</v>
      </c>
      <c r="H207" s="32">
        <f t="shared" si="39"/>
        <v>0</v>
      </c>
      <c r="I207" s="32">
        <f t="shared" si="45"/>
        <v>1</v>
      </c>
      <c r="J207" s="32" t="str">
        <f t="shared" si="46"/>
        <v>Yes</v>
      </c>
      <c r="K207" s="32" t="str">
        <f t="shared" si="47"/>
        <v/>
      </c>
      <c r="L207" s="35">
        <f t="shared" si="48"/>
        <v>0</v>
      </c>
      <c r="M207" s="35">
        <f t="shared" si="49"/>
        <v>0</v>
      </c>
    </row>
    <row r="208" spans="1:13">
      <c r="E208" s="32" t="str">
        <f t="shared" si="44"/>
        <v/>
      </c>
      <c r="F208" s="32">
        <f t="shared" si="37"/>
        <v>0</v>
      </c>
      <c r="G208" s="32">
        <f t="shared" si="38"/>
        <v>0</v>
      </c>
      <c r="H208" s="32">
        <f t="shared" si="39"/>
        <v>0</v>
      </c>
      <c r="I208" s="32">
        <f t="shared" si="45"/>
        <v>1</v>
      </c>
      <c r="J208" s="32" t="str">
        <f t="shared" si="46"/>
        <v>Yes</v>
      </c>
      <c r="K208" s="32" t="str">
        <f t="shared" si="47"/>
        <v/>
      </c>
      <c r="L208" s="35">
        <f t="shared" si="48"/>
        <v>0</v>
      </c>
      <c r="M208" s="35">
        <f t="shared" si="49"/>
        <v>0</v>
      </c>
    </row>
    <row r="209" spans="5:13">
      <c r="E209" s="32" t="str">
        <f t="shared" si="44"/>
        <v/>
      </c>
      <c r="F209" s="32">
        <f t="shared" si="37"/>
        <v>0</v>
      </c>
      <c r="G209" s="32">
        <f t="shared" si="38"/>
        <v>0</v>
      </c>
      <c r="H209" s="32">
        <f t="shared" si="39"/>
        <v>0</v>
      </c>
      <c r="I209" s="32">
        <f t="shared" si="45"/>
        <v>1</v>
      </c>
      <c r="J209" s="32" t="str">
        <f t="shared" si="46"/>
        <v>Yes</v>
      </c>
      <c r="K209" s="32" t="str">
        <f t="shared" si="47"/>
        <v/>
      </c>
      <c r="L209" s="35">
        <f t="shared" si="48"/>
        <v>0</v>
      </c>
      <c r="M209" s="35">
        <f t="shared" si="49"/>
        <v>0</v>
      </c>
    </row>
    <row r="210" spans="5:13">
      <c r="E210" s="32" t="str">
        <f t="shared" si="44"/>
        <v/>
      </c>
      <c r="F210" s="32">
        <f t="shared" si="37"/>
        <v>0</v>
      </c>
      <c r="G210" s="32">
        <f t="shared" si="38"/>
        <v>0</v>
      </c>
      <c r="H210" s="32">
        <f t="shared" si="39"/>
        <v>0</v>
      </c>
      <c r="I210" s="32">
        <f t="shared" si="45"/>
        <v>1</v>
      </c>
      <c r="J210" s="32" t="str">
        <f t="shared" si="46"/>
        <v>Yes</v>
      </c>
      <c r="K210" s="32" t="str">
        <f t="shared" si="47"/>
        <v/>
      </c>
      <c r="L210" s="35">
        <f t="shared" si="48"/>
        <v>0</v>
      </c>
      <c r="M210" s="35">
        <f t="shared" si="49"/>
        <v>0</v>
      </c>
    </row>
    <row r="211" spans="5:13">
      <c r="E211" s="32" t="str">
        <f t="shared" si="44"/>
        <v/>
      </c>
      <c r="F211" s="32">
        <f t="shared" si="37"/>
        <v>0</v>
      </c>
      <c r="G211" s="32">
        <f t="shared" si="38"/>
        <v>0</v>
      </c>
      <c r="H211" s="32">
        <f t="shared" si="39"/>
        <v>0</v>
      </c>
      <c r="I211" s="32">
        <f t="shared" si="45"/>
        <v>1</v>
      </c>
      <c r="J211" s="32" t="str">
        <f t="shared" si="46"/>
        <v>Yes</v>
      </c>
      <c r="K211" s="32" t="str">
        <f t="shared" si="47"/>
        <v/>
      </c>
      <c r="L211" s="35">
        <f t="shared" si="48"/>
        <v>0</v>
      </c>
      <c r="M211" s="35">
        <f t="shared" si="49"/>
        <v>0</v>
      </c>
    </row>
    <row r="212" spans="5:13">
      <c r="E212" s="32" t="str">
        <f t="shared" si="44"/>
        <v/>
      </c>
      <c r="F212" s="32">
        <f t="shared" si="37"/>
        <v>0</v>
      </c>
      <c r="G212" s="32">
        <f t="shared" si="38"/>
        <v>0</v>
      </c>
      <c r="H212" s="32">
        <f t="shared" si="39"/>
        <v>0</v>
      </c>
      <c r="I212" s="32">
        <f t="shared" si="45"/>
        <v>1</v>
      </c>
      <c r="J212" s="32" t="str">
        <f t="shared" si="46"/>
        <v>Yes</v>
      </c>
      <c r="K212" s="32" t="str">
        <f t="shared" si="47"/>
        <v/>
      </c>
      <c r="L212" s="35">
        <f t="shared" si="48"/>
        <v>0</v>
      </c>
      <c r="M212" s="35">
        <f t="shared" si="49"/>
        <v>0</v>
      </c>
    </row>
    <row r="213" spans="5:13">
      <c r="E213" s="32" t="str">
        <f t="shared" si="44"/>
        <v/>
      </c>
      <c r="F213" s="32">
        <f t="shared" si="37"/>
        <v>0</v>
      </c>
      <c r="G213" s="32">
        <f t="shared" si="38"/>
        <v>0</v>
      </c>
      <c r="H213" s="32">
        <f t="shared" si="39"/>
        <v>0</v>
      </c>
      <c r="I213" s="32">
        <f t="shared" si="45"/>
        <v>1</v>
      </c>
      <c r="J213" s="32" t="str">
        <f t="shared" si="46"/>
        <v>Yes</v>
      </c>
      <c r="K213" s="32" t="str">
        <f t="shared" si="47"/>
        <v/>
      </c>
      <c r="L213" s="35">
        <f t="shared" si="48"/>
        <v>0</v>
      </c>
      <c r="M213" s="35">
        <f t="shared" si="49"/>
        <v>0</v>
      </c>
    </row>
    <row r="214" spans="5:13">
      <c r="E214" s="32" t="str">
        <f t="shared" si="44"/>
        <v/>
      </c>
      <c r="F214" s="32">
        <f t="shared" si="37"/>
        <v>0</v>
      </c>
      <c r="G214" s="32">
        <f t="shared" si="38"/>
        <v>0</v>
      </c>
      <c r="H214" s="32">
        <f t="shared" si="39"/>
        <v>0</v>
      </c>
      <c r="I214" s="32">
        <f t="shared" si="45"/>
        <v>1</v>
      </c>
      <c r="J214" s="32" t="str">
        <f t="shared" si="46"/>
        <v>Yes</v>
      </c>
      <c r="K214" s="32" t="str">
        <f t="shared" si="47"/>
        <v/>
      </c>
      <c r="L214" s="35">
        <f t="shared" si="48"/>
        <v>0</v>
      </c>
      <c r="M214" s="35">
        <f t="shared" si="49"/>
        <v>0</v>
      </c>
    </row>
    <row r="215" spans="5:13">
      <c r="E215" s="32" t="str">
        <f t="shared" si="44"/>
        <v/>
      </c>
      <c r="F215" s="32">
        <f t="shared" si="37"/>
        <v>0</v>
      </c>
      <c r="G215" s="32">
        <f t="shared" si="38"/>
        <v>0</v>
      </c>
      <c r="H215" s="32">
        <f t="shared" si="39"/>
        <v>0</v>
      </c>
      <c r="I215" s="32">
        <f t="shared" si="45"/>
        <v>1</v>
      </c>
      <c r="J215" s="32" t="str">
        <f t="shared" si="46"/>
        <v>Yes</v>
      </c>
      <c r="K215" s="32" t="str">
        <f t="shared" si="47"/>
        <v/>
      </c>
      <c r="L215" s="35">
        <f t="shared" si="48"/>
        <v>0</v>
      </c>
      <c r="M215" s="35">
        <f t="shared" si="49"/>
        <v>0</v>
      </c>
    </row>
    <row r="216" spans="5:13">
      <c r="E216" s="32" t="str">
        <f t="shared" si="44"/>
        <v/>
      </c>
      <c r="F216" s="32">
        <f t="shared" si="37"/>
        <v>0</v>
      </c>
      <c r="G216" s="32">
        <f t="shared" si="38"/>
        <v>0</v>
      </c>
      <c r="H216" s="32">
        <f t="shared" si="39"/>
        <v>0</v>
      </c>
      <c r="I216" s="32">
        <f t="shared" si="45"/>
        <v>1</v>
      </c>
      <c r="J216" s="32" t="str">
        <f t="shared" si="46"/>
        <v>Yes</v>
      </c>
      <c r="K216" s="32" t="str">
        <f t="shared" si="47"/>
        <v/>
      </c>
      <c r="L216" s="35">
        <f t="shared" si="48"/>
        <v>0</v>
      </c>
      <c r="M216" s="35">
        <f t="shared" si="49"/>
        <v>0</v>
      </c>
    </row>
    <row r="217" spans="5:13">
      <c r="E217" s="32" t="str">
        <f t="shared" si="44"/>
        <v/>
      </c>
      <c r="F217" s="32">
        <f t="shared" si="37"/>
        <v>0</v>
      </c>
      <c r="G217" s="32">
        <f t="shared" si="38"/>
        <v>0</v>
      </c>
      <c r="H217" s="32">
        <f t="shared" si="39"/>
        <v>0</v>
      </c>
      <c r="I217" s="32">
        <f t="shared" si="45"/>
        <v>1</v>
      </c>
      <c r="J217" s="32" t="str">
        <f t="shared" si="46"/>
        <v>Yes</v>
      </c>
      <c r="K217" s="32" t="str">
        <f t="shared" si="47"/>
        <v/>
      </c>
      <c r="L217" s="35">
        <f t="shared" si="48"/>
        <v>0</v>
      </c>
      <c r="M217" s="35">
        <f t="shared" si="49"/>
        <v>0</v>
      </c>
    </row>
    <row r="218" spans="5:13">
      <c r="E218" s="32" t="str">
        <f t="shared" si="44"/>
        <v/>
      </c>
      <c r="F218" s="32">
        <f t="shared" si="37"/>
        <v>0</v>
      </c>
      <c r="G218" s="32">
        <f t="shared" si="38"/>
        <v>0</v>
      </c>
      <c r="H218" s="32">
        <f t="shared" si="39"/>
        <v>0</v>
      </c>
      <c r="I218" s="32">
        <f t="shared" si="45"/>
        <v>1</v>
      </c>
      <c r="J218" s="32" t="str">
        <f t="shared" si="46"/>
        <v>Yes</v>
      </c>
      <c r="K218" s="32" t="str">
        <f t="shared" si="47"/>
        <v/>
      </c>
      <c r="L218" s="35">
        <f t="shared" si="48"/>
        <v>0</v>
      </c>
      <c r="M218" s="35">
        <f t="shared" si="49"/>
        <v>0</v>
      </c>
    </row>
    <row r="219" spans="5:13">
      <c r="E219" s="32" t="str">
        <f t="shared" si="44"/>
        <v/>
      </c>
      <c r="F219" s="32">
        <f t="shared" si="37"/>
        <v>0</v>
      </c>
      <c r="G219" s="32">
        <f t="shared" si="38"/>
        <v>0</v>
      </c>
      <c r="H219" s="32">
        <f t="shared" si="39"/>
        <v>0</v>
      </c>
      <c r="I219" s="32">
        <f t="shared" si="45"/>
        <v>1</v>
      </c>
      <c r="J219" s="32" t="str">
        <f t="shared" si="46"/>
        <v>Yes</v>
      </c>
      <c r="K219" s="32" t="str">
        <f t="shared" si="47"/>
        <v/>
      </c>
      <c r="L219" s="35">
        <f t="shared" si="48"/>
        <v>0</v>
      </c>
      <c r="M219" s="35">
        <f t="shared" si="49"/>
        <v>0</v>
      </c>
    </row>
    <row r="220" spans="5:13">
      <c r="E220" s="32" t="str">
        <f t="shared" si="44"/>
        <v/>
      </c>
      <c r="F220" s="32">
        <f t="shared" si="37"/>
        <v>0</v>
      </c>
      <c r="G220" s="32">
        <f t="shared" si="38"/>
        <v>0</v>
      </c>
      <c r="H220" s="32">
        <f t="shared" si="39"/>
        <v>0</v>
      </c>
      <c r="I220" s="32">
        <f t="shared" si="45"/>
        <v>1</v>
      </c>
      <c r="J220" s="32" t="str">
        <f t="shared" si="46"/>
        <v>Yes</v>
      </c>
      <c r="K220" s="32" t="str">
        <f t="shared" si="47"/>
        <v/>
      </c>
      <c r="L220" s="35">
        <f t="shared" si="48"/>
        <v>0</v>
      </c>
      <c r="M220" s="35">
        <f t="shared" si="49"/>
        <v>0</v>
      </c>
    </row>
    <row r="221" spans="5:13">
      <c r="E221" s="32" t="str">
        <f t="shared" si="44"/>
        <v/>
      </c>
      <c r="F221" s="32">
        <f t="shared" si="37"/>
        <v>0</v>
      </c>
      <c r="G221" s="32">
        <f t="shared" si="38"/>
        <v>0</v>
      </c>
      <c r="H221" s="32">
        <f t="shared" si="39"/>
        <v>0</v>
      </c>
      <c r="I221" s="32">
        <f t="shared" si="45"/>
        <v>1</v>
      </c>
      <c r="J221" s="32" t="str">
        <f t="shared" si="46"/>
        <v>Yes</v>
      </c>
      <c r="K221" s="32" t="str">
        <f t="shared" si="47"/>
        <v/>
      </c>
      <c r="L221" s="35">
        <f t="shared" si="48"/>
        <v>0</v>
      </c>
      <c r="M221" s="35">
        <f t="shared" si="49"/>
        <v>0</v>
      </c>
    </row>
    <row r="222" spans="5:13">
      <c r="E222" s="32" t="str">
        <f t="shared" si="44"/>
        <v/>
      </c>
      <c r="F222" s="32">
        <f t="shared" si="37"/>
        <v>0</v>
      </c>
      <c r="G222" s="32">
        <f t="shared" si="38"/>
        <v>0</v>
      </c>
      <c r="H222" s="32">
        <f t="shared" si="39"/>
        <v>0</v>
      </c>
      <c r="I222" s="32">
        <f t="shared" si="45"/>
        <v>1</v>
      </c>
      <c r="J222" s="32" t="str">
        <f t="shared" si="46"/>
        <v>Yes</v>
      </c>
      <c r="K222" s="32" t="str">
        <f t="shared" si="47"/>
        <v/>
      </c>
      <c r="L222" s="35">
        <f t="shared" si="48"/>
        <v>0</v>
      </c>
      <c r="M222" s="35">
        <f t="shared" si="49"/>
        <v>0</v>
      </c>
    </row>
    <row r="223" spans="5:13">
      <c r="E223" s="32" t="str">
        <f t="shared" si="44"/>
        <v/>
      </c>
      <c r="F223" s="32">
        <f t="shared" si="37"/>
        <v>0</v>
      </c>
      <c r="G223" s="32">
        <f t="shared" si="38"/>
        <v>0</v>
      </c>
      <c r="H223" s="32">
        <f t="shared" si="39"/>
        <v>0</v>
      </c>
      <c r="I223" s="32">
        <f t="shared" si="45"/>
        <v>1</v>
      </c>
      <c r="J223" s="32" t="str">
        <f t="shared" si="46"/>
        <v>Yes</v>
      </c>
      <c r="K223" s="32" t="str">
        <f t="shared" si="47"/>
        <v/>
      </c>
      <c r="L223" s="35">
        <f t="shared" si="48"/>
        <v>0</v>
      </c>
      <c r="M223" s="35">
        <f t="shared" si="49"/>
        <v>0</v>
      </c>
    </row>
    <row r="224" spans="5:13">
      <c r="E224" s="32" t="str">
        <f t="shared" si="44"/>
        <v/>
      </c>
      <c r="F224" s="32">
        <f t="shared" si="37"/>
        <v>0</v>
      </c>
      <c r="G224" s="32">
        <f t="shared" si="38"/>
        <v>0</v>
      </c>
      <c r="H224" s="32">
        <f t="shared" si="39"/>
        <v>0</v>
      </c>
      <c r="I224" s="32">
        <f t="shared" si="45"/>
        <v>1</v>
      </c>
      <c r="J224" s="32" t="str">
        <f t="shared" si="46"/>
        <v>Yes</v>
      </c>
      <c r="K224" s="32" t="str">
        <f t="shared" si="47"/>
        <v/>
      </c>
      <c r="L224" s="35">
        <f t="shared" si="48"/>
        <v>0</v>
      </c>
      <c r="M224" s="35">
        <f t="shared" si="49"/>
        <v>0</v>
      </c>
    </row>
    <row r="225" spans="5:13">
      <c r="E225" s="32" t="str">
        <f t="shared" si="44"/>
        <v/>
      </c>
      <c r="F225" s="32">
        <f t="shared" si="37"/>
        <v>0</v>
      </c>
      <c r="G225" s="32">
        <f t="shared" si="38"/>
        <v>0</v>
      </c>
      <c r="H225" s="32">
        <f t="shared" si="39"/>
        <v>0</v>
      </c>
      <c r="I225" s="32">
        <f t="shared" si="45"/>
        <v>1</v>
      </c>
      <c r="J225" s="32" t="str">
        <f t="shared" si="46"/>
        <v>Yes</v>
      </c>
      <c r="K225" s="32" t="str">
        <f t="shared" si="47"/>
        <v/>
      </c>
      <c r="L225" s="35">
        <f t="shared" si="48"/>
        <v>0</v>
      </c>
      <c r="M225" s="35">
        <f t="shared" si="49"/>
        <v>0</v>
      </c>
    </row>
    <row r="226" spans="5:13">
      <c r="E226" s="32" t="str">
        <f t="shared" si="44"/>
        <v/>
      </c>
      <c r="F226" s="32">
        <f t="shared" si="37"/>
        <v>0</v>
      </c>
      <c r="G226" s="32">
        <f t="shared" si="38"/>
        <v>0</v>
      </c>
      <c r="H226" s="32">
        <f t="shared" si="39"/>
        <v>0</v>
      </c>
      <c r="I226" s="32">
        <f t="shared" si="45"/>
        <v>1</v>
      </c>
      <c r="J226" s="32" t="str">
        <f t="shared" si="46"/>
        <v>Yes</v>
      </c>
      <c r="K226" s="32" t="str">
        <f t="shared" si="47"/>
        <v/>
      </c>
      <c r="L226" s="35">
        <f t="shared" si="48"/>
        <v>0</v>
      </c>
      <c r="M226" s="35">
        <f t="shared" si="49"/>
        <v>0</v>
      </c>
    </row>
    <row r="227" spans="5:13">
      <c r="E227" s="32" t="str">
        <f t="shared" si="44"/>
        <v/>
      </c>
      <c r="F227" s="32">
        <f t="shared" si="37"/>
        <v>0</v>
      </c>
      <c r="G227" s="32">
        <f t="shared" si="38"/>
        <v>0</v>
      </c>
      <c r="H227" s="32">
        <f t="shared" si="39"/>
        <v>0</v>
      </c>
      <c r="I227" s="32">
        <f t="shared" si="45"/>
        <v>1</v>
      </c>
      <c r="J227" s="32" t="str">
        <f t="shared" si="46"/>
        <v>Yes</v>
      </c>
      <c r="K227" s="32" t="str">
        <f t="shared" si="47"/>
        <v/>
      </c>
      <c r="L227" s="35">
        <f t="shared" si="48"/>
        <v>0</v>
      </c>
      <c r="M227" s="35">
        <f t="shared" si="49"/>
        <v>0</v>
      </c>
    </row>
    <row r="228" spans="5:13">
      <c r="E228" s="32" t="str">
        <f t="shared" si="44"/>
        <v/>
      </c>
      <c r="F228" s="32">
        <f t="shared" si="37"/>
        <v>0</v>
      </c>
      <c r="G228" s="32">
        <f t="shared" si="38"/>
        <v>0</v>
      </c>
      <c r="H228" s="32">
        <f t="shared" si="39"/>
        <v>0</v>
      </c>
      <c r="I228" s="32">
        <f t="shared" si="45"/>
        <v>1</v>
      </c>
      <c r="J228" s="32" t="str">
        <f t="shared" si="46"/>
        <v>Yes</v>
      </c>
      <c r="K228" s="32" t="str">
        <f t="shared" si="47"/>
        <v/>
      </c>
      <c r="L228" s="35">
        <f t="shared" si="48"/>
        <v>0</v>
      </c>
      <c r="M228" s="35">
        <f t="shared" si="49"/>
        <v>0</v>
      </c>
    </row>
    <row r="229" spans="5:13">
      <c r="E229" s="32" t="str">
        <f t="shared" si="44"/>
        <v/>
      </c>
      <c r="F229" s="32">
        <f t="shared" si="37"/>
        <v>0</v>
      </c>
      <c r="G229" s="32">
        <f t="shared" si="38"/>
        <v>0</v>
      </c>
      <c r="H229" s="32">
        <f t="shared" si="39"/>
        <v>0</v>
      </c>
      <c r="I229" s="32">
        <f t="shared" si="45"/>
        <v>1</v>
      </c>
      <c r="J229" s="32" t="str">
        <f t="shared" si="46"/>
        <v>Yes</v>
      </c>
      <c r="K229" s="32" t="str">
        <f t="shared" si="47"/>
        <v/>
      </c>
      <c r="L229" s="35">
        <f t="shared" si="48"/>
        <v>0</v>
      </c>
      <c r="M229" s="35">
        <f t="shared" si="49"/>
        <v>0</v>
      </c>
    </row>
    <row r="230" spans="5:13">
      <c r="E230" s="32" t="str">
        <f t="shared" si="44"/>
        <v/>
      </c>
      <c r="F230" s="32">
        <f t="shared" si="37"/>
        <v>0</v>
      </c>
      <c r="G230" s="32">
        <f t="shared" si="38"/>
        <v>0</v>
      </c>
      <c r="H230" s="32">
        <f t="shared" si="39"/>
        <v>0</v>
      </c>
      <c r="I230" s="32">
        <f t="shared" si="45"/>
        <v>1</v>
      </c>
      <c r="J230" s="32" t="str">
        <f t="shared" si="46"/>
        <v>Yes</v>
      </c>
      <c r="K230" s="32" t="str">
        <f t="shared" si="47"/>
        <v/>
      </c>
      <c r="L230" s="35">
        <f t="shared" si="48"/>
        <v>0</v>
      </c>
      <c r="M230" s="35">
        <f t="shared" si="49"/>
        <v>0</v>
      </c>
    </row>
    <row r="231" spans="5:13">
      <c r="E231" s="32" t="str">
        <f t="shared" si="44"/>
        <v/>
      </c>
      <c r="F231" s="32">
        <f t="shared" si="37"/>
        <v>0</v>
      </c>
      <c r="G231" s="32">
        <f t="shared" si="38"/>
        <v>0</v>
      </c>
      <c r="H231" s="32">
        <f t="shared" si="39"/>
        <v>0</v>
      </c>
      <c r="I231" s="32">
        <f t="shared" si="45"/>
        <v>1</v>
      </c>
      <c r="J231" s="32" t="str">
        <f t="shared" si="46"/>
        <v>Yes</v>
      </c>
      <c r="K231" s="32" t="str">
        <f t="shared" si="47"/>
        <v/>
      </c>
      <c r="L231" s="35">
        <f t="shared" si="48"/>
        <v>0</v>
      </c>
      <c r="M231" s="35">
        <f t="shared" si="49"/>
        <v>0</v>
      </c>
    </row>
    <row r="232" spans="5:13">
      <c r="E232" s="32" t="str">
        <f t="shared" si="44"/>
        <v/>
      </c>
      <c r="F232" s="32">
        <f t="shared" si="37"/>
        <v>0</v>
      </c>
      <c r="G232" s="32">
        <f t="shared" si="38"/>
        <v>0</v>
      </c>
      <c r="H232" s="32">
        <f t="shared" si="39"/>
        <v>0</v>
      </c>
      <c r="I232" s="32">
        <f t="shared" si="45"/>
        <v>1</v>
      </c>
      <c r="J232" s="32" t="str">
        <f t="shared" si="46"/>
        <v>Yes</v>
      </c>
      <c r="K232" s="32" t="str">
        <f t="shared" si="47"/>
        <v/>
      </c>
      <c r="L232" s="35">
        <f t="shared" si="48"/>
        <v>0</v>
      </c>
      <c r="M232" s="35">
        <f t="shared" si="49"/>
        <v>0</v>
      </c>
    </row>
    <row r="233" spans="5:13">
      <c r="E233" s="32" t="str">
        <f t="shared" si="44"/>
        <v/>
      </c>
      <c r="F233" s="32">
        <f t="shared" si="37"/>
        <v>0</v>
      </c>
      <c r="G233" s="32">
        <f t="shared" si="38"/>
        <v>0</v>
      </c>
      <c r="H233" s="32">
        <f t="shared" si="39"/>
        <v>0</v>
      </c>
      <c r="I233" s="32">
        <f t="shared" si="45"/>
        <v>1</v>
      </c>
      <c r="J233" s="32" t="str">
        <f t="shared" si="46"/>
        <v>Yes</v>
      </c>
      <c r="K233" s="32" t="str">
        <f t="shared" si="47"/>
        <v/>
      </c>
      <c r="L233" s="35">
        <f t="shared" si="48"/>
        <v>0</v>
      </c>
      <c r="M233" s="35">
        <f t="shared" si="49"/>
        <v>0</v>
      </c>
    </row>
    <row r="234" spans="5:13">
      <c r="E234" s="32" t="str">
        <f t="shared" si="44"/>
        <v/>
      </c>
      <c r="F234" s="32">
        <f t="shared" si="37"/>
        <v>0</v>
      </c>
      <c r="G234" s="32">
        <f t="shared" si="38"/>
        <v>0</v>
      </c>
      <c r="H234" s="32">
        <f t="shared" si="39"/>
        <v>0</v>
      </c>
      <c r="I234" s="32">
        <f t="shared" si="45"/>
        <v>1</v>
      </c>
      <c r="J234" s="32" t="str">
        <f t="shared" si="46"/>
        <v>Yes</v>
      </c>
      <c r="K234" s="32" t="str">
        <f t="shared" si="47"/>
        <v/>
      </c>
      <c r="L234" s="35">
        <f t="shared" si="48"/>
        <v>0</v>
      </c>
      <c r="M234" s="35">
        <f t="shared" si="49"/>
        <v>0</v>
      </c>
    </row>
    <row r="235" spans="5:13">
      <c r="E235" s="32" t="str">
        <f t="shared" si="44"/>
        <v/>
      </c>
      <c r="F235" s="32">
        <f t="shared" si="37"/>
        <v>0</v>
      </c>
      <c r="G235" s="32">
        <f t="shared" si="38"/>
        <v>0</v>
      </c>
      <c r="H235" s="32">
        <f t="shared" si="39"/>
        <v>0</v>
      </c>
      <c r="I235" s="32">
        <f t="shared" si="45"/>
        <v>1</v>
      </c>
      <c r="J235" s="32" t="str">
        <f t="shared" si="46"/>
        <v>Yes</v>
      </c>
      <c r="K235" s="32" t="str">
        <f t="shared" si="47"/>
        <v/>
      </c>
      <c r="L235" s="35">
        <f t="shared" si="48"/>
        <v>0</v>
      </c>
      <c r="M235" s="35">
        <f t="shared" si="49"/>
        <v>0</v>
      </c>
    </row>
    <row r="236" spans="5:13">
      <c r="E236" s="32" t="str">
        <f t="shared" si="44"/>
        <v/>
      </c>
      <c r="F236" s="32">
        <f t="shared" si="37"/>
        <v>0</v>
      </c>
      <c r="G236" s="32">
        <f t="shared" si="38"/>
        <v>0</v>
      </c>
      <c r="H236" s="32">
        <f t="shared" si="39"/>
        <v>0</v>
      </c>
      <c r="I236" s="32">
        <f t="shared" si="45"/>
        <v>1</v>
      </c>
      <c r="J236" s="32" t="str">
        <f t="shared" si="46"/>
        <v>Yes</v>
      </c>
      <c r="K236" s="32" t="str">
        <f t="shared" si="47"/>
        <v/>
      </c>
      <c r="L236" s="35">
        <f t="shared" si="48"/>
        <v>0</v>
      </c>
      <c r="M236" s="35">
        <f t="shared" si="49"/>
        <v>0</v>
      </c>
    </row>
    <row r="237" spans="5:13">
      <c r="E237" s="32" t="str">
        <f t="shared" si="44"/>
        <v/>
      </c>
      <c r="F237" s="32">
        <f t="shared" si="37"/>
        <v>0</v>
      </c>
      <c r="G237" s="32">
        <f t="shared" si="38"/>
        <v>0</v>
      </c>
      <c r="H237" s="32">
        <f t="shared" si="39"/>
        <v>0</v>
      </c>
      <c r="I237" s="32">
        <f t="shared" si="45"/>
        <v>1</v>
      </c>
      <c r="J237" s="32" t="str">
        <f t="shared" si="46"/>
        <v>Yes</v>
      </c>
      <c r="K237" s="32" t="str">
        <f t="shared" si="47"/>
        <v/>
      </c>
      <c r="L237" s="35">
        <f t="shared" si="48"/>
        <v>0</v>
      </c>
      <c r="M237" s="35">
        <f t="shared" si="49"/>
        <v>0</v>
      </c>
    </row>
    <row r="238" spans="5:13">
      <c r="E238" s="32" t="str">
        <f t="shared" si="44"/>
        <v/>
      </c>
      <c r="F238" s="32">
        <f t="shared" si="37"/>
        <v>0</v>
      </c>
      <c r="G238" s="32">
        <f t="shared" si="38"/>
        <v>0</v>
      </c>
      <c r="H238" s="32">
        <f t="shared" si="39"/>
        <v>0</v>
      </c>
      <c r="I238" s="32">
        <f t="shared" si="45"/>
        <v>1</v>
      </c>
      <c r="J238" s="32" t="str">
        <f t="shared" si="46"/>
        <v>Yes</v>
      </c>
      <c r="K238" s="32" t="str">
        <f t="shared" si="47"/>
        <v/>
      </c>
      <c r="L238" s="35">
        <f t="shared" si="48"/>
        <v>0</v>
      </c>
      <c r="M238" s="35">
        <f t="shared" si="49"/>
        <v>0</v>
      </c>
    </row>
    <row r="239" spans="5:13">
      <c r="E239" s="32" t="str">
        <f t="shared" si="44"/>
        <v/>
      </c>
      <c r="F239" s="32">
        <f t="shared" si="37"/>
        <v>0</v>
      </c>
      <c r="G239" s="32">
        <f t="shared" si="38"/>
        <v>0</v>
      </c>
      <c r="H239" s="32">
        <f t="shared" si="39"/>
        <v>0</v>
      </c>
      <c r="I239" s="32">
        <f t="shared" si="45"/>
        <v>1</v>
      </c>
      <c r="J239" s="32" t="str">
        <f t="shared" si="46"/>
        <v>Yes</v>
      </c>
      <c r="K239" s="32" t="str">
        <f t="shared" si="47"/>
        <v/>
      </c>
      <c r="L239" s="35">
        <f t="shared" si="48"/>
        <v>0</v>
      </c>
      <c r="M239" s="35">
        <f t="shared" si="49"/>
        <v>0</v>
      </c>
    </row>
    <row r="240" spans="5:13">
      <c r="E240" s="32" t="str">
        <f t="shared" si="44"/>
        <v/>
      </c>
      <c r="F240" s="32">
        <f t="shared" si="37"/>
        <v>0</v>
      </c>
      <c r="G240" s="32">
        <f t="shared" si="38"/>
        <v>0</v>
      </c>
      <c r="H240" s="32">
        <f t="shared" si="39"/>
        <v>0</v>
      </c>
      <c r="I240" s="32">
        <f t="shared" si="45"/>
        <v>1</v>
      </c>
      <c r="J240" s="32" t="str">
        <f t="shared" si="46"/>
        <v>Yes</v>
      </c>
      <c r="K240" s="32" t="str">
        <f t="shared" si="47"/>
        <v/>
      </c>
      <c r="L240" s="35">
        <f t="shared" si="48"/>
        <v>0</v>
      </c>
      <c r="M240" s="35">
        <f t="shared" si="49"/>
        <v>0</v>
      </c>
    </row>
    <row r="241" spans="5:13">
      <c r="E241" s="32" t="str">
        <f t="shared" si="44"/>
        <v/>
      </c>
      <c r="F241" s="32">
        <f t="shared" si="37"/>
        <v>0</v>
      </c>
      <c r="G241" s="32">
        <f t="shared" si="38"/>
        <v>0</v>
      </c>
      <c r="H241" s="32">
        <f t="shared" si="39"/>
        <v>0</v>
      </c>
      <c r="I241" s="32">
        <f t="shared" si="45"/>
        <v>1</v>
      </c>
      <c r="J241" s="32" t="str">
        <f t="shared" si="46"/>
        <v>Yes</v>
      </c>
      <c r="K241" s="32" t="str">
        <f t="shared" si="47"/>
        <v/>
      </c>
      <c r="L241" s="35">
        <f t="shared" si="48"/>
        <v>0</v>
      </c>
      <c r="M241" s="35">
        <f t="shared" si="49"/>
        <v>0</v>
      </c>
    </row>
    <row r="242" spans="5:13">
      <c r="E242" s="32" t="str">
        <f t="shared" si="44"/>
        <v/>
      </c>
      <c r="F242" s="32">
        <f t="shared" si="37"/>
        <v>0</v>
      </c>
      <c r="G242" s="32">
        <f t="shared" si="38"/>
        <v>0</v>
      </c>
      <c r="H242" s="32">
        <f t="shared" si="39"/>
        <v>0</v>
      </c>
      <c r="I242" s="32">
        <f t="shared" si="45"/>
        <v>1</v>
      </c>
      <c r="J242" s="32" t="str">
        <f t="shared" si="46"/>
        <v>Yes</v>
      </c>
      <c r="K242" s="32" t="str">
        <f t="shared" si="47"/>
        <v/>
      </c>
      <c r="L242" s="35">
        <f t="shared" si="48"/>
        <v>0</v>
      </c>
      <c r="M242" s="35">
        <f t="shared" si="49"/>
        <v>0</v>
      </c>
    </row>
    <row r="243" spans="5:13">
      <c r="E243" s="32" t="str">
        <f t="shared" si="44"/>
        <v/>
      </c>
      <c r="F243" s="32">
        <f t="shared" si="37"/>
        <v>0</v>
      </c>
      <c r="G243" s="32">
        <f t="shared" si="38"/>
        <v>0</v>
      </c>
      <c r="H243" s="32">
        <f t="shared" si="39"/>
        <v>0</v>
      </c>
      <c r="I243" s="32">
        <f t="shared" si="45"/>
        <v>1</v>
      </c>
      <c r="J243" s="32" t="str">
        <f t="shared" si="46"/>
        <v>Yes</v>
      </c>
      <c r="K243" s="32" t="str">
        <f t="shared" si="47"/>
        <v/>
      </c>
      <c r="L243" s="35">
        <f t="shared" si="48"/>
        <v>0</v>
      </c>
      <c r="M243" s="35">
        <f t="shared" si="49"/>
        <v>0</v>
      </c>
    </row>
    <row r="244" spans="5:13">
      <c r="E244" s="32" t="str">
        <f t="shared" si="44"/>
        <v/>
      </c>
      <c r="F244" s="32">
        <f t="shared" si="37"/>
        <v>0</v>
      </c>
      <c r="G244" s="32">
        <f t="shared" si="38"/>
        <v>0</v>
      </c>
      <c r="H244" s="32">
        <f t="shared" si="39"/>
        <v>0</v>
      </c>
      <c r="I244" s="32">
        <f t="shared" si="45"/>
        <v>1</v>
      </c>
      <c r="J244" s="32" t="str">
        <f t="shared" si="46"/>
        <v>Yes</v>
      </c>
      <c r="K244" s="32" t="str">
        <f t="shared" si="47"/>
        <v/>
      </c>
      <c r="L244" s="35">
        <f t="shared" si="48"/>
        <v>0</v>
      </c>
      <c r="M244" s="35">
        <f t="shared" si="49"/>
        <v>0</v>
      </c>
    </row>
    <row r="245" spans="5:13">
      <c r="E245" s="32" t="str">
        <f t="shared" si="44"/>
        <v/>
      </c>
      <c r="F245" s="32">
        <f t="shared" si="37"/>
        <v>0</v>
      </c>
      <c r="G245" s="32">
        <f t="shared" si="38"/>
        <v>0</v>
      </c>
      <c r="H245" s="32">
        <f t="shared" si="39"/>
        <v>0</v>
      </c>
      <c r="I245" s="32">
        <f t="shared" si="45"/>
        <v>1</v>
      </c>
      <c r="J245" s="32" t="str">
        <f t="shared" si="46"/>
        <v>Yes</v>
      </c>
      <c r="K245" s="32" t="str">
        <f t="shared" si="47"/>
        <v/>
      </c>
      <c r="L245" s="35">
        <f t="shared" si="48"/>
        <v>0</v>
      </c>
      <c r="M245" s="35">
        <f t="shared" si="49"/>
        <v>0</v>
      </c>
    </row>
    <row r="246" spans="5:13">
      <c r="E246" s="32" t="str">
        <f t="shared" si="44"/>
        <v/>
      </c>
      <c r="F246" s="32">
        <f t="shared" si="37"/>
        <v>0</v>
      </c>
      <c r="G246" s="32">
        <f t="shared" si="38"/>
        <v>0</v>
      </c>
      <c r="H246" s="32">
        <f t="shared" si="39"/>
        <v>0</v>
      </c>
      <c r="I246" s="32">
        <f t="shared" si="45"/>
        <v>1</v>
      </c>
      <c r="J246" s="32" t="str">
        <f t="shared" si="46"/>
        <v>Yes</v>
      </c>
      <c r="K246" s="32" t="str">
        <f t="shared" si="47"/>
        <v/>
      </c>
      <c r="L246" s="35">
        <f t="shared" si="48"/>
        <v>0</v>
      </c>
      <c r="M246" s="35">
        <f t="shared" si="49"/>
        <v>0</v>
      </c>
    </row>
    <row r="247" spans="5:13">
      <c r="E247" s="32" t="str">
        <f t="shared" si="44"/>
        <v/>
      </c>
      <c r="F247" s="32">
        <f t="shared" si="37"/>
        <v>0</v>
      </c>
      <c r="G247" s="32">
        <f t="shared" si="38"/>
        <v>0</v>
      </c>
      <c r="H247" s="32">
        <f t="shared" si="39"/>
        <v>0</v>
      </c>
      <c r="I247" s="32">
        <f t="shared" si="45"/>
        <v>1</v>
      </c>
      <c r="J247" s="32" t="str">
        <f t="shared" si="46"/>
        <v>Yes</v>
      </c>
      <c r="K247" s="32" t="str">
        <f t="shared" si="47"/>
        <v/>
      </c>
      <c r="L247" s="35">
        <f t="shared" si="48"/>
        <v>0</v>
      </c>
      <c r="M247" s="35">
        <f t="shared" si="49"/>
        <v>0</v>
      </c>
    </row>
    <row r="248" spans="5:13">
      <c r="E248" s="32" t="str">
        <f t="shared" si="44"/>
        <v/>
      </c>
      <c r="F248" s="32">
        <f t="shared" si="37"/>
        <v>0</v>
      </c>
      <c r="G248" s="32">
        <f t="shared" si="38"/>
        <v>0</v>
      </c>
      <c r="H248" s="32">
        <f t="shared" si="39"/>
        <v>0</v>
      </c>
      <c r="I248" s="32">
        <f t="shared" si="45"/>
        <v>1</v>
      </c>
      <c r="J248" s="32" t="str">
        <f t="shared" si="46"/>
        <v>Yes</v>
      </c>
      <c r="K248" s="32" t="str">
        <f t="shared" si="47"/>
        <v/>
      </c>
      <c r="L248" s="35">
        <f t="shared" si="48"/>
        <v>0</v>
      </c>
      <c r="M248" s="35">
        <f t="shared" si="49"/>
        <v>0</v>
      </c>
    </row>
    <row r="249" spans="5:13">
      <c r="E249" s="32" t="str">
        <f t="shared" si="44"/>
        <v/>
      </c>
      <c r="F249" s="32">
        <f t="shared" si="37"/>
        <v>0</v>
      </c>
      <c r="G249" s="32">
        <f t="shared" si="38"/>
        <v>0</v>
      </c>
      <c r="H249" s="32">
        <f t="shared" si="39"/>
        <v>0</v>
      </c>
      <c r="I249" s="32">
        <f t="shared" si="45"/>
        <v>1</v>
      </c>
      <c r="J249" s="32" t="str">
        <f t="shared" si="46"/>
        <v>Yes</v>
      </c>
      <c r="K249" s="32" t="str">
        <f t="shared" si="47"/>
        <v/>
      </c>
      <c r="L249" s="35">
        <f t="shared" si="48"/>
        <v>0</v>
      </c>
      <c r="M249" s="35">
        <f t="shared" si="49"/>
        <v>0</v>
      </c>
    </row>
    <row r="250" spans="5:13">
      <c r="E250" s="32" t="str">
        <f t="shared" si="44"/>
        <v/>
      </c>
      <c r="F250" s="32">
        <f t="shared" si="37"/>
        <v>0</v>
      </c>
      <c r="G250" s="32">
        <f t="shared" si="38"/>
        <v>0</v>
      </c>
      <c r="H250" s="32">
        <f t="shared" si="39"/>
        <v>0</v>
      </c>
      <c r="I250" s="32">
        <f t="shared" si="45"/>
        <v>1</v>
      </c>
      <c r="J250" s="32" t="str">
        <f t="shared" si="46"/>
        <v>Yes</v>
      </c>
      <c r="K250" s="32" t="str">
        <f t="shared" si="47"/>
        <v/>
      </c>
      <c r="L250" s="35">
        <f t="shared" si="48"/>
        <v>0</v>
      </c>
      <c r="M250" s="35">
        <f t="shared" si="49"/>
        <v>0</v>
      </c>
    </row>
    <row r="251" spans="5:13">
      <c r="E251" s="32" t="str">
        <f t="shared" si="44"/>
        <v/>
      </c>
      <c r="F251" s="32">
        <f t="shared" si="37"/>
        <v>0</v>
      </c>
      <c r="G251" s="32">
        <f t="shared" si="38"/>
        <v>0</v>
      </c>
      <c r="H251" s="32">
        <f t="shared" si="39"/>
        <v>0</v>
      </c>
      <c r="I251" s="32">
        <f t="shared" si="45"/>
        <v>1</v>
      </c>
      <c r="J251" s="32" t="str">
        <f t="shared" si="46"/>
        <v>Yes</v>
      </c>
      <c r="K251" s="32" t="str">
        <f t="shared" si="47"/>
        <v/>
      </c>
      <c r="L251" s="35">
        <f t="shared" si="48"/>
        <v>0</v>
      </c>
      <c r="M251" s="35">
        <f t="shared" si="49"/>
        <v>0</v>
      </c>
    </row>
    <row r="252" spans="5:13">
      <c r="E252" s="32" t="str">
        <f t="shared" si="44"/>
        <v/>
      </c>
      <c r="F252" s="32">
        <f t="shared" si="37"/>
        <v>0</v>
      </c>
      <c r="G252" s="32">
        <f t="shared" si="38"/>
        <v>0</v>
      </c>
      <c r="H252" s="32">
        <f t="shared" si="39"/>
        <v>0</v>
      </c>
      <c r="I252" s="32">
        <f t="shared" si="45"/>
        <v>1</v>
      </c>
      <c r="J252" s="32" t="str">
        <f t="shared" si="46"/>
        <v>Yes</v>
      </c>
      <c r="K252" s="32" t="str">
        <f t="shared" si="47"/>
        <v/>
      </c>
      <c r="L252" s="35">
        <f t="shared" si="48"/>
        <v>0</v>
      </c>
      <c r="M252" s="35">
        <f t="shared" si="49"/>
        <v>0</v>
      </c>
    </row>
    <row r="253" spans="5:13">
      <c r="E253" s="32" t="str">
        <f t="shared" si="44"/>
        <v/>
      </c>
      <c r="F253" s="32">
        <f t="shared" si="37"/>
        <v>0</v>
      </c>
      <c r="G253" s="32">
        <f t="shared" si="38"/>
        <v>0</v>
      </c>
      <c r="H253" s="32">
        <f t="shared" si="39"/>
        <v>0</v>
      </c>
      <c r="I253" s="32">
        <f t="shared" si="45"/>
        <v>1</v>
      </c>
      <c r="J253" s="32" t="str">
        <f t="shared" si="46"/>
        <v>Yes</v>
      </c>
      <c r="K253" s="32" t="str">
        <f t="shared" si="47"/>
        <v/>
      </c>
      <c r="L253" s="35">
        <f t="shared" si="48"/>
        <v>0</v>
      </c>
      <c r="M253" s="35">
        <f t="shared" si="49"/>
        <v>0</v>
      </c>
    </row>
    <row r="254" spans="5:13">
      <c r="E254" s="32" t="str">
        <f t="shared" si="44"/>
        <v/>
      </c>
      <c r="F254" s="32">
        <f t="shared" si="37"/>
        <v>0</v>
      </c>
      <c r="G254" s="32">
        <f t="shared" si="38"/>
        <v>0</v>
      </c>
      <c r="H254" s="32">
        <f t="shared" si="39"/>
        <v>0</v>
      </c>
      <c r="I254" s="32">
        <f t="shared" si="45"/>
        <v>1</v>
      </c>
      <c r="J254" s="32" t="str">
        <f t="shared" si="46"/>
        <v>Yes</v>
      </c>
      <c r="K254" s="32" t="str">
        <f t="shared" si="47"/>
        <v/>
      </c>
      <c r="L254" s="35">
        <f t="shared" si="48"/>
        <v>0</v>
      </c>
      <c r="M254" s="35">
        <f t="shared" si="49"/>
        <v>0</v>
      </c>
    </row>
    <row r="255" spans="5:13">
      <c r="E255" s="32" t="str">
        <f t="shared" si="44"/>
        <v/>
      </c>
      <c r="F255" s="32">
        <f t="shared" si="37"/>
        <v>0</v>
      </c>
      <c r="G255" s="32">
        <f t="shared" si="38"/>
        <v>0</v>
      </c>
      <c r="H255" s="32">
        <f t="shared" si="39"/>
        <v>0</v>
      </c>
      <c r="I255" s="32">
        <f t="shared" si="45"/>
        <v>1</v>
      </c>
      <c r="J255" s="32" t="str">
        <f t="shared" si="46"/>
        <v>Yes</v>
      </c>
      <c r="K255" s="32" t="str">
        <f t="shared" si="47"/>
        <v/>
      </c>
      <c r="L255" s="35">
        <f t="shared" si="48"/>
        <v>0</v>
      </c>
      <c r="M255" s="35">
        <f t="shared" si="49"/>
        <v>0</v>
      </c>
    </row>
    <row r="256" spans="5:13">
      <c r="E256" s="32" t="str">
        <f t="shared" si="44"/>
        <v/>
      </c>
      <c r="F256" s="32">
        <f t="shared" si="37"/>
        <v>0</v>
      </c>
      <c r="G256" s="32">
        <f t="shared" si="38"/>
        <v>0</v>
      </c>
      <c r="H256" s="32">
        <f t="shared" si="39"/>
        <v>0</v>
      </c>
      <c r="I256" s="32">
        <f t="shared" si="45"/>
        <v>1</v>
      </c>
      <c r="J256" s="32" t="str">
        <f t="shared" si="46"/>
        <v>Yes</v>
      </c>
      <c r="K256" s="32" t="str">
        <f t="shared" si="47"/>
        <v/>
      </c>
      <c r="L256" s="35">
        <f t="shared" si="48"/>
        <v>0</v>
      </c>
      <c r="M256" s="35">
        <f t="shared" si="49"/>
        <v>0</v>
      </c>
    </row>
    <row r="257" spans="5:13">
      <c r="E257" s="32" t="str">
        <f t="shared" si="44"/>
        <v/>
      </c>
      <c r="F257" s="32">
        <f t="shared" si="37"/>
        <v>0</v>
      </c>
      <c r="G257" s="32">
        <f t="shared" si="38"/>
        <v>0</v>
      </c>
      <c r="H257" s="32">
        <f t="shared" si="39"/>
        <v>0</v>
      </c>
      <c r="I257" s="32">
        <f t="shared" si="45"/>
        <v>1</v>
      </c>
      <c r="J257" s="32" t="str">
        <f t="shared" si="46"/>
        <v>Yes</v>
      </c>
      <c r="K257" s="32" t="str">
        <f t="shared" si="47"/>
        <v/>
      </c>
      <c r="L257" s="35">
        <f t="shared" si="48"/>
        <v>0</v>
      </c>
      <c r="M257" s="35">
        <f t="shared" si="49"/>
        <v>0</v>
      </c>
    </row>
    <row r="258" spans="5:13">
      <c r="E258" s="32" t="str">
        <f t="shared" si="44"/>
        <v/>
      </c>
      <c r="F258" s="32">
        <f t="shared" si="37"/>
        <v>0</v>
      </c>
      <c r="G258" s="32">
        <f t="shared" si="38"/>
        <v>0</v>
      </c>
      <c r="H258" s="32">
        <f t="shared" si="39"/>
        <v>0</v>
      </c>
      <c r="I258" s="32">
        <f t="shared" si="45"/>
        <v>1</v>
      </c>
      <c r="J258" s="32" t="str">
        <f t="shared" si="46"/>
        <v>Yes</v>
      </c>
      <c r="K258" s="32" t="str">
        <f t="shared" si="47"/>
        <v/>
      </c>
      <c r="L258" s="35">
        <f t="shared" si="48"/>
        <v>0</v>
      </c>
      <c r="M258" s="35">
        <f t="shared" si="49"/>
        <v>0</v>
      </c>
    </row>
    <row r="259" spans="5:13">
      <c r="E259" s="32" t="str">
        <f t="shared" si="44"/>
        <v/>
      </c>
      <c r="F259" s="32">
        <f t="shared" si="37"/>
        <v>0</v>
      </c>
      <c r="G259" s="32">
        <f t="shared" si="38"/>
        <v>0</v>
      </c>
      <c r="H259" s="32">
        <f t="shared" si="39"/>
        <v>0</v>
      </c>
      <c r="I259" s="32">
        <f t="shared" si="45"/>
        <v>1</v>
      </c>
      <c r="J259" s="32" t="str">
        <f t="shared" si="46"/>
        <v>Yes</v>
      </c>
      <c r="K259" s="32" t="str">
        <f t="shared" si="47"/>
        <v/>
      </c>
      <c r="L259" s="35">
        <f t="shared" si="48"/>
        <v>0</v>
      </c>
      <c r="M259" s="35">
        <f t="shared" si="49"/>
        <v>0</v>
      </c>
    </row>
    <row r="260" spans="5:13">
      <c r="E260" s="32" t="str">
        <f t="shared" si="44"/>
        <v/>
      </c>
      <c r="F260" s="32">
        <f t="shared" si="37"/>
        <v>0</v>
      </c>
      <c r="G260" s="32">
        <f t="shared" si="38"/>
        <v>0</v>
      </c>
      <c r="H260" s="32">
        <f t="shared" si="39"/>
        <v>0</v>
      </c>
      <c r="I260" s="32">
        <f t="shared" si="45"/>
        <v>1</v>
      </c>
      <c r="J260" s="32" t="str">
        <f t="shared" si="46"/>
        <v>Yes</v>
      </c>
      <c r="K260" s="32" t="str">
        <f t="shared" si="47"/>
        <v/>
      </c>
      <c r="L260" s="35">
        <f t="shared" si="48"/>
        <v>0</v>
      </c>
      <c r="M260" s="35">
        <f t="shared" si="49"/>
        <v>0</v>
      </c>
    </row>
    <row r="261" spans="5:13">
      <c r="E261" s="32" t="str">
        <f t="shared" si="44"/>
        <v/>
      </c>
      <c r="F261" s="32">
        <f t="shared" ref="F261:F300" si="50">IF(ISERROR(MID($E261,FIND("h",$E261)-2,2)+0),0,MID($E261,FIND("h",$E261)-2,2)+0)</f>
        <v>0</v>
      </c>
      <c r="G261" s="32">
        <f t="shared" ref="G261:G300" si="51">IF(ISERROR(MID($E261,FIND("m",$E261)-2,2)+0),0,MID($E261,FIND("m",$E261)-2,2)+0)</f>
        <v>0</v>
      </c>
      <c r="H261" s="32">
        <f t="shared" ref="H261:H300" si="52">IF(ISERROR(MID($E261,FIND("s",$E261)-2,2)+0),0,MID($E261,FIND("s",$E261)-2,2)+0)</f>
        <v>0</v>
      </c>
      <c r="I261" s="32">
        <f t="shared" si="45"/>
        <v>1</v>
      </c>
      <c r="J261" s="32" t="str">
        <f t="shared" si="46"/>
        <v>Yes</v>
      </c>
      <c r="K261" s="32" t="str">
        <f t="shared" si="47"/>
        <v/>
      </c>
      <c r="L261" s="35">
        <f t="shared" si="48"/>
        <v>0</v>
      </c>
      <c r="M261" s="35">
        <f t="shared" si="49"/>
        <v>0</v>
      </c>
    </row>
    <row r="262" spans="5:13">
      <c r="E262" s="32" t="str">
        <f t="shared" si="44"/>
        <v/>
      </c>
      <c r="F262" s="32">
        <f t="shared" si="50"/>
        <v>0</v>
      </c>
      <c r="G262" s="32">
        <f t="shared" si="51"/>
        <v>0</v>
      </c>
      <c r="H262" s="32">
        <f t="shared" si="52"/>
        <v>0</v>
      </c>
      <c r="I262" s="32">
        <f t="shared" si="45"/>
        <v>1</v>
      </c>
      <c r="J262" s="32" t="str">
        <f t="shared" si="46"/>
        <v>Yes</v>
      </c>
      <c r="K262" s="32" t="str">
        <f t="shared" si="47"/>
        <v/>
      </c>
      <c r="L262" s="35">
        <f t="shared" si="48"/>
        <v>0</v>
      </c>
      <c r="M262" s="35">
        <f t="shared" si="49"/>
        <v>0</v>
      </c>
    </row>
    <row r="263" spans="5:13">
      <c r="E263" s="32" t="str">
        <f t="shared" si="44"/>
        <v/>
      </c>
      <c r="F263" s="32">
        <f t="shared" si="50"/>
        <v>0</v>
      </c>
      <c r="G263" s="32">
        <f t="shared" si="51"/>
        <v>0</v>
      </c>
      <c r="H263" s="32">
        <f t="shared" si="52"/>
        <v>0</v>
      </c>
      <c r="I263" s="32">
        <f t="shared" si="45"/>
        <v>1</v>
      </c>
      <c r="J263" s="32" t="str">
        <f t="shared" si="46"/>
        <v>Yes</v>
      </c>
      <c r="K263" s="32" t="str">
        <f t="shared" si="47"/>
        <v/>
      </c>
      <c r="L263" s="35">
        <f t="shared" si="48"/>
        <v>0</v>
      </c>
      <c r="M263" s="35">
        <f t="shared" si="49"/>
        <v>0</v>
      </c>
    </row>
    <row r="264" spans="5:13">
      <c r="E264" s="32" t="str">
        <f t="shared" si="44"/>
        <v/>
      </c>
      <c r="F264" s="32">
        <f t="shared" si="50"/>
        <v>0</v>
      </c>
      <c r="G264" s="32">
        <f t="shared" si="51"/>
        <v>0</v>
      </c>
      <c r="H264" s="32">
        <f t="shared" si="52"/>
        <v>0</v>
      </c>
      <c r="I264" s="32">
        <f t="shared" si="45"/>
        <v>1</v>
      </c>
      <c r="J264" s="32" t="str">
        <f t="shared" si="46"/>
        <v>Yes</v>
      </c>
      <c r="K264" s="32" t="str">
        <f t="shared" si="47"/>
        <v/>
      </c>
      <c r="L264" s="35">
        <f t="shared" si="48"/>
        <v>0</v>
      </c>
      <c r="M264" s="35">
        <f t="shared" si="49"/>
        <v>0</v>
      </c>
    </row>
    <row r="265" spans="5:13">
      <c r="E265" s="32" t="str">
        <f t="shared" si="44"/>
        <v/>
      </c>
      <c r="F265" s="32">
        <f t="shared" si="50"/>
        <v>0</v>
      </c>
      <c r="G265" s="32">
        <f t="shared" si="51"/>
        <v>0</v>
      </c>
      <c r="H265" s="32">
        <f t="shared" si="52"/>
        <v>0</v>
      </c>
      <c r="I265" s="32">
        <f t="shared" si="45"/>
        <v>1</v>
      </c>
      <c r="J265" s="32" t="str">
        <f t="shared" si="46"/>
        <v>Yes</v>
      </c>
      <c r="K265" s="32" t="str">
        <f t="shared" si="47"/>
        <v/>
      </c>
      <c r="L265" s="35">
        <f t="shared" si="48"/>
        <v>0</v>
      </c>
      <c r="M265" s="35">
        <f t="shared" si="49"/>
        <v>0</v>
      </c>
    </row>
    <row r="266" spans="5:13">
      <c r="E266" s="32" t="str">
        <f t="shared" si="44"/>
        <v/>
      </c>
      <c r="F266" s="32">
        <f t="shared" si="50"/>
        <v>0</v>
      </c>
      <c r="G266" s="32">
        <f t="shared" si="51"/>
        <v>0</v>
      </c>
      <c r="H266" s="32">
        <f t="shared" si="52"/>
        <v>0</v>
      </c>
      <c r="I266" s="32">
        <f t="shared" si="45"/>
        <v>1</v>
      </c>
      <c r="J266" s="32" t="str">
        <f t="shared" si="46"/>
        <v>Yes</v>
      </c>
      <c r="K266" s="32" t="str">
        <f t="shared" si="47"/>
        <v/>
      </c>
      <c r="L266" s="35">
        <f t="shared" si="48"/>
        <v>0</v>
      </c>
      <c r="M266" s="35">
        <f t="shared" si="49"/>
        <v>0</v>
      </c>
    </row>
    <row r="267" spans="5:13">
      <c r="E267" s="32" t="str">
        <f t="shared" si="44"/>
        <v/>
      </c>
      <c r="F267" s="32">
        <f t="shared" si="50"/>
        <v>0</v>
      </c>
      <c r="G267" s="32">
        <f t="shared" si="51"/>
        <v>0</v>
      </c>
      <c r="H267" s="32">
        <f t="shared" si="52"/>
        <v>0</v>
      </c>
      <c r="I267" s="32">
        <f t="shared" si="45"/>
        <v>1</v>
      </c>
      <c r="J267" s="32" t="str">
        <f t="shared" si="46"/>
        <v>Yes</v>
      </c>
      <c r="K267" s="32" t="str">
        <f t="shared" si="47"/>
        <v/>
      </c>
      <c r="L267" s="35">
        <f t="shared" si="48"/>
        <v>0</v>
      </c>
      <c r="M267" s="35">
        <f t="shared" si="49"/>
        <v>0</v>
      </c>
    </row>
    <row r="268" spans="5:13">
      <c r="E268" s="32" t="str">
        <f t="shared" ref="E268:E300" si="53">IF(ISERROR(LEFT(B268,FIND(")",B268))),"",LEFT(B268,FIND(")",B268)))</f>
        <v/>
      </c>
      <c r="F268" s="32">
        <f t="shared" si="50"/>
        <v>0</v>
      </c>
      <c r="G268" s="32">
        <f t="shared" si="51"/>
        <v>0</v>
      </c>
      <c r="H268" s="32">
        <f t="shared" si="52"/>
        <v>0</v>
      </c>
      <c r="I268" s="32">
        <f t="shared" ref="I268:I300" si="54">IF(J268="No",I267+1,I267)</f>
        <v>1</v>
      </c>
      <c r="J268" s="32" t="str">
        <f t="shared" ref="J268:J300" si="55">IF(G268=0,"Yes","No")</f>
        <v>Yes</v>
      </c>
      <c r="K268" s="32" t="str">
        <f t="shared" ref="K268:K300" si="56">IF(J268="No",J268&amp;I268,"")</f>
        <v/>
      </c>
      <c r="L268" s="35">
        <f t="shared" ref="L268:L300" si="57">TIME(F268,G268,H268)</f>
        <v>0</v>
      </c>
      <c r="M268" s="35">
        <f t="shared" ref="M268:M300" si="58">IF(I268=1,0,INDEX(L:L,MATCH("No"&amp;I268,K:K,0))-INDEX(L:L,MATCH("No"&amp;I268-1,K:K,0)))</f>
        <v>0</v>
      </c>
    </row>
    <row r="269" spans="5:13">
      <c r="E269" s="32" t="str">
        <f t="shared" si="53"/>
        <v/>
      </c>
      <c r="F269" s="32">
        <f t="shared" si="50"/>
        <v>0</v>
      </c>
      <c r="G269" s="32">
        <f t="shared" si="51"/>
        <v>0</v>
      </c>
      <c r="H269" s="32">
        <f t="shared" si="52"/>
        <v>0</v>
      </c>
      <c r="I269" s="32">
        <f t="shared" si="54"/>
        <v>1</v>
      </c>
      <c r="J269" s="32" t="str">
        <f t="shared" si="55"/>
        <v>Yes</v>
      </c>
      <c r="K269" s="32" t="str">
        <f t="shared" si="56"/>
        <v/>
      </c>
      <c r="L269" s="35">
        <f t="shared" si="57"/>
        <v>0</v>
      </c>
      <c r="M269" s="35">
        <f t="shared" si="58"/>
        <v>0</v>
      </c>
    </row>
    <row r="270" spans="5:13">
      <c r="E270" s="32" t="str">
        <f t="shared" si="53"/>
        <v/>
      </c>
      <c r="F270" s="32">
        <f t="shared" si="50"/>
        <v>0</v>
      </c>
      <c r="G270" s="32">
        <f t="shared" si="51"/>
        <v>0</v>
      </c>
      <c r="H270" s="32">
        <f t="shared" si="52"/>
        <v>0</v>
      </c>
      <c r="I270" s="32">
        <f t="shared" si="54"/>
        <v>1</v>
      </c>
      <c r="J270" s="32" t="str">
        <f t="shared" si="55"/>
        <v>Yes</v>
      </c>
      <c r="K270" s="32" t="str">
        <f t="shared" si="56"/>
        <v/>
      </c>
      <c r="L270" s="35">
        <f t="shared" si="57"/>
        <v>0</v>
      </c>
      <c r="M270" s="35">
        <f t="shared" si="58"/>
        <v>0</v>
      </c>
    </row>
    <row r="271" spans="5:13">
      <c r="E271" s="32" t="str">
        <f t="shared" si="53"/>
        <v/>
      </c>
      <c r="F271" s="32">
        <f t="shared" si="50"/>
        <v>0</v>
      </c>
      <c r="G271" s="32">
        <f t="shared" si="51"/>
        <v>0</v>
      </c>
      <c r="H271" s="32">
        <f t="shared" si="52"/>
        <v>0</v>
      </c>
      <c r="I271" s="32">
        <f t="shared" si="54"/>
        <v>1</v>
      </c>
      <c r="J271" s="32" t="str">
        <f t="shared" si="55"/>
        <v>Yes</v>
      </c>
      <c r="K271" s="32" t="str">
        <f t="shared" si="56"/>
        <v/>
      </c>
      <c r="L271" s="35">
        <f t="shared" si="57"/>
        <v>0</v>
      </c>
      <c r="M271" s="35">
        <f t="shared" si="58"/>
        <v>0</v>
      </c>
    </row>
    <row r="272" spans="5:13">
      <c r="E272" s="32" t="str">
        <f t="shared" si="53"/>
        <v/>
      </c>
      <c r="F272" s="32">
        <f t="shared" si="50"/>
        <v>0</v>
      </c>
      <c r="G272" s="32">
        <f t="shared" si="51"/>
        <v>0</v>
      </c>
      <c r="H272" s="32">
        <f t="shared" si="52"/>
        <v>0</v>
      </c>
      <c r="I272" s="32">
        <f t="shared" si="54"/>
        <v>1</v>
      </c>
      <c r="J272" s="32" t="str">
        <f t="shared" si="55"/>
        <v>Yes</v>
      </c>
      <c r="K272" s="32" t="str">
        <f t="shared" si="56"/>
        <v/>
      </c>
      <c r="L272" s="35">
        <f t="shared" si="57"/>
        <v>0</v>
      </c>
      <c r="M272" s="35">
        <f t="shared" si="58"/>
        <v>0</v>
      </c>
    </row>
    <row r="273" spans="5:13">
      <c r="E273" s="32" t="str">
        <f t="shared" si="53"/>
        <v/>
      </c>
      <c r="F273" s="32">
        <f t="shared" si="50"/>
        <v>0</v>
      </c>
      <c r="G273" s="32">
        <f t="shared" si="51"/>
        <v>0</v>
      </c>
      <c r="H273" s="32">
        <f t="shared" si="52"/>
        <v>0</v>
      </c>
      <c r="I273" s="32">
        <f t="shared" si="54"/>
        <v>1</v>
      </c>
      <c r="J273" s="32" t="str">
        <f t="shared" si="55"/>
        <v>Yes</v>
      </c>
      <c r="K273" s="32" t="str">
        <f t="shared" si="56"/>
        <v/>
      </c>
      <c r="L273" s="35">
        <f t="shared" si="57"/>
        <v>0</v>
      </c>
      <c r="M273" s="35">
        <f t="shared" si="58"/>
        <v>0</v>
      </c>
    </row>
    <row r="274" spans="5:13">
      <c r="E274" s="32" t="str">
        <f t="shared" si="53"/>
        <v/>
      </c>
      <c r="F274" s="32">
        <f t="shared" si="50"/>
        <v>0</v>
      </c>
      <c r="G274" s="32">
        <f t="shared" si="51"/>
        <v>0</v>
      </c>
      <c r="H274" s="32">
        <f t="shared" si="52"/>
        <v>0</v>
      </c>
      <c r="I274" s="32">
        <f t="shared" si="54"/>
        <v>1</v>
      </c>
      <c r="J274" s="32" t="str">
        <f t="shared" si="55"/>
        <v>Yes</v>
      </c>
      <c r="K274" s="32" t="str">
        <f t="shared" si="56"/>
        <v/>
      </c>
      <c r="L274" s="35">
        <f t="shared" si="57"/>
        <v>0</v>
      </c>
      <c r="M274" s="35">
        <f t="shared" si="58"/>
        <v>0</v>
      </c>
    </row>
    <row r="275" spans="5:13">
      <c r="E275" s="32" t="str">
        <f t="shared" si="53"/>
        <v/>
      </c>
      <c r="F275" s="32">
        <f t="shared" si="50"/>
        <v>0</v>
      </c>
      <c r="G275" s="32">
        <f t="shared" si="51"/>
        <v>0</v>
      </c>
      <c r="H275" s="32">
        <f t="shared" si="52"/>
        <v>0</v>
      </c>
      <c r="I275" s="32">
        <f t="shared" si="54"/>
        <v>1</v>
      </c>
      <c r="J275" s="32" t="str">
        <f t="shared" si="55"/>
        <v>Yes</v>
      </c>
      <c r="K275" s="32" t="str">
        <f t="shared" si="56"/>
        <v/>
      </c>
      <c r="L275" s="35">
        <f t="shared" si="57"/>
        <v>0</v>
      </c>
      <c r="M275" s="35">
        <f t="shared" si="58"/>
        <v>0</v>
      </c>
    </row>
    <row r="276" spans="5:13">
      <c r="E276" s="32" t="str">
        <f t="shared" si="53"/>
        <v/>
      </c>
      <c r="F276" s="32">
        <f t="shared" si="50"/>
        <v>0</v>
      </c>
      <c r="G276" s="32">
        <f t="shared" si="51"/>
        <v>0</v>
      </c>
      <c r="H276" s="32">
        <f t="shared" si="52"/>
        <v>0</v>
      </c>
      <c r="I276" s="32">
        <f t="shared" si="54"/>
        <v>1</v>
      </c>
      <c r="J276" s="32" t="str">
        <f t="shared" si="55"/>
        <v>Yes</v>
      </c>
      <c r="K276" s="32" t="str">
        <f t="shared" si="56"/>
        <v/>
      </c>
      <c r="L276" s="35">
        <f t="shared" si="57"/>
        <v>0</v>
      </c>
      <c r="M276" s="35">
        <f t="shared" si="58"/>
        <v>0</v>
      </c>
    </row>
    <row r="277" spans="5:13">
      <c r="E277" s="32" t="str">
        <f t="shared" si="53"/>
        <v/>
      </c>
      <c r="F277" s="32">
        <f t="shared" si="50"/>
        <v>0</v>
      </c>
      <c r="G277" s="32">
        <f t="shared" si="51"/>
        <v>0</v>
      </c>
      <c r="H277" s="32">
        <f t="shared" si="52"/>
        <v>0</v>
      </c>
      <c r="I277" s="32">
        <f t="shared" si="54"/>
        <v>1</v>
      </c>
      <c r="J277" s="32" t="str">
        <f t="shared" si="55"/>
        <v>Yes</v>
      </c>
      <c r="K277" s="32" t="str">
        <f t="shared" si="56"/>
        <v/>
      </c>
      <c r="L277" s="35">
        <f t="shared" si="57"/>
        <v>0</v>
      </c>
      <c r="M277" s="35">
        <f t="shared" si="58"/>
        <v>0</v>
      </c>
    </row>
    <row r="278" spans="5:13">
      <c r="E278" s="32" t="str">
        <f t="shared" si="53"/>
        <v/>
      </c>
      <c r="F278" s="32">
        <f t="shared" si="50"/>
        <v>0</v>
      </c>
      <c r="G278" s="32">
        <f t="shared" si="51"/>
        <v>0</v>
      </c>
      <c r="H278" s="32">
        <f t="shared" si="52"/>
        <v>0</v>
      </c>
      <c r="I278" s="32">
        <f t="shared" si="54"/>
        <v>1</v>
      </c>
      <c r="J278" s="32" t="str">
        <f t="shared" si="55"/>
        <v>Yes</v>
      </c>
      <c r="K278" s="32" t="str">
        <f t="shared" si="56"/>
        <v/>
      </c>
      <c r="L278" s="35">
        <f t="shared" si="57"/>
        <v>0</v>
      </c>
      <c r="M278" s="35">
        <f t="shared" si="58"/>
        <v>0</v>
      </c>
    </row>
    <row r="279" spans="5:13">
      <c r="E279" s="32" t="str">
        <f t="shared" si="53"/>
        <v/>
      </c>
      <c r="F279" s="32">
        <f t="shared" si="50"/>
        <v>0</v>
      </c>
      <c r="G279" s="32">
        <f t="shared" si="51"/>
        <v>0</v>
      </c>
      <c r="H279" s="32">
        <f t="shared" si="52"/>
        <v>0</v>
      </c>
      <c r="I279" s="32">
        <f t="shared" si="54"/>
        <v>1</v>
      </c>
      <c r="J279" s="32" t="str">
        <f t="shared" si="55"/>
        <v>Yes</v>
      </c>
      <c r="K279" s="32" t="str">
        <f t="shared" si="56"/>
        <v/>
      </c>
      <c r="L279" s="35">
        <f t="shared" si="57"/>
        <v>0</v>
      </c>
      <c r="M279" s="35">
        <f t="shared" si="58"/>
        <v>0</v>
      </c>
    </row>
    <row r="280" spans="5:13">
      <c r="E280" s="32" t="str">
        <f t="shared" si="53"/>
        <v/>
      </c>
      <c r="F280" s="32">
        <f t="shared" si="50"/>
        <v>0</v>
      </c>
      <c r="G280" s="32">
        <f t="shared" si="51"/>
        <v>0</v>
      </c>
      <c r="H280" s="32">
        <f t="shared" si="52"/>
        <v>0</v>
      </c>
      <c r="I280" s="32">
        <f t="shared" si="54"/>
        <v>1</v>
      </c>
      <c r="J280" s="32" t="str">
        <f t="shared" si="55"/>
        <v>Yes</v>
      </c>
      <c r="K280" s="32" t="str">
        <f t="shared" si="56"/>
        <v/>
      </c>
      <c r="L280" s="35">
        <f t="shared" si="57"/>
        <v>0</v>
      </c>
      <c r="M280" s="35">
        <f t="shared" si="58"/>
        <v>0</v>
      </c>
    </row>
    <row r="281" spans="5:13">
      <c r="E281" s="32" t="str">
        <f t="shared" si="53"/>
        <v/>
      </c>
      <c r="F281" s="32">
        <f t="shared" si="50"/>
        <v>0</v>
      </c>
      <c r="G281" s="32">
        <f t="shared" si="51"/>
        <v>0</v>
      </c>
      <c r="H281" s="32">
        <f t="shared" si="52"/>
        <v>0</v>
      </c>
      <c r="I281" s="32">
        <f t="shared" si="54"/>
        <v>1</v>
      </c>
      <c r="J281" s="32" t="str">
        <f t="shared" si="55"/>
        <v>Yes</v>
      </c>
      <c r="K281" s="32" t="str">
        <f t="shared" si="56"/>
        <v/>
      </c>
      <c r="L281" s="35">
        <f t="shared" si="57"/>
        <v>0</v>
      </c>
      <c r="M281" s="35">
        <f t="shared" si="58"/>
        <v>0</v>
      </c>
    </row>
    <row r="282" spans="5:13">
      <c r="E282" s="32" t="str">
        <f t="shared" si="53"/>
        <v/>
      </c>
      <c r="F282" s="32">
        <f t="shared" si="50"/>
        <v>0</v>
      </c>
      <c r="G282" s="32">
        <f t="shared" si="51"/>
        <v>0</v>
      </c>
      <c r="H282" s="32">
        <f t="shared" si="52"/>
        <v>0</v>
      </c>
      <c r="I282" s="32">
        <f t="shared" si="54"/>
        <v>1</v>
      </c>
      <c r="J282" s="32" t="str">
        <f t="shared" si="55"/>
        <v>Yes</v>
      </c>
      <c r="K282" s="32" t="str">
        <f t="shared" si="56"/>
        <v/>
      </c>
      <c r="L282" s="35">
        <f t="shared" si="57"/>
        <v>0</v>
      </c>
      <c r="M282" s="35">
        <f t="shared" si="58"/>
        <v>0</v>
      </c>
    </row>
    <row r="283" spans="5:13">
      <c r="E283" s="32" t="str">
        <f t="shared" si="53"/>
        <v/>
      </c>
      <c r="F283" s="32">
        <f t="shared" si="50"/>
        <v>0</v>
      </c>
      <c r="G283" s="32">
        <f t="shared" si="51"/>
        <v>0</v>
      </c>
      <c r="H283" s="32">
        <f t="shared" si="52"/>
        <v>0</v>
      </c>
      <c r="I283" s="32">
        <f t="shared" si="54"/>
        <v>1</v>
      </c>
      <c r="J283" s="32" t="str">
        <f t="shared" si="55"/>
        <v>Yes</v>
      </c>
      <c r="K283" s="32" t="str">
        <f t="shared" si="56"/>
        <v/>
      </c>
      <c r="L283" s="35">
        <f t="shared" si="57"/>
        <v>0</v>
      </c>
      <c r="M283" s="35">
        <f t="shared" si="58"/>
        <v>0</v>
      </c>
    </row>
    <row r="284" spans="5:13">
      <c r="E284" s="32" t="str">
        <f t="shared" si="53"/>
        <v/>
      </c>
      <c r="F284" s="32">
        <f t="shared" si="50"/>
        <v>0</v>
      </c>
      <c r="G284" s="32">
        <f t="shared" si="51"/>
        <v>0</v>
      </c>
      <c r="H284" s="32">
        <f t="shared" si="52"/>
        <v>0</v>
      </c>
      <c r="I284" s="32">
        <f t="shared" si="54"/>
        <v>1</v>
      </c>
      <c r="J284" s="32" t="str">
        <f t="shared" si="55"/>
        <v>Yes</v>
      </c>
      <c r="K284" s="32" t="str">
        <f t="shared" si="56"/>
        <v/>
      </c>
      <c r="L284" s="35">
        <f t="shared" si="57"/>
        <v>0</v>
      </c>
      <c r="M284" s="35">
        <f t="shared" si="58"/>
        <v>0</v>
      </c>
    </row>
    <row r="285" spans="5:13">
      <c r="E285" s="32" t="str">
        <f t="shared" si="53"/>
        <v/>
      </c>
      <c r="F285" s="32">
        <f t="shared" si="50"/>
        <v>0</v>
      </c>
      <c r="G285" s="32">
        <f t="shared" si="51"/>
        <v>0</v>
      </c>
      <c r="H285" s="32">
        <f t="shared" si="52"/>
        <v>0</v>
      </c>
      <c r="I285" s="32">
        <f t="shared" si="54"/>
        <v>1</v>
      </c>
      <c r="J285" s="32" t="str">
        <f t="shared" si="55"/>
        <v>Yes</v>
      </c>
      <c r="K285" s="32" t="str">
        <f t="shared" si="56"/>
        <v/>
      </c>
      <c r="L285" s="35">
        <f t="shared" si="57"/>
        <v>0</v>
      </c>
      <c r="M285" s="35">
        <f t="shared" si="58"/>
        <v>0</v>
      </c>
    </row>
    <row r="286" spans="5:13">
      <c r="E286" s="32" t="str">
        <f t="shared" si="53"/>
        <v/>
      </c>
      <c r="F286" s="32">
        <f t="shared" si="50"/>
        <v>0</v>
      </c>
      <c r="G286" s="32">
        <f t="shared" si="51"/>
        <v>0</v>
      </c>
      <c r="H286" s="32">
        <f t="shared" si="52"/>
        <v>0</v>
      </c>
      <c r="I286" s="32">
        <f t="shared" si="54"/>
        <v>1</v>
      </c>
      <c r="J286" s="32" t="str">
        <f t="shared" si="55"/>
        <v>Yes</v>
      </c>
      <c r="K286" s="32" t="str">
        <f t="shared" si="56"/>
        <v/>
      </c>
      <c r="L286" s="35">
        <f t="shared" si="57"/>
        <v>0</v>
      </c>
      <c r="M286" s="35">
        <f t="shared" si="58"/>
        <v>0</v>
      </c>
    </row>
    <row r="287" spans="5:13">
      <c r="E287" s="32" t="str">
        <f t="shared" si="53"/>
        <v/>
      </c>
      <c r="F287" s="32">
        <f t="shared" si="50"/>
        <v>0</v>
      </c>
      <c r="G287" s="32">
        <f t="shared" si="51"/>
        <v>0</v>
      </c>
      <c r="H287" s="32">
        <f t="shared" si="52"/>
        <v>0</v>
      </c>
      <c r="I287" s="32">
        <f t="shared" si="54"/>
        <v>1</v>
      </c>
      <c r="J287" s="32" t="str">
        <f t="shared" si="55"/>
        <v>Yes</v>
      </c>
      <c r="K287" s="32" t="str">
        <f t="shared" si="56"/>
        <v/>
      </c>
      <c r="L287" s="35">
        <f t="shared" si="57"/>
        <v>0</v>
      </c>
      <c r="M287" s="35">
        <f t="shared" si="58"/>
        <v>0</v>
      </c>
    </row>
    <row r="288" spans="5:13">
      <c r="E288" s="32" t="str">
        <f t="shared" si="53"/>
        <v/>
      </c>
      <c r="F288" s="32">
        <f t="shared" si="50"/>
        <v>0</v>
      </c>
      <c r="G288" s="32">
        <f t="shared" si="51"/>
        <v>0</v>
      </c>
      <c r="H288" s="32">
        <f t="shared" si="52"/>
        <v>0</v>
      </c>
      <c r="I288" s="32">
        <f t="shared" si="54"/>
        <v>1</v>
      </c>
      <c r="J288" s="32" t="str">
        <f t="shared" si="55"/>
        <v>Yes</v>
      </c>
      <c r="K288" s="32" t="str">
        <f t="shared" si="56"/>
        <v/>
      </c>
      <c r="L288" s="35">
        <f t="shared" si="57"/>
        <v>0</v>
      </c>
      <c r="M288" s="35">
        <f t="shared" si="58"/>
        <v>0</v>
      </c>
    </row>
    <row r="289" spans="5:13">
      <c r="E289" s="32" t="str">
        <f t="shared" si="53"/>
        <v/>
      </c>
      <c r="F289" s="32">
        <f t="shared" si="50"/>
        <v>0</v>
      </c>
      <c r="G289" s="32">
        <f t="shared" si="51"/>
        <v>0</v>
      </c>
      <c r="H289" s="32">
        <f t="shared" si="52"/>
        <v>0</v>
      </c>
      <c r="I289" s="32">
        <f t="shared" si="54"/>
        <v>1</v>
      </c>
      <c r="J289" s="32" t="str">
        <f t="shared" si="55"/>
        <v>Yes</v>
      </c>
      <c r="K289" s="32" t="str">
        <f t="shared" si="56"/>
        <v/>
      </c>
      <c r="L289" s="35">
        <f t="shared" si="57"/>
        <v>0</v>
      </c>
      <c r="M289" s="35">
        <f t="shared" si="58"/>
        <v>0</v>
      </c>
    </row>
    <row r="290" spans="5:13">
      <c r="E290" s="32" t="str">
        <f t="shared" si="53"/>
        <v/>
      </c>
      <c r="F290" s="32">
        <f t="shared" si="50"/>
        <v>0</v>
      </c>
      <c r="G290" s="32">
        <f t="shared" si="51"/>
        <v>0</v>
      </c>
      <c r="H290" s="32">
        <f t="shared" si="52"/>
        <v>0</v>
      </c>
      <c r="I290" s="32">
        <f t="shared" si="54"/>
        <v>1</v>
      </c>
      <c r="J290" s="32" t="str">
        <f t="shared" si="55"/>
        <v>Yes</v>
      </c>
      <c r="K290" s="32" t="str">
        <f t="shared" si="56"/>
        <v/>
      </c>
      <c r="L290" s="35">
        <f t="shared" si="57"/>
        <v>0</v>
      </c>
      <c r="M290" s="35">
        <f t="shared" si="58"/>
        <v>0</v>
      </c>
    </row>
    <row r="291" spans="5:13">
      <c r="E291" s="32" t="str">
        <f t="shared" si="53"/>
        <v/>
      </c>
      <c r="F291" s="32">
        <f t="shared" si="50"/>
        <v>0</v>
      </c>
      <c r="G291" s="32">
        <f t="shared" si="51"/>
        <v>0</v>
      </c>
      <c r="H291" s="32">
        <f t="shared" si="52"/>
        <v>0</v>
      </c>
      <c r="I291" s="32">
        <f t="shared" si="54"/>
        <v>1</v>
      </c>
      <c r="J291" s="32" t="str">
        <f t="shared" si="55"/>
        <v>Yes</v>
      </c>
      <c r="K291" s="32" t="str">
        <f t="shared" si="56"/>
        <v/>
      </c>
      <c r="L291" s="35">
        <f t="shared" si="57"/>
        <v>0</v>
      </c>
      <c r="M291" s="35">
        <f t="shared" si="58"/>
        <v>0</v>
      </c>
    </row>
    <row r="292" spans="5:13">
      <c r="E292" s="32" t="str">
        <f t="shared" si="53"/>
        <v/>
      </c>
      <c r="F292" s="32">
        <f t="shared" si="50"/>
        <v>0</v>
      </c>
      <c r="G292" s="32">
        <f t="shared" si="51"/>
        <v>0</v>
      </c>
      <c r="H292" s="32">
        <f t="shared" si="52"/>
        <v>0</v>
      </c>
      <c r="I292" s="32">
        <f t="shared" si="54"/>
        <v>1</v>
      </c>
      <c r="J292" s="32" t="str">
        <f t="shared" si="55"/>
        <v>Yes</v>
      </c>
      <c r="K292" s="32" t="str">
        <f t="shared" si="56"/>
        <v/>
      </c>
      <c r="L292" s="35">
        <f t="shared" si="57"/>
        <v>0</v>
      </c>
      <c r="M292" s="35">
        <f t="shared" si="58"/>
        <v>0</v>
      </c>
    </row>
    <row r="293" spans="5:13">
      <c r="E293" s="32" t="str">
        <f t="shared" si="53"/>
        <v/>
      </c>
      <c r="F293" s="32">
        <f t="shared" si="50"/>
        <v>0</v>
      </c>
      <c r="G293" s="32">
        <f t="shared" si="51"/>
        <v>0</v>
      </c>
      <c r="H293" s="32">
        <f t="shared" si="52"/>
        <v>0</v>
      </c>
      <c r="I293" s="32">
        <f t="shared" si="54"/>
        <v>1</v>
      </c>
      <c r="J293" s="32" t="str">
        <f t="shared" si="55"/>
        <v>Yes</v>
      </c>
      <c r="K293" s="32" t="str">
        <f t="shared" si="56"/>
        <v/>
      </c>
      <c r="L293" s="35">
        <f t="shared" si="57"/>
        <v>0</v>
      </c>
      <c r="M293" s="35">
        <f t="shared" si="58"/>
        <v>0</v>
      </c>
    </row>
    <row r="294" spans="5:13">
      <c r="E294" s="32" t="str">
        <f t="shared" si="53"/>
        <v/>
      </c>
      <c r="F294" s="32">
        <f t="shared" si="50"/>
        <v>0</v>
      </c>
      <c r="G294" s="32">
        <f t="shared" si="51"/>
        <v>0</v>
      </c>
      <c r="H294" s="32">
        <f t="shared" si="52"/>
        <v>0</v>
      </c>
      <c r="I294" s="32">
        <f t="shared" si="54"/>
        <v>1</v>
      </c>
      <c r="J294" s="32" t="str">
        <f t="shared" si="55"/>
        <v>Yes</v>
      </c>
      <c r="K294" s="32" t="str">
        <f t="shared" si="56"/>
        <v/>
      </c>
      <c r="L294" s="35">
        <f t="shared" si="57"/>
        <v>0</v>
      </c>
      <c r="M294" s="35">
        <f t="shared" si="58"/>
        <v>0</v>
      </c>
    </row>
    <row r="295" spans="5:13">
      <c r="E295" s="32" t="str">
        <f t="shared" si="53"/>
        <v/>
      </c>
      <c r="F295" s="32">
        <f t="shared" si="50"/>
        <v>0</v>
      </c>
      <c r="G295" s="32">
        <f t="shared" si="51"/>
        <v>0</v>
      </c>
      <c r="H295" s="32">
        <f t="shared" si="52"/>
        <v>0</v>
      </c>
      <c r="I295" s="32">
        <f t="shared" si="54"/>
        <v>1</v>
      </c>
      <c r="J295" s="32" t="str">
        <f t="shared" si="55"/>
        <v>Yes</v>
      </c>
      <c r="K295" s="32" t="str">
        <f t="shared" si="56"/>
        <v/>
      </c>
      <c r="L295" s="35">
        <f t="shared" si="57"/>
        <v>0</v>
      </c>
      <c r="M295" s="35">
        <f t="shared" si="58"/>
        <v>0</v>
      </c>
    </row>
    <row r="296" spans="5:13">
      <c r="E296" s="32" t="str">
        <f t="shared" si="53"/>
        <v/>
      </c>
      <c r="F296" s="32">
        <f t="shared" si="50"/>
        <v>0</v>
      </c>
      <c r="G296" s="32">
        <f t="shared" si="51"/>
        <v>0</v>
      </c>
      <c r="H296" s="32">
        <f t="shared" si="52"/>
        <v>0</v>
      </c>
      <c r="I296" s="32">
        <f t="shared" si="54"/>
        <v>1</v>
      </c>
      <c r="J296" s="32" t="str">
        <f t="shared" si="55"/>
        <v>Yes</v>
      </c>
      <c r="K296" s="32" t="str">
        <f t="shared" si="56"/>
        <v/>
      </c>
      <c r="L296" s="35">
        <f t="shared" si="57"/>
        <v>0</v>
      </c>
      <c r="M296" s="35">
        <f t="shared" si="58"/>
        <v>0</v>
      </c>
    </row>
    <row r="297" spans="5:13">
      <c r="E297" s="32" t="str">
        <f t="shared" si="53"/>
        <v/>
      </c>
      <c r="F297" s="32">
        <f t="shared" si="50"/>
        <v>0</v>
      </c>
      <c r="G297" s="32">
        <f t="shared" si="51"/>
        <v>0</v>
      </c>
      <c r="H297" s="32">
        <f t="shared" si="52"/>
        <v>0</v>
      </c>
      <c r="I297" s="32">
        <f t="shared" si="54"/>
        <v>1</v>
      </c>
      <c r="J297" s="32" t="str">
        <f t="shared" si="55"/>
        <v>Yes</v>
      </c>
      <c r="K297" s="32" t="str">
        <f t="shared" si="56"/>
        <v/>
      </c>
      <c r="L297" s="35">
        <f t="shared" si="57"/>
        <v>0</v>
      </c>
      <c r="M297" s="35">
        <f t="shared" si="58"/>
        <v>0</v>
      </c>
    </row>
    <row r="298" spans="5:13">
      <c r="E298" s="32" t="str">
        <f t="shared" si="53"/>
        <v/>
      </c>
      <c r="F298" s="32">
        <f t="shared" si="50"/>
        <v>0</v>
      </c>
      <c r="G298" s="32">
        <f t="shared" si="51"/>
        <v>0</v>
      </c>
      <c r="H298" s="32">
        <f t="shared" si="52"/>
        <v>0</v>
      </c>
      <c r="I298" s="32">
        <f t="shared" si="54"/>
        <v>1</v>
      </c>
      <c r="J298" s="32" t="str">
        <f t="shared" si="55"/>
        <v>Yes</v>
      </c>
      <c r="K298" s="32" t="str">
        <f t="shared" si="56"/>
        <v/>
      </c>
      <c r="L298" s="35">
        <f t="shared" si="57"/>
        <v>0</v>
      </c>
      <c r="M298" s="35">
        <f t="shared" si="58"/>
        <v>0</v>
      </c>
    </row>
    <row r="299" spans="5:13">
      <c r="E299" s="32" t="str">
        <f t="shared" si="53"/>
        <v/>
      </c>
      <c r="F299" s="32">
        <f t="shared" si="50"/>
        <v>0</v>
      </c>
      <c r="G299" s="32">
        <f t="shared" si="51"/>
        <v>0</v>
      </c>
      <c r="H299" s="32">
        <f t="shared" si="52"/>
        <v>0</v>
      </c>
      <c r="I299" s="32">
        <f t="shared" si="54"/>
        <v>1</v>
      </c>
      <c r="J299" s="32" t="str">
        <f t="shared" si="55"/>
        <v>Yes</v>
      </c>
      <c r="K299" s="32" t="str">
        <f t="shared" si="56"/>
        <v/>
      </c>
      <c r="L299" s="35">
        <f t="shared" si="57"/>
        <v>0</v>
      </c>
      <c r="M299" s="35">
        <f t="shared" si="58"/>
        <v>0</v>
      </c>
    </row>
    <row r="300" spans="5:13">
      <c r="E300" s="32" t="str">
        <f t="shared" si="53"/>
        <v/>
      </c>
      <c r="F300" s="32">
        <f t="shared" si="50"/>
        <v>0</v>
      </c>
      <c r="G300" s="32">
        <f t="shared" si="51"/>
        <v>0</v>
      </c>
      <c r="H300" s="32">
        <f t="shared" si="52"/>
        <v>0</v>
      </c>
      <c r="I300" s="32">
        <f t="shared" si="54"/>
        <v>1</v>
      </c>
      <c r="J300" s="32" t="str">
        <f t="shared" si="55"/>
        <v>Yes</v>
      </c>
      <c r="K300" s="32" t="str">
        <f t="shared" si="56"/>
        <v/>
      </c>
      <c r="L300" s="35">
        <f t="shared" si="57"/>
        <v>0</v>
      </c>
      <c r="M300" s="35">
        <f t="shared" si="58"/>
        <v>0</v>
      </c>
    </row>
  </sheetData>
  <conditionalFormatting sqref="C4:C203">
    <cfRule type="expression" dxfId="29" priority="1" stopIfTrue="1">
      <formula>C4=""</formula>
    </cfRule>
    <cfRule type="expression" dxfId="28" priority="2" stopIfTrue="1">
      <formula>C4&gt;$C$2</formula>
    </cfRule>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7"/>
  <dimension ref="C1:X336"/>
  <sheetViews>
    <sheetView showGridLines="0" zoomScale="80" zoomScaleNormal="80" workbookViewId="0">
      <selection activeCell="D36" sqref="D36"/>
    </sheetView>
  </sheetViews>
  <sheetFormatPr defaultColWidth="9.140625" defaultRowHeight="11.25"/>
  <cols>
    <col min="1" max="1" width="1.7109375" style="17" customWidth="1"/>
    <col min="2" max="2" width="9.140625" style="17"/>
    <col min="3" max="3" width="39.5703125" style="17" bestFit="1" customWidth="1"/>
    <col min="4" max="4" width="35" style="17" bestFit="1" customWidth="1"/>
    <col min="5" max="5" width="36" style="17" bestFit="1" customWidth="1"/>
    <col min="6" max="6" width="35" style="17" bestFit="1" customWidth="1"/>
    <col min="7" max="7" width="42" style="17" bestFit="1" customWidth="1"/>
    <col min="8" max="8" width="36.28515625" style="17" bestFit="1" customWidth="1"/>
    <col min="9" max="9" width="20.140625" style="17" bestFit="1" customWidth="1"/>
    <col min="10" max="11" width="1.7109375" style="17" customWidth="1"/>
    <col min="12" max="12" width="12.5703125" style="17" bestFit="1" customWidth="1"/>
    <col min="13" max="13" width="29.85546875" style="17" bestFit="1" customWidth="1"/>
    <col min="14" max="14" width="33.28515625" style="17" bestFit="1" customWidth="1"/>
    <col min="15" max="15" width="24.7109375" style="17" bestFit="1" customWidth="1"/>
    <col min="16" max="16" width="21.85546875" style="17" bestFit="1" customWidth="1"/>
    <col min="17" max="19" width="12.5703125" style="17" bestFit="1" customWidth="1"/>
    <col min="20" max="20" width="16.5703125" style="17" bestFit="1" customWidth="1"/>
    <col min="21" max="21" width="27.28515625" style="17" bestFit="1" customWidth="1"/>
    <col min="22" max="22" width="6.7109375" style="20" customWidth="1"/>
    <col min="23" max="23" width="30" style="17" bestFit="1" customWidth="1"/>
    <col min="24" max="24" width="9.42578125" style="17" bestFit="1" customWidth="1"/>
    <col min="25" max="16384" width="9.140625" style="17"/>
  </cols>
  <sheetData>
    <row r="1" spans="3:24">
      <c r="C1" s="15" t="s">
        <v>12</v>
      </c>
      <c r="F1" s="18" t="s">
        <v>26</v>
      </c>
      <c r="G1" s="37" t="s">
        <v>60</v>
      </c>
      <c r="H1" s="158" t="s">
        <v>53</v>
      </c>
      <c r="I1" s="158" t="s">
        <v>70</v>
      </c>
      <c r="L1" s="21" t="s">
        <v>18</v>
      </c>
      <c r="M1" s="21"/>
      <c r="N1" s="108" t="s">
        <v>269</v>
      </c>
      <c r="O1" s="21"/>
      <c r="P1" s="21"/>
      <c r="Q1" s="21"/>
      <c r="R1" s="21"/>
      <c r="S1" s="21"/>
      <c r="T1" s="22" t="s">
        <v>25</v>
      </c>
      <c r="U1" s="22"/>
      <c r="V1" s="105"/>
      <c r="W1" s="22"/>
      <c r="X1" s="22"/>
    </row>
    <row r="2" spans="3:24">
      <c r="C2" s="16" t="s">
        <v>615</v>
      </c>
      <c r="F2" s="19" t="s">
        <v>158</v>
      </c>
      <c r="G2" s="38" t="s">
        <v>194</v>
      </c>
      <c r="H2" s="159" t="s">
        <v>69</v>
      </c>
      <c r="I2" s="159" t="s">
        <v>71</v>
      </c>
      <c r="L2" s="23" t="s">
        <v>19</v>
      </c>
      <c r="M2" s="23" t="s">
        <v>20</v>
      </c>
      <c r="N2" s="23" t="s">
        <v>4</v>
      </c>
      <c r="O2" s="23" t="s">
        <v>6</v>
      </c>
      <c r="P2" s="23" t="s">
        <v>7</v>
      </c>
      <c r="Q2" s="23" t="s">
        <v>101</v>
      </c>
      <c r="R2" s="23" t="s">
        <v>99</v>
      </c>
      <c r="S2" s="23" t="s">
        <v>100</v>
      </c>
      <c r="T2" s="24" t="s">
        <v>19</v>
      </c>
      <c r="U2" s="24" t="s">
        <v>20</v>
      </c>
      <c r="V2" s="24" t="s">
        <v>32</v>
      </c>
      <c r="W2" s="24" t="s">
        <v>31</v>
      </c>
      <c r="X2" s="25" t="s">
        <v>37</v>
      </c>
    </row>
    <row r="3" spans="3:24">
      <c r="C3" s="16" t="s">
        <v>616</v>
      </c>
      <c r="F3" s="19" t="s">
        <v>76</v>
      </c>
      <c r="G3" s="38" t="s">
        <v>55</v>
      </c>
      <c r="H3" s="159" t="s">
        <v>63</v>
      </c>
      <c r="I3" s="159" t="s">
        <v>72</v>
      </c>
      <c r="L3" s="26"/>
      <c r="M3" s="27"/>
      <c r="N3" s="27"/>
      <c r="O3" s="27"/>
      <c r="P3" s="27"/>
      <c r="Q3" s="26"/>
      <c r="R3" s="26"/>
      <c r="S3" s="26"/>
      <c r="T3" s="28"/>
      <c r="U3" s="29" t="s">
        <v>237</v>
      </c>
      <c r="V3" s="28" t="s">
        <v>33</v>
      </c>
      <c r="W3" s="29" t="str">
        <f t="shared" ref="W3:W17" si="0">V3&amp;"_"&amp;U3</f>
        <v>QA_DOGENO, MERVYN</v>
      </c>
      <c r="X3" s="30" t="str">
        <f t="shared" ref="X3:X17" si="1">LOWER(SUBSTITUTE(LEFT(U3,FIND(",",U3)+2),", ",""))</f>
        <v>dogenom</v>
      </c>
    </row>
    <row r="4" spans="3:24">
      <c r="C4" s="16" t="s">
        <v>606</v>
      </c>
      <c r="F4" s="19" t="s">
        <v>27</v>
      </c>
      <c r="G4" s="38" t="s">
        <v>195</v>
      </c>
      <c r="H4" s="159" t="s">
        <v>64</v>
      </c>
      <c r="I4" s="159" t="s">
        <v>73</v>
      </c>
      <c r="L4" s="26"/>
      <c r="M4" s="27"/>
      <c r="N4" s="27"/>
      <c r="O4" s="27"/>
      <c r="P4" s="27"/>
      <c r="Q4" s="26"/>
      <c r="R4" s="26"/>
      <c r="S4" s="26"/>
      <c r="T4" s="28"/>
      <c r="U4" s="29" t="s">
        <v>111</v>
      </c>
      <c r="V4" s="28" t="s">
        <v>33</v>
      </c>
      <c r="W4" s="29" t="str">
        <f t="shared" si="0"/>
        <v>QA_DE SALES, RAIAN</v>
      </c>
      <c r="X4" s="30" t="str">
        <f t="shared" si="1"/>
        <v>de salesr</v>
      </c>
    </row>
    <row r="5" spans="3:24">
      <c r="C5" s="16" t="s">
        <v>607</v>
      </c>
      <c r="F5" s="19" t="s">
        <v>21</v>
      </c>
      <c r="G5" s="38" t="s">
        <v>196</v>
      </c>
      <c r="H5" s="159" t="s">
        <v>65</v>
      </c>
      <c r="I5" s="159" t="s">
        <v>84</v>
      </c>
      <c r="L5" s="26"/>
      <c r="M5" s="27"/>
      <c r="N5" s="27"/>
      <c r="O5" s="27"/>
      <c r="P5" s="27"/>
      <c r="Q5" s="26"/>
      <c r="R5" s="26"/>
      <c r="S5" s="26"/>
      <c r="T5" s="28"/>
      <c r="U5" s="29" t="s">
        <v>110</v>
      </c>
      <c r="V5" s="28" t="s">
        <v>33</v>
      </c>
      <c r="W5" s="29" t="str">
        <f t="shared" si="0"/>
        <v>QA_LOBERANES, SUNSHINE</v>
      </c>
      <c r="X5" s="30" t="str">
        <f t="shared" si="1"/>
        <v>loberaness</v>
      </c>
    </row>
    <row r="6" spans="3:24">
      <c r="C6" s="16" t="s">
        <v>602</v>
      </c>
      <c r="F6" s="19" t="s">
        <v>177</v>
      </c>
      <c r="G6" s="38" t="s">
        <v>56</v>
      </c>
      <c r="H6" s="159" t="s">
        <v>66</v>
      </c>
      <c r="L6" s="26"/>
      <c r="M6" s="27"/>
      <c r="N6" s="27"/>
      <c r="O6" s="27"/>
      <c r="P6" s="27"/>
      <c r="Q6" s="26"/>
      <c r="R6" s="26"/>
      <c r="S6" s="26"/>
      <c r="T6" s="28">
        <v>12345</v>
      </c>
      <c r="U6" s="29" t="s">
        <v>108</v>
      </c>
      <c r="V6" s="28" t="s">
        <v>33</v>
      </c>
      <c r="W6" s="29" t="str">
        <f t="shared" si="0"/>
        <v>QA_DUHAYLUNGSOD, LOWELLA</v>
      </c>
      <c r="X6" s="30" t="str">
        <f t="shared" si="1"/>
        <v>duhaylungsodl</v>
      </c>
    </row>
    <row r="7" spans="3:24">
      <c r="C7" s="16" t="s">
        <v>601</v>
      </c>
      <c r="F7" s="19" t="s">
        <v>28</v>
      </c>
      <c r="G7" s="38" t="s">
        <v>57</v>
      </c>
      <c r="H7" s="159" t="s">
        <v>67</v>
      </c>
      <c r="L7" s="26"/>
      <c r="M7" s="27"/>
      <c r="N7" s="27"/>
      <c r="O7" s="27"/>
      <c r="P7" s="27"/>
      <c r="Q7" s="26"/>
      <c r="R7" s="26"/>
      <c r="S7" s="26"/>
      <c r="T7" s="28">
        <v>22105</v>
      </c>
      <c r="U7" s="29" t="s">
        <v>109</v>
      </c>
      <c r="V7" s="28" t="s">
        <v>33</v>
      </c>
      <c r="W7" s="29" t="str">
        <f t="shared" si="0"/>
        <v>QA_BEDRO, RHEA</v>
      </c>
      <c r="X7" s="30" t="str">
        <f t="shared" si="1"/>
        <v>bedror</v>
      </c>
    </row>
    <row r="8" spans="3:24">
      <c r="C8" s="16" t="s">
        <v>617</v>
      </c>
      <c r="F8" s="19" t="s">
        <v>178</v>
      </c>
      <c r="G8" s="38" t="s">
        <v>58</v>
      </c>
      <c r="H8" s="159" t="s">
        <v>68</v>
      </c>
      <c r="L8" s="26"/>
      <c r="M8" s="27"/>
      <c r="N8" s="27"/>
      <c r="O8" s="27"/>
      <c r="P8" s="27"/>
      <c r="Q8" s="26"/>
      <c r="R8" s="26"/>
      <c r="S8" s="26"/>
      <c r="T8" s="28">
        <v>23294</v>
      </c>
      <c r="U8" s="29" t="s">
        <v>35</v>
      </c>
      <c r="V8" s="28" t="s">
        <v>33</v>
      </c>
      <c r="W8" s="29" t="str">
        <f t="shared" si="0"/>
        <v>QA_LOPEZ, MARIA LOURDES</v>
      </c>
      <c r="X8" s="30" t="str">
        <f t="shared" si="1"/>
        <v>lopezm</v>
      </c>
    </row>
    <row r="9" spans="3:24">
      <c r="C9" s="16" t="s">
        <v>593</v>
      </c>
      <c r="F9" s="19" t="s">
        <v>165</v>
      </c>
      <c r="G9" s="38" t="s">
        <v>197</v>
      </c>
      <c r="L9" s="26"/>
      <c r="M9" s="27"/>
      <c r="N9" s="27"/>
      <c r="O9" s="27"/>
      <c r="P9" s="27"/>
      <c r="Q9" s="26"/>
      <c r="R9" s="26"/>
      <c r="S9" s="26"/>
      <c r="T9" s="28">
        <v>26929</v>
      </c>
      <c r="U9" s="29" t="s">
        <v>238</v>
      </c>
      <c r="V9" s="28" t="s">
        <v>33</v>
      </c>
      <c r="W9" s="29" t="str">
        <f t="shared" si="0"/>
        <v>QA_LANGAM, JOVILYN</v>
      </c>
      <c r="X9" s="30" t="str">
        <f>LOWER(SUBSTITUTE(LEFT(U9,FIND(",",U9)+2),", ",""))</f>
        <v>langamj</v>
      </c>
    </row>
    <row r="10" spans="3:24">
      <c r="C10" s="16" t="s">
        <v>592</v>
      </c>
      <c r="F10" s="19" t="s">
        <v>147</v>
      </c>
      <c r="G10" s="38" t="s">
        <v>59</v>
      </c>
      <c r="L10" s="26"/>
      <c r="M10" s="27"/>
      <c r="N10" s="27"/>
      <c r="O10" s="27"/>
      <c r="P10" s="27"/>
      <c r="Q10" s="26"/>
      <c r="R10" s="26"/>
      <c r="S10" s="26"/>
      <c r="T10" s="28">
        <v>21306</v>
      </c>
      <c r="U10" s="29" t="s">
        <v>107</v>
      </c>
      <c r="V10" s="28" t="s">
        <v>33</v>
      </c>
      <c r="W10" s="29" t="str">
        <f t="shared" si="0"/>
        <v>QA_COLIMA, CHRIS</v>
      </c>
      <c r="X10" s="30" t="str">
        <f t="shared" si="1"/>
        <v>colimac</v>
      </c>
    </row>
    <row r="11" spans="3:24">
      <c r="C11" s="16" t="s">
        <v>618</v>
      </c>
      <c r="F11" s="19" t="s">
        <v>164</v>
      </c>
      <c r="G11" s="38" t="s">
        <v>198</v>
      </c>
      <c r="L11" s="26"/>
      <c r="M11" s="27"/>
      <c r="N11" s="27"/>
      <c r="O11" s="27"/>
      <c r="P11" s="27"/>
      <c r="Q11" s="26"/>
      <c r="R11" s="26"/>
      <c r="S11" s="26"/>
      <c r="T11" s="28">
        <v>28556</v>
      </c>
      <c r="U11" s="29" t="s">
        <v>36</v>
      </c>
      <c r="V11" s="28" t="s">
        <v>33</v>
      </c>
      <c r="W11" s="29" t="str">
        <f t="shared" si="0"/>
        <v>QA_RAYMUNDO, LALAINE</v>
      </c>
      <c r="X11" s="30" t="str">
        <f t="shared" si="1"/>
        <v>raymundol</v>
      </c>
    </row>
    <row r="12" spans="3:24">
      <c r="C12" s="16" t="s">
        <v>619</v>
      </c>
      <c r="F12" s="19" t="s">
        <v>163</v>
      </c>
      <c r="G12" s="38" t="s">
        <v>199</v>
      </c>
      <c r="L12" s="26"/>
      <c r="M12" s="27"/>
      <c r="N12" s="27"/>
      <c r="O12" s="27"/>
      <c r="P12" s="27"/>
      <c r="Q12" s="26"/>
      <c r="R12" s="26"/>
      <c r="S12" s="26"/>
      <c r="T12" s="28">
        <v>19546</v>
      </c>
      <c r="U12" s="29" t="s">
        <v>104</v>
      </c>
      <c r="V12" s="28" t="s">
        <v>33</v>
      </c>
      <c r="W12" s="29" t="str">
        <f t="shared" si="0"/>
        <v>QA_GALES, VENUS</v>
      </c>
      <c r="X12" s="30" t="str">
        <f t="shared" si="1"/>
        <v>galesv</v>
      </c>
    </row>
    <row r="13" spans="3:24">
      <c r="C13" s="16" t="s">
        <v>597</v>
      </c>
      <c r="F13" s="19" t="s">
        <v>146</v>
      </c>
      <c r="G13" s="38" t="s">
        <v>200</v>
      </c>
      <c r="L13" s="26"/>
      <c r="M13" s="27"/>
      <c r="N13" s="27"/>
      <c r="O13" s="27"/>
      <c r="P13" s="27"/>
      <c r="Q13" s="26"/>
      <c r="R13" s="26"/>
      <c r="S13" s="26"/>
      <c r="T13" s="28">
        <v>19851</v>
      </c>
      <c r="U13" s="29" t="s">
        <v>105</v>
      </c>
      <c r="V13" s="28" t="s">
        <v>33</v>
      </c>
      <c r="W13" s="29" t="str">
        <f t="shared" si="0"/>
        <v>QA_TUBA, EXEQUIEL DOONE</v>
      </c>
      <c r="X13" s="30" t="str">
        <f t="shared" si="1"/>
        <v>tubae</v>
      </c>
    </row>
    <row r="14" spans="3:24">
      <c r="C14" s="16" t="s">
        <v>595</v>
      </c>
      <c r="F14" s="146" t="s">
        <v>179</v>
      </c>
      <c r="G14" s="38" t="s">
        <v>54</v>
      </c>
      <c r="L14" s="26"/>
      <c r="M14" s="27"/>
      <c r="N14" s="27"/>
      <c r="O14" s="27"/>
      <c r="P14" s="27"/>
      <c r="Q14" s="26"/>
      <c r="R14" s="26"/>
      <c r="S14" s="26"/>
      <c r="T14" s="28">
        <v>21593</v>
      </c>
      <c r="U14" s="29" t="s">
        <v>106</v>
      </c>
      <c r="V14" s="28" t="s">
        <v>33</v>
      </c>
      <c r="W14" s="29" t="str">
        <f t="shared" si="0"/>
        <v>QA_DECENA, IMIE GRACE</v>
      </c>
      <c r="X14" s="30" t="str">
        <f t="shared" si="1"/>
        <v>decenai</v>
      </c>
    </row>
    <row r="15" spans="3:24">
      <c r="C15" s="16" t="s">
        <v>596</v>
      </c>
      <c r="F15" s="147" t="s">
        <v>180</v>
      </c>
      <c r="G15" s="38" t="s">
        <v>201</v>
      </c>
      <c r="L15" s="26"/>
      <c r="M15" s="27"/>
      <c r="N15" s="27"/>
      <c r="O15" s="27"/>
      <c r="P15" s="27"/>
      <c r="Q15" s="26"/>
      <c r="R15" s="26"/>
      <c r="S15" s="26"/>
      <c r="T15" s="28">
        <v>28639</v>
      </c>
      <c r="U15" s="29" t="s">
        <v>34</v>
      </c>
      <c r="V15" s="28" t="s">
        <v>33</v>
      </c>
      <c r="W15" s="29" t="str">
        <f t="shared" si="0"/>
        <v>QA_MARAVILLAS, CATHERINE</v>
      </c>
      <c r="X15" s="30" t="str">
        <f t="shared" si="1"/>
        <v>maravillasc</v>
      </c>
    </row>
    <row r="16" spans="3:24">
      <c r="C16" s="16" t="s">
        <v>598</v>
      </c>
      <c r="F16" s="147" t="s">
        <v>181</v>
      </c>
      <c r="G16" s="38" t="s">
        <v>130</v>
      </c>
      <c r="L16" s="26"/>
      <c r="M16" s="27"/>
      <c r="N16" s="27"/>
      <c r="O16" s="27"/>
      <c r="P16" s="27"/>
      <c r="Q16" s="26"/>
      <c r="R16" s="26"/>
      <c r="S16" s="26"/>
      <c r="T16" s="28">
        <v>10969</v>
      </c>
      <c r="U16" s="29" t="s">
        <v>103</v>
      </c>
      <c r="V16" s="28" t="s">
        <v>33</v>
      </c>
      <c r="W16" s="29" t="str">
        <f t="shared" si="0"/>
        <v>QA_WABE, CHRISTIAN PAUL</v>
      </c>
      <c r="X16" s="30" t="str">
        <f t="shared" si="1"/>
        <v>wabec</v>
      </c>
    </row>
    <row r="17" spans="3:24">
      <c r="C17" s="16" t="s">
        <v>594</v>
      </c>
      <c r="F17" s="147" t="s">
        <v>27</v>
      </c>
      <c r="G17" s="38" t="s">
        <v>202</v>
      </c>
      <c r="L17" s="26"/>
      <c r="M17" s="27"/>
      <c r="N17" s="27"/>
      <c r="O17" s="27"/>
      <c r="P17" s="27"/>
      <c r="Q17" s="26"/>
      <c r="R17" s="26"/>
      <c r="S17" s="26"/>
      <c r="T17" s="28">
        <v>14963</v>
      </c>
      <c r="U17" s="29" t="s">
        <v>102</v>
      </c>
      <c r="V17" s="28" t="s">
        <v>33</v>
      </c>
      <c r="W17" s="29" t="str">
        <f t="shared" si="0"/>
        <v>QA_VERONILLA, ELLAINE</v>
      </c>
      <c r="X17" s="30" t="str">
        <f t="shared" si="1"/>
        <v>veronillae</v>
      </c>
    </row>
    <row r="18" spans="3:24">
      <c r="C18" s="16" t="s">
        <v>591</v>
      </c>
      <c r="F18" s="147" t="s">
        <v>182</v>
      </c>
      <c r="G18" s="38" t="s">
        <v>203</v>
      </c>
      <c r="L18" s="26"/>
      <c r="M18" s="27"/>
      <c r="N18" s="27"/>
      <c r="O18" s="27"/>
      <c r="P18" s="27"/>
      <c r="Q18" s="26"/>
      <c r="R18" s="26"/>
      <c r="S18" s="26"/>
      <c r="T18" s="28">
        <v>21186</v>
      </c>
      <c r="U18" s="29" t="s">
        <v>127</v>
      </c>
      <c r="V18" s="28" t="s">
        <v>33</v>
      </c>
      <c r="W18" s="29" t="str">
        <f t="shared" ref="W18:W19" si="2">V18&amp;"_"&amp;U18</f>
        <v>QA_VALMORES, ANGELICA</v>
      </c>
      <c r="X18" s="30" t="str">
        <f t="shared" ref="X18:X19" si="3">LOWER(SUBSTITUTE(LEFT(U18,FIND(",",U18)+2),", ",""))</f>
        <v>valmoresa</v>
      </c>
    </row>
    <row r="19" spans="3:24">
      <c r="C19" s="16" t="s">
        <v>585</v>
      </c>
      <c r="F19" s="147" t="s">
        <v>183</v>
      </c>
      <c r="L19" s="26"/>
      <c r="M19" s="27"/>
      <c r="N19" s="27"/>
      <c r="O19" s="27"/>
      <c r="P19" s="27"/>
      <c r="Q19" s="26"/>
      <c r="R19" s="26"/>
      <c r="S19" s="26"/>
      <c r="T19" s="28">
        <v>21496</v>
      </c>
      <c r="U19" s="29" t="s">
        <v>128</v>
      </c>
      <c r="V19" s="28" t="s">
        <v>33</v>
      </c>
      <c r="W19" s="29" t="str">
        <f t="shared" si="2"/>
        <v>QA_GUCOR, ARGIE</v>
      </c>
      <c r="X19" s="30" t="str">
        <f t="shared" si="3"/>
        <v>gucora</v>
      </c>
    </row>
    <row r="20" spans="3:24">
      <c r="C20" s="16" t="s">
        <v>584</v>
      </c>
      <c r="F20" s="147" t="s">
        <v>184</v>
      </c>
      <c r="L20" s="26"/>
      <c r="M20" s="27"/>
      <c r="N20" s="27"/>
      <c r="O20" s="27"/>
      <c r="P20" s="27"/>
      <c r="Q20" s="26"/>
      <c r="R20" s="26"/>
      <c r="S20" s="26"/>
      <c r="T20" s="28">
        <v>11091</v>
      </c>
      <c r="U20" s="29" t="s">
        <v>129</v>
      </c>
      <c r="V20" s="28" t="s">
        <v>33</v>
      </c>
      <c r="W20" s="29" t="str">
        <f t="shared" ref="W20" si="4">V20&amp;"_"&amp;U20</f>
        <v>QA_PETALLAR, MARY JOY</v>
      </c>
      <c r="X20" s="30" t="str">
        <f t="shared" ref="X20" si="5">LOWER(SUBSTITUTE(LEFT(U20,FIND(",",U20)+2),", ",""))</f>
        <v>petallarm</v>
      </c>
    </row>
    <row r="21" spans="3:24">
      <c r="C21" s="16" t="s">
        <v>587</v>
      </c>
      <c r="F21" s="147" t="s">
        <v>185</v>
      </c>
      <c r="L21" s="26"/>
      <c r="M21" s="27"/>
      <c r="N21" s="27"/>
      <c r="O21" s="27"/>
      <c r="P21" s="27"/>
      <c r="Q21" s="26"/>
      <c r="R21" s="26"/>
      <c r="S21" s="26"/>
      <c r="T21" s="28">
        <v>21733</v>
      </c>
      <c r="U21" s="29" t="s">
        <v>239</v>
      </c>
      <c r="V21" s="28" t="s">
        <v>33</v>
      </c>
      <c r="W21" s="29" t="str">
        <f t="shared" ref="W21:W25" si="6">V21&amp;"_"&amp;U21</f>
        <v>QA_MAESTRADO, PAMELA BIANCA</v>
      </c>
      <c r="X21" s="30" t="str">
        <f t="shared" ref="X21:X25" si="7">LOWER(SUBSTITUTE(LEFT(U21,FIND(",",U21)+2),", ",""))</f>
        <v>maestradop</v>
      </c>
    </row>
    <row r="22" spans="3:24">
      <c r="C22" s="16" t="s">
        <v>586</v>
      </c>
      <c r="F22" s="147" t="s">
        <v>186</v>
      </c>
      <c r="L22" s="26"/>
      <c r="M22" s="27"/>
      <c r="N22" s="27"/>
      <c r="O22" s="27"/>
      <c r="P22" s="27"/>
      <c r="Q22" s="26"/>
      <c r="R22" s="26"/>
      <c r="S22" s="26"/>
      <c r="T22" s="28">
        <v>15003</v>
      </c>
      <c r="U22" s="29" t="s">
        <v>240</v>
      </c>
      <c r="V22" s="28" t="s">
        <v>33</v>
      </c>
      <c r="W22" s="29" t="str">
        <f t="shared" si="6"/>
        <v>QA_ARBON, CLAUDINE FRANCES</v>
      </c>
      <c r="X22" s="30" t="str">
        <f t="shared" si="7"/>
        <v>arbonc</v>
      </c>
    </row>
    <row r="23" spans="3:24">
      <c r="C23" s="16" t="s">
        <v>614</v>
      </c>
      <c r="F23" s="147" t="s">
        <v>172</v>
      </c>
      <c r="L23" s="26"/>
      <c r="M23" s="27"/>
      <c r="N23" s="27"/>
      <c r="O23" s="27"/>
      <c r="P23" s="27"/>
      <c r="Q23" s="26"/>
      <c r="R23" s="26"/>
      <c r="S23" s="26"/>
      <c r="T23" s="28">
        <v>20840</v>
      </c>
      <c r="U23" s="29" t="s">
        <v>241</v>
      </c>
      <c r="V23" s="28" t="s">
        <v>33</v>
      </c>
      <c r="W23" s="29" t="str">
        <f t="shared" si="6"/>
        <v>QA_ROMA, ABIGAIL</v>
      </c>
      <c r="X23" s="30" t="str">
        <f t="shared" si="7"/>
        <v>romaa</v>
      </c>
    </row>
    <row r="24" spans="3:24">
      <c r="C24" s="16" t="s">
        <v>620</v>
      </c>
      <c r="F24" s="20"/>
      <c r="L24" s="26"/>
      <c r="M24" s="27"/>
      <c r="N24" s="27"/>
      <c r="O24" s="27"/>
      <c r="P24" s="27"/>
      <c r="Q24" s="26"/>
      <c r="R24" s="26"/>
      <c r="S24" s="26"/>
      <c r="T24" s="28">
        <v>14695</v>
      </c>
      <c r="U24" s="29" t="s">
        <v>242</v>
      </c>
      <c r="V24" s="28" t="s">
        <v>33</v>
      </c>
      <c r="W24" s="29" t="str">
        <f t="shared" si="6"/>
        <v>QA_AZARON, APPLE JANE</v>
      </c>
      <c r="X24" s="30" t="str">
        <f t="shared" si="7"/>
        <v>azarona</v>
      </c>
    </row>
    <row r="25" spans="3:24">
      <c r="C25" s="16" t="s">
        <v>621</v>
      </c>
      <c r="L25" s="26"/>
      <c r="M25" s="27"/>
      <c r="N25" s="27"/>
      <c r="O25" s="27"/>
      <c r="P25" s="27"/>
      <c r="Q25" s="26"/>
      <c r="R25" s="26"/>
      <c r="S25" s="26"/>
      <c r="T25" s="28">
        <v>25585</v>
      </c>
      <c r="U25" s="29" t="s">
        <v>243</v>
      </c>
      <c r="V25" s="28" t="s">
        <v>33</v>
      </c>
      <c r="W25" s="29" t="str">
        <f t="shared" si="6"/>
        <v>QA_VALDERRAMA, JARA</v>
      </c>
      <c r="X25" s="30" t="str">
        <f t="shared" si="7"/>
        <v>valderramaj</v>
      </c>
    </row>
    <row r="26" spans="3:24">
      <c r="C26" s="16" t="s">
        <v>605</v>
      </c>
      <c r="L26" s="26"/>
      <c r="M26" s="27"/>
      <c r="N26" s="27"/>
      <c r="O26" s="27"/>
      <c r="P26" s="27"/>
      <c r="Q26" s="26"/>
      <c r="R26" s="26"/>
      <c r="S26" s="26"/>
      <c r="T26" s="28"/>
      <c r="U26" s="29"/>
      <c r="V26" s="28"/>
      <c r="W26" s="29"/>
      <c r="X26" s="30"/>
    </row>
    <row r="27" spans="3:24">
      <c r="C27" s="16" t="s">
        <v>610</v>
      </c>
      <c r="L27" s="26"/>
      <c r="M27" s="27"/>
      <c r="N27" s="27"/>
      <c r="O27" s="27"/>
      <c r="P27" s="27"/>
      <c r="Q27" s="26"/>
      <c r="R27" s="26"/>
      <c r="S27" s="26"/>
      <c r="T27" s="28"/>
      <c r="U27" s="29"/>
      <c r="V27" s="28"/>
      <c r="W27" s="29"/>
      <c r="X27" s="30"/>
    </row>
    <row r="28" spans="3:24">
      <c r="C28" s="16" t="s">
        <v>604</v>
      </c>
      <c r="L28" s="26"/>
      <c r="M28" s="27"/>
      <c r="N28" s="27"/>
      <c r="O28" s="27"/>
      <c r="P28" s="27"/>
      <c r="Q28" s="26"/>
      <c r="R28" s="26"/>
      <c r="S28" s="26"/>
      <c r="T28" s="28"/>
      <c r="U28" s="29"/>
      <c r="V28" s="28"/>
      <c r="W28" s="29"/>
      <c r="X28" s="30"/>
    </row>
    <row r="29" spans="3:24">
      <c r="C29" s="16" t="s">
        <v>603</v>
      </c>
      <c r="L29" s="26"/>
      <c r="M29" s="27"/>
      <c r="N29" s="27"/>
      <c r="O29" s="27"/>
      <c r="P29" s="27"/>
      <c r="Q29" s="26"/>
      <c r="R29" s="26"/>
      <c r="S29" s="26"/>
      <c r="T29" s="28"/>
      <c r="U29" s="29"/>
      <c r="V29" s="28"/>
      <c r="W29" s="29"/>
      <c r="X29" s="30"/>
    </row>
    <row r="30" spans="3:24">
      <c r="C30" s="16" t="s">
        <v>613</v>
      </c>
      <c r="L30" s="26"/>
      <c r="M30" s="27"/>
      <c r="N30" s="27"/>
      <c r="O30" s="27"/>
      <c r="P30" s="27"/>
      <c r="Q30" s="26"/>
      <c r="R30" s="26"/>
      <c r="S30" s="26"/>
      <c r="T30" s="28"/>
      <c r="U30" s="29"/>
      <c r="V30" s="28"/>
      <c r="W30" s="29"/>
      <c r="X30" s="30"/>
    </row>
    <row r="31" spans="3:24">
      <c r="C31" s="16" t="s">
        <v>588</v>
      </c>
      <c r="L31" s="26"/>
      <c r="M31" s="27"/>
      <c r="N31" s="27"/>
      <c r="O31" s="27"/>
      <c r="P31" s="27"/>
      <c r="Q31" s="26"/>
      <c r="R31" s="26"/>
      <c r="S31" s="26"/>
      <c r="T31" s="28"/>
      <c r="U31" s="29"/>
      <c r="V31" s="28"/>
      <c r="W31" s="29"/>
      <c r="X31" s="30"/>
    </row>
    <row r="32" spans="3:24">
      <c r="C32" s="16" t="s">
        <v>589</v>
      </c>
      <c r="L32" s="26"/>
      <c r="M32" s="27"/>
      <c r="N32" s="27"/>
      <c r="O32" s="27"/>
      <c r="P32" s="27"/>
      <c r="Q32" s="26"/>
      <c r="R32" s="26"/>
      <c r="S32" s="26"/>
      <c r="T32" s="28"/>
      <c r="U32" s="29"/>
      <c r="V32" s="28"/>
      <c r="W32" s="29"/>
      <c r="X32" s="30"/>
    </row>
    <row r="33" spans="3:24">
      <c r="C33" s="16" t="s">
        <v>590</v>
      </c>
      <c r="L33" s="26"/>
      <c r="M33" s="27"/>
      <c r="N33" s="27"/>
      <c r="O33" s="27"/>
      <c r="P33" s="27"/>
      <c r="Q33" s="26"/>
      <c r="R33" s="26"/>
      <c r="S33" s="26"/>
      <c r="T33" s="28"/>
      <c r="U33" s="29"/>
      <c r="V33" s="28"/>
      <c r="W33" s="29"/>
      <c r="X33" s="30"/>
    </row>
    <row r="34" spans="3:24">
      <c r="C34" s="16" t="s">
        <v>611</v>
      </c>
      <c r="L34" s="26"/>
      <c r="M34" s="27"/>
      <c r="N34" s="27"/>
      <c r="O34" s="27"/>
      <c r="P34" s="27"/>
      <c r="Q34" s="26"/>
      <c r="R34" s="26"/>
      <c r="S34" s="26"/>
      <c r="T34" s="28"/>
      <c r="U34" s="29"/>
      <c r="V34" s="28"/>
      <c r="W34" s="29"/>
      <c r="X34" s="30"/>
    </row>
    <row r="35" spans="3:24">
      <c r="C35" s="16" t="s">
        <v>612</v>
      </c>
      <c r="L35" s="26"/>
      <c r="M35" s="27"/>
      <c r="N35" s="27"/>
      <c r="O35" s="27"/>
      <c r="P35" s="27"/>
      <c r="Q35" s="26"/>
      <c r="R35" s="26"/>
      <c r="S35" s="26"/>
      <c r="T35" s="28"/>
      <c r="U35" s="29"/>
      <c r="V35" s="28"/>
      <c r="W35" s="29"/>
      <c r="X35" s="30"/>
    </row>
    <row r="36" spans="3:24">
      <c r="C36" s="178" t="s">
        <v>615</v>
      </c>
      <c r="L36" s="26"/>
      <c r="M36" s="27"/>
      <c r="N36" s="27"/>
      <c r="O36" s="27"/>
      <c r="P36" s="27"/>
      <c r="Q36" s="26"/>
      <c r="R36" s="26"/>
      <c r="S36" s="26"/>
      <c r="T36" s="28"/>
      <c r="U36" s="29"/>
      <c r="V36" s="28"/>
      <c r="W36" s="29"/>
      <c r="X36" s="30"/>
    </row>
    <row r="37" spans="3:24">
      <c r="L37" s="26"/>
      <c r="M37" s="27"/>
      <c r="N37" s="27"/>
      <c r="O37" s="27"/>
      <c r="P37" s="27"/>
      <c r="Q37" s="26"/>
      <c r="R37" s="26"/>
      <c r="S37" s="26"/>
      <c r="T37" s="28"/>
      <c r="U37" s="29"/>
      <c r="V37" s="28"/>
      <c r="W37" s="29"/>
      <c r="X37" s="30"/>
    </row>
    <row r="38" spans="3:24">
      <c r="L38" s="26"/>
      <c r="M38" s="27"/>
      <c r="N38" s="27"/>
      <c r="O38" s="27"/>
      <c r="P38" s="27"/>
      <c r="Q38" s="26"/>
      <c r="R38" s="26"/>
      <c r="S38" s="26"/>
      <c r="T38" s="28"/>
      <c r="U38" s="29"/>
      <c r="V38" s="28"/>
      <c r="W38" s="29"/>
      <c r="X38" s="30"/>
    </row>
    <row r="39" spans="3:24">
      <c r="L39" s="26"/>
      <c r="M39" s="27"/>
      <c r="N39" s="27"/>
      <c r="O39" s="27"/>
      <c r="P39" s="27"/>
      <c r="Q39" s="26"/>
      <c r="R39" s="26"/>
      <c r="S39" s="26"/>
      <c r="T39" s="28"/>
      <c r="U39" s="29"/>
      <c r="V39" s="28"/>
      <c r="W39" s="29"/>
      <c r="X39" s="30"/>
    </row>
    <row r="40" spans="3:24">
      <c r="L40" s="26"/>
      <c r="M40" s="27"/>
      <c r="N40" s="27"/>
      <c r="O40" s="27"/>
      <c r="P40" s="27"/>
      <c r="Q40" s="26"/>
      <c r="R40" s="26"/>
      <c r="S40" s="26"/>
      <c r="T40" s="28"/>
      <c r="U40" s="29"/>
      <c r="V40" s="28"/>
      <c r="W40" s="29"/>
      <c r="X40" s="30"/>
    </row>
    <row r="41" spans="3:24">
      <c r="L41" s="26"/>
      <c r="M41" s="27"/>
      <c r="N41" s="27"/>
      <c r="O41" s="27"/>
      <c r="P41" s="27"/>
      <c r="Q41" s="26"/>
      <c r="R41" s="26"/>
      <c r="S41" s="26"/>
      <c r="T41" s="28"/>
      <c r="U41" s="29"/>
      <c r="V41" s="28"/>
      <c r="W41" s="29"/>
      <c r="X41" s="30"/>
    </row>
    <row r="42" spans="3:24">
      <c r="L42" s="26"/>
      <c r="M42" s="27"/>
      <c r="N42" s="27"/>
      <c r="O42" s="27"/>
      <c r="P42" s="27"/>
      <c r="Q42" s="26"/>
      <c r="R42" s="26"/>
      <c r="S42" s="26"/>
      <c r="T42" s="28"/>
      <c r="U42" s="29"/>
      <c r="V42" s="28"/>
      <c r="W42" s="29"/>
      <c r="X42" s="30"/>
    </row>
    <row r="43" spans="3:24">
      <c r="L43" s="26"/>
      <c r="M43" s="27"/>
      <c r="N43" s="27"/>
      <c r="O43" s="27"/>
      <c r="P43" s="27"/>
      <c r="Q43" s="26"/>
      <c r="R43" s="26"/>
      <c r="S43" s="26"/>
      <c r="T43" s="28"/>
      <c r="U43" s="29"/>
      <c r="V43" s="28"/>
      <c r="W43" s="29"/>
      <c r="X43" s="30"/>
    </row>
    <row r="44" spans="3:24">
      <c r="L44" s="26"/>
      <c r="M44" s="27"/>
      <c r="N44" s="27"/>
      <c r="O44" s="27"/>
      <c r="P44" s="27"/>
      <c r="Q44" s="26"/>
      <c r="R44" s="26"/>
      <c r="S44" s="26"/>
      <c r="T44" s="28"/>
      <c r="U44" s="29"/>
      <c r="V44" s="28"/>
      <c r="W44" s="29"/>
      <c r="X44" s="30"/>
    </row>
    <row r="45" spans="3:24">
      <c r="L45" s="26"/>
      <c r="M45" s="27"/>
      <c r="N45" s="27"/>
      <c r="O45" s="27"/>
      <c r="P45" s="27"/>
      <c r="Q45" s="26"/>
      <c r="R45" s="26"/>
      <c r="S45" s="26"/>
      <c r="T45" s="28"/>
      <c r="U45" s="29"/>
      <c r="V45" s="28"/>
      <c r="W45" s="29"/>
      <c r="X45" s="30"/>
    </row>
    <row r="46" spans="3:24">
      <c r="L46" s="26"/>
      <c r="M46" s="27"/>
      <c r="N46" s="27"/>
      <c r="O46" s="27"/>
      <c r="P46" s="27"/>
      <c r="Q46" s="26"/>
      <c r="R46" s="26"/>
      <c r="S46" s="26"/>
      <c r="T46" s="28"/>
      <c r="U46" s="29"/>
      <c r="V46" s="28"/>
      <c r="W46" s="29"/>
      <c r="X46" s="30"/>
    </row>
    <row r="47" spans="3:24">
      <c r="L47" s="26"/>
      <c r="M47" s="27"/>
      <c r="N47" s="27"/>
      <c r="O47" s="27"/>
      <c r="P47" s="27"/>
      <c r="Q47" s="26"/>
      <c r="R47" s="26"/>
      <c r="S47" s="26"/>
      <c r="T47" s="28"/>
      <c r="U47" s="29"/>
      <c r="V47" s="28"/>
      <c r="W47" s="29"/>
      <c r="X47" s="30"/>
    </row>
    <row r="48" spans="3:24">
      <c r="L48" s="26"/>
      <c r="M48" s="27"/>
      <c r="N48" s="27"/>
      <c r="O48" s="27"/>
      <c r="P48" s="27"/>
      <c r="Q48" s="26"/>
      <c r="R48" s="26"/>
      <c r="S48" s="26"/>
      <c r="T48" s="28"/>
      <c r="U48" s="29"/>
      <c r="V48" s="28"/>
      <c r="W48" s="29"/>
      <c r="X48" s="30"/>
    </row>
    <row r="49" spans="12:24">
      <c r="L49" s="26"/>
      <c r="M49" s="27"/>
      <c r="N49" s="27"/>
      <c r="O49" s="27"/>
      <c r="P49" s="27"/>
      <c r="Q49" s="26"/>
      <c r="R49" s="26"/>
      <c r="S49" s="26"/>
      <c r="T49" s="28"/>
      <c r="U49" s="29"/>
      <c r="V49" s="28"/>
      <c r="W49" s="29"/>
      <c r="X49" s="30"/>
    </row>
    <row r="50" spans="12:24">
      <c r="L50" s="26"/>
      <c r="M50" s="27"/>
      <c r="N50" s="27"/>
      <c r="O50" s="27"/>
      <c r="P50" s="27"/>
      <c r="Q50" s="26"/>
      <c r="R50" s="26"/>
      <c r="S50" s="26"/>
      <c r="T50" s="28"/>
      <c r="U50" s="29"/>
      <c r="V50" s="28"/>
      <c r="W50" s="29"/>
      <c r="X50" s="30"/>
    </row>
    <row r="51" spans="12:24">
      <c r="L51" s="26"/>
      <c r="M51" s="27"/>
      <c r="N51" s="27"/>
      <c r="O51" s="27"/>
      <c r="P51" s="27"/>
      <c r="Q51" s="26"/>
      <c r="R51" s="26"/>
      <c r="S51" s="26"/>
      <c r="T51" s="28"/>
      <c r="U51" s="29"/>
      <c r="V51" s="28"/>
      <c r="W51" s="29"/>
      <c r="X51" s="30"/>
    </row>
    <row r="52" spans="12:24">
      <c r="L52" s="26"/>
      <c r="M52" s="27"/>
      <c r="N52" s="27"/>
      <c r="O52" s="27"/>
      <c r="P52" s="27"/>
      <c r="Q52" s="26"/>
      <c r="R52" s="26"/>
      <c r="S52" s="26"/>
      <c r="T52" s="28"/>
      <c r="U52" s="29"/>
      <c r="V52" s="28"/>
      <c r="W52" s="29"/>
      <c r="X52" s="30"/>
    </row>
    <row r="53" spans="12:24">
      <c r="L53" s="26"/>
      <c r="M53" s="27"/>
      <c r="N53" s="27"/>
      <c r="O53" s="27"/>
      <c r="P53" s="27"/>
      <c r="Q53" s="26"/>
      <c r="R53" s="26"/>
      <c r="S53" s="26"/>
      <c r="T53" s="28"/>
      <c r="U53" s="29"/>
      <c r="V53" s="28"/>
      <c r="W53" s="29"/>
      <c r="X53" s="30"/>
    </row>
    <row r="54" spans="12:24">
      <c r="L54" s="26"/>
      <c r="M54" s="27"/>
      <c r="N54" s="27"/>
      <c r="O54" s="27"/>
      <c r="P54" s="27"/>
      <c r="Q54" s="26"/>
      <c r="R54" s="26"/>
      <c r="S54" s="26"/>
      <c r="T54" s="28"/>
      <c r="U54" s="29"/>
      <c r="V54" s="28"/>
      <c r="W54" s="29"/>
      <c r="X54" s="30"/>
    </row>
    <row r="55" spans="12:24">
      <c r="L55" s="26"/>
      <c r="M55" s="27"/>
      <c r="N55" s="27"/>
      <c r="O55" s="27"/>
      <c r="P55" s="27"/>
      <c r="Q55" s="26"/>
      <c r="R55" s="26"/>
      <c r="S55" s="26"/>
      <c r="T55" s="28"/>
      <c r="U55" s="29"/>
      <c r="V55" s="28"/>
      <c r="W55" s="29"/>
      <c r="X55" s="30"/>
    </row>
    <row r="56" spans="12:24">
      <c r="L56" s="26"/>
      <c r="M56" s="27"/>
      <c r="N56" s="27"/>
      <c r="O56" s="27"/>
      <c r="P56" s="27"/>
      <c r="Q56" s="26"/>
      <c r="R56" s="26"/>
      <c r="S56" s="26"/>
      <c r="T56" s="28"/>
      <c r="U56" s="29"/>
      <c r="V56" s="28"/>
      <c r="W56" s="29"/>
      <c r="X56" s="30"/>
    </row>
    <row r="57" spans="12:24">
      <c r="L57" s="26"/>
      <c r="M57" s="27"/>
      <c r="N57" s="27"/>
      <c r="O57" s="27"/>
      <c r="P57" s="27"/>
      <c r="Q57" s="26"/>
      <c r="R57" s="26"/>
      <c r="S57" s="26"/>
      <c r="T57" s="31"/>
      <c r="U57" s="31"/>
      <c r="V57" s="106"/>
      <c r="W57" s="31"/>
      <c r="X57" s="14"/>
    </row>
    <row r="58" spans="12:24">
      <c r="L58" s="26"/>
      <c r="M58" s="27"/>
      <c r="N58" s="27"/>
      <c r="O58" s="27"/>
      <c r="P58" s="27"/>
      <c r="Q58" s="26"/>
      <c r="R58" s="26"/>
      <c r="S58" s="26"/>
      <c r="T58" s="31"/>
      <c r="U58" s="31"/>
      <c r="V58" s="106"/>
      <c r="W58" s="31"/>
      <c r="X58" s="14"/>
    </row>
    <row r="59" spans="12:24">
      <c r="L59" s="26"/>
      <c r="M59" s="27"/>
      <c r="N59" s="27"/>
      <c r="O59" s="27"/>
      <c r="P59" s="27"/>
      <c r="Q59" s="26"/>
      <c r="R59" s="26"/>
      <c r="S59" s="26"/>
      <c r="T59" s="31"/>
      <c r="U59" s="31"/>
      <c r="V59" s="106"/>
      <c r="W59" s="31"/>
      <c r="X59" s="14"/>
    </row>
    <row r="60" spans="12:24">
      <c r="L60" s="26"/>
      <c r="M60" s="27"/>
      <c r="N60" s="27"/>
      <c r="O60" s="27"/>
      <c r="P60" s="27"/>
      <c r="Q60" s="26"/>
      <c r="R60" s="26"/>
      <c r="S60" s="26"/>
      <c r="T60" s="31"/>
      <c r="U60" s="31"/>
      <c r="V60" s="106"/>
      <c r="W60" s="31"/>
      <c r="X60" s="14"/>
    </row>
    <row r="61" spans="12:24">
      <c r="L61" s="26"/>
      <c r="M61" s="27"/>
      <c r="N61" s="27"/>
      <c r="O61" s="27"/>
      <c r="P61" s="27"/>
      <c r="Q61" s="26"/>
      <c r="R61" s="26"/>
      <c r="S61" s="26"/>
      <c r="T61" s="31"/>
      <c r="U61" s="31"/>
      <c r="V61" s="106"/>
      <c r="W61" s="31"/>
      <c r="X61" s="14"/>
    </row>
    <row r="62" spans="12:24">
      <c r="L62" s="26"/>
      <c r="M62" s="27"/>
      <c r="N62" s="27"/>
      <c r="O62" s="27"/>
      <c r="P62" s="27"/>
      <c r="Q62" s="26"/>
      <c r="R62" s="26"/>
      <c r="S62" s="26"/>
      <c r="T62" s="31"/>
      <c r="U62" s="31"/>
      <c r="V62" s="106"/>
      <c r="W62" s="31"/>
      <c r="X62" s="14"/>
    </row>
    <row r="63" spans="12:24">
      <c r="L63" s="26"/>
      <c r="M63" s="27"/>
      <c r="N63" s="27"/>
      <c r="O63" s="27"/>
      <c r="P63" s="27"/>
      <c r="Q63" s="26"/>
      <c r="R63" s="26"/>
      <c r="S63" s="26"/>
      <c r="T63" s="31"/>
      <c r="U63" s="31"/>
      <c r="V63" s="106"/>
      <c r="W63" s="31"/>
      <c r="X63" s="14"/>
    </row>
    <row r="64" spans="12:24">
      <c r="L64" s="26"/>
      <c r="M64" s="27"/>
      <c r="N64" s="27"/>
      <c r="O64" s="27"/>
      <c r="P64" s="27"/>
      <c r="Q64" s="26"/>
      <c r="R64" s="26"/>
      <c r="S64" s="26"/>
      <c r="T64" s="14"/>
      <c r="U64" s="14"/>
      <c r="V64" s="107"/>
      <c r="W64" s="14"/>
      <c r="X64" s="14"/>
    </row>
    <row r="65" spans="12:24">
      <c r="L65" s="26"/>
      <c r="M65" s="27"/>
      <c r="N65" s="27"/>
      <c r="O65" s="27"/>
      <c r="P65" s="27"/>
      <c r="Q65" s="26"/>
      <c r="R65" s="26"/>
      <c r="S65" s="26"/>
      <c r="T65" s="14"/>
      <c r="U65" s="14"/>
      <c r="V65" s="107"/>
      <c r="W65" s="14"/>
      <c r="X65" s="14"/>
    </row>
    <row r="66" spans="12:24">
      <c r="L66" s="26"/>
      <c r="M66" s="27"/>
      <c r="N66" s="27"/>
      <c r="O66" s="27"/>
      <c r="P66" s="27"/>
      <c r="Q66" s="26"/>
      <c r="R66" s="26"/>
      <c r="S66" s="26"/>
      <c r="T66" s="14"/>
      <c r="U66" s="14"/>
      <c r="V66" s="107"/>
      <c r="W66" s="14"/>
      <c r="X66" s="14"/>
    </row>
    <row r="67" spans="12:24">
      <c r="L67" s="26"/>
      <c r="M67" s="27"/>
      <c r="N67" s="27"/>
      <c r="O67" s="27"/>
      <c r="P67" s="27"/>
      <c r="Q67" s="26"/>
      <c r="R67" s="26"/>
      <c r="S67" s="26"/>
      <c r="T67" s="14"/>
      <c r="U67" s="14"/>
      <c r="V67" s="107"/>
      <c r="W67" s="14"/>
      <c r="X67" s="14"/>
    </row>
    <row r="68" spans="12:24">
      <c r="L68" s="26"/>
      <c r="M68" s="27"/>
      <c r="N68" s="27"/>
      <c r="O68" s="27"/>
      <c r="P68" s="27"/>
      <c r="Q68" s="26"/>
      <c r="R68" s="26"/>
      <c r="S68" s="26"/>
      <c r="T68" s="14"/>
      <c r="U68" s="14"/>
      <c r="V68" s="107"/>
      <c r="W68" s="14"/>
      <c r="X68" s="14"/>
    </row>
    <row r="69" spans="12:24">
      <c r="L69" s="26"/>
      <c r="M69" s="27"/>
      <c r="N69" s="27"/>
      <c r="O69" s="27"/>
      <c r="P69" s="27"/>
      <c r="Q69" s="26"/>
      <c r="R69" s="26"/>
      <c r="S69" s="26"/>
      <c r="T69" s="14"/>
      <c r="U69" s="14"/>
      <c r="V69" s="107"/>
      <c r="W69" s="14"/>
      <c r="X69" s="14"/>
    </row>
    <row r="70" spans="12:24">
      <c r="L70" s="26"/>
      <c r="M70" s="27"/>
      <c r="N70" s="27"/>
      <c r="O70" s="27"/>
      <c r="P70" s="27"/>
      <c r="Q70" s="26"/>
      <c r="R70" s="26"/>
      <c r="S70" s="26"/>
      <c r="T70" s="14"/>
      <c r="U70" s="14"/>
      <c r="V70" s="107"/>
      <c r="W70" s="14"/>
      <c r="X70" s="14"/>
    </row>
    <row r="71" spans="12:24">
      <c r="L71" s="26"/>
      <c r="M71" s="27"/>
      <c r="N71" s="27"/>
      <c r="O71" s="27"/>
      <c r="P71" s="27"/>
      <c r="Q71" s="26"/>
      <c r="R71" s="26"/>
      <c r="S71" s="26"/>
      <c r="T71" s="14"/>
      <c r="U71" s="14"/>
      <c r="V71" s="107"/>
      <c r="W71" s="14"/>
      <c r="X71" s="14"/>
    </row>
    <row r="72" spans="12:24">
      <c r="L72" s="26"/>
      <c r="M72" s="27"/>
      <c r="N72" s="27"/>
      <c r="O72" s="27"/>
      <c r="P72" s="27"/>
      <c r="Q72" s="26"/>
      <c r="R72" s="26"/>
      <c r="S72" s="26"/>
      <c r="T72" s="14"/>
      <c r="U72" s="14"/>
      <c r="V72" s="107"/>
      <c r="W72" s="14"/>
      <c r="X72" s="14"/>
    </row>
    <row r="73" spans="12:24">
      <c r="L73" s="26"/>
      <c r="M73" s="27"/>
      <c r="N73" s="27"/>
      <c r="O73" s="27"/>
      <c r="P73" s="27"/>
      <c r="Q73" s="26"/>
      <c r="R73" s="26"/>
      <c r="S73" s="26"/>
      <c r="T73" s="14"/>
      <c r="U73" s="14"/>
      <c r="V73" s="107"/>
      <c r="W73" s="14"/>
      <c r="X73" s="14"/>
    </row>
    <row r="74" spans="12:24">
      <c r="L74" s="26"/>
      <c r="M74" s="27"/>
      <c r="N74" s="27"/>
      <c r="O74" s="27"/>
      <c r="P74" s="27"/>
      <c r="Q74" s="26"/>
      <c r="R74" s="26"/>
      <c r="S74" s="26"/>
      <c r="T74" s="14"/>
      <c r="U74" s="14"/>
      <c r="V74" s="107"/>
      <c r="W74" s="14"/>
      <c r="X74" s="14"/>
    </row>
    <row r="75" spans="12:24">
      <c r="L75" s="26"/>
      <c r="M75" s="27"/>
      <c r="N75" s="27"/>
      <c r="O75" s="27"/>
      <c r="P75" s="27"/>
      <c r="Q75" s="26"/>
      <c r="R75" s="26"/>
      <c r="S75" s="26"/>
      <c r="T75" s="14"/>
      <c r="U75" s="14"/>
      <c r="V75" s="107"/>
      <c r="W75" s="14"/>
      <c r="X75" s="14"/>
    </row>
    <row r="76" spans="12:24">
      <c r="L76" s="26"/>
      <c r="M76" s="27"/>
      <c r="N76" s="27"/>
      <c r="O76" s="27"/>
      <c r="P76" s="27"/>
      <c r="Q76" s="26"/>
      <c r="R76" s="26"/>
      <c r="S76" s="26"/>
      <c r="T76" s="14"/>
      <c r="U76" s="14"/>
      <c r="V76" s="107"/>
      <c r="W76" s="14"/>
      <c r="X76" s="14"/>
    </row>
    <row r="77" spans="12:24">
      <c r="L77" s="26"/>
      <c r="M77" s="27"/>
      <c r="N77" s="27"/>
      <c r="O77" s="27"/>
      <c r="P77" s="27"/>
      <c r="Q77" s="26"/>
      <c r="R77" s="26"/>
      <c r="S77" s="26"/>
      <c r="T77" s="14"/>
      <c r="U77" s="14"/>
      <c r="V77" s="107"/>
      <c r="W77" s="14"/>
      <c r="X77" s="14"/>
    </row>
    <row r="78" spans="12:24">
      <c r="L78" s="26"/>
      <c r="M78" s="27"/>
      <c r="N78" s="27"/>
      <c r="O78" s="27"/>
      <c r="P78" s="27"/>
      <c r="Q78" s="26"/>
      <c r="R78" s="26"/>
      <c r="S78" s="26"/>
      <c r="T78" s="14"/>
      <c r="U78" s="14"/>
      <c r="V78" s="107"/>
      <c r="W78" s="14"/>
      <c r="X78" s="14"/>
    </row>
    <row r="79" spans="12:24">
      <c r="L79" s="26"/>
      <c r="M79" s="27"/>
      <c r="N79" s="27"/>
      <c r="O79" s="27"/>
      <c r="P79" s="27"/>
      <c r="Q79" s="26"/>
      <c r="R79" s="26"/>
      <c r="S79" s="26"/>
      <c r="T79" s="14"/>
      <c r="U79" s="14"/>
      <c r="V79" s="107"/>
      <c r="W79" s="14"/>
      <c r="X79" s="14"/>
    </row>
    <row r="80" spans="12:24">
      <c r="L80" s="26"/>
      <c r="M80" s="27"/>
      <c r="N80" s="27"/>
      <c r="O80" s="27"/>
      <c r="P80" s="27"/>
      <c r="Q80" s="26"/>
      <c r="R80" s="26"/>
      <c r="S80" s="26"/>
      <c r="T80" s="14"/>
      <c r="U80" s="14"/>
      <c r="V80" s="107"/>
      <c r="W80" s="14"/>
      <c r="X80" s="14"/>
    </row>
    <row r="81" spans="12:24">
      <c r="L81" s="26"/>
      <c r="M81" s="27"/>
      <c r="N81" s="27"/>
      <c r="O81" s="27"/>
      <c r="P81" s="27"/>
      <c r="Q81" s="26"/>
      <c r="R81" s="26"/>
      <c r="S81" s="26"/>
      <c r="T81" s="14"/>
      <c r="U81" s="14"/>
      <c r="V81" s="107"/>
      <c r="W81" s="14"/>
      <c r="X81" s="14"/>
    </row>
    <row r="82" spans="12:24">
      <c r="L82" s="26"/>
      <c r="M82" s="27"/>
      <c r="N82" s="27"/>
      <c r="O82" s="27"/>
      <c r="P82" s="27"/>
      <c r="Q82" s="26"/>
      <c r="R82" s="26"/>
      <c r="S82" s="26"/>
      <c r="T82" s="14"/>
      <c r="U82" s="14"/>
      <c r="V82" s="107"/>
      <c r="W82" s="14"/>
      <c r="X82" s="14"/>
    </row>
    <row r="83" spans="12:24">
      <c r="L83" s="26"/>
      <c r="M83" s="27"/>
      <c r="N83" s="27"/>
      <c r="O83" s="27"/>
      <c r="P83" s="27"/>
      <c r="Q83" s="26"/>
      <c r="R83" s="26"/>
      <c r="S83" s="26"/>
      <c r="T83" s="14"/>
      <c r="U83" s="14"/>
      <c r="V83" s="107"/>
      <c r="W83" s="14"/>
      <c r="X83" s="14"/>
    </row>
    <row r="84" spans="12:24">
      <c r="L84" s="26"/>
      <c r="M84" s="27"/>
      <c r="N84" s="27"/>
      <c r="O84" s="27"/>
      <c r="P84" s="27"/>
      <c r="Q84" s="26"/>
      <c r="R84" s="26"/>
      <c r="S84" s="26"/>
      <c r="T84" s="14"/>
      <c r="U84" s="14"/>
      <c r="V84" s="107"/>
      <c r="W84" s="14"/>
      <c r="X84" s="14"/>
    </row>
    <row r="85" spans="12:24">
      <c r="L85" s="26"/>
      <c r="M85" s="27"/>
      <c r="N85" s="27"/>
      <c r="O85" s="27"/>
      <c r="P85" s="27"/>
      <c r="Q85" s="26"/>
      <c r="R85" s="26"/>
      <c r="S85" s="26"/>
      <c r="T85" s="14"/>
      <c r="U85" s="14"/>
      <c r="V85" s="107"/>
      <c r="W85" s="14"/>
      <c r="X85" s="14"/>
    </row>
    <row r="86" spans="12:24">
      <c r="L86" s="26"/>
      <c r="M86" s="27"/>
      <c r="N86" s="27"/>
      <c r="O86" s="27"/>
      <c r="P86" s="27"/>
      <c r="Q86" s="26"/>
      <c r="R86" s="26"/>
      <c r="S86" s="26"/>
      <c r="T86" s="14"/>
      <c r="U86" s="14"/>
      <c r="V86" s="107"/>
      <c r="W86" s="14"/>
      <c r="X86" s="14"/>
    </row>
    <row r="87" spans="12:24">
      <c r="L87" s="26"/>
      <c r="M87" s="27"/>
      <c r="N87" s="27"/>
      <c r="O87" s="27"/>
      <c r="P87" s="27"/>
      <c r="Q87" s="26"/>
      <c r="R87" s="26"/>
      <c r="S87" s="26"/>
      <c r="T87" s="14"/>
      <c r="U87" s="14"/>
      <c r="V87" s="107"/>
      <c r="W87" s="14"/>
      <c r="X87" s="14"/>
    </row>
    <row r="88" spans="12:24">
      <c r="L88" s="26"/>
      <c r="M88" s="27"/>
      <c r="N88" s="27"/>
      <c r="O88" s="27"/>
      <c r="P88" s="27"/>
      <c r="Q88" s="26"/>
      <c r="R88" s="26"/>
      <c r="S88" s="26"/>
      <c r="T88" s="14"/>
      <c r="U88" s="14"/>
      <c r="V88" s="107"/>
      <c r="W88" s="14"/>
      <c r="X88" s="14"/>
    </row>
    <row r="89" spans="12:24">
      <c r="L89" s="26"/>
      <c r="M89" s="27"/>
      <c r="N89" s="27"/>
      <c r="O89" s="27"/>
      <c r="P89" s="27"/>
      <c r="Q89" s="26"/>
      <c r="R89" s="26"/>
      <c r="S89" s="26"/>
      <c r="T89" s="14"/>
      <c r="U89" s="14"/>
      <c r="V89" s="107"/>
      <c r="W89" s="14"/>
      <c r="X89" s="14"/>
    </row>
    <row r="90" spans="12:24">
      <c r="L90" s="26"/>
      <c r="M90" s="27"/>
      <c r="N90" s="27"/>
      <c r="O90" s="27"/>
      <c r="P90" s="27"/>
      <c r="Q90" s="26"/>
      <c r="R90" s="26"/>
      <c r="S90" s="26"/>
      <c r="T90" s="14"/>
      <c r="U90" s="14"/>
      <c r="V90" s="107"/>
      <c r="W90" s="14"/>
      <c r="X90" s="14"/>
    </row>
    <row r="91" spans="12:24">
      <c r="L91" s="26"/>
      <c r="M91" s="27"/>
      <c r="N91" s="27"/>
      <c r="O91" s="27"/>
      <c r="P91" s="27"/>
      <c r="Q91" s="26"/>
      <c r="R91" s="26"/>
      <c r="S91" s="26"/>
      <c r="T91" s="14"/>
      <c r="U91" s="14"/>
      <c r="V91" s="107"/>
      <c r="W91" s="14"/>
      <c r="X91" s="14"/>
    </row>
    <row r="92" spans="12:24">
      <c r="L92" s="26"/>
      <c r="M92" s="27"/>
      <c r="N92" s="27"/>
      <c r="O92" s="27"/>
      <c r="P92" s="27"/>
      <c r="Q92" s="26"/>
      <c r="R92" s="26"/>
      <c r="S92" s="26"/>
      <c r="T92" s="14"/>
      <c r="U92" s="14"/>
      <c r="V92" s="107"/>
      <c r="W92" s="14"/>
      <c r="X92" s="14"/>
    </row>
    <row r="93" spans="12:24">
      <c r="L93" s="26"/>
      <c r="M93" s="27"/>
      <c r="N93" s="27"/>
      <c r="O93" s="27"/>
      <c r="P93" s="27"/>
      <c r="Q93" s="26"/>
      <c r="R93" s="26"/>
      <c r="S93" s="26"/>
      <c r="T93" s="14"/>
      <c r="U93" s="14"/>
      <c r="V93" s="107"/>
      <c r="W93" s="14"/>
      <c r="X93" s="14"/>
    </row>
    <row r="94" spans="12:24">
      <c r="L94" s="26"/>
      <c r="M94" s="27"/>
      <c r="N94" s="27"/>
      <c r="O94" s="27"/>
      <c r="P94" s="27"/>
      <c r="Q94" s="26"/>
      <c r="R94" s="26"/>
      <c r="S94" s="26"/>
      <c r="T94" s="14"/>
      <c r="U94" s="14"/>
      <c r="V94" s="107"/>
      <c r="W94" s="14"/>
      <c r="X94" s="14"/>
    </row>
    <row r="95" spans="12:24">
      <c r="L95" s="26"/>
      <c r="M95" s="27"/>
      <c r="N95" s="27"/>
      <c r="O95" s="27"/>
      <c r="P95" s="27"/>
      <c r="Q95" s="26"/>
      <c r="R95" s="26"/>
      <c r="S95" s="26"/>
      <c r="T95" s="14"/>
      <c r="U95" s="14"/>
      <c r="V95" s="107"/>
      <c r="W95" s="14"/>
      <c r="X95" s="14"/>
    </row>
    <row r="96" spans="12:24">
      <c r="L96" s="26"/>
      <c r="M96" s="27"/>
      <c r="N96" s="27"/>
      <c r="O96" s="27"/>
      <c r="P96" s="27"/>
      <c r="Q96" s="26"/>
      <c r="R96" s="26"/>
      <c r="S96" s="26"/>
      <c r="T96" s="14"/>
      <c r="U96" s="14"/>
      <c r="V96" s="107"/>
      <c r="W96" s="14"/>
      <c r="X96" s="14"/>
    </row>
    <row r="97" spans="12:24">
      <c r="L97" s="26"/>
      <c r="M97" s="27"/>
      <c r="N97" s="27"/>
      <c r="O97" s="27"/>
      <c r="P97" s="27"/>
      <c r="Q97" s="26"/>
      <c r="R97" s="26"/>
      <c r="S97" s="26"/>
      <c r="T97" s="14"/>
      <c r="U97" s="14"/>
      <c r="V97" s="107"/>
      <c r="W97" s="14"/>
      <c r="X97" s="14"/>
    </row>
    <row r="98" spans="12:24">
      <c r="L98" s="26"/>
      <c r="M98" s="27"/>
      <c r="N98" s="27"/>
      <c r="O98" s="27"/>
      <c r="P98" s="27"/>
      <c r="Q98" s="26"/>
      <c r="R98" s="26"/>
      <c r="S98" s="26"/>
      <c r="T98" s="14"/>
      <c r="U98" s="14"/>
      <c r="V98" s="107"/>
      <c r="W98" s="14"/>
      <c r="X98" s="14"/>
    </row>
    <row r="99" spans="12:24">
      <c r="L99" s="26"/>
      <c r="M99" s="27"/>
      <c r="N99" s="27"/>
      <c r="O99" s="27"/>
      <c r="P99" s="27"/>
      <c r="Q99" s="26"/>
      <c r="R99" s="26"/>
      <c r="S99" s="26"/>
      <c r="T99" s="14"/>
      <c r="U99" s="14"/>
      <c r="V99" s="107"/>
      <c r="W99" s="14"/>
      <c r="X99" s="14"/>
    </row>
    <row r="100" spans="12:24">
      <c r="L100" s="26"/>
      <c r="M100" s="27"/>
      <c r="N100" s="27"/>
      <c r="O100" s="27"/>
      <c r="P100" s="27"/>
      <c r="Q100" s="26"/>
      <c r="R100" s="26"/>
      <c r="S100" s="26"/>
      <c r="T100" s="14"/>
      <c r="U100" s="14"/>
      <c r="V100" s="107"/>
      <c r="W100" s="14"/>
      <c r="X100" s="14"/>
    </row>
    <row r="101" spans="12:24">
      <c r="L101" s="26"/>
      <c r="M101" s="27"/>
      <c r="N101" s="27"/>
      <c r="O101" s="27"/>
      <c r="P101" s="27"/>
      <c r="Q101" s="26"/>
      <c r="R101" s="26"/>
      <c r="S101" s="26"/>
      <c r="T101" s="14"/>
      <c r="U101" s="14"/>
      <c r="V101" s="107"/>
      <c r="W101" s="14"/>
      <c r="X101" s="14"/>
    </row>
    <row r="102" spans="12:24">
      <c r="L102" s="26"/>
      <c r="M102" s="27"/>
      <c r="N102" s="27"/>
      <c r="O102" s="27"/>
      <c r="P102" s="27"/>
      <c r="Q102" s="26"/>
      <c r="R102" s="26"/>
      <c r="S102" s="26"/>
      <c r="T102" s="14"/>
      <c r="U102" s="14"/>
      <c r="V102" s="107"/>
      <c r="W102" s="14"/>
      <c r="X102" s="14"/>
    </row>
    <row r="103" spans="12:24">
      <c r="L103" s="26"/>
      <c r="M103" s="27"/>
      <c r="N103" s="27"/>
      <c r="O103" s="27"/>
      <c r="P103" s="27"/>
      <c r="Q103" s="26"/>
      <c r="R103" s="26"/>
      <c r="S103" s="26"/>
      <c r="T103" s="14"/>
      <c r="U103" s="14"/>
      <c r="V103" s="107"/>
      <c r="W103" s="14"/>
      <c r="X103" s="14"/>
    </row>
    <row r="104" spans="12:24">
      <c r="L104" s="26"/>
      <c r="M104" s="27"/>
      <c r="N104" s="27"/>
      <c r="O104" s="27"/>
      <c r="P104" s="27"/>
      <c r="Q104" s="26"/>
      <c r="R104" s="26"/>
      <c r="S104" s="26"/>
      <c r="T104" s="14"/>
      <c r="U104" s="14"/>
      <c r="V104" s="107"/>
      <c r="W104" s="14"/>
      <c r="X104" s="14"/>
    </row>
    <row r="105" spans="12:24">
      <c r="L105" s="26"/>
      <c r="M105" s="27"/>
      <c r="N105" s="27"/>
      <c r="O105" s="27"/>
      <c r="P105" s="27"/>
      <c r="Q105" s="26"/>
      <c r="R105" s="26"/>
      <c r="S105" s="26"/>
      <c r="T105" s="14"/>
      <c r="U105" s="14"/>
      <c r="V105" s="107"/>
      <c r="W105" s="14"/>
      <c r="X105" s="14"/>
    </row>
    <row r="106" spans="12:24">
      <c r="L106" s="26"/>
      <c r="M106" s="27"/>
      <c r="N106" s="27"/>
      <c r="O106" s="27"/>
      <c r="P106" s="27"/>
      <c r="Q106" s="26"/>
      <c r="R106" s="26"/>
      <c r="S106" s="26"/>
      <c r="T106" s="14"/>
      <c r="U106" s="14"/>
      <c r="V106" s="107"/>
      <c r="W106" s="14"/>
      <c r="X106" s="14"/>
    </row>
    <row r="107" spans="12:24">
      <c r="L107" s="26"/>
      <c r="M107" s="27"/>
      <c r="N107" s="27"/>
      <c r="O107" s="27"/>
      <c r="P107" s="27"/>
      <c r="Q107" s="26"/>
      <c r="R107" s="26"/>
      <c r="S107" s="26"/>
      <c r="T107" s="14"/>
      <c r="U107" s="14"/>
      <c r="V107" s="107"/>
      <c r="W107" s="14"/>
      <c r="X107" s="14"/>
    </row>
    <row r="108" spans="12:24">
      <c r="L108" s="26"/>
      <c r="M108" s="27"/>
      <c r="N108" s="27"/>
      <c r="O108" s="27"/>
      <c r="P108" s="27"/>
      <c r="Q108" s="26"/>
      <c r="R108" s="26"/>
      <c r="S108" s="26"/>
      <c r="T108" s="14"/>
      <c r="U108" s="14"/>
      <c r="V108" s="107"/>
      <c r="W108" s="14"/>
      <c r="X108" s="14"/>
    </row>
    <row r="109" spans="12:24">
      <c r="L109" s="26"/>
      <c r="M109" s="27"/>
      <c r="N109" s="27"/>
      <c r="O109" s="27"/>
      <c r="P109" s="27"/>
      <c r="Q109" s="26"/>
      <c r="R109" s="26"/>
      <c r="S109" s="26"/>
      <c r="T109" s="14"/>
      <c r="U109" s="14"/>
      <c r="V109" s="107"/>
      <c r="W109" s="14"/>
      <c r="X109" s="14"/>
    </row>
    <row r="110" spans="12:24">
      <c r="L110" s="26"/>
      <c r="M110" s="27"/>
      <c r="N110" s="27"/>
      <c r="O110" s="27"/>
      <c r="P110" s="27"/>
      <c r="Q110" s="26"/>
      <c r="R110" s="26"/>
      <c r="S110" s="26"/>
      <c r="T110" s="14"/>
      <c r="U110" s="14"/>
      <c r="V110" s="107"/>
      <c r="W110" s="14"/>
      <c r="X110" s="14"/>
    </row>
    <row r="111" spans="12:24">
      <c r="L111" s="26"/>
      <c r="M111" s="27"/>
      <c r="N111" s="27"/>
      <c r="O111" s="27"/>
      <c r="P111" s="27"/>
      <c r="Q111" s="26"/>
      <c r="R111" s="26"/>
      <c r="S111" s="26"/>
      <c r="T111" s="14"/>
      <c r="U111" s="14"/>
      <c r="V111" s="107"/>
      <c r="W111" s="14"/>
      <c r="X111" s="14"/>
    </row>
    <row r="112" spans="12:24">
      <c r="L112" s="26"/>
      <c r="M112" s="27"/>
      <c r="N112" s="27"/>
      <c r="O112" s="27"/>
      <c r="P112" s="27"/>
      <c r="Q112" s="26"/>
      <c r="R112" s="26"/>
      <c r="S112" s="26"/>
      <c r="T112" s="14"/>
      <c r="U112" s="14"/>
      <c r="V112" s="107"/>
      <c r="W112" s="14"/>
      <c r="X112" s="14"/>
    </row>
    <row r="113" spans="12:24">
      <c r="L113" s="26"/>
      <c r="M113" s="27"/>
      <c r="N113" s="27"/>
      <c r="O113" s="27"/>
      <c r="P113" s="27"/>
      <c r="Q113" s="26"/>
      <c r="R113" s="26"/>
      <c r="S113" s="26"/>
      <c r="T113" s="14"/>
      <c r="U113" s="14"/>
      <c r="V113" s="107"/>
      <c r="W113" s="14"/>
      <c r="X113" s="14"/>
    </row>
    <row r="114" spans="12:24">
      <c r="L114" s="26"/>
      <c r="M114" s="27"/>
      <c r="N114" s="27"/>
      <c r="O114" s="27"/>
      <c r="P114" s="27"/>
      <c r="Q114" s="26"/>
      <c r="R114" s="26"/>
      <c r="S114" s="26"/>
      <c r="T114" s="14"/>
      <c r="U114" s="14"/>
      <c r="V114" s="107"/>
      <c r="W114" s="14"/>
      <c r="X114" s="14"/>
    </row>
    <row r="115" spans="12:24">
      <c r="L115" s="26"/>
      <c r="M115" s="27"/>
      <c r="N115" s="27"/>
      <c r="O115" s="27"/>
      <c r="P115" s="27"/>
      <c r="Q115" s="26"/>
      <c r="R115" s="26"/>
      <c r="S115" s="26"/>
      <c r="T115" s="14"/>
      <c r="U115" s="14"/>
      <c r="V115" s="107"/>
      <c r="W115" s="14"/>
      <c r="X115" s="14"/>
    </row>
    <row r="116" spans="12:24">
      <c r="L116" s="26"/>
      <c r="M116" s="27"/>
      <c r="N116" s="27"/>
      <c r="O116" s="27"/>
      <c r="P116" s="27"/>
      <c r="Q116" s="26"/>
      <c r="R116" s="26"/>
      <c r="S116" s="26"/>
      <c r="T116" s="14"/>
      <c r="U116" s="14"/>
      <c r="V116" s="107"/>
      <c r="W116" s="14"/>
      <c r="X116" s="14"/>
    </row>
    <row r="117" spans="12:24">
      <c r="L117" s="26"/>
      <c r="M117" s="27"/>
      <c r="N117" s="27"/>
      <c r="O117" s="27"/>
      <c r="P117" s="27"/>
      <c r="Q117" s="26"/>
      <c r="R117" s="26"/>
      <c r="S117" s="26"/>
      <c r="T117" s="14"/>
      <c r="U117" s="14"/>
      <c r="V117" s="107"/>
      <c r="W117" s="14"/>
      <c r="X117" s="14"/>
    </row>
    <row r="118" spans="12:24">
      <c r="L118" s="26"/>
      <c r="M118" s="27"/>
      <c r="N118" s="27"/>
      <c r="O118" s="27"/>
      <c r="P118" s="27"/>
      <c r="Q118" s="26"/>
      <c r="R118" s="26"/>
      <c r="S118" s="26"/>
      <c r="T118" s="14"/>
      <c r="U118" s="14"/>
      <c r="V118" s="107"/>
      <c r="W118" s="14"/>
      <c r="X118" s="14"/>
    </row>
    <row r="119" spans="12:24">
      <c r="L119" s="26"/>
      <c r="M119" s="27"/>
      <c r="N119" s="27"/>
      <c r="O119" s="27"/>
      <c r="P119" s="27"/>
      <c r="Q119" s="26"/>
      <c r="R119" s="26"/>
      <c r="S119" s="26"/>
      <c r="T119" s="14"/>
      <c r="U119" s="14"/>
      <c r="V119" s="107"/>
      <c r="W119" s="14"/>
      <c r="X119" s="14"/>
    </row>
    <row r="120" spans="12:24">
      <c r="L120" s="26"/>
      <c r="M120" s="27"/>
      <c r="N120" s="27"/>
      <c r="O120" s="27"/>
      <c r="P120" s="27"/>
      <c r="Q120" s="26"/>
      <c r="R120" s="26"/>
      <c r="S120" s="26"/>
      <c r="T120" s="14"/>
      <c r="U120" s="14"/>
      <c r="V120" s="107"/>
      <c r="W120" s="14"/>
      <c r="X120" s="14"/>
    </row>
    <row r="121" spans="12:24">
      <c r="L121" s="26"/>
      <c r="M121" s="27"/>
      <c r="N121" s="27"/>
      <c r="O121" s="27"/>
      <c r="P121" s="27"/>
      <c r="Q121" s="26"/>
      <c r="R121" s="26"/>
      <c r="S121" s="26"/>
      <c r="T121" s="14"/>
      <c r="U121" s="14"/>
      <c r="V121" s="107"/>
      <c r="W121" s="14"/>
      <c r="X121" s="14"/>
    </row>
    <row r="122" spans="12:24">
      <c r="L122" s="26"/>
      <c r="M122" s="27"/>
      <c r="N122" s="27"/>
      <c r="O122" s="27"/>
      <c r="P122" s="27"/>
      <c r="Q122" s="26"/>
      <c r="R122" s="26"/>
      <c r="S122" s="26"/>
      <c r="T122" s="14"/>
      <c r="U122" s="14"/>
      <c r="V122" s="107"/>
      <c r="W122" s="14"/>
      <c r="X122" s="14"/>
    </row>
    <row r="123" spans="12:24">
      <c r="L123" s="26"/>
      <c r="M123" s="27"/>
      <c r="N123" s="27"/>
      <c r="O123" s="27"/>
      <c r="P123" s="27"/>
      <c r="Q123" s="26"/>
      <c r="R123" s="26"/>
      <c r="S123" s="26"/>
      <c r="T123" s="14"/>
      <c r="U123" s="14"/>
      <c r="V123" s="107"/>
      <c r="W123" s="14"/>
      <c r="X123" s="14"/>
    </row>
    <row r="124" spans="12:24">
      <c r="L124" s="26"/>
      <c r="M124" s="27"/>
      <c r="N124" s="27"/>
      <c r="O124" s="27"/>
      <c r="P124" s="27"/>
      <c r="Q124" s="26"/>
      <c r="R124" s="26"/>
      <c r="S124" s="26"/>
      <c r="T124" s="14"/>
      <c r="U124" s="14"/>
      <c r="V124" s="107"/>
      <c r="W124" s="14"/>
      <c r="X124" s="14"/>
    </row>
    <row r="125" spans="12:24">
      <c r="L125" s="26"/>
      <c r="M125" s="27"/>
      <c r="N125" s="27"/>
      <c r="O125" s="27"/>
      <c r="P125" s="27"/>
      <c r="Q125" s="26"/>
      <c r="R125" s="26"/>
      <c r="S125" s="26"/>
      <c r="T125" s="14"/>
      <c r="U125" s="14"/>
      <c r="V125" s="107"/>
      <c r="W125" s="14"/>
      <c r="X125" s="14"/>
    </row>
    <row r="126" spans="12:24">
      <c r="L126" s="26"/>
      <c r="M126" s="27"/>
      <c r="N126" s="27"/>
      <c r="O126" s="27"/>
      <c r="P126" s="27"/>
      <c r="Q126" s="26"/>
      <c r="R126" s="26"/>
      <c r="S126" s="26"/>
      <c r="T126" s="14"/>
      <c r="U126" s="14"/>
      <c r="V126" s="107"/>
      <c r="W126" s="14"/>
      <c r="X126" s="14"/>
    </row>
    <row r="127" spans="12:24">
      <c r="L127" s="26"/>
      <c r="M127" s="27"/>
      <c r="N127" s="27"/>
      <c r="O127" s="27"/>
      <c r="P127" s="27"/>
      <c r="Q127" s="26"/>
      <c r="R127" s="26"/>
      <c r="S127" s="26"/>
      <c r="T127" s="14"/>
      <c r="U127" s="14"/>
      <c r="V127" s="107"/>
      <c r="W127" s="14"/>
      <c r="X127" s="14"/>
    </row>
    <row r="128" spans="12:24">
      <c r="L128" s="26"/>
      <c r="M128" s="27"/>
      <c r="N128" s="27"/>
      <c r="O128" s="27"/>
      <c r="P128" s="27"/>
      <c r="Q128" s="26"/>
      <c r="R128" s="26"/>
      <c r="S128" s="26"/>
      <c r="T128" s="14"/>
      <c r="U128" s="14"/>
      <c r="V128" s="107"/>
      <c r="W128" s="14"/>
      <c r="X128" s="14"/>
    </row>
    <row r="129" spans="12:24">
      <c r="L129" s="26"/>
      <c r="M129" s="27"/>
      <c r="N129" s="27"/>
      <c r="O129" s="27"/>
      <c r="P129" s="27"/>
      <c r="Q129" s="26"/>
      <c r="R129" s="26"/>
      <c r="S129" s="26"/>
      <c r="T129" s="14"/>
      <c r="U129" s="14"/>
      <c r="V129" s="107"/>
      <c r="W129" s="14"/>
      <c r="X129" s="14"/>
    </row>
    <row r="130" spans="12:24">
      <c r="L130" s="26"/>
      <c r="M130" s="27"/>
      <c r="N130" s="27"/>
      <c r="O130" s="27"/>
      <c r="P130" s="27"/>
      <c r="Q130" s="26"/>
      <c r="R130" s="26"/>
      <c r="S130" s="26"/>
      <c r="T130" s="14"/>
      <c r="U130" s="14"/>
      <c r="V130" s="107"/>
      <c r="W130" s="14"/>
      <c r="X130" s="14"/>
    </row>
    <row r="131" spans="12:24">
      <c r="L131" s="26"/>
      <c r="M131" s="27"/>
      <c r="N131" s="27"/>
      <c r="O131" s="27"/>
      <c r="P131" s="27"/>
      <c r="Q131" s="26"/>
      <c r="R131" s="26"/>
      <c r="S131" s="26"/>
      <c r="T131" s="14"/>
      <c r="U131" s="14"/>
      <c r="V131" s="107"/>
      <c r="W131" s="14"/>
      <c r="X131" s="14"/>
    </row>
    <row r="132" spans="12:24">
      <c r="L132" s="26"/>
      <c r="M132" s="27"/>
      <c r="N132" s="27"/>
      <c r="O132" s="27"/>
      <c r="P132" s="27"/>
      <c r="Q132" s="26"/>
      <c r="R132" s="26"/>
      <c r="S132" s="26"/>
      <c r="T132" s="14"/>
      <c r="U132" s="14"/>
      <c r="V132" s="107"/>
      <c r="W132" s="14"/>
      <c r="X132" s="14"/>
    </row>
    <row r="133" spans="12:24">
      <c r="L133" s="26"/>
      <c r="M133" s="27"/>
      <c r="N133" s="27"/>
      <c r="O133" s="27"/>
      <c r="P133" s="27"/>
      <c r="Q133" s="26"/>
      <c r="R133" s="26"/>
      <c r="S133" s="26"/>
      <c r="T133" s="14"/>
      <c r="U133" s="14"/>
      <c r="V133" s="107"/>
      <c r="W133" s="14"/>
      <c r="X133" s="14"/>
    </row>
    <row r="134" spans="12:24">
      <c r="L134" s="26"/>
      <c r="M134" s="27"/>
      <c r="N134" s="27"/>
      <c r="O134" s="27"/>
      <c r="P134" s="27"/>
      <c r="Q134" s="26"/>
      <c r="R134" s="26"/>
      <c r="S134" s="26"/>
      <c r="T134" s="14"/>
      <c r="U134" s="14"/>
      <c r="V134" s="107"/>
      <c r="W134" s="14"/>
      <c r="X134" s="14"/>
    </row>
    <row r="135" spans="12:24">
      <c r="L135" s="26"/>
      <c r="M135" s="27"/>
      <c r="N135" s="27"/>
      <c r="O135" s="27"/>
      <c r="P135" s="27"/>
      <c r="Q135" s="26"/>
      <c r="R135" s="26"/>
      <c r="S135" s="26"/>
      <c r="T135" s="14"/>
      <c r="U135" s="14"/>
      <c r="V135" s="107"/>
      <c r="W135" s="14"/>
      <c r="X135" s="14"/>
    </row>
    <row r="136" spans="12:24">
      <c r="L136" s="26"/>
      <c r="M136" s="27"/>
      <c r="N136" s="27"/>
      <c r="O136" s="27"/>
      <c r="P136" s="27"/>
      <c r="Q136" s="26"/>
      <c r="R136" s="26"/>
      <c r="S136" s="26"/>
      <c r="T136" s="14"/>
      <c r="U136" s="14"/>
      <c r="V136" s="107"/>
      <c r="W136" s="14"/>
      <c r="X136" s="14"/>
    </row>
    <row r="137" spans="12:24">
      <c r="L137" s="26"/>
      <c r="M137" s="27"/>
      <c r="N137" s="27"/>
      <c r="O137" s="27"/>
      <c r="P137" s="27"/>
      <c r="Q137" s="26"/>
      <c r="R137" s="26"/>
      <c r="S137" s="26"/>
      <c r="T137" s="14"/>
      <c r="U137" s="14"/>
      <c r="V137" s="107"/>
      <c r="W137" s="14"/>
      <c r="X137" s="14"/>
    </row>
    <row r="138" spans="12:24">
      <c r="L138" s="26"/>
      <c r="M138" s="27"/>
      <c r="N138" s="27"/>
      <c r="O138" s="27"/>
      <c r="P138" s="27"/>
      <c r="Q138" s="26"/>
      <c r="R138" s="26"/>
      <c r="S138" s="26"/>
      <c r="T138" s="14"/>
      <c r="U138" s="14"/>
      <c r="V138" s="107"/>
      <c r="W138" s="14"/>
      <c r="X138" s="14"/>
    </row>
    <row r="139" spans="12:24">
      <c r="L139" s="26"/>
      <c r="M139" s="27"/>
      <c r="N139" s="27"/>
      <c r="O139" s="27"/>
      <c r="P139" s="27"/>
      <c r="Q139" s="26"/>
      <c r="R139" s="26"/>
      <c r="S139" s="26"/>
      <c r="T139" s="14"/>
      <c r="U139" s="14"/>
      <c r="V139" s="107"/>
      <c r="W139" s="14"/>
      <c r="X139" s="14"/>
    </row>
    <row r="140" spans="12:24">
      <c r="L140" s="26"/>
      <c r="M140" s="27"/>
      <c r="N140" s="27"/>
      <c r="O140" s="27"/>
      <c r="P140" s="27"/>
      <c r="Q140" s="26"/>
      <c r="R140" s="26"/>
      <c r="S140" s="26"/>
      <c r="T140" s="14"/>
      <c r="U140" s="14"/>
      <c r="V140" s="107"/>
      <c r="W140" s="14"/>
      <c r="X140" s="14"/>
    </row>
    <row r="141" spans="12:24">
      <c r="L141" s="26"/>
      <c r="M141" s="27"/>
      <c r="N141" s="27"/>
      <c r="O141" s="27"/>
      <c r="P141" s="27"/>
      <c r="Q141" s="26"/>
      <c r="R141" s="26"/>
      <c r="S141" s="26"/>
      <c r="T141" s="14"/>
      <c r="U141" s="14"/>
      <c r="V141" s="107"/>
      <c r="W141" s="14"/>
      <c r="X141" s="14"/>
    </row>
    <row r="142" spans="12:24">
      <c r="L142" s="26"/>
      <c r="M142" s="27"/>
      <c r="N142" s="27"/>
      <c r="O142" s="27"/>
      <c r="P142" s="27"/>
      <c r="Q142" s="26"/>
      <c r="R142" s="26"/>
      <c r="S142" s="26"/>
      <c r="T142" s="14"/>
      <c r="U142" s="14"/>
      <c r="V142" s="107"/>
      <c r="W142" s="14"/>
      <c r="X142" s="14"/>
    </row>
    <row r="143" spans="12:24">
      <c r="L143" s="26"/>
      <c r="M143" s="27"/>
      <c r="N143" s="27"/>
      <c r="O143" s="27"/>
      <c r="P143" s="27"/>
      <c r="Q143" s="26"/>
      <c r="R143" s="26"/>
      <c r="S143" s="26"/>
      <c r="T143" s="14"/>
      <c r="U143" s="14"/>
      <c r="V143" s="107"/>
      <c r="W143" s="14"/>
      <c r="X143" s="14"/>
    </row>
    <row r="144" spans="12:24">
      <c r="L144" s="26"/>
      <c r="M144" s="27"/>
      <c r="N144" s="27"/>
      <c r="O144" s="27"/>
      <c r="P144" s="27"/>
      <c r="Q144" s="26"/>
      <c r="R144" s="26"/>
      <c r="S144" s="26"/>
      <c r="T144" s="14"/>
      <c r="U144" s="14"/>
      <c r="V144" s="107"/>
      <c r="W144" s="14"/>
      <c r="X144" s="14"/>
    </row>
    <row r="145" spans="12:24">
      <c r="L145" s="26"/>
      <c r="M145" s="27"/>
      <c r="N145" s="27"/>
      <c r="O145" s="27"/>
      <c r="P145" s="27"/>
      <c r="Q145" s="26"/>
      <c r="R145" s="26"/>
      <c r="S145" s="26"/>
      <c r="T145" s="14"/>
      <c r="U145" s="14"/>
      <c r="V145" s="107"/>
      <c r="W145" s="14"/>
      <c r="X145" s="14"/>
    </row>
    <row r="146" spans="12:24">
      <c r="L146" s="26"/>
      <c r="M146" s="27"/>
      <c r="N146" s="27"/>
      <c r="O146" s="27"/>
      <c r="P146" s="27"/>
      <c r="Q146" s="26"/>
      <c r="R146" s="26"/>
      <c r="S146" s="26"/>
      <c r="T146" s="14"/>
      <c r="U146" s="14"/>
      <c r="V146" s="107"/>
      <c r="W146" s="14"/>
      <c r="X146" s="14"/>
    </row>
    <row r="147" spans="12:24">
      <c r="L147" s="26"/>
      <c r="M147" s="27"/>
      <c r="N147" s="27"/>
      <c r="O147" s="27"/>
      <c r="P147" s="27"/>
      <c r="Q147" s="26"/>
      <c r="R147" s="26"/>
      <c r="S147" s="26"/>
      <c r="T147" s="14"/>
      <c r="U147" s="14"/>
      <c r="V147" s="107"/>
      <c r="W147" s="14"/>
      <c r="X147" s="14"/>
    </row>
    <row r="148" spans="12:24">
      <c r="L148" s="26"/>
      <c r="M148" s="27"/>
      <c r="N148" s="27"/>
      <c r="O148" s="27"/>
      <c r="P148" s="27"/>
      <c r="Q148" s="26"/>
      <c r="R148" s="26"/>
      <c r="S148" s="26"/>
      <c r="T148" s="14"/>
      <c r="U148" s="14"/>
      <c r="V148" s="107"/>
      <c r="W148" s="14"/>
      <c r="X148" s="14"/>
    </row>
    <row r="149" spans="12:24">
      <c r="L149" s="26"/>
      <c r="M149" s="27"/>
      <c r="N149" s="27"/>
      <c r="O149" s="27"/>
      <c r="P149" s="27"/>
      <c r="Q149" s="26"/>
      <c r="R149" s="26"/>
      <c r="S149" s="26"/>
      <c r="T149" s="14"/>
      <c r="U149" s="14"/>
      <c r="V149" s="107"/>
      <c r="W149" s="14"/>
      <c r="X149" s="14"/>
    </row>
    <row r="150" spans="12:24">
      <c r="L150" s="26"/>
      <c r="M150" s="27"/>
      <c r="N150" s="27"/>
      <c r="O150" s="27"/>
      <c r="P150" s="27"/>
      <c r="Q150" s="26"/>
      <c r="R150" s="26"/>
      <c r="S150" s="26"/>
      <c r="T150" s="14"/>
      <c r="U150" s="14"/>
      <c r="V150" s="107"/>
      <c r="W150" s="14"/>
      <c r="X150" s="14"/>
    </row>
    <row r="151" spans="12:24">
      <c r="L151" s="26"/>
      <c r="M151" s="27"/>
      <c r="N151" s="27"/>
      <c r="O151" s="27"/>
      <c r="P151" s="27"/>
      <c r="Q151" s="26"/>
      <c r="R151" s="26"/>
      <c r="S151" s="26"/>
      <c r="T151" s="14"/>
      <c r="U151" s="14"/>
      <c r="V151" s="107"/>
      <c r="W151" s="14"/>
      <c r="X151" s="14"/>
    </row>
    <row r="152" spans="12:24">
      <c r="L152" s="26"/>
      <c r="M152" s="27"/>
      <c r="N152" s="27"/>
      <c r="O152" s="27"/>
      <c r="P152" s="27"/>
      <c r="Q152" s="26"/>
      <c r="R152" s="26"/>
      <c r="S152" s="26"/>
      <c r="T152" s="14"/>
      <c r="U152" s="14"/>
      <c r="V152" s="107"/>
      <c r="W152" s="14"/>
      <c r="X152" s="14"/>
    </row>
    <row r="153" spans="12:24">
      <c r="L153" s="26"/>
      <c r="M153" s="27"/>
      <c r="N153" s="27"/>
      <c r="O153" s="27"/>
      <c r="P153" s="27"/>
      <c r="Q153" s="26"/>
      <c r="R153" s="26"/>
      <c r="S153" s="26"/>
      <c r="T153" s="14"/>
      <c r="U153" s="14"/>
      <c r="V153" s="107"/>
      <c r="W153" s="14"/>
      <c r="X153" s="14"/>
    </row>
    <row r="154" spans="12:24">
      <c r="L154" s="26"/>
      <c r="M154" s="27"/>
      <c r="N154" s="27"/>
      <c r="O154" s="27"/>
      <c r="P154" s="27"/>
      <c r="Q154" s="26"/>
      <c r="R154" s="26"/>
      <c r="S154" s="26"/>
      <c r="T154" s="14"/>
      <c r="U154" s="14"/>
      <c r="V154" s="107"/>
      <c r="W154" s="14"/>
      <c r="X154" s="14"/>
    </row>
    <row r="155" spans="12:24">
      <c r="L155" s="26"/>
      <c r="M155" s="27"/>
      <c r="N155" s="27"/>
      <c r="O155" s="27"/>
      <c r="P155" s="27"/>
      <c r="Q155" s="26"/>
      <c r="R155" s="26"/>
      <c r="S155" s="26"/>
      <c r="T155" s="14"/>
      <c r="U155" s="14"/>
      <c r="V155" s="107"/>
      <c r="W155" s="14"/>
      <c r="X155" s="14"/>
    </row>
    <row r="156" spans="12:24">
      <c r="L156" s="26"/>
      <c r="M156" s="27"/>
      <c r="N156" s="27"/>
      <c r="O156" s="27"/>
      <c r="P156" s="27"/>
      <c r="Q156" s="26"/>
      <c r="R156" s="26"/>
      <c r="S156" s="26"/>
      <c r="T156" s="14"/>
      <c r="U156" s="14"/>
      <c r="V156" s="107"/>
      <c r="W156" s="14"/>
      <c r="X156" s="14"/>
    </row>
    <row r="157" spans="12:24">
      <c r="L157" s="26"/>
      <c r="M157" s="27"/>
      <c r="N157" s="27"/>
      <c r="O157" s="27"/>
      <c r="P157" s="27"/>
      <c r="Q157" s="26"/>
      <c r="R157" s="26"/>
      <c r="S157" s="26"/>
      <c r="T157" s="14"/>
      <c r="U157" s="14"/>
      <c r="V157" s="107"/>
      <c r="W157" s="14"/>
      <c r="X157" s="14"/>
    </row>
    <row r="158" spans="12:24">
      <c r="L158" s="26"/>
      <c r="M158" s="27"/>
      <c r="N158" s="27"/>
      <c r="O158" s="27"/>
      <c r="P158" s="27"/>
      <c r="Q158" s="26"/>
      <c r="R158" s="26"/>
      <c r="S158" s="26"/>
      <c r="T158" s="14"/>
      <c r="U158" s="14"/>
      <c r="V158" s="107"/>
      <c r="W158" s="14"/>
      <c r="X158" s="14"/>
    </row>
    <row r="159" spans="12:24">
      <c r="L159" s="26"/>
      <c r="M159" s="27"/>
      <c r="N159" s="27"/>
      <c r="O159" s="27"/>
      <c r="P159" s="27"/>
      <c r="Q159" s="26"/>
      <c r="R159" s="26"/>
      <c r="S159" s="26"/>
      <c r="T159" s="14"/>
      <c r="U159" s="14"/>
      <c r="V159" s="107"/>
      <c r="W159" s="14"/>
      <c r="X159" s="14"/>
    </row>
    <row r="160" spans="12:24">
      <c r="L160" s="26"/>
      <c r="M160" s="27"/>
      <c r="N160" s="27"/>
      <c r="O160" s="27"/>
      <c r="P160" s="27"/>
      <c r="Q160" s="26"/>
      <c r="R160" s="26"/>
      <c r="S160" s="26"/>
      <c r="T160" s="14"/>
      <c r="U160" s="14"/>
      <c r="V160" s="107"/>
      <c r="W160" s="14"/>
      <c r="X160" s="14"/>
    </row>
    <row r="161" spans="12:24">
      <c r="L161" s="26"/>
      <c r="M161" s="27"/>
      <c r="N161" s="27"/>
      <c r="O161" s="27"/>
      <c r="P161" s="27"/>
      <c r="Q161" s="26"/>
      <c r="R161" s="26"/>
      <c r="S161" s="26"/>
      <c r="T161" s="14"/>
      <c r="U161" s="14"/>
      <c r="V161" s="107"/>
      <c r="W161" s="14"/>
      <c r="X161" s="14"/>
    </row>
    <row r="162" spans="12:24">
      <c r="L162" s="26"/>
      <c r="M162" s="27"/>
      <c r="N162" s="27"/>
      <c r="O162" s="27"/>
      <c r="P162" s="27"/>
      <c r="Q162" s="26"/>
      <c r="R162" s="26"/>
      <c r="S162" s="26"/>
      <c r="T162" s="14"/>
      <c r="U162" s="14"/>
      <c r="V162" s="107"/>
      <c r="W162" s="14"/>
      <c r="X162" s="14"/>
    </row>
    <row r="163" spans="12:24">
      <c r="L163" s="26"/>
      <c r="M163" s="27"/>
      <c r="N163" s="27"/>
      <c r="O163" s="27"/>
      <c r="P163" s="27"/>
      <c r="Q163" s="26"/>
      <c r="R163" s="26"/>
      <c r="S163" s="26"/>
      <c r="T163" s="14"/>
      <c r="U163" s="14"/>
      <c r="V163" s="107"/>
      <c r="W163" s="14"/>
      <c r="X163" s="14"/>
    </row>
    <row r="164" spans="12:24">
      <c r="L164" s="26"/>
      <c r="M164" s="27"/>
      <c r="N164" s="27"/>
      <c r="O164" s="27"/>
      <c r="P164" s="27"/>
      <c r="Q164" s="26"/>
      <c r="R164" s="26"/>
      <c r="S164" s="26"/>
      <c r="T164" s="14"/>
      <c r="U164" s="14"/>
      <c r="V164" s="107"/>
      <c r="W164" s="14"/>
      <c r="X164" s="14"/>
    </row>
    <row r="165" spans="12:24">
      <c r="L165" s="26"/>
      <c r="M165" s="27"/>
      <c r="N165" s="27"/>
      <c r="O165" s="27"/>
      <c r="P165" s="27"/>
      <c r="Q165" s="26"/>
      <c r="R165" s="26"/>
      <c r="S165" s="26"/>
      <c r="T165" s="14"/>
      <c r="U165" s="14"/>
      <c r="V165" s="107"/>
      <c r="W165" s="14"/>
      <c r="X165" s="14"/>
    </row>
    <row r="166" spans="12:24">
      <c r="L166" s="26"/>
      <c r="M166" s="27"/>
      <c r="N166" s="27"/>
      <c r="O166" s="27"/>
      <c r="P166" s="27"/>
      <c r="Q166" s="26"/>
      <c r="R166" s="26"/>
      <c r="S166" s="26"/>
      <c r="T166" s="14"/>
      <c r="U166" s="14"/>
      <c r="V166" s="107"/>
      <c r="W166" s="14"/>
      <c r="X166" s="14"/>
    </row>
    <row r="167" spans="12:24">
      <c r="L167" s="26"/>
      <c r="M167" s="27"/>
      <c r="N167" s="27"/>
      <c r="O167" s="27"/>
      <c r="P167" s="27"/>
      <c r="Q167" s="26"/>
      <c r="R167" s="26"/>
      <c r="S167" s="26"/>
      <c r="T167" s="14"/>
      <c r="U167" s="14"/>
      <c r="V167" s="107"/>
      <c r="W167" s="14"/>
      <c r="X167" s="14"/>
    </row>
    <row r="168" spans="12:24">
      <c r="L168" s="26"/>
      <c r="M168" s="27"/>
      <c r="N168" s="27"/>
      <c r="O168" s="27"/>
      <c r="P168" s="27"/>
      <c r="Q168" s="26"/>
      <c r="R168" s="26"/>
      <c r="S168" s="26"/>
      <c r="T168" s="14"/>
      <c r="U168" s="14"/>
      <c r="V168" s="107"/>
      <c r="W168" s="14"/>
      <c r="X168" s="14"/>
    </row>
    <row r="169" spans="12:24">
      <c r="L169" s="26"/>
      <c r="M169" s="27"/>
      <c r="N169" s="27"/>
      <c r="O169" s="27"/>
      <c r="P169" s="27"/>
      <c r="Q169" s="26"/>
      <c r="R169" s="26"/>
      <c r="S169" s="26"/>
      <c r="T169" s="14"/>
      <c r="U169" s="14"/>
      <c r="V169" s="107"/>
      <c r="W169" s="14"/>
      <c r="X169" s="14"/>
    </row>
    <row r="170" spans="12:24">
      <c r="L170" s="26"/>
      <c r="M170" s="27"/>
      <c r="N170" s="27"/>
      <c r="O170" s="27"/>
      <c r="P170" s="27"/>
      <c r="Q170" s="26"/>
      <c r="R170" s="26"/>
      <c r="S170" s="26"/>
      <c r="T170" s="14"/>
      <c r="U170" s="14"/>
      <c r="V170" s="107"/>
      <c r="W170" s="14"/>
      <c r="X170" s="14"/>
    </row>
    <row r="171" spans="12:24">
      <c r="L171" s="26"/>
      <c r="M171" s="27"/>
      <c r="N171" s="27"/>
      <c r="O171" s="27"/>
      <c r="P171" s="27"/>
      <c r="Q171" s="26"/>
      <c r="R171" s="26"/>
      <c r="S171" s="26"/>
      <c r="T171" s="14"/>
      <c r="U171" s="14"/>
      <c r="V171" s="107"/>
      <c r="W171" s="14"/>
      <c r="X171" s="14"/>
    </row>
    <row r="172" spans="12:24">
      <c r="L172" s="26"/>
      <c r="M172" s="27"/>
      <c r="N172" s="27"/>
      <c r="O172" s="27"/>
      <c r="P172" s="27"/>
      <c r="Q172" s="26"/>
      <c r="R172" s="26"/>
      <c r="S172" s="26"/>
      <c r="T172" s="14"/>
      <c r="U172" s="14"/>
      <c r="V172" s="107"/>
      <c r="W172" s="14"/>
      <c r="X172" s="14"/>
    </row>
    <row r="173" spans="12:24">
      <c r="L173" s="26"/>
      <c r="M173" s="27"/>
      <c r="N173" s="27"/>
      <c r="O173" s="27"/>
      <c r="P173" s="27"/>
      <c r="Q173" s="26"/>
      <c r="R173" s="26"/>
      <c r="S173" s="26"/>
      <c r="T173" s="14"/>
      <c r="U173" s="14"/>
      <c r="V173" s="107"/>
      <c r="W173" s="14"/>
      <c r="X173" s="14"/>
    </row>
    <row r="174" spans="12:24">
      <c r="L174" s="26"/>
      <c r="M174" s="27"/>
      <c r="N174" s="27"/>
      <c r="O174" s="27"/>
      <c r="P174" s="27"/>
      <c r="Q174" s="26"/>
      <c r="R174" s="26"/>
      <c r="S174" s="26"/>
      <c r="T174" s="14"/>
      <c r="U174" s="14"/>
      <c r="V174" s="107"/>
      <c r="W174" s="14"/>
      <c r="X174" s="14"/>
    </row>
    <row r="175" spans="12:24">
      <c r="L175" s="26"/>
      <c r="M175" s="27"/>
      <c r="N175" s="27"/>
      <c r="O175" s="27"/>
      <c r="P175" s="27"/>
      <c r="Q175" s="26"/>
      <c r="R175" s="26"/>
      <c r="S175" s="26"/>
      <c r="T175" s="14"/>
      <c r="U175" s="14"/>
      <c r="V175" s="107"/>
      <c r="W175" s="14"/>
      <c r="X175" s="14"/>
    </row>
    <row r="176" spans="12:24">
      <c r="L176" s="26"/>
      <c r="M176" s="27"/>
      <c r="N176" s="27"/>
      <c r="O176" s="27"/>
      <c r="P176" s="27"/>
      <c r="Q176" s="26"/>
      <c r="R176" s="26"/>
      <c r="S176" s="26"/>
      <c r="T176" s="14"/>
      <c r="U176" s="14"/>
      <c r="V176" s="107"/>
      <c r="W176" s="14"/>
      <c r="X176" s="14"/>
    </row>
    <row r="177" spans="12:24">
      <c r="L177" s="26"/>
      <c r="M177" s="27"/>
      <c r="N177" s="27"/>
      <c r="O177" s="27"/>
      <c r="P177" s="27"/>
      <c r="Q177" s="26"/>
      <c r="R177" s="26"/>
      <c r="S177" s="26"/>
      <c r="T177" s="14"/>
      <c r="U177" s="14"/>
      <c r="V177" s="107"/>
      <c r="W177" s="14"/>
      <c r="X177" s="14"/>
    </row>
    <row r="178" spans="12:24">
      <c r="L178" s="26"/>
      <c r="M178" s="27"/>
      <c r="N178" s="27"/>
      <c r="O178" s="27"/>
      <c r="P178" s="27"/>
      <c r="Q178" s="26"/>
      <c r="R178" s="26"/>
      <c r="S178" s="26"/>
      <c r="T178" s="14"/>
      <c r="U178" s="14"/>
      <c r="V178" s="107"/>
      <c r="W178" s="14"/>
      <c r="X178" s="14"/>
    </row>
    <row r="179" spans="12:24">
      <c r="L179" s="26"/>
      <c r="M179" s="27"/>
      <c r="N179" s="27"/>
      <c r="O179" s="27"/>
      <c r="P179" s="27"/>
      <c r="Q179" s="26"/>
      <c r="R179" s="26"/>
      <c r="S179" s="26"/>
      <c r="T179" s="14"/>
      <c r="U179" s="14"/>
      <c r="V179" s="107"/>
      <c r="W179" s="14"/>
      <c r="X179" s="14"/>
    </row>
    <row r="180" spans="12:24">
      <c r="L180" s="26"/>
      <c r="M180" s="27"/>
      <c r="N180" s="27"/>
      <c r="O180" s="27"/>
      <c r="P180" s="27"/>
      <c r="Q180" s="26"/>
      <c r="R180" s="26"/>
      <c r="S180" s="26"/>
      <c r="T180" s="14"/>
      <c r="U180" s="14"/>
      <c r="V180" s="107"/>
      <c r="W180" s="14"/>
      <c r="X180" s="14"/>
    </row>
    <row r="181" spans="12:24">
      <c r="L181" s="26"/>
      <c r="M181" s="27"/>
      <c r="N181" s="27"/>
      <c r="O181" s="27"/>
      <c r="P181" s="27"/>
      <c r="Q181" s="26"/>
      <c r="R181" s="26"/>
      <c r="S181" s="26"/>
      <c r="T181" s="14"/>
      <c r="U181" s="14"/>
      <c r="V181" s="107"/>
      <c r="W181" s="14"/>
      <c r="X181" s="14"/>
    </row>
    <row r="182" spans="12:24">
      <c r="L182" s="26"/>
      <c r="M182" s="27"/>
      <c r="N182" s="27"/>
      <c r="O182" s="27"/>
      <c r="P182" s="27"/>
      <c r="Q182" s="26"/>
      <c r="R182" s="26"/>
      <c r="S182" s="26"/>
      <c r="T182" s="14"/>
      <c r="U182" s="14"/>
      <c r="V182" s="107"/>
      <c r="W182" s="14"/>
      <c r="X182" s="14"/>
    </row>
    <row r="183" spans="12:24">
      <c r="L183" s="26"/>
      <c r="M183" s="27"/>
      <c r="N183" s="27"/>
      <c r="O183" s="27"/>
      <c r="P183" s="27"/>
      <c r="Q183" s="26"/>
      <c r="R183" s="26"/>
      <c r="S183" s="26"/>
      <c r="T183" s="14"/>
      <c r="U183" s="14"/>
      <c r="V183" s="107"/>
      <c r="W183" s="14"/>
      <c r="X183" s="14"/>
    </row>
    <row r="184" spans="12:24">
      <c r="L184" s="26"/>
      <c r="M184" s="27"/>
      <c r="N184" s="27"/>
      <c r="O184" s="27"/>
      <c r="P184" s="27"/>
      <c r="Q184" s="26"/>
      <c r="R184" s="26"/>
      <c r="S184" s="26"/>
      <c r="T184" s="14"/>
      <c r="U184" s="14"/>
      <c r="V184" s="107"/>
      <c r="W184" s="14"/>
      <c r="X184" s="14"/>
    </row>
    <row r="185" spans="12:24">
      <c r="L185" s="26"/>
      <c r="M185" s="27"/>
      <c r="N185" s="27"/>
      <c r="O185" s="27"/>
      <c r="P185" s="27"/>
      <c r="Q185" s="26"/>
      <c r="R185" s="26"/>
      <c r="S185" s="26"/>
      <c r="T185" s="14"/>
      <c r="U185" s="14"/>
      <c r="V185" s="107"/>
      <c r="W185" s="14"/>
      <c r="X185" s="14"/>
    </row>
    <row r="186" spans="12:24">
      <c r="L186" s="26"/>
      <c r="M186" s="27"/>
      <c r="N186" s="27"/>
      <c r="O186" s="27"/>
      <c r="P186" s="27"/>
      <c r="Q186" s="26"/>
      <c r="R186" s="26"/>
      <c r="S186" s="26"/>
      <c r="T186" s="14"/>
      <c r="U186" s="14"/>
      <c r="V186" s="107"/>
      <c r="W186" s="14"/>
      <c r="X186" s="14"/>
    </row>
    <row r="187" spans="12:24">
      <c r="L187" s="26"/>
      <c r="M187" s="27"/>
      <c r="N187" s="27"/>
      <c r="O187" s="27"/>
      <c r="P187" s="27"/>
      <c r="Q187" s="26"/>
      <c r="R187" s="26"/>
      <c r="S187" s="26"/>
      <c r="T187" s="14"/>
      <c r="U187" s="14"/>
      <c r="V187" s="107"/>
      <c r="W187" s="14"/>
      <c r="X187" s="14"/>
    </row>
    <row r="188" spans="12:24">
      <c r="L188" s="26"/>
      <c r="M188" s="27"/>
      <c r="N188" s="27"/>
      <c r="O188" s="27"/>
      <c r="P188" s="27"/>
      <c r="Q188" s="26"/>
      <c r="R188" s="26"/>
      <c r="S188" s="26"/>
      <c r="T188" s="14"/>
      <c r="U188" s="14"/>
      <c r="V188" s="107"/>
      <c r="W188" s="14"/>
      <c r="X188" s="14"/>
    </row>
    <row r="189" spans="12:24">
      <c r="L189" s="26"/>
      <c r="M189" s="27"/>
      <c r="N189" s="27"/>
      <c r="O189" s="27"/>
      <c r="P189" s="27"/>
      <c r="Q189" s="26"/>
      <c r="R189" s="26"/>
      <c r="S189" s="26"/>
      <c r="T189" s="14"/>
      <c r="U189" s="14"/>
      <c r="V189" s="107"/>
      <c r="W189" s="14"/>
      <c r="X189" s="14"/>
    </row>
    <row r="190" spans="12:24">
      <c r="L190" s="26"/>
      <c r="M190" s="27"/>
      <c r="N190" s="27"/>
      <c r="O190" s="27"/>
      <c r="P190" s="27"/>
      <c r="Q190" s="26"/>
      <c r="R190" s="26"/>
      <c r="S190" s="26"/>
      <c r="T190" s="14"/>
      <c r="U190" s="14"/>
      <c r="V190" s="107"/>
      <c r="W190" s="14"/>
      <c r="X190" s="14"/>
    </row>
    <row r="191" spans="12:24">
      <c r="L191" s="26"/>
      <c r="M191" s="27"/>
      <c r="N191" s="27"/>
      <c r="O191" s="27"/>
      <c r="P191" s="27"/>
      <c r="Q191" s="26"/>
      <c r="R191" s="26"/>
      <c r="S191" s="26"/>
      <c r="T191" s="14"/>
      <c r="U191" s="14"/>
      <c r="V191" s="107"/>
      <c r="W191" s="14"/>
      <c r="X191" s="14"/>
    </row>
    <row r="192" spans="12:24">
      <c r="L192" s="26"/>
      <c r="M192" s="27"/>
      <c r="N192" s="27"/>
      <c r="O192" s="27"/>
      <c r="P192" s="27"/>
      <c r="Q192" s="26"/>
      <c r="R192" s="26"/>
      <c r="S192" s="26"/>
      <c r="T192" s="14"/>
      <c r="U192" s="14"/>
      <c r="V192" s="107"/>
      <c r="W192" s="14"/>
      <c r="X192" s="14"/>
    </row>
    <row r="193" spans="12:24">
      <c r="L193" s="26"/>
      <c r="M193" s="27"/>
      <c r="N193" s="27"/>
      <c r="O193" s="27"/>
      <c r="P193" s="27"/>
      <c r="Q193" s="26"/>
      <c r="R193" s="26"/>
      <c r="S193" s="26"/>
      <c r="T193" s="14"/>
      <c r="U193" s="14"/>
      <c r="V193" s="107"/>
      <c r="W193" s="14"/>
      <c r="X193" s="14"/>
    </row>
    <row r="194" spans="12:24">
      <c r="L194" s="26"/>
      <c r="M194" s="27"/>
      <c r="N194" s="27"/>
      <c r="O194" s="27"/>
      <c r="P194" s="27"/>
      <c r="Q194" s="26"/>
      <c r="R194" s="26"/>
      <c r="S194" s="26"/>
      <c r="T194" s="14"/>
      <c r="U194" s="14"/>
      <c r="V194" s="107"/>
      <c r="W194" s="14"/>
      <c r="X194" s="14"/>
    </row>
    <row r="195" spans="12:24">
      <c r="L195" s="26"/>
      <c r="M195" s="27"/>
      <c r="N195" s="27"/>
      <c r="O195" s="27"/>
      <c r="P195" s="27"/>
      <c r="Q195" s="26"/>
      <c r="R195" s="26"/>
      <c r="S195" s="26"/>
      <c r="T195" s="14"/>
      <c r="U195" s="14"/>
      <c r="V195" s="107"/>
      <c r="W195" s="14"/>
      <c r="X195" s="14"/>
    </row>
    <row r="196" spans="12:24">
      <c r="L196" s="26"/>
      <c r="M196" s="27"/>
      <c r="N196" s="27"/>
      <c r="O196" s="27"/>
      <c r="P196" s="27"/>
      <c r="Q196" s="26"/>
      <c r="R196" s="26"/>
      <c r="S196" s="26"/>
      <c r="T196" s="14"/>
      <c r="U196" s="14"/>
      <c r="V196" s="107"/>
      <c r="W196" s="14"/>
      <c r="X196" s="14"/>
    </row>
    <row r="197" spans="12:24">
      <c r="L197" s="26"/>
      <c r="M197" s="27"/>
      <c r="N197" s="27"/>
      <c r="O197" s="27"/>
      <c r="P197" s="27"/>
      <c r="Q197" s="26"/>
      <c r="R197" s="26"/>
      <c r="S197" s="26"/>
      <c r="T197" s="14"/>
      <c r="U197" s="14"/>
      <c r="V197" s="107"/>
      <c r="W197" s="14"/>
      <c r="X197" s="14"/>
    </row>
    <row r="198" spans="12:24">
      <c r="L198" s="26"/>
      <c r="M198" s="27"/>
      <c r="N198" s="27"/>
      <c r="O198" s="27"/>
      <c r="P198" s="27"/>
      <c r="Q198" s="26"/>
      <c r="R198" s="26"/>
      <c r="S198" s="26"/>
      <c r="T198" s="14"/>
      <c r="U198" s="14"/>
      <c r="V198" s="107"/>
      <c r="W198" s="14"/>
      <c r="X198" s="14"/>
    </row>
    <row r="199" spans="12:24">
      <c r="L199" s="26"/>
      <c r="M199" s="27"/>
      <c r="N199" s="27"/>
      <c r="O199" s="27"/>
      <c r="P199" s="27"/>
      <c r="Q199" s="26"/>
      <c r="R199" s="26"/>
      <c r="S199" s="26"/>
      <c r="T199" s="14"/>
      <c r="U199" s="14"/>
      <c r="V199" s="107"/>
      <c r="W199" s="14"/>
      <c r="X199" s="14"/>
    </row>
    <row r="200" spans="12:24">
      <c r="L200" s="26"/>
      <c r="M200" s="27"/>
      <c r="N200" s="27"/>
      <c r="O200" s="27"/>
      <c r="P200" s="27"/>
      <c r="Q200" s="26"/>
      <c r="R200" s="26"/>
      <c r="S200" s="26"/>
      <c r="T200" s="14"/>
      <c r="U200" s="14"/>
      <c r="V200" s="107"/>
      <c r="W200" s="14"/>
      <c r="X200" s="14"/>
    </row>
    <row r="201" spans="12:24">
      <c r="L201" s="26"/>
      <c r="M201" s="27"/>
      <c r="N201" s="27"/>
      <c r="O201" s="27"/>
      <c r="P201" s="27"/>
      <c r="Q201" s="26"/>
      <c r="R201" s="26"/>
      <c r="S201" s="26"/>
      <c r="T201" s="14"/>
      <c r="U201" s="14"/>
      <c r="V201" s="107"/>
      <c r="W201" s="14"/>
      <c r="X201" s="14"/>
    </row>
    <row r="202" spans="12:24">
      <c r="L202" s="26"/>
      <c r="M202" s="27"/>
      <c r="N202" s="27"/>
      <c r="O202" s="27"/>
      <c r="P202" s="27"/>
      <c r="Q202" s="26"/>
      <c r="R202" s="26"/>
      <c r="S202" s="26"/>
      <c r="T202" s="14"/>
      <c r="U202" s="14"/>
      <c r="V202" s="107"/>
      <c r="W202" s="14"/>
      <c r="X202" s="14"/>
    </row>
    <row r="203" spans="12:24">
      <c r="L203" s="26"/>
      <c r="M203" s="27"/>
      <c r="N203" s="27"/>
      <c r="O203" s="27"/>
      <c r="P203" s="27"/>
      <c r="Q203" s="26"/>
      <c r="R203" s="26"/>
      <c r="S203" s="26"/>
      <c r="T203" s="14"/>
      <c r="U203" s="14"/>
      <c r="V203" s="107"/>
      <c r="W203" s="14"/>
      <c r="X203" s="14"/>
    </row>
    <row r="204" spans="12:24">
      <c r="L204" s="26"/>
      <c r="M204" s="27"/>
      <c r="N204" s="27"/>
      <c r="O204" s="27"/>
      <c r="P204" s="27"/>
      <c r="Q204" s="26"/>
      <c r="R204" s="26"/>
      <c r="S204" s="26"/>
      <c r="T204" s="14"/>
      <c r="U204" s="14"/>
      <c r="V204" s="107"/>
      <c r="W204" s="14"/>
      <c r="X204" s="14"/>
    </row>
    <row r="205" spans="12:24">
      <c r="L205" s="26"/>
      <c r="M205" s="27"/>
      <c r="N205" s="27"/>
      <c r="O205" s="27"/>
      <c r="P205" s="27"/>
      <c r="Q205" s="26"/>
      <c r="R205" s="26"/>
      <c r="S205" s="26"/>
      <c r="T205" s="14"/>
      <c r="U205" s="14"/>
      <c r="V205" s="107"/>
      <c r="W205" s="14"/>
      <c r="X205" s="14"/>
    </row>
    <row r="206" spans="12:24">
      <c r="L206" s="26"/>
      <c r="M206" s="27"/>
      <c r="N206" s="27"/>
      <c r="O206" s="27"/>
      <c r="P206" s="27"/>
      <c r="Q206" s="26"/>
      <c r="R206" s="26"/>
      <c r="S206" s="26"/>
      <c r="T206" s="14"/>
      <c r="U206" s="14"/>
      <c r="V206" s="107"/>
      <c r="W206" s="14"/>
      <c r="X206" s="14"/>
    </row>
    <row r="207" spans="12:24">
      <c r="L207" s="26"/>
      <c r="M207" s="27"/>
      <c r="N207" s="27"/>
      <c r="O207" s="27"/>
      <c r="P207" s="27"/>
      <c r="Q207" s="26"/>
      <c r="R207" s="26"/>
      <c r="S207" s="26"/>
      <c r="T207" s="14"/>
      <c r="U207" s="14"/>
      <c r="V207" s="107"/>
      <c r="W207" s="14"/>
      <c r="X207" s="14"/>
    </row>
    <row r="208" spans="12:24">
      <c r="L208" s="26"/>
      <c r="M208" s="27"/>
      <c r="N208" s="27"/>
      <c r="O208" s="27"/>
      <c r="P208" s="27"/>
      <c r="Q208" s="26"/>
      <c r="R208" s="26"/>
      <c r="S208" s="26"/>
      <c r="T208" s="14"/>
      <c r="U208" s="14"/>
      <c r="V208" s="107"/>
      <c r="W208" s="14"/>
      <c r="X208" s="14"/>
    </row>
    <row r="209" spans="12:24">
      <c r="L209" s="26"/>
      <c r="M209" s="27"/>
      <c r="N209" s="27"/>
      <c r="O209" s="27"/>
      <c r="P209" s="27"/>
      <c r="Q209" s="26"/>
      <c r="R209" s="26"/>
      <c r="S209" s="26"/>
      <c r="T209" s="14"/>
      <c r="U209" s="14"/>
      <c r="V209" s="107"/>
      <c r="W209" s="14"/>
      <c r="X209" s="14"/>
    </row>
    <row r="210" spans="12:24">
      <c r="L210" s="26"/>
      <c r="M210" s="27"/>
      <c r="N210" s="27"/>
      <c r="O210" s="27"/>
      <c r="P210" s="27"/>
      <c r="Q210" s="26"/>
      <c r="R210" s="26"/>
      <c r="S210" s="26"/>
      <c r="T210" s="14"/>
      <c r="U210" s="14"/>
      <c r="V210" s="107"/>
      <c r="W210" s="14"/>
      <c r="X210" s="14"/>
    </row>
    <row r="211" spans="12:24">
      <c r="L211" s="26"/>
      <c r="M211" s="27"/>
      <c r="N211" s="27"/>
      <c r="O211" s="27"/>
      <c r="P211" s="27"/>
      <c r="Q211" s="26"/>
      <c r="R211" s="26"/>
      <c r="S211" s="26"/>
      <c r="T211" s="14"/>
      <c r="U211" s="14"/>
      <c r="V211" s="107"/>
      <c r="W211" s="14"/>
      <c r="X211" s="14"/>
    </row>
    <row r="212" spans="12:24">
      <c r="L212" s="26"/>
      <c r="M212" s="27"/>
      <c r="N212" s="27"/>
      <c r="O212" s="27"/>
      <c r="P212" s="27"/>
      <c r="Q212" s="26"/>
      <c r="R212" s="26"/>
      <c r="S212" s="26"/>
      <c r="T212" s="14"/>
      <c r="U212" s="14"/>
      <c r="V212" s="107"/>
      <c r="W212" s="14"/>
      <c r="X212" s="14"/>
    </row>
    <row r="213" spans="12:24">
      <c r="L213" s="26"/>
      <c r="M213" s="27"/>
      <c r="N213" s="27"/>
      <c r="O213" s="27"/>
      <c r="P213" s="27"/>
      <c r="Q213" s="26"/>
      <c r="R213" s="26"/>
      <c r="S213" s="26"/>
      <c r="T213" s="14"/>
      <c r="U213" s="14"/>
      <c r="V213" s="107"/>
      <c r="W213" s="14"/>
      <c r="X213" s="14"/>
    </row>
    <row r="214" spans="12:24">
      <c r="L214" s="26"/>
      <c r="M214" s="27"/>
      <c r="N214" s="27"/>
      <c r="O214" s="27"/>
      <c r="P214" s="27"/>
      <c r="Q214" s="26"/>
      <c r="R214" s="26"/>
      <c r="S214" s="26"/>
      <c r="T214" s="14"/>
      <c r="U214" s="14"/>
      <c r="V214" s="107"/>
      <c r="W214" s="14"/>
      <c r="X214" s="14"/>
    </row>
    <row r="215" spans="12:24">
      <c r="L215" s="26"/>
      <c r="M215" s="27"/>
      <c r="N215" s="27"/>
      <c r="O215" s="27"/>
      <c r="P215" s="27"/>
      <c r="Q215" s="26"/>
      <c r="R215" s="26"/>
      <c r="S215" s="26"/>
      <c r="T215" s="14"/>
      <c r="U215" s="14"/>
      <c r="V215" s="107"/>
      <c r="W215" s="14"/>
      <c r="X215" s="14"/>
    </row>
    <row r="216" spans="12:24">
      <c r="L216" s="26"/>
      <c r="M216" s="27"/>
      <c r="N216" s="27"/>
      <c r="O216" s="27"/>
      <c r="P216" s="27"/>
      <c r="Q216" s="26"/>
      <c r="R216" s="26"/>
      <c r="S216" s="26"/>
      <c r="T216" s="14"/>
      <c r="U216" s="14"/>
      <c r="V216" s="107"/>
      <c r="W216" s="14"/>
      <c r="X216" s="14"/>
    </row>
    <row r="217" spans="12:24">
      <c r="L217" s="26"/>
      <c r="M217" s="27"/>
      <c r="N217" s="27"/>
      <c r="O217" s="27"/>
      <c r="P217" s="27"/>
      <c r="Q217" s="26"/>
      <c r="R217" s="26"/>
      <c r="S217" s="26"/>
      <c r="T217" s="14"/>
      <c r="U217" s="14"/>
      <c r="V217" s="107"/>
      <c r="W217" s="14"/>
      <c r="X217" s="14"/>
    </row>
    <row r="218" spans="12:24">
      <c r="L218" s="26"/>
      <c r="M218" s="27"/>
      <c r="N218" s="27"/>
      <c r="O218" s="27"/>
      <c r="P218" s="27"/>
      <c r="Q218" s="26"/>
      <c r="R218" s="26"/>
      <c r="S218" s="26"/>
      <c r="T218" s="14"/>
      <c r="U218" s="14"/>
      <c r="V218" s="107"/>
      <c r="W218" s="14"/>
      <c r="X218" s="14"/>
    </row>
    <row r="219" spans="12:24">
      <c r="L219" s="26"/>
      <c r="M219" s="27"/>
      <c r="N219" s="27"/>
      <c r="O219" s="27"/>
      <c r="P219" s="27"/>
      <c r="Q219" s="26"/>
      <c r="R219" s="26"/>
      <c r="S219" s="26"/>
      <c r="T219" s="14"/>
      <c r="U219" s="14"/>
      <c r="V219" s="107"/>
      <c r="W219" s="14"/>
      <c r="X219" s="14"/>
    </row>
    <row r="220" spans="12:24">
      <c r="L220" s="26"/>
      <c r="M220" s="27"/>
      <c r="N220" s="27"/>
      <c r="O220" s="27"/>
      <c r="P220" s="27"/>
      <c r="Q220" s="26"/>
      <c r="R220" s="26"/>
      <c r="S220" s="26"/>
      <c r="T220" s="14"/>
      <c r="U220" s="14"/>
      <c r="V220" s="107"/>
      <c r="W220" s="14"/>
      <c r="X220" s="14"/>
    </row>
    <row r="221" spans="12:24">
      <c r="L221" s="26"/>
      <c r="M221" s="27"/>
      <c r="N221" s="27"/>
      <c r="O221" s="27"/>
      <c r="P221" s="27"/>
      <c r="Q221" s="26"/>
      <c r="R221" s="26"/>
      <c r="S221" s="26"/>
      <c r="T221" s="14"/>
      <c r="U221" s="14"/>
      <c r="V221" s="107"/>
      <c r="W221" s="14"/>
      <c r="X221" s="14"/>
    </row>
    <row r="222" spans="12:24">
      <c r="L222" s="26"/>
      <c r="M222" s="27"/>
      <c r="N222" s="27"/>
      <c r="O222" s="27"/>
      <c r="P222" s="27"/>
      <c r="Q222" s="26"/>
      <c r="R222" s="26"/>
      <c r="S222" s="26"/>
      <c r="T222" s="14"/>
      <c r="U222" s="14"/>
      <c r="V222" s="107"/>
      <c r="W222" s="14"/>
      <c r="X222" s="14"/>
    </row>
    <row r="223" spans="12:24">
      <c r="L223" s="26"/>
      <c r="M223" s="27"/>
      <c r="N223" s="27"/>
      <c r="O223" s="27"/>
      <c r="P223" s="27"/>
      <c r="Q223" s="26"/>
      <c r="R223" s="26"/>
      <c r="S223" s="26"/>
      <c r="T223" s="14"/>
      <c r="U223" s="14"/>
      <c r="V223" s="107"/>
      <c r="W223" s="14"/>
      <c r="X223" s="14"/>
    </row>
    <row r="224" spans="12:24">
      <c r="L224" s="26"/>
      <c r="M224" s="27"/>
      <c r="N224" s="27"/>
      <c r="O224" s="27"/>
      <c r="P224" s="27"/>
      <c r="Q224" s="26"/>
      <c r="R224" s="26"/>
      <c r="S224" s="26"/>
      <c r="T224" s="14"/>
      <c r="U224" s="14"/>
      <c r="V224" s="107"/>
      <c r="W224" s="14"/>
      <c r="X224" s="14"/>
    </row>
    <row r="225" spans="12:24">
      <c r="L225" s="26"/>
      <c r="M225" s="27"/>
      <c r="N225" s="27"/>
      <c r="O225" s="27"/>
      <c r="P225" s="27"/>
      <c r="Q225" s="26"/>
      <c r="R225" s="26"/>
      <c r="S225" s="26"/>
      <c r="T225" s="14"/>
      <c r="U225" s="14"/>
      <c r="V225" s="107"/>
      <c r="W225" s="14"/>
      <c r="X225" s="14"/>
    </row>
    <row r="226" spans="12:24">
      <c r="L226" s="26"/>
      <c r="M226" s="27"/>
      <c r="N226" s="27"/>
      <c r="O226" s="27"/>
      <c r="P226" s="27"/>
      <c r="Q226" s="26"/>
      <c r="R226" s="26"/>
      <c r="S226" s="26"/>
      <c r="T226" s="14"/>
      <c r="U226" s="14"/>
      <c r="V226" s="107"/>
      <c r="W226" s="14"/>
      <c r="X226" s="14"/>
    </row>
    <row r="227" spans="12:24">
      <c r="L227" s="26"/>
      <c r="M227" s="27"/>
      <c r="N227" s="27"/>
      <c r="O227" s="27"/>
      <c r="P227" s="27"/>
      <c r="Q227" s="26"/>
      <c r="R227" s="26"/>
      <c r="S227" s="26"/>
      <c r="T227" s="14"/>
      <c r="U227" s="14"/>
      <c r="V227" s="107"/>
      <c r="W227" s="14"/>
      <c r="X227" s="14"/>
    </row>
    <row r="228" spans="12:24">
      <c r="L228" s="26"/>
      <c r="M228" s="27"/>
      <c r="N228" s="27"/>
      <c r="O228" s="27"/>
      <c r="P228" s="27"/>
      <c r="Q228" s="26"/>
      <c r="R228" s="26"/>
      <c r="S228" s="26"/>
      <c r="T228" s="14"/>
      <c r="U228" s="14"/>
      <c r="V228" s="107"/>
      <c r="W228" s="14"/>
      <c r="X228" s="14"/>
    </row>
    <row r="229" spans="12:24">
      <c r="L229" s="26"/>
      <c r="M229" s="27"/>
      <c r="N229" s="27"/>
      <c r="O229" s="27"/>
      <c r="P229" s="27"/>
      <c r="Q229" s="26"/>
      <c r="R229" s="26"/>
      <c r="S229" s="26"/>
      <c r="T229" s="14"/>
      <c r="U229" s="14"/>
      <c r="V229" s="107"/>
      <c r="W229" s="14"/>
      <c r="X229" s="14"/>
    </row>
    <row r="230" spans="12:24">
      <c r="L230" s="26"/>
      <c r="M230" s="27"/>
      <c r="N230" s="27"/>
      <c r="O230" s="27"/>
      <c r="P230" s="27"/>
      <c r="Q230" s="26"/>
      <c r="R230" s="26"/>
      <c r="S230" s="26"/>
      <c r="T230" s="14"/>
      <c r="U230" s="14"/>
      <c r="V230" s="107"/>
      <c r="W230" s="14"/>
      <c r="X230" s="14"/>
    </row>
    <row r="231" spans="12:24">
      <c r="L231" s="26"/>
      <c r="M231" s="27"/>
      <c r="N231" s="27"/>
      <c r="O231" s="27"/>
      <c r="P231" s="27"/>
      <c r="Q231" s="26"/>
      <c r="R231" s="26"/>
      <c r="S231" s="26"/>
      <c r="T231" s="14"/>
      <c r="U231" s="14"/>
      <c r="V231" s="107"/>
      <c r="W231" s="14"/>
      <c r="X231" s="14"/>
    </row>
    <row r="232" spans="12:24">
      <c r="L232" s="26"/>
      <c r="M232" s="27"/>
      <c r="N232" s="27"/>
      <c r="O232" s="27"/>
      <c r="P232" s="27"/>
      <c r="Q232" s="26"/>
      <c r="R232" s="26"/>
      <c r="S232" s="26"/>
      <c r="T232" s="14"/>
      <c r="U232" s="14"/>
      <c r="V232" s="107"/>
      <c r="W232" s="14"/>
      <c r="X232" s="14"/>
    </row>
    <row r="233" spans="12:24">
      <c r="L233" s="26"/>
      <c r="M233" s="27"/>
      <c r="N233" s="27"/>
      <c r="O233" s="27"/>
      <c r="P233" s="27"/>
      <c r="Q233" s="26"/>
      <c r="R233" s="26"/>
      <c r="S233" s="26"/>
      <c r="T233" s="14"/>
      <c r="U233" s="14"/>
      <c r="V233" s="107"/>
      <c r="W233" s="14"/>
      <c r="X233" s="14"/>
    </row>
    <row r="234" spans="12:24">
      <c r="L234" s="26"/>
      <c r="M234" s="27"/>
      <c r="N234" s="27"/>
      <c r="O234" s="27"/>
      <c r="P234" s="27"/>
      <c r="Q234" s="26"/>
      <c r="R234" s="26"/>
      <c r="S234" s="26"/>
      <c r="T234" s="14"/>
      <c r="U234" s="14"/>
      <c r="V234" s="107"/>
      <c r="W234" s="14"/>
      <c r="X234" s="14"/>
    </row>
    <row r="235" spans="12:24">
      <c r="L235" s="26"/>
      <c r="M235" s="27"/>
      <c r="N235" s="27"/>
      <c r="O235" s="27"/>
      <c r="P235" s="27"/>
      <c r="Q235" s="26"/>
      <c r="R235" s="26"/>
      <c r="S235" s="26"/>
      <c r="T235" s="14"/>
      <c r="U235" s="14"/>
      <c r="V235" s="107"/>
      <c r="W235" s="14"/>
      <c r="X235" s="14"/>
    </row>
    <row r="236" spans="12:24">
      <c r="L236" s="26"/>
      <c r="M236" s="27"/>
      <c r="N236" s="27"/>
      <c r="O236" s="27"/>
      <c r="P236" s="27"/>
      <c r="Q236" s="26"/>
      <c r="R236" s="26"/>
      <c r="S236" s="26"/>
      <c r="T236" s="14"/>
      <c r="U236" s="14"/>
      <c r="V236" s="107"/>
      <c r="W236" s="14"/>
      <c r="X236" s="14"/>
    </row>
    <row r="237" spans="12:24">
      <c r="L237" s="26"/>
      <c r="M237" s="27"/>
      <c r="N237" s="27"/>
      <c r="O237" s="27"/>
      <c r="P237" s="27"/>
      <c r="Q237" s="26"/>
      <c r="R237" s="26"/>
      <c r="S237" s="26"/>
      <c r="T237" s="14"/>
      <c r="U237" s="14"/>
      <c r="V237" s="107"/>
      <c r="W237" s="14"/>
      <c r="X237" s="14"/>
    </row>
    <row r="238" spans="12:24">
      <c r="L238" s="26"/>
      <c r="M238" s="27"/>
      <c r="N238" s="27"/>
      <c r="O238" s="27"/>
      <c r="P238" s="27"/>
      <c r="Q238" s="26"/>
      <c r="R238" s="26"/>
      <c r="S238" s="26"/>
      <c r="T238" s="14"/>
      <c r="U238" s="14"/>
      <c r="V238" s="107"/>
      <c r="W238" s="14"/>
      <c r="X238" s="14"/>
    </row>
    <row r="239" spans="12:24">
      <c r="L239" s="26"/>
      <c r="M239" s="27"/>
      <c r="N239" s="27"/>
      <c r="O239" s="27"/>
      <c r="P239" s="27"/>
      <c r="Q239" s="26"/>
      <c r="R239" s="26"/>
      <c r="S239" s="26"/>
      <c r="T239" s="14"/>
      <c r="U239" s="14"/>
      <c r="V239" s="107"/>
      <c r="W239" s="14"/>
      <c r="X239" s="14"/>
    </row>
    <row r="240" spans="12:24">
      <c r="L240" s="26"/>
      <c r="M240" s="27"/>
      <c r="N240" s="27"/>
      <c r="O240" s="27"/>
      <c r="P240" s="27"/>
      <c r="Q240" s="26"/>
      <c r="R240" s="26"/>
      <c r="S240" s="26"/>
      <c r="T240" s="14"/>
      <c r="U240" s="14"/>
      <c r="V240" s="107"/>
      <c r="W240" s="14"/>
      <c r="X240" s="14"/>
    </row>
    <row r="241" spans="12:24">
      <c r="L241" s="26"/>
      <c r="M241" s="27"/>
      <c r="N241" s="27"/>
      <c r="O241" s="27"/>
      <c r="P241" s="27"/>
      <c r="Q241" s="26"/>
      <c r="R241" s="26"/>
      <c r="S241" s="26"/>
      <c r="T241" s="14"/>
      <c r="U241" s="14"/>
      <c r="V241" s="107"/>
      <c r="W241" s="14"/>
      <c r="X241" s="14"/>
    </row>
    <row r="242" spans="12:24">
      <c r="L242" s="26"/>
      <c r="M242" s="27"/>
      <c r="N242" s="27"/>
      <c r="O242" s="27"/>
      <c r="P242" s="27"/>
      <c r="Q242" s="26"/>
      <c r="R242" s="26"/>
      <c r="S242" s="26"/>
      <c r="T242" s="14"/>
      <c r="U242" s="14"/>
      <c r="V242" s="107"/>
      <c r="W242" s="14"/>
      <c r="X242" s="14"/>
    </row>
    <row r="243" spans="12:24">
      <c r="L243" s="26"/>
      <c r="M243" s="27"/>
      <c r="N243" s="27"/>
      <c r="O243" s="27"/>
      <c r="P243" s="27"/>
      <c r="Q243" s="26"/>
      <c r="R243" s="26"/>
      <c r="S243" s="26"/>
      <c r="T243" s="14"/>
      <c r="U243" s="14"/>
      <c r="V243" s="107"/>
      <c r="W243" s="14"/>
      <c r="X243" s="14"/>
    </row>
    <row r="244" spans="12:24">
      <c r="L244" s="26"/>
      <c r="M244" s="27"/>
      <c r="N244" s="27"/>
      <c r="O244" s="27"/>
      <c r="P244" s="27"/>
      <c r="Q244" s="26"/>
      <c r="R244" s="26"/>
      <c r="S244" s="26"/>
      <c r="T244" s="14"/>
      <c r="U244" s="14"/>
      <c r="V244" s="107"/>
      <c r="W244" s="14"/>
      <c r="X244" s="14"/>
    </row>
    <row r="245" spans="12:24">
      <c r="L245" s="26"/>
      <c r="M245" s="27"/>
      <c r="N245" s="27"/>
      <c r="O245" s="27"/>
      <c r="P245" s="27"/>
      <c r="Q245" s="26"/>
      <c r="R245" s="26"/>
      <c r="S245" s="26"/>
      <c r="T245" s="14"/>
      <c r="U245" s="14"/>
      <c r="V245" s="107"/>
      <c r="W245" s="14"/>
      <c r="X245" s="14"/>
    </row>
    <row r="246" spans="12:24">
      <c r="L246" s="26"/>
      <c r="M246" s="27"/>
      <c r="N246" s="27"/>
      <c r="O246" s="27"/>
      <c r="P246" s="27"/>
      <c r="Q246" s="26"/>
      <c r="R246" s="26"/>
      <c r="S246" s="26"/>
      <c r="T246" s="14"/>
      <c r="U246" s="14"/>
      <c r="V246" s="107"/>
      <c r="W246" s="14"/>
      <c r="X246" s="14"/>
    </row>
    <row r="247" spans="12:24">
      <c r="L247" s="26"/>
      <c r="M247" s="27"/>
      <c r="N247" s="27"/>
      <c r="O247" s="27"/>
      <c r="P247" s="27"/>
      <c r="Q247" s="26"/>
      <c r="R247" s="26"/>
      <c r="S247" s="26"/>
      <c r="T247" s="14"/>
      <c r="U247" s="14"/>
      <c r="V247" s="107"/>
      <c r="W247" s="14"/>
      <c r="X247" s="14"/>
    </row>
    <row r="248" spans="12:24">
      <c r="L248" s="26"/>
      <c r="M248" s="27"/>
      <c r="N248" s="27"/>
      <c r="O248" s="27"/>
      <c r="P248" s="27"/>
      <c r="Q248" s="26"/>
      <c r="R248" s="26"/>
      <c r="S248" s="26"/>
      <c r="T248" s="14"/>
      <c r="U248" s="14"/>
      <c r="V248" s="107"/>
      <c r="W248" s="14"/>
      <c r="X248" s="14"/>
    </row>
    <row r="249" spans="12:24">
      <c r="L249" s="26"/>
      <c r="M249" s="27"/>
      <c r="N249" s="27"/>
      <c r="O249" s="27"/>
      <c r="P249" s="27"/>
      <c r="Q249" s="26"/>
      <c r="R249" s="26"/>
      <c r="S249" s="26"/>
      <c r="T249" s="14"/>
      <c r="U249" s="14"/>
      <c r="V249" s="107"/>
      <c r="W249" s="14"/>
      <c r="X249" s="14"/>
    </row>
    <row r="250" spans="12:24">
      <c r="L250" s="26"/>
      <c r="M250" s="27"/>
      <c r="N250" s="27"/>
      <c r="O250" s="27"/>
      <c r="P250" s="27"/>
      <c r="Q250" s="26"/>
      <c r="R250" s="26"/>
      <c r="S250" s="26"/>
      <c r="T250" s="14"/>
      <c r="U250" s="14"/>
      <c r="V250" s="107"/>
      <c r="W250" s="14"/>
      <c r="X250" s="14"/>
    </row>
    <row r="251" spans="12:24">
      <c r="L251" s="26"/>
      <c r="M251" s="27"/>
      <c r="N251" s="27"/>
      <c r="O251" s="27"/>
      <c r="P251" s="27"/>
      <c r="Q251" s="26"/>
      <c r="R251" s="26"/>
      <c r="S251" s="26"/>
      <c r="T251" s="14"/>
      <c r="U251" s="14"/>
      <c r="V251" s="107"/>
      <c r="W251" s="14"/>
      <c r="X251" s="14"/>
    </row>
    <row r="252" spans="12:24">
      <c r="L252" s="26"/>
      <c r="M252" s="27"/>
      <c r="N252" s="27"/>
      <c r="O252" s="27"/>
      <c r="P252" s="27"/>
      <c r="Q252" s="26"/>
      <c r="R252" s="26"/>
      <c r="S252" s="26"/>
      <c r="T252" s="14"/>
      <c r="U252" s="14"/>
      <c r="V252" s="107"/>
      <c r="W252" s="14"/>
      <c r="X252" s="14"/>
    </row>
    <row r="253" spans="12:24">
      <c r="L253" s="26"/>
      <c r="M253" s="27"/>
      <c r="N253" s="27"/>
      <c r="O253" s="27"/>
      <c r="P253" s="27"/>
      <c r="Q253" s="26"/>
      <c r="R253" s="26"/>
      <c r="S253" s="26"/>
      <c r="T253" s="14"/>
      <c r="U253" s="14"/>
      <c r="V253" s="107"/>
      <c r="W253" s="14"/>
      <c r="X253" s="14"/>
    </row>
    <row r="254" spans="12:24">
      <c r="L254" s="26"/>
      <c r="M254" s="27"/>
      <c r="N254" s="27"/>
      <c r="O254" s="27"/>
      <c r="P254" s="27"/>
      <c r="Q254" s="26"/>
      <c r="R254" s="26"/>
      <c r="S254" s="26"/>
      <c r="T254" s="14"/>
      <c r="U254" s="14"/>
      <c r="V254" s="107"/>
      <c r="W254" s="14"/>
      <c r="X254" s="14"/>
    </row>
    <row r="255" spans="12:24">
      <c r="L255" s="26"/>
      <c r="M255" s="27"/>
      <c r="N255" s="27"/>
      <c r="O255" s="27"/>
      <c r="P255" s="27"/>
      <c r="Q255" s="26"/>
      <c r="R255" s="26"/>
      <c r="S255" s="26"/>
      <c r="T255" s="14"/>
      <c r="U255" s="14"/>
      <c r="V255" s="107"/>
      <c r="W255" s="14"/>
      <c r="X255" s="14"/>
    </row>
    <row r="256" spans="12:24">
      <c r="L256" s="26"/>
      <c r="M256" s="27"/>
      <c r="N256" s="27"/>
      <c r="O256" s="27"/>
      <c r="P256" s="27"/>
      <c r="Q256" s="26"/>
      <c r="R256" s="26"/>
      <c r="S256" s="26"/>
      <c r="T256" s="14"/>
      <c r="U256" s="14"/>
      <c r="V256" s="107"/>
      <c r="W256" s="14"/>
      <c r="X256" s="14"/>
    </row>
    <row r="257" spans="12:24">
      <c r="L257" s="26"/>
      <c r="M257" s="27"/>
      <c r="N257" s="27"/>
      <c r="O257" s="27"/>
      <c r="P257" s="27"/>
      <c r="Q257" s="26"/>
      <c r="R257" s="26"/>
      <c r="S257" s="26"/>
      <c r="T257" s="14"/>
      <c r="U257" s="14"/>
      <c r="V257" s="107"/>
      <c r="W257" s="14"/>
      <c r="X257" s="14"/>
    </row>
    <row r="258" spans="12:24">
      <c r="L258" s="26"/>
      <c r="M258" s="27"/>
      <c r="N258" s="27"/>
      <c r="O258" s="27"/>
      <c r="P258" s="27"/>
      <c r="Q258" s="26"/>
      <c r="R258" s="26"/>
      <c r="S258" s="26"/>
      <c r="T258" s="14"/>
      <c r="U258" s="14"/>
      <c r="V258" s="107"/>
      <c r="W258" s="14"/>
      <c r="X258" s="14"/>
    </row>
    <row r="259" spans="12:24">
      <c r="L259" s="26"/>
      <c r="M259" s="27"/>
      <c r="N259" s="27"/>
      <c r="O259" s="27"/>
      <c r="P259" s="27"/>
      <c r="Q259" s="26"/>
      <c r="R259" s="26"/>
      <c r="S259" s="26"/>
      <c r="T259" s="14"/>
      <c r="U259" s="14"/>
      <c r="V259" s="107"/>
      <c r="W259" s="14"/>
      <c r="X259" s="14"/>
    </row>
    <row r="260" spans="12:24">
      <c r="L260" s="26"/>
      <c r="M260" s="27"/>
      <c r="N260" s="27"/>
      <c r="O260" s="27"/>
      <c r="P260" s="27"/>
      <c r="Q260" s="26"/>
      <c r="R260" s="26"/>
      <c r="S260" s="26"/>
      <c r="T260" s="14"/>
      <c r="U260" s="14"/>
      <c r="V260" s="107"/>
      <c r="W260" s="14"/>
      <c r="X260" s="14"/>
    </row>
    <row r="261" spans="12:24">
      <c r="L261" s="26"/>
      <c r="M261" s="27"/>
      <c r="N261" s="27"/>
      <c r="O261" s="27"/>
      <c r="P261" s="27"/>
      <c r="Q261" s="26"/>
      <c r="R261" s="26"/>
      <c r="S261" s="26"/>
      <c r="T261" s="14"/>
      <c r="U261" s="14"/>
      <c r="V261" s="107"/>
      <c r="W261" s="14"/>
      <c r="X261" s="14"/>
    </row>
    <row r="262" spans="12:24">
      <c r="L262" s="26"/>
      <c r="M262" s="27"/>
      <c r="N262" s="27"/>
      <c r="O262" s="27"/>
      <c r="P262" s="27"/>
      <c r="Q262" s="26"/>
      <c r="R262" s="26"/>
      <c r="S262" s="26"/>
      <c r="T262" s="14"/>
      <c r="U262" s="14"/>
      <c r="V262" s="107"/>
      <c r="W262" s="14"/>
      <c r="X262" s="14"/>
    </row>
    <row r="263" spans="12:24">
      <c r="L263" s="26"/>
      <c r="M263" s="27"/>
      <c r="N263" s="27"/>
      <c r="O263" s="27"/>
      <c r="P263" s="27"/>
      <c r="Q263" s="26"/>
      <c r="R263" s="26"/>
      <c r="S263" s="26"/>
      <c r="T263" s="14"/>
      <c r="U263" s="14"/>
      <c r="V263" s="107"/>
      <c r="W263" s="14"/>
      <c r="X263" s="14"/>
    </row>
    <row r="264" spans="12:24">
      <c r="L264" s="26"/>
      <c r="M264" s="27"/>
      <c r="N264" s="27"/>
      <c r="O264" s="27"/>
      <c r="P264" s="27"/>
      <c r="Q264" s="26"/>
      <c r="R264" s="26"/>
      <c r="S264" s="26"/>
      <c r="T264" s="14"/>
      <c r="U264" s="14"/>
      <c r="V264" s="107"/>
      <c r="W264" s="14"/>
      <c r="X264" s="14"/>
    </row>
    <row r="265" spans="12:24">
      <c r="L265" s="26"/>
      <c r="M265" s="27"/>
      <c r="N265" s="27"/>
      <c r="O265" s="27"/>
      <c r="P265" s="27"/>
      <c r="Q265" s="26"/>
      <c r="R265" s="26"/>
      <c r="S265" s="26"/>
      <c r="T265" s="14"/>
      <c r="U265" s="14"/>
      <c r="V265" s="107"/>
      <c r="W265" s="14"/>
      <c r="X265" s="14"/>
    </row>
    <row r="266" spans="12:24">
      <c r="L266" s="26"/>
      <c r="M266" s="27"/>
      <c r="N266" s="27"/>
      <c r="O266" s="27"/>
      <c r="P266" s="27"/>
      <c r="Q266" s="26"/>
      <c r="R266" s="26"/>
      <c r="S266" s="26"/>
      <c r="T266" s="14"/>
      <c r="U266" s="14"/>
      <c r="V266" s="107"/>
      <c r="W266" s="14"/>
      <c r="X266" s="14"/>
    </row>
    <row r="267" spans="12:24">
      <c r="L267" s="26"/>
      <c r="M267" s="27"/>
      <c r="N267" s="27"/>
      <c r="O267" s="27"/>
      <c r="P267" s="27"/>
      <c r="Q267" s="26"/>
      <c r="R267" s="26"/>
      <c r="S267" s="26"/>
      <c r="T267" s="14"/>
      <c r="U267" s="14"/>
      <c r="V267" s="107"/>
      <c r="W267" s="14"/>
      <c r="X267" s="14"/>
    </row>
    <row r="268" spans="12:24">
      <c r="L268" s="26"/>
      <c r="M268" s="27"/>
      <c r="N268" s="27"/>
      <c r="O268" s="27"/>
      <c r="P268" s="27"/>
      <c r="Q268" s="26"/>
      <c r="R268" s="26"/>
      <c r="S268" s="26"/>
      <c r="T268" s="14"/>
      <c r="U268" s="14"/>
      <c r="V268" s="107"/>
      <c r="W268" s="14"/>
      <c r="X268" s="14"/>
    </row>
    <row r="269" spans="12:24">
      <c r="L269" s="26"/>
      <c r="M269" s="27"/>
      <c r="N269" s="27"/>
      <c r="O269" s="27"/>
      <c r="P269" s="27"/>
      <c r="Q269" s="26"/>
      <c r="R269" s="26"/>
      <c r="S269" s="26"/>
      <c r="T269" s="14"/>
      <c r="U269" s="14"/>
      <c r="V269" s="107"/>
      <c r="W269" s="14"/>
      <c r="X269" s="14"/>
    </row>
    <row r="270" spans="12:24">
      <c r="L270" s="26"/>
      <c r="M270" s="27"/>
      <c r="N270" s="27"/>
      <c r="O270" s="27"/>
      <c r="P270" s="27"/>
      <c r="Q270" s="26"/>
      <c r="R270" s="26"/>
      <c r="S270" s="26"/>
      <c r="T270" s="14"/>
      <c r="U270" s="14"/>
      <c r="V270" s="107"/>
      <c r="W270" s="14"/>
      <c r="X270" s="14"/>
    </row>
    <row r="271" spans="12:24">
      <c r="L271" s="26"/>
      <c r="M271" s="27"/>
      <c r="N271" s="27"/>
      <c r="O271" s="27"/>
      <c r="P271" s="27"/>
      <c r="Q271" s="26"/>
      <c r="R271" s="26"/>
      <c r="S271" s="26"/>
      <c r="T271" s="14"/>
      <c r="U271" s="14"/>
      <c r="V271" s="107"/>
      <c r="W271" s="14"/>
      <c r="X271" s="14"/>
    </row>
    <row r="272" spans="12:24">
      <c r="L272" s="26"/>
      <c r="M272" s="27"/>
      <c r="N272" s="27"/>
      <c r="O272" s="27"/>
      <c r="P272" s="27"/>
      <c r="Q272" s="26"/>
      <c r="R272" s="26"/>
      <c r="S272" s="26"/>
      <c r="T272" s="14"/>
      <c r="U272" s="14"/>
      <c r="V272" s="107"/>
      <c r="W272" s="14"/>
      <c r="X272" s="14"/>
    </row>
    <row r="273" spans="12:24">
      <c r="L273" s="26"/>
      <c r="M273" s="27"/>
      <c r="N273" s="27"/>
      <c r="O273" s="27"/>
      <c r="P273" s="27"/>
      <c r="Q273" s="26"/>
      <c r="R273" s="26"/>
      <c r="S273" s="26"/>
      <c r="T273" s="14"/>
      <c r="U273" s="14"/>
      <c r="V273" s="107"/>
      <c r="W273" s="14"/>
      <c r="X273" s="14"/>
    </row>
    <row r="274" spans="12:24">
      <c r="L274" s="26"/>
      <c r="M274" s="27"/>
      <c r="N274" s="27"/>
      <c r="O274" s="27"/>
      <c r="P274" s="27"/>
      <c r="Q274" s="26"/>
      <c r="R274" s="26"/>
      <c r="S274" s="26"/>
      <c r="T274" s="14"/>
      <c r="U274" s="14"/>
      <c r="V274" s="107"/>
      <c r="W274" s="14"/>
      <c r="X274" s="14"/>
    </row>
    <row r="275" spans="12:24">
      <c r="L275" s="26"/>
      <c r="M275" s="27"/>
      <c r="N275" s="27"/>
      <c r="O275" s="27"/>
      <c r="P275" s="27"/>
      <c r="Q275" s="26"/>
      <c r="R275" s="26"/>
      <c r="S275" s="26"/>
      <c r="T275" s="14"/>
      <c r="U275" s="14"/>
      <c r="V275" s="107"/>
      <c r="W275" s="14"/>
      <c r="X275" s="14"/>
    </row>
    <row r="276" spans="12:24">
      <c r="L276" s="26"/>
      <c r="M276" s="27"/>
      <c r="N276" s="27"/>
      <c r="O276" s="27"/>
      <c r="P276" s="27"/>
      <c r="Q276" s="26"/>
      <c r="R276" s="26"/>
      <c r="S276" s="26"/>
      <c r="T276" s="14"/>
      <c r="U276" s="14"/>
      <c r="V276" s="107"/>
      <c r="W276" s="14"/>
      <c r="X276" s="14"/>
    </row>
    <row r="277" spans="12:24">
      <c r="L277" s="26"/>
      <c r="M277" s="27"/>
      <c r="N277" s="27"/>
      <c r="O277" s="27"/>
      <c r="P277" s="27"/>
      <c r="Q277" s="26"/>
      <c r="R277" s="26"/>
      <c r="S277" s="26"/>
      <c r="T277" s="14"/>
      <c r="U277" s="14"/>
      <c r="V277" s="107"/>
      <c r="W277" s="14"/>
      <c r="X277" s="14"/>
    </row>
    <row r="278" spans="12:24">
      <c r="L278" s="26"/>
      <c r="M278" s="27"/>
      <c r="N278" s="27"/>
      <c r="O278" s="27"/>
      <c r="P278" s="27"/>
      <c r="Q278" s="26"/>
      <c r="R278" s="26"/>
      <c r="S278" s="26"/>
      <c r="T278" s="14"/>
      <c r="U278" s="14"/>
      <c r="V278" s="107"/>
      <c r="W278" s="14"/>
      <c r="X278" s="14"/>
    </row>
    <row r="279" spans="12:24">
      <c r="L279" s="26"/>
      <c r="M279" s="27"/>
      <c r="N279" s="27"/>
      <c r="O279" s="27"/>
      <c r="P279" s="27"/>
      <c r="Q279" s="26"/>
      <c r="R279" s="26"/>
      <c r="S279" s="26"/>
      <c r="T279" s="14"/>
      <c r="U279" s="14"/>
      <c r="V279" s="107"/>
      <c r="W279" s="14"/>
      <c r="X279" s="14"/>
    </row>
    <row r="280" spans="12:24">
      <c r="L280" s="26"/>
      <c r="M280" s="27"/>
      <c r="N280" s="27"/>
      <c r="O280" s="27"/>
      <c r="P280" s="27"/>
      <c r="Q280" s="26"/>
      <c r="R280" s="26"/>
      <c r="S280" s="26"/>
      <c r="T280" s="14"/>
      <c r="U280" s="14"/>
      <c r="V280" s="107"/>
      <c r="W280" s="14"/>
      <c r="X280" s="14"/>
    </row>
    <row r="281" spans="12:24">
      <c r="L281" s="26"/>
      <c r="M281" s="27"/>
      <c r="N281" s="27"/>
      <c r="O281" s="27"/>
      <c r="P281" s="27"/>
      <c r="Q281" s="26"/>
      <c r="R281" s="26"/>
      <c r="S281" s="26"/>
      <c r="T281" s="14"/>
      <c r="U281" s="14"/>
      <c r="V281" s="107"/>
      <c r="W281" s="14"/>
      <c r="X281" s="14"/>
    </row>
    <row r="282" spans="12:24">
      <c r="L282" s="26"/>
      <c r="M282" s="27"/>
      <c r="N282" s="27"/>
      <c r="O282" s="27"/>
      <c r="P282" s="27"/>
      <c r="Q282" s="26"/>
      <c r="R282" s="26"/>
      <c r="S282" s="26"/>
      <c r="T282" s="14"/>
      <c r="U282" s="14"/>
      <c r="V282" s="107"/>
      <c r="W282" s="14"/>
      <c r="X282" s="14"/>
    </row>
    <row r="283" spans="12:24">
      <c r="L283" s="26"/>
      <c r="M283" s="27"/>
      <c r="N283" s="27"/>
      <c r="O283" s="27"/>
      <c r="P283" s="27"/>
      <c r="Q283" s="26"/>
      <c r="R283" s="26"/>
      <c r="S283" s="26"/>
      <c r="T283" s="14"/>
      <c r="U283" s="14"/>
      <c r="V283" s="107"/>
      <c r="W283" s="14"/>
      <c r="X283" s="14"/>
    </row>
    <row r="284" spans="12:24">
      <c r="L284" s="26"/>
      <c r="M284" s="27"/>
      <c r="N284" s="27"/>
      <c r="O284" s="27"/>
      <c r="P284" s="27"/>
      <c r="Q284" s="26"/>
      <c r="R284" s="26"/>
      <c r="S284" s="26"/>
      <c r="T284" s="14"/>
      <c r="U284" s="14"/>
      <c r="V284" s="107"/>
      <c r="W284" s="14"/>
      <c r="X284" s="14"/>
    </row>
    <row r="285" spans="12:24">
      <c r="L285" s="26"/>
      <c r="M285" s="27"/>
      <c r="N285" s="27"/>
      <c r="O285" s="27"/>
      <c r="P285" s="27"/>
      <c r="Q285" s="26"/>
      <c r="R285" s="26"/>
      <c r="S285" s="26"/>
      <c r="T285" s="14"/>
      <c r="U285" s="14"/>
      <c r="V285" s="107"/>
      <c r="W285" s="14"/>
      <c r="X285" s="14"/>
    </row>
    <row r="286" spans="12:24">
      <c r="L286" s="26"/>
      <c r="M286" s="27"/>
      <c r="N286" s="27"/>
      <c r="O286" s="27"/>
      <c r="P286" s="27"/>
      <c r="Q286" s="26"/>
      <c r="R286" s="26"/>
      <c r="S286" s="26"/>
      <c r="T286" s="14"/>
      <c r="U286" s="14"/>
      <c r="V286" s="107"/>
      <c r="W286" s="14"/>
      <c r="X286" s="14"/>
    </row>
    <row r="287" spans="12:24">
      <c r="L287" s="26"/>
      <c r="M287" s="27"/>
      <c r="N287" s="27"/>
      <c r="O287" s="27"/>
      <c r="P287" s="27"/>
      <c r="Q287" s="26"/>
      <c r="R287" s="26"/>
      <c r="S287" s="26"/>
      <c r="T287" s="14"/>
      <c r="U287" s="14"/>
      <c r="V287" s="107"/>
      <c r="W287" s="14"/>
      <c r="X287" s="14"/>
    </row>
    <row r="288" spans="12:24">
      <c r="L288" s="26"/>
      <c r="M288" s="27"/>
      <c r="N288" s="27"/>
      <c r="O288" s="27"/>
      <c r="P288" s="27"/>
      <c r="Q288" s="26"/>
      <c r="R288" s="26"/>
      <c r="S288" s="26"/>
      <c r="T288" s="14"/>
      <c r="U288" s="14"/>
      <c r="V288" s="107"/>
      <c r="W288" s="14"/>
      <c r="X288" s="14"/>
    </row>
    <row r="289" spans="12:24">
      <c r="L289" s="26"/>
      <c r="M289" s="27"/>
      <c r="N289" s="27"/>
      <c r="O289" s="27"/>
      <c r="P289" s="27"/>
      <c r="Q289" s="26"/>
      <c r="R289" s="26"/>
      <c r="S289" s="26"/>
      <c r="T289" s="14"/>
      <c r="U289" s="14"/>
      <c r="V289" s="107"/>
      <c r="W289" s="14"/>
      <c r="X289" s="14"/>
    </row>
    <row r="290" spans="12:24">
      <c r="L290" s="26"/>
      <c r="M290" s="27"/>
      <c r="N290" s="27"/>
      <c r="O290" s="27"/>
      <c r="P290" s="27"/>
      <c r="Q290" s="26"/>
      <c r="R290" s="26"/>
      <c r="S290" s="26"/>
      <c r="T290" s="14"/>
      <c r="U290" s="14"/>
      <c r="V290" s="107"/>
      <c r="W290" s="14"/>
      <c r="X290" s="14"/>
    </row>
    <row r="291" spans="12:24">
      <c r="L291" s="26"/>
      <c r="M291" s="27"/>
      <c r="N291" s="27"/>
      <c r="O291" s="27"/>
      <c r="P291" s="27"/>
      <c r="Q291" s="26"/>
      <c r="R291" s="26"/>
      <c r="S291" s="26"/>
      <c r="T291" s="14"/>
      <c r="U291" s="14"/>
      <c r="V291" s="107"/>
      <c r="W291" s="14"/>
      <c r="X291" s="14"/>
    </row>
    <row r="292" spans="12:24">
      <c r="L292" s="26"/>
      <c r="M292" s="27"/>
      <c r="N292" s="27"/>
      <c r="O292" s="27"/>
      <c r="P292" s="27"/>
      <c r="Q292" s="26"/>
      <c r="R292" s="26"/>
      <c r="S292" s="26"/>
      <c r="T292" s="14"/>
      <c r="U292" s="14"/>
      <c r="V292" s="107"/>
      <c r="W292" s="14"/>
      <c r="X292" s="14"/>
    </row>
    <row r="293" spans="12:24">
      <c r="L293" s="26"/>
      <c r="M293" s="27"/>
      <c r="N293" s="27"/>
      <c r="O293" s="27"/>
      <c r="P293" s="27"/>
      <c r="Q293" s="26"/>
      <c r="R293" s="26"/>
      <c r="S293" s="26"/>
      <c r="T293" s="14"/>
      <c r="U293" s="14"/>
      <c r="V293" s="107"/>
      <c r="W293" s="14"/>
      <c r="X293" s="14"/>
    </row>
    <row r="294" spans="12:24">
      <c r="L294" s="26"/>
      <c r="M294" s="27"/>
      <c r="N294" s="27"/>
      <c r="O294" s="27"/>
      <c r="P294" s="27"/>
      <c r="Q294" s="26"/>
      <c r="R294" s="26"/>
      <c r="S294" s="26"/>
      <c r="T294" s="14"/>
      <c r="U294" s="14"/>
      <c r="V294" s="107"/>
      <c r="W294" s="14"/>
      <c r="X294" s="14"/>
    </row>
    <row r="295" spans="12:24">
      <c r="L295" s="26"/>
      <c r="M295" s="27"/>
      <c r="N295" s="27"/>
      <c r="O295" s="27"/>
      <c r="P295" s="27"/>
      <c r="Q295" s="26"/>
      <c r="R295" s="26"/>
      <c r="S295" s="26"/>
      <c r="T295" s="14"/>
      <c r="U295" s="14"/>
      <c r="V295" s="107"/>
      <c r="W295" s="14"/>
      <c r="X295" s="14"/>
    </row>
    <row r="296" spans="12:24">
      <c r="L296" s="26"/>
      <c r="M296" s="27"/>
      <c r="N296" s="27"/>
      <c r="O296" s="27"/>
      <c r="P296" s="27"/>
      <c r="Q296" s="26"/>
      <c r="R296" s="26"/>
      <c r="S296" s="26"/>
      <c r="T296" s="14"/>
      <c r="U296" s="14"/>
      <c r="V296" s="107"/>
      <c r="W296" s="14"/>
      <c r="X296" s="14"/>
    </row>
    <row r="297" spans="12:24">
      <c r="L297" s="26"/>
      <c r="M297" s="27"/>
      <c r="N297" s="27"/>
      <c r="O297" s="27"/>
      <c r="P297" s="27"/>
      <c r="Q297" s="26"/>
      <c r="R297" s="26"/>
      <c r="S297" s="26"/>
      <c r="T297" s="14"/>
      <c r="U297" s="14"/>
      <c r="V297" s="107"/>
      <c r="W297" s="14"/>
      <c r="X297" s="14"/>
    </row>
    <row r="298" spans="12:24">
      <c r="L298" s="26"/>
      <c r="M298" s="27"/>
      <c r="N298" s="27"/>
      <c r="O298" s="27"/>
      <c r="P298" s="27"/>
      <c r="Q298" s="26"/>
      <c r="R298" s="26"/>
      <c r="S298" s="26"/>
      <c r="T298" s="14"/>
      <c r="U298" s="14"/>
      <c r="V298" s="107"/>
      <c r="W298" s="14"/>
      <c r="X298" s="14"/>
    </row>
    <row r="299" spans="12:24">
      <c r="L299" s="26"/>
      <c r="M299" s="27"/>
      <c r="N299" s="27"/>
      <c r="O299" s="27"/>
      <c r="P299" s="27"/>
      <c r="Q299" s="26"/>
      <c r="R299" s="26"/>
      <c r="S299" s="26"/>
      <c r="T299" s="14"/>
      <c r="U299" s="14"/>
      <c r="V299" s="107"/>
      <c r="W299" s="14"/>
      <c r="X299" s="14"/>
    </row>
    <row r="300" spans="12:24">
      <c r="L300" s="26"/>
      <c r="M300" s="27"/>
      <c r="N300" s="27"/>
      <c r="O300" s="27"/>
      <c r="P300" s="27"/>
      <c r="Q300" s="26"/>
      <c r="R300" s="26"/>
      <c r="S300" s="26"/>
      <c r="T300" s="14"/>
      <c r="U300" s="14"/>
      <c r="V300" s="107"/>
      <c r="W300" s="14"/>
      <c r="X300" s="14"/>
    </row>
    <row r="301" spans="12:24">
      <c r="L301" s="26"/>
      <c r="M301" s="27"/>
      <c r="N301" s="27"/>
      <c r="O301" s="27"/>
      <c r="P301" s="27"/>
      <c r="Q301" s="26"/>
      <c r="R301" s="26"/>
      <c r="S301" s="26"/>
      <c r="T301" s="14"/>
      <c r="U301" s="14"/>
      <c r="V301" s="107"/>
      <c r="W301" s="14"/>
      <c r="X301" s="14"/>
    </row>
    <row r="302" spans="12:24">
      <c r="L302" s="26"/>
      <c r="M302" s="27"/>
      <c r="N302" s="27"/>
      <c r="O302" s="27"/>
      <c r="P302" s="27"/>
      <c r="Q302" s="26"/>
      <c r="R302" s="26"/>
      <c r="S302" s="26"/>
      <c r="T302" s="14"/>
      <c r="U302" s="14"/>
      <c r="V302" s="107"/>
      <c r="W302" s="14"/>
      <c r="X302" s="14"/>
    </row>
    <row r="303" spans="12:24">
      <c r="L303" s="26"/>
      <c r="M303" s="27"/>
      <c r="N303" s="27"/>
      <c r="O303" s="27"/>
      <c r="P303" s="27"/>
      <c r="Q303" s="26"/>
      <c r="R303" s="26"/>
      <c r="S303" s="26"/>
      <c r="T303" s="14"/>
      <c r="U303" s="14"/>
      <c r="V303" s="107"/>
      <c r="W303" s="14"/>
      <c r="X303" s="14"/>
    </row>
    <row r="304" spans="12:24">
      <c r="L304" s="26"/>
      <c r="M304" s="27"/>
      <c r="N304" s="27"/>
      <c r="O304" s="27"/>
      <c r="P304" s="27"/>
      <c r="Q304" s="26"/>
      <c r="R304" s="26"/>
      <c r="S304" s="26"/>
      <c r="T304" s="14"/>
      <c r="U304" s="14"/>
      <c r="V304" s="107"/>
      <c r="W304" s="14"/>
      <c r="X304" s="14"/>
    </row>
    <row r="305" spans="12:24">
      <c r="L305" s="26"/>
      <c r="M305" s="27"/>
      <c r="N305" s="27"/>
      <c r="O305" s="27"/>
      <c r="P305" s="27"/>
      <c r="Q305" s="26"/>
      <c r="R305" s="26"/>
      <c r="S305" s="26"/>
      <c r="T305" s="14"/>
      <c r="U305" s="14"/>
      <c r="V305" s="107"/>
      <c r="W305" s="14"/>
      <c r="X305" s="14"/>
    </row>
    <row r="306" spans="12:24">
      <c r="L306" s="26"/>
      <c r="M306" s="27"/>
      <c r="N306" s="27"/>
      <c r="O306" s="27"/>
      <c r="P306" s="27"/>
      <c r="Q306" s="26"/>
      <c r="R306" s="26"/>
      <c r="S306" s="26"/>
      <c r="T306" s="14"/>
      <c r="U306" s="14"/>
      <c r="V306" s="107"/>
      <c r="W306" s="14"/>
      <c r="X306" s="14"/>
    </row>
    <row r="307" spans="12:24">
      <c r="L307" s="26"/>
      <c r="M307" s="27"/>
      <c r="N307" s="27"/>
      <c r="O307" s="27"/>
      <c r="P307" s="27"/>
      <c r="Q307" s="26"/>
      <c r="R307" s="26"/>
      <c r="S307" s="26"/>
      <c r="T307" s="14"/>
      <c r="U307" s="14"/>
      <c r="V307" s="107"/>
      <c r="W307" s="14"/>
      <c r="X307" s="14"/>
    </row>
    <row r="308" spans="12:24">
      <c r="L308" s="26"/>
      <c r="M308" s="27"/>
      <c r="N308" s="27"/>
      <c r="O308" s="27"/>
      <c r="P308" s="27"/>
      <c r="Q308" s="26"/>
      <c r="R308" s="26"/>
      <c r="S308" s="26"/>
      <c r="T308" s="14"/>
      <c r="U308" s="14"/>
      <c r="V308" s="107"/>
      <c r="W308" s="14"/>
      <c r="X308" s="14"/>
    </row>
    <row r="309" spans="12:24">
      <c r="L309" s="26"/>
      <c r="M309" s="27"/>
      <c r="N309" s="27"/>
      <c r="O309" s="27"/>
      <c r="P309" s="27"/>
      <c r="Q309" s="26"/>
      <c r="R309" s="26"/>
      <c r="S309" s="26"/>
      <c r="T309" s="14"/>
      <c r="U309" s="14"/>
      <c r="V309" s="107"/>
      <c r="W309" s="14"/>
      <c r="X309" s="14"/>
    </row>
    <row r="310" spans="12:24">
      <c r="L310" s="26"/>
      <c r="M310" s="27"/>
      <c r="N310" s="27"/>
      <c r="O310" s="27"/>
      <c r="P310" s="27"/>
      <c r="Q310" s="26"/>
      <c r="R310" s="26"/>
      <c r="S310" s="26"/>
      <c r="T310" s="14"/>
      <c r="U310" s="14"/>
      <c r="V310" s="107"/>
      <c r="W310" s="14"/>
      <c r="X310" s="14"/>
    </row>
    <row r="311" spans="12:24">
      <c r="L311" s="26"/>
      <c r="M311" s="27"/>
      <c r="N311" s="27"/>
      <c r="O311" s="27"/>
      <c r="P311" s="27"/>
      <c r="Q311" s="26"/>
      <c r="R311" s="26"/>
      <c r="S311" s="26"/>
      <c r="T311" s="14"/>
      <c r="U311" s="14"/>
      <c r="V311" s="107"/>
      <c r="W311" s="14"/>
      <c r="X311" s="14"/>
    </row>
    <row r="312" spans="12:24">
      <c r="L312" s="26"/>
      <c r="M312" s="27"/>
      <c r="N312" s="27"/>
      <c r="O312" s="27"/>
      <c r="P312" s="27"/>
      <c r="Q312" s="26"/>
      <c r="R312" s="26"/>
      <c r="S312" s="26"/>
      <c r="T312" s="14"/>
      <c r="U312" s="14"/>
      <c r="V312" s="107"/>
      <c r="W312" s="14"/>
      <c r="X312" s="14"/>
    </row>
    <row r="313" spans="12:24">
      <c r="L313" s="26"/>
      <c r="M313" s="27"/>
      <c r="N313" s="27"/>
      <c r="O313" s="27"/>
      <c r="P313" s="27"/>
      <c r="Q313" s="26"/>
      <c r="R313" s="26"/>
      <c r="S313" s="26"/>
      <c r="T313" s="14"/>
      <c r="U313" s="14"/>
      <c r="V313" s="107"/>
      <c r="W313" s="14"/>
      <c r="X313" s="14"/>
    </row>
    <row r="314" spans="12:24">
      <c r="L314" s="26"/>
      <c r="M314" s="27"/>
      <c r="N314" s="27"/>
      <c r="O314" s="27"/>
      <c r="P314" s="27"/>
      <c r="Q314" s="26"/>
      <c r="R314" s="26"/>
      <c r="S314" s="26"/>
      <c r="T314" s="14"/>
      <c r="U314" s="14"/>
      <c r="V314" s="107"/>
      <c r="W314" s="14"/>
      <c r="X314" s="14"/>
    </row>
    <row r="315" spans="12:24">
      <c r="L315" s="26"/>
      <c r="M315" s="27"/>
      <c r="N315" s="27"/>
      <c r="O315" s="27"/>
      <c r="P315" s="27"/>
      <c r="Q315" s="26"/>
      <c r="R315" s="26"/>
      <c r="S315" s="26"/>
      <c r="T315" s="14"/>
      <c r="U315" s="14"/>
      <c r="V315" s="107"/>
      <c r="W315" s="14"/>
      <c r="X315" s="14"/>
    </row>
    <row r="316" spans="12:24">
      <c r="L316" s="26"/>
      <c r="M316" s="27"/>
      <c r="N316" s="27"/>
      <c r="O316" s="27"/>
      <c r="P316" s="27"/>
      <c r="Q316" s="26"/>
      <c r="R316" s="26"/>
      <c r="S316" s="26"/>
      <c r="T316" s="14"/>
      <c r="U316" s="14"/>
      <c r="V316" s="107"/>
      <c r="W316" s="14"/>
      <c r="X316" s="14"/>
    </row>
    <row r="317" spans="12:24">
      <c r="L317" s="26"/>
      <c r="M317" s="27"/>
      <c r="N317" s="27"/>
      <c r="O317" s="27"/>
      <c r="P317" s="27"/>
      <c r="Q317" s="26"/>
      <c r="R317" s="26"/>
      <c r="S317" s="26"/>
      <c r="T317" s="14"/>
      <c r="U317" s="14"/>
      <c r="V317" s="107"/>
      <c r="W317" s="14"/>
      <c r="X317" s="14"/>
    </row>
    <row r="318" spans="12:24">
      <c r="L318" s="26"/>
      <c r="M318" s="27"/>
      <c r="N318" s="27"/>
      <c r="O318" s="27"/>
      <c r="P318" s="27"/>
      <c r="Q318" s="26"/>
      <c r="R318" s="26"/>
      <c r="S318" s="26"/>
      <c r="T318" s="14"/>
      <c r="U318" s="14"/>
      <c r="V318" s="107"/>
      <c r="W318" s="14"/>
      <c r="X318" s="14"/>
    </row>
    <row r="319" spans="12:24">
      <c r="L319" s="26"/>
      <c r="M319" s="27"/>
      <c r="N319" s="27"/>
      <c r="O319" s="27"/>
      <c r="P319" s="27"/>
      <c r="Q319" s="26"/>
      <c r="R319" s="26"/>
      <c r="S319" s="26"/>
      <c r="T319" s="14"/>
      <c r="U319" s="14"/>
      <c r="V319" s="107"/>
      <c r="W319" s="14"/>
      <c r="X319" s="14"/>
    </row>
    <row r="320" spans="12:24">
      <c r="L320" s="26"/>
      <c r="M320" s="27"/>
      <c r="N320" s="27"/>
      <c r="O320" s="27"/>
      <c r="P320" s="27"/>
      <c r="Q320" s="26"/>
      <c r="R320" s="26"/>
      <c r="S320" s="26"/>
      <c r="T320" s="14"/>
      <c r="U320" s="14"/>
      <c r="V320" s="107"/>
      <c r="W320" s="14"/>
      <c r="X320" s="14"/>
    </row>
    <row r="321" spans="12:24">
      <c r="L321" s="26"/>
      <c r="M321" s="27"/>
      <c r="N321" s="27"/>
      <c r="O321" s="27"/>
      <c r="P321" s="27"/>
      <c r="Q321" s="26"/>
      <c r="R321" s="26"/>
      <c r="S321" s="26"/>
      <c r="T321" s="14"/>
      <c r="U321" s="14"/>
      <c r="V321" s="107"/>
      <c r="W321" s="14"/>
      <c r="X321" s="14"/>
    </row>
    <row r="322" spans="12:24">
      <c r="L322" s="26"/>
      <c r="M322" s="27"/>
      <c r="N322" s="27"/>
      <c r="O322" s="27"/>
      <c r="P322" s="27"/>
      <c r="Q322" s="26"/>
      <c r="R322" s="26"/>
      <c r="S322" s="26"/>
      <c r="T322" s="14"/>
      <c r="U322" s="14"/>
      <c r="V322" s="107"/>
      <c r="W322" s="14"/>
      <c r="X322" s="14"/>
    </row>
    <row r="323" spans="12:24">
      <c r="L323" s="26"/>
      <c r="M323" s="27"/>
      <c r="N323" s="27"/>
      <c r="O323" s="27"/>
      <c r="P323" s="27"/>
      <c r="Q323" s="26"/>
      <c r="R323" s="26"/>
      <c r="S323" s="26"/>
      <c r="T323" s="14"/>
      <c r="U323" s="14"/>
      <c r="V323" s="107"/>
      <c r="W323" s="14"/>
      <c r="X323" s="14"/>
    </row>
    <row r="324" spans="12:24">
      <c r="L324" s="26"/>
      <c r="M324" s="27"/>
      <c r="N324" s="27"/>
      <c r="O324" s="27"/>
      <c r="P324" s="27"/>
      <c r="Q324" s="26"/>
      <c r="R324" s="26"/>
      <c r="S324" s="26"/>
      <c r="T324" s="14"/>
      <c r="U324" s="14"/>
      <c r="V324" s="107"/>
      <c r="W324" s="14"/>
      <c r="X324" s="14"/>
    </row>
    <row r="325" spans="12:24">
      <c r="L325" s="26"/>
      <c r="M325" s="27"/>
      <c r="N325" s="27"/>
      <c r="O325" s="27"/>
      <c r="P325" s="27"/>
      <c r="Q325" s="26"/>
      <c r="R325" s="26"/>
      <c r="S325" s="26"/>
    </row>
    <row r="326" spans="12:24">
      <c r="L326" s="26"/>
      <c r="M326" s="27"/>
      <c r="N326" s="27"/>
      <c r="O326" s="27"/>
      <c r="P326" s="27"/>
      <c r="Q326" s="26"/>
      <c r="R326" s="26"/>
      <c r="S326" s="26"/>
    </row>
    <row r="327" spans="12:24">
      <c r="L327" s="26"/>
      <c r="M327" s="27"/>
      <c r="N327" s="27"/>
      <c r="O327" s="27"/>
      <c r="P327" s="27"/>
      <c r="Q327" s="26"/>
      <c r="R327" s="26"/>
      <c r="S327" s="26"/>
    </row>
    <row r="328" spans="12:24">
      <c r="L328" s="26"/>
      <c r="M328" s="27"/>
      <c r="N328" s="27"/>
      <c r="O328" s="27"/>
      <c r="P328" s="27"/>
      <c r="Q328" s="26"/>
      <c r="R328" s="26"/>
      <c r="S328" s="26"/>
    </row>
    <row r="329" spans="12:24">
      <c r="L329" s="26"/>
      <c r="M329" s="27"/>
      <c r="N329" s="27"/>
      <c r="O329" s="27"/>
      <c r="P329" s="27"/>
      <c r="Q329" s="26"/>
      <c r="R329" s="26"/>
      <c r="S329" s="26"/>
    </row>
    <row r="330" spans="12:24">
      <c r="L330" s="26"/>
      <c r="M330" s="27"/>
      <c r="N330" s="27"/>
      <c r="O330" s="27"/>
      <c r="P330" s="27"/>
      <c r="Q330" s="26"/>
      <c r="R330" s="26"/>
      <c r="S330" s="26"/>
    </row>
    <row r="331" spans="12:24">
      <c r="L331" s="26"/>
      <c r="M331" s="27"/>
      <c r="N331" s="27"/>
      <c r="O331" s="27"/>
      <c r="P331" s="27"/>
      <c r="Q331" s="26"/>
      <c r="R331" s="26"/>
      <c r="S331" s="26"/>
    </row>
    <row r="332" spans="12:24">
      <c r="L332" s="26"/>
      <c r="M332" s="27"/>
      <c r="N332" s="27"/>
      <c r="O332" s="27"/>
      <c r="P332" s="27"/>
      <c r="Q332" s="26"/>
      <c r="R332" s="26"/>
      <c r="S332" s="26"/>
    </row>
    <row r="333" spans="12:24">
      <c r="L333" s="26"/>
      <c r="M333" s="27"/>
      <c r="N333" s="27"/>
      <c r="O333" s="27"/>
      <c r="P333" s="27"/>
      <c r="Q333" s="26"/>
      <c r="R333" s="26"/>
      <c r="S333" s="26"/>
    </row>
    <row r="334" spans="12:24">
      <c r="L334" s="26"/>
      <c r="M334" s="27"/>
      <c r="N334" s="27"/>
      <c r="O334" s="27"/>
      <c r="P334" s="27"/>
      <c r="Q334" s="26"/>
      <c r="R334" s="26"/>
      <c r="S334" s="26"/>
    </row>
    <row r="335" spans="12:24">
      <c r="L335" s="26"/>
      <c r="M335" s="27"/>
      <c r="N335" s="27"/>
      <c r="O335" s="27"/>
      <c r="P335" s="27"/>
      <c r="Q335" s="26"/>
      <c r="R335" s="26"/>
      <c r="S335" s="26"/>
    </row>
    <row r="336" spans="12:24">
      <c r="L336" s="26"/>
      <c r="M336" s="27"/>
      <c r="N336" s="27"/>
      <c r="O336" s="27"/>
      <c r="P336" s="27"/>
      <c r="Q336" s="26"/>
      <c r="R336" s="26"/>
      <c r="S336" s="26"/>
    </row>
  </sheetData>
  <autoFilter ref="L2:S328" xr:uid="{00000000-0009-0000-0000-000002000000}"/>
  <pageMargins left="0.7" right="0.7" top="0.75" bottom="0.75" header="0.3" footer="0.3"/>
  <legacy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C1:HJ408"/>
  <sheetViews>
    <sheetView showGridLines="0" tabSelected="1" topLeftCell="A33" zoomScale="85" zoomScaleNormal="85" workbookViewId="0">
      <selection activeCell="J11" sqref="J11"/>
    </sheetView>
  </sheetViews>
  <sheetFormatPr defaultRowHeight="15" outlineLevelRow="1" outlineLevelCol="1"/>
  <cols>
    <col min="1" max="1" width="0.42578125" customWidth="1"/>
    <col min="2" max="2" width="7" customWidth="1"/>
    <col min="3" max="3" width="5.7109375" style="7" customWidth="1"/>
    <col min="4" max="4" width="20.7109375" style="1" customWidth="1"/>
    <col min="5" max="5" width="45.7109375" style="2" customWidth="1"/>
    <col min="6" max="9" width="10.7109375" style="2" customWidth="1"/>
    <col min="10" max="10" width="45.7109375" style="2" customWidth="1"/>
    <col min="11" max="11" width="4.7109375" style="2" customWidth="1" collapsed="1"/>
    <col min="12" max="15" width="55.7109375" hidden="1" customWidth="1" outlineLevel="1"/>
    <col min="16" max="16" width="4.7109375" customWidth="1" collapsed="1"/>
    <col min="17" max="18" width="9.140625" hidden="1" customWidth="1" outlineLevel="1"/>
    <col min="19" max="19" width="23.7109375" hidden="1" customWidth="1" outlineLevel="1"/>
    <col min="20" max="20" width="10.5703125" hidden="1" customWidth="1" outlineLevel="1"/>
    <col min="21" max="21" width="21.140625" hidden="1" customWidth="1" outlineLevel="1"/>
    <col min="22" max="33" width="15.7109375" hidden="1" customWidth="1" outlineLevel="1"/>
    <col min="34" max="34" width="9.140625" hidden="1" customWidth="1" outlineLevel="1"/>
    <col min="35" max="35" width="21.140625" hidden="1" customWidth="1" outlineLevel="1"/>
    <col min="36" max="47" width="15.7109375" hidden="1" customWidth="1" outlineLevel="1"/>
    <col min="48" max="49" width="9.140625" hidden="1" customWidth="1" outlineLevel="1"/>
    <col min="50" max="50" width="10.7109375" hidden="1" customWidth="1" outlineLevel="1"/>
    <col min="51" max="104" width="9.140625" hidden="1" customWidth="1" outlineLevel="1"/>
    <col min="105" max="105" width="9.140625" style="111" hidden="1" customWidth="1" outlineLevel="1"/>
    <col min="106" max="106" width="10.7109375" hidden="1" customWidth="1" outlineLevel="1"/>
    <col min="107" max="161" width="9.140625" hidden="1" customWidth="1" outlineLevel="1"/>
    <col min="162" max="162" width="10.7109375" hidden="1" customWidth="1" outlineLevel="1"/>
    <col min="163" max="217" width="9.140625" hidden="1" customWidth="1" outlineLevel="1"/>
    <col min="218" max="218" width="75.7109375" customWidth="1"/>
  </cols>
  <sheetData>
    <row r="1" spans="3:105" s="2" customFormat="1" ht="17.100000000000001" customHeight="1">
      <c r="C1" s="1"/>
      <c r="D1" s="1"/>
      <c r="DA1" s="111"/>
    </row>
    <row r="2" spans="3:105" s="2" customFormat="1" ht="24.95" customHeight="1">
      <c r="C2" s="1"/>
      <c r="D2" s="1"/>
      <c r="K2" s="6"/>
      <c r="DA2" s="111"/>
    </row>
    <row r="3" spans="3:105" s="12" customFormat="1" ht="17.100000000000001" customHeight="1">
      <c r="C3" s="32"/>
      <c r="D3" s="32"/>
      <c r="K3" s="51"/>
      <c r="DA3" s="59"/>
    </row>
    <row r="4" spans="3:105" s="12" customFormat="1" ht="17.100000000000001" customHeight="1">
      <c r="C4" s="32"/>
      <c r="D4" s="68" t="s">
        <v>175</v>
      </c>
      <c r="E4" s="69" t="s">
        <v>178</v>
      </c>
      <c r="I4" s="152" t="s">
        <v>0</v>
      </c>
      <c r="J4" s="153">
        <f>IF(OR($H$28="NO",$H$29="NO",SUM($G$38:$G$48)&gt;0),0%,SUM($G$30:$G$37)/SUM($F$30:$F$37))</f>
        <v>1</v>
      </c>
      <c r="K4" s="51"/>
      <c r="M4" s="53" t="s">
        <v>13</v>
      </c>
      <c r="N4" s="53"/>
      <c r="O4" s="53"/>
      <c r="DA4" s="59"/>
    </row>
    <row r="5" spans="3:105" s="12" customFormat="1" ht="17.100000000000001" customHeight="1">
      <c r="C5" s="32"/>
      <c r="D5" s="56" t="s">
        <v>176</v>
      </c>
      <c r="E5" s="8" t="s">
        <v>178</v>
      </c>
      <c r="I5" s="54" t="s">
        <v>229</v>
      </c>
      <c r="J5" s="10">
        <v>46184</v>
      </c>
      <c r="K5" s="51"/>
      <c r="L5" s="155" t="str">
        <f ca="1">IF(NOW()&lt;$J5,"ALERT: Date is in the future","")</f>
        <v/>
      </c>
      <c r="M5" s="55" t="s">
        <v>14</v>
      </c>
      <c r="N5" s="55"/>
      <c r="O5" s="55"/>
      <c r="Q5" s="55"/>
      <c r="DA5" s="59"/>
    </row>
    <row r="6" spans="3:105" s="12" customFormat="1" ht="17.100000000000001" customHeight="1">
      <c r="C6" s="32"/>
      <c r="D6" s="54" t="s">
        <v>167</v>
      </c>
      <c r="E6" s="40" t="s">
        <v>172</v>
      </c>
      <c r="I6" s="56" t="s">
        <v>1</v>
      </c>
      <c r="J6" s="8">
        <v>11039</v>
      </c>
      <c r="K6" s="51"/>
      <c r="L6" s="55"/>
      <c r="M6" s="55" t="e">
        <f>LOWER(SUBSTITUTE(LEFT($J$7,FIND(",",$J$7)+2),", ",""))&amp;"_"&amp;INDEX(Source!$X$3:$X$56,MATCH($J$17,Source!$U$3:$U$56,0))&amp;"_"&amp;TEXT($J$5,"MmmDDYY")&amp;"_"&amp;$E$12</f>
        <v>#VALUE!</v>
      </c>
      <c r="N6" s="55"/>
      <c r="O6" s="55"/>
      <c r="DA6" s="59"/>
    </row>
    <row r="7" spans="3:105" s="12" customFormat="1" ht="17.100000000000001" customHeight="1">
      <c r="C7" s="32"/>
      <c r="D7" s="54" t="s">
        <v>77</v>
      </c>
      <c r="E7" s="9" t="s">
        <v>667</v>
      </c>
      <c r="I7" s="54" t="s">
        <v>2</v>
      </c>
      <c r="J7" s="78" t="s">
        <v>677</v>
      </c>
      <c r="K7" s="51"/>
      <c r="DA7" s="59"/>
    </row>
    <row r="8" spans="3:105" s="12" customFormat="1" ht="17.100000000000001" customHeight="1">
      <c r="C8" s="32"/>
      <c r="D8" s="54" t="s">
        <v>24</v>
      </c>
      <c r="E8" s="9" t="s">
        <v>666</v>
      </c>
      <c r="I8" s="54" t="s">
        <v>228</v>
      </c>
      <c r="J8" s="40" t="s">
        <v>678</v>
      </c>
      <c r="K8" s="51"/>
      <c r="DA8" s="59"/>
    </row>
    <row r="9" spans="3:105" s="12" customFormat="1" ht="17.100000000000001" customHeight="1">
      <c r="C9" s="32"/>
      <c r="I9" s="54" t="s">
        <v>168</v>
      </c>
      <c r="J9" s="40" t="s">
        <v>679</v>
      </c>
      <c r="U9" s="92" t="s">
        <v>97</v>
      </c>
      <c r="V9" s="93" t="str">
        <f>HLOOKUP($E$5,$V$13:$AG$25,13,0)</f>
        <v>Linksys</v>
      </c>
      <c r="X9" s="92" t="s">
        <v>94</v>
      </c>
      <c r="Y9" s="94">
        <f>HLOOKUP($V$9,$U$25:$AG$26,2,0)</f>
        <v>0.8</v>
      </c>
      <c r="DA9" s="59"/>
    </row>
    <row r="10" spans="3:105" s="12" customFormat="1" ht="17.100000000000001" customHeight="1">
      <c r="C10" s="32"/>
      <c r="D10" s="56" t="s">
        <v>174</v>
      </c>
      <c r="E10" s="9" t="s">
        <v>668</v>
      </c>
      <c r="I10" s="54" t="s">
        <v>169</v>
      </c>
      <c r="J10" s="40" t="s">
        <v>680</v>
      </c>
      <c r="DA10" s="59"/>
    </row>
    <row r="11" spans="3:105" s="12" customFormat="1" ht="17.100000000000001" customHeight="1">
      <c r="C11" s="32"/>
      <c r="D11" s="54" t="s">
        <v>17</v>
      </c>
      <c r="E11" s="11" t="s">
        <v>669</v>
      </c>
      <c r="I11" s="54" t="s">
        <v>170</v>
      </c>
      <c r="J11" s="40" t="s">
        <v>681</v>
      </c>
      <c r="U11" s="89" t="s">
        <v>95</v>
      </c>
      <c r="V11" s="88"/>
      <c r="W11" s="88"/>
      <c r="X11" s="88"/>
      <c r="Y11" s="88"/>
      <c r="Z11" s="88"/>
      <c r="AA11" s="88"/>
      <c r="AB11" s="88"/>
      <c r="AC11" s="88"/>
      <c r="AD11" s="88"/>
      <c r="AE11" s="88"/>
      <c r="AF11" s="88"/>
      <c r="AG11" s="88"/>
      <c r="AI11" s="98" t="s">
        <v>98</v>
      </c>
      <c r="AJ11" s="99"/>
      <c r="AK11" s="99"/>
      <c r="AL11" s="99"/>
      <c r="AM11" s="99"/>
      <c r="AN11" s="99"/>
      <c r="AO11" s="99"/>
      <c r="AP11" s="99"/>
      <c r="AQ11" s="99"/>
      <c r="AR11" s="99"/>
      <c r="AS11" s="99"/>
      <c r="AT11" s="99"/>
      <c r="AU11" s="99"/>
      <c r="DA11" s="59"/>
    </row>
    <row r="12" spans="3:105" s="12" customFormat="1" ht="17.100000000000001" customHeight="1">
      <c r="C12" s="32"/>
      <c r="D12" s="54" t="s">
        <v>187</v>
      </c>
      <c r="E12" s="9" t="s">
        <v>670</v>
      </c>
      <c r="DA12" s="59"/>
    </row>
    <row r="13" spans="3:105" s="12" customFormat="1" ht="17.100000000000001" customHeight="1">
      <c r="C13" s="32"/>
      <c r="D13" s="54" t="s">
        <v>189</v>
      </c>
      <c r="E13" s="9" t="s">
        <v>671</v>
      </c>
      <c r="I13" s="56" t="s">
        <v>12</v>
      </c>
      <c r="J13" s="164" t="s">
        <v>615</v>
      </c>
      <c r="K13" s="51"/>
      <c r="L13" s="151" t="str">
        <f>IF(COUNTIF($J$89:$J$93,$J13)&gt;0,"ALERT: Duplicate","")</f>
        <v/>
      </c>
      <c r="V13" s="90" t="s">
        <v>158</v>
      </c>
      <c r="W13" s="90" t="s">
        <v>76</v>
      </c>
      <c r="X13" s="90" t="s">
        <v>27</v>
      </c>
      <c r="Y13" s="90" t="s">
        <v>21</v>
      </c>
      <c r="Z13" s="90" t="s">
        <v>177</v>
      </c>
      <c r="AA13" s="90" t="s">
        <v>28</v>
      </c>
      <c r="AB13" s="90" t="s">
        <v>178</v>
      </c>
      <c r="AC13" s="90" t="s">
        <v>165</v>
      </c>
      <c r="AD13" s="90" t="s">
        <v>147</v>
      </c>
      <c r="AE13" s="90" t="s">
        <v>164</v>
      </c>
      <c r="AF13" s="90" t="s">
        <v>163</v>
      </c>
      <c r="AG13" s="90" t="s">
        <v>146</v>
      </c>
      <c r="AJ13" s="103" t="str">
        <f>V13</f>
        <v>Belkin</v>
      </c>
      <c r="AK13" s="103" t="str">
        <f t="shared" ref="AK13:AU13" si="0">W13</f>
        <v>CAT</v>
      </c>
      <c r="AL13" s="103" t="str">
        <f t="shared" si="0"/>
        <v>Chat</v>
      </c>
      <c r="AM13" s="103" t="str">
        <f t="shared" si="0"/>
        <v>Customer Service</v>
      </c>
      <c r="AN13" s="103" t="str">
        <f t="shared" si="0"/>
        <v>Homestore</v>
      </c>
      <c r="AO13" s="103" t="str">
        <f t="shared" si="0"/>
        <v>International</v>
      </c>
      <c r="AP13" s="103" t="str">
        <f t="shared" si="0"/>
        <v>Linksys</v>
      </c>
      <c r="AQ13" s="103" t="str">
        <f t="shared" si="0"/>
        <v>SET</v>
      </c>
      <c r="AR13" s="103" t="str">
        <f t="shared" si="0"/>
        <v>SMB</v>
      </c>
      <c r="AS13" s="103" t="str">
        <f t="shared" si="0"/>
        <v>Social Media</v>
      </c>
      <c r="AT13" s="103" t="str">
        <f t="shared" si="0"/>
        <v>Velop</v>
      </c>
      <c r="AU13" s="103" t="str">
        <f t="shared" si="0"/>
        <v>Wemo</v>
      </c>
      <c r="DA13" s="59"/>
    </row>
    <row r="14" spans="3:105" s="12" customFormat="1" ht="17.100000000000001" customHeight="1">
      <c r="C14" s="32"/>
      <c r="D14" s="54" t="s">
        <v>188</v>
      </c>
      <c r="E14" s="9" t="s">
        <v>672</v>
      </c>
      <c r="I14" s="56" t="s">
        <v>206</v>
      </c>
      <c r="J14" s="157"/>
      <c r="K14" s="51"/>
      <c r="U14" s="148" t="s">
        <v>9</v>
      </c>
      <c r="V14" s="141">
        <f>SUM(V$28:V$32)</f>
        <v>20</v>
      </c>
      <c r="W14" s="141">
        <f>SUM(W$28:W$32)</f>
        <v>20</v>
      </c>
      <c r="X14" s="141">
        <f>SUM(X$28:X$32)</f>
        <v>22</v>
      </c>
      <c r="Y14" s="141">
        <f t="shared" ref="Y14:AG14" si="1">SUM(Y$28:Y$32)</f>
        <v>22</v>
      </c>
      <c r="Z14" s="141">
        <f t="shared" si="1"/>
        <v>22</v>
      </c>
      <c r="AA14" s="141">
        <f t="shared" si="1"/>
        <v>20</v>
      </c>
      <c r="AB14" s="141">
        <f t="shared" si="1"/>
        <v>22</v>
      </c>
      <c r="AC14" s="141">
        <f t="shared" si="1"/>
        <v>20</v>
      </c>
      <c r="AD14" s="141">
        <f t="shared" si="1"/>
        <v>20</v>
      </c>
      <c r="AE14" s="141">
        <f t="shared" si="1"/>
        <v>20</v>
      </c>
      <c r="AF14" s="141">
        <f t="shared" si="1"/>
        <v>20</v>
      </c>
      <c r="AG14" s="141">
        <f t="shared" si="1"/>
        <v>20</v>
      </c>
      <c r="AI14" s="148" t="s">
        <v>9</v>
      </c>
      <c r="AJ14" s="104">
        <f>SUM(AJ$28:AJ$32)</f>
        <v>0.2</v>
      </c>
      <c r="AK14" s="104">
        <f t="shared" ref="AK14:AU14" si="2">SUM(AK$28:AK$32)</f>
        <v>0.2</v>
      </c>
      <c r="AL14" s="104">
        <f t="shared" si="2"/>
        <v>0.22</v>
      </c>
      <c r="AM14" s="104">
        <f t="shared" si="2"/>
        <v>0.22</v>
      </c>
      <c r="AN14" s="104">
        <f t="shared" si="2"/>
        <v>0.22</v>
      </c>
      <c r="AO14" s="104">
        <f t="shared" si="2"/>
        <v>0.2</v>
      </c>
      <c r="AP14" s="104">
        <f t="shared" si="2"/>
        <v>0.22</v>
      </c>
      <c r="AQ14" s="104">
        <f t="shared" si="2"/>
        <v>0.2</v>
      </c>
      <c r="AR14" s="104">
        <f t="shared" si="2"/>
        <v>0.2</v>
      </c>
      <c r="AS14" s="104">
        <f t="shared" si="2"/>
        <v>0.2</v>
      </c>
      <c r="AT14" s="104">
        <f t="shared" si="2"/>
        <v>0.2</v>
      </c>
      <c r="AU14" s="104">
        <f t="shared" si="2"/>
        <v>0.2</v>
      </c>
      <c r="DA14" s="59"/>
    </row>
    <row r="15" spans="3:105" s="12" customFormat="1" ht="17.100000000000001" customHeight="1">
      <c r="C15" s="32"/>
      <c r="K15" s="51"/>
      <c r="U15" s="148" t="s">
        <v>10</v>
      </c>
      <c r="V15" s="141">
        <f>SUM(V$33:V$34)</f>
        <v>10</v>
      </c>
      <c r="W15" s="141">
        <f t="shared" ref="W15:AG15" si="3">SUM(W$33:W$34)</f>
        <v>10</v>
      </c>
      <c r="X15" s="141">
        <f>SUM(X$33:X$34)</f>
        <v>10</v>
      </c>
      <c r="Y15" s="141">
        <f t="shared" si="3"/>
        <v>10</v>
      </c>
      <c r="Z15" s="141">
        <f t="shared" si="3"/>
        <v>10</v>
      </c>
      <c r="AA15" s="141">
        <f t="shared" si="3"/>
        <v>10</v>
      </c>
      <c r="AB15" s="141">
        <f t="shared" si="3"/>
        <v>10</v>
      </c>
      <c r="AC15" s="141">
        <f t="shared" si="3"/>
        <v>10</v>
      </c>
      <c r="AD15" s="141">
        <f t="shared" si="3"/>
        <v>10</v>
      </c>
      <c r="AE15" s="141">
        <f t="shared" si="3"/>
        <v>10</v>
      </c>
      <c r="AF15" s="141">
        <f t="shared" si="3"/>
        <v>10</v>
      </c>
      <c r="AG15" s="141">
        <f t="shared" si="3"/>
        <v>10</v>
      </c>
      <c r="AI15" s="148" t="s">
        <v>10</v>
      </c>
      <c r="AJ15" s="104">
        <f>SUM(AJ$33:AJ$34)</f>
        <v>0.1</v>
      </c>
      <c r="AK15" s="104">
        <f t="shared" ref="AK15:AU15" si="4">SUM(AK$33:AK$34)</f>
        <v>0.1</v>
      </c>
      <c r="AL15" s="104">
        <f t="shared" si="4"/>
        <v>0.1</v>
      </c>
      <c r="AM15" s="104">
        <f t="shared" si="4"/>
        <v>0.1</v>
      </c>
      <c r="AN15" s="104">
        <f t="shared" si="4"/>
        <v>0.1</v>
      </c>
      <c r="AO15" s="104">
        <f t="shared" si="4"/>
        <v>0.1</v>
      </c>
      <c r="AP15" s="104">
        <f t="shared" si="4"/>
        <v>0.1</v>
      </c>
      <c r="AQ15" s="104">
        <f t="shared" si="4"/>
        <v>0.1</v>
      </c>
      <c r="AR15" s="104">
        <f t="shared" si="4"/>
        <v>0.1</v>
      </c>
      <c r="AS15" s="104">
        <f t="shared" si="4"/>
        <v>0.1</v>
      </c>
      <c r="AT15" s="104">
        <f t="shared" si="4"/>
        <v>0.1</v>
      </c>
      <c r="AU15" s="104">
        <f t="shared" si="4"/>
        <v>0.1</v>
      </c>
      <c r="DA15" s="59"/>
    </row>
    <row r="16" spans="3:105" s="12" customFormat="1" ht="17.100000000000001" customHeight="1" outlineLevel="1">
      <c r="C16" s="32"/>
      <c r="D16" s="56" t="s">
        <v>191</v>
      </c>
      <c r="E16" s="271" t="s">
        <v>673</v>
      </c>
      <c r="I16" s="56" t="s">
        <v>3</v>
      </c>
      <c r="J16" s="8">
        <v>2196</v>
      </c>
      <c r="K16" s="51"/>
      <c r="U16" s="148" t="s">
        <v>21</v>
      </c>
      <c r="V16" s="141">
        <f>V35</f>
        <v>10</v>
      </c>
      <c r="W16" s="141">
        <f t="shared" ref="W16:AG16" si="5">W35</f>
        <v>10</v>
      </c>
      <c r="X16" s="141">
        <f>X35</f>
        <v>8</v>
      </c>
      <c r="Y16" s="141">
        <f t="shared" si="5"/>
        <v>8</v>
      </c>
      <c r="Z16" s="141">
        <f t="shared" si="5"/>
        <v>8</v>
      </c>
      <c r="AA16" s="141">
        <f t="shared" si="5"/>
        <v>10</v>
      </c>
      <c r="AB16" s="141">
        <f t="shared" si="5"/>
        <v>8</v>
      </c>
      <c r="AC16" s="141">
        <f t="shared" si="5"/>
        <v>10</v>
      </c>
      <c r="AD16" s="141">
        <f t="shared" si="5"/>
        <v>10</v>
      </c>
      <c r="AE16" s="141">
        <f t="shared" si="5"/>
        <v>10</v>
      </c>
      <c r="AF16" s="141">
        <f t="shared" si="5"/>
        <v>10</v>
      </c>
      <c r="AG16" s="141">
        <f t="shared" si="5"/>
        <v>10</v>
      </c>
      <c r="AI16" s="148" t="s">
        <v>21</v>
      </c>
      <c r="AJ16" s="104">
        <f>AJ35</f>
        <v>0.1</v>
      </c>
      <c r="AK16" s="104">
        <f t="shared" ref="AK16:AU16" si="6">AK35</f>
        <v>0.1</v>
      </c>
      <c r="AL16" s="104">
        <f t="shared" si="6"/>
        <v>0.08</v>
      </c>
      <c r="AM16" s="104">
        <f t="shared" si="6"/>
        <v>0.08</v>
      </c>
      <c r="AN16" s="104">
        <f t="shared" si="6"/>
        <v>0.08</v>
      </c>
      <c r="AO16" s="104">
        <f t="shared" si="6"/>
        <v>0.1</v>
      </c>
      <c r="AP16" s="104">
        <f t="shared" si="6"/>
        <v>0.08</v>
      </c>
      <c r="AQ16" s="104">
        <f t="shared" si="6"/>
        <v>0.1</v>
      </c>
      <c r="AR16" s="104">
        <f t="shared" si="6"/>
        <v>0.1</v>
      </c>
      <c r="AS16" s="104">
        <f t="shared" si="6"/>
        <v>0.1</v>
      </c>
      <c r="AT16" s="104">
        <f t="shared" si="6"/>
        <v>0.1</v>
      </c>
      <c r="AU16" s="104">
        <f t="shared" si="6"/>
        <v>0.1</v>
      </c>
      <c r="DA16" s="59"/>
    </row>
    <row r="17" spans="3:218" s="12" customFormat="1" ht="17.100000000000001" customHeight="1" outlineLevel="1">
      <c r="C17" s="32"/>
      <c r="D17" s="54" t="s">
        <v>16</v>
      </c>
      <c r="E17" s="9" t="s">
        <v>674</v>
      </c>
      <c r="I17" s="54" t="s">
        <v>5</v>
      </c>
      <c r="J17" s="78" t="s">
        <v>682</v>
      </c>
      <c r="K17" s="51"/>
      <c r="U17" s="148" t="s">
        <v>11</v>
      </c>
      <c r="V17" s="141">
        <f>SUM(V$36:V$37)</f>
        <v>60</v>
      </c>
      <c r="W17" s="141">
        <f t="shared" ref="W17:AG17" si="7">SUM(W$36:W$37)</f>
        <v>60</v>
      </c>
      <c r="X17" s="141">
        <f>SUM(X$36:X$37)</f>
        <v>60</v>
      </c>
      <c r="Y17" s="141">
        <f t="shared" si="7"/>
        <v>60</v>
      </c>
      <c r="Z17" s="141">
        <f t="shared" si="7"/>
        <v>60</v>
      </c>
      <c r="AA17" s="141">
        <f t="shared" si="7"/>
        <v>60</v>
      </c>
      <c r="AB17" s="141">
        <f t="shared" si="7"/>
        <v>60</v>
      </c>
      <c r="AC17" s="141">
        <f t="shared" si="7"/>
        <v>60</v>
      </c>
      <c r="AD17" s="141">
        <f t="shared" si="7"/>
        <v>60</v>
      </c>
      <c r="AE17" s="141">
        <f t="shared" si="7"/>
        <v>60</v>
      </c>
      <c r="AF17" s="141">
        <f t="shared" si="7"/>
        <v>60</v>
      </c>
      <c r="AG17" s="141">
        <f t="shared" si="7"/>
        <v>60</v>
      </c>
      <c r="AI17" s="148" t="s">
        <v>11</v>
      </c>
      <c r="AJ17" s="104">
        <f>SUM(AJ$36:AJ$37)</f>
        <v>0.6</v>
      </c>
      <c r="AK17" s="104">
        <f t="shared" ref="AK17:AU17" si="8">SUM(AK$36:AK$37)</f>
        <v>0.6</v>
      </c>
      <c r="AL17" s="104">
        <f t="shared" si="8"/>
        <v>0.6</v>
      </c>
      <c r="AM17" s="104">
        <f t="shared" si="8"/>
        <v>0.6</v>
      </c>
      <c r="AN17" s="104">
        <f t="shared" si="8"/>
        <v>0.6</v>
      </c>
      <c r="AO17" s="104">
        <f t="shared" si="8"/>
        <v>0.6</v>
      </c>
      <c r="AP17" s="104">
        <f t="shared" si="8"/>
        <v>0.6</v>
      </c>
      <c r="AQ17" s="104">
        <f t="shared" si="8"/>
        <v>0.6</v>
      </c>
      <c r="AR17" s="104">
        <f t="shared" si="8"/>
        <v>0.6</v>
      </c>
      <c r="AS17" s="104">
        <f t="shared" si="8"/>
        <v>0.6</v>
      </c>
      <c r="AT17" s="104">
        <f t="shared" si="8"/>
        <v>0.6</v>
      </c>
      <c r="AU17" s="104">
        <f t="shared" si="8"/>
        <v>0.6</v>
      </c>
      <c r="DA17" s="59"/>
    </row>
    <row r="18" spans="3:218" s="12" customFormat="1" ht="17.100000000000001" customHeight="1" outlineLevel="1">
      <c r="C18" s="32"/>
      <c r="D18" s="54" t="s">
        <v>193</v>
      </c>
      <c r="E18" s="40" t="s">
        <v>675</v>
      </c>
      <c r="I18" s="54" t="s">
        <v>15</v>
      </c>
      <c r="J18" s="9" t="s">
        <v>54</v>
      </c>
      <c r="K18" s="51"/>
      <c r="U18" s="148" t="s">
        <v>23</v>
      </c>
      <c r="V18" s="142">
        <f>SUM(V14:V17)</f>
        <v>100</v>
      </c>
      <c r="W18" s="142">
        <f t="shared" ref="W18:AG18" si="9">SUM(W14:W17)</f>
        <v>100</v>
      </c>
      <c r="X18" s="142">
        <f>SUM(X14:X17)</f>
        <v>100</v>
      </c>
      <c r="Y18" s="142">
        <f t="shared" si="9"/>
        <v>100</v>
      </c>
      <c r="Z18" s="142">
        <f t="shared" si="9"/>
        <v>100</v>
      </c>
      <c r="AA18" s="142">
        <f t="shared" si="9"/>
        <v>100</v>
      </c>
      <c r="AB18" s="142">
        <f t="shared" si="9"/>
        <v>100</v>
      </c>
      <c r="AC18" s="142">
        <f t="shared" si="9"/>
        <v>100</v>
      </c>
      <c r="AD18" s="142">
        <f t="shared" si="9"/>
        <v>100</v>
      </c>
      <c r="AE18" s="142">
        <f t="shared" si="9"/>
        <v>100</v>
      </c>
      <c r="AF18" s="142">
        <f t="shared" si="9"/>
        <v>100</v>
      </c>
      <c r="AG18" s="142">
        <f t="shared" si="9"/>
        <v>100</v>
      </c>
      <c r="AI18" s="148" t="s">
        <v>23</v>
      </c>
      <c r="AJ18" s="102">
        <f>SUM(AJ14:AJ17)</f>
        <v>1</v>
      </c>
      <c r="AK18" s="102">
        <f t="shared" ref="AK18:AU18" si="10">SUM(AK14:AK17)</f>
        <v>1</v>
      </c>
      <c r="AL18" s="102">
        <f t="shared" si="10"/>
        <v>1</v>
      </c>
      <c r="AM18" s="102">
        <f t="shared" si="10"/>
        <v>1</v>
      </c>
      <c r="AN18" s="102">
        <f t="shared" si="10"/>
        <v>1</v>
      </c>
      <c r="AO18" s="102">
        <f t="shared" si="10"/>
        <v>1</v>
      </c>
      <c r="AP18" s="102">
        <f t="shared" si="10"/>
        <v>1</v>
      </c>
      <c r="AQ18" s="102">
        <f t="shared" si="10"/>
        <v>1</v>
      </c>
      <c r="AR18" s="102">
        <f t="shared" si="10"/>
        <v>1</v>
      </c>
      <c r="AS18" s="102">
        <f t="shared" si="10"/>
        <v>1</v>
      </c>
      <c r="AT18" s="102">
        <f t="shared" si="10"/>
        <v>1</v>
      </c>
      <c r="AU18" s="102">
        <f t="shared" si="10"/>
        <v>1</v>
      </c>
      <c r="DA18" s="59"/>
    </row>
    <row r="19" spans="3:218" s="12" customFormat="1" ht="17.100000000000001" customHeight="1" outlineLevel="1">
      <c r="C19" s="32"/>
      <c r="I19" s="54" t="s">
        <v>22</v>
      </c>
      <c r="J19" s="9" t="s">
        <v>683</v>
      </c>
      <c r="K19" s="51"/>
      <c r="L19" s="151"/>
      <c r="T19" s="91"/>
      <c r="DA19" s="59"/>
    </row>
    <row r="20" spans="3:218" s="12" customFormat="1" ht="17.100000000000001" customHeight="1" outlineLevel="1">
      <c r="C20" s="32"/>
      <c r="D20" s="54" t="s">
        <v>162</v>
      </c>
      <c r="E20" s="9" t="s">
        <v>676</v>
      </c>
      <c r="I20" s="54" t="s">
        <v>230</v>
      </c>
      <c r="J20" s="10">
        <v>46178</v>
      </c>
      <c r="K20" s="51"/>
      <c r="L20" s="155" t="str">
        <f ca="1">IF(NOW()&lt;$J20,"ALERT: Transaction date is in the future","")</f>
        <v/>
      </c>
      <c r="DA20" s="59"/>
    </row>
    <row r="21" spans="3:218" s="12" customFormat="1" ht="17.100000000000001" customHeight="1" outlineLevel="1">
      <c r="C21" s="32"/>
      <c r="D21" s="54" t="s">
        <v>161</v>
      </c>
      <c r="E21" s="9" t="s">
        <v>676</v>
      </c>
      <c r="I21" s="54" t="s">
        <v>231</v>
      </c>
      <c r="J21" s="11">
        <v>0.68194444444444446</v>
      </c>
      <c r="K21" s="51"/>
      <c r="T21" s="91"/>
      <c r="DA21" s="59"/>
    </row>
    <row r="22" spans="3:218" s="12" customFormat="1" ht="17.100000000000001" customHeight="1" outlineLevel="1">
      <c r="C22" s="32"/>
      <c r="D22" s="54" t="s">
        <v>160</v>
      </c>
      <c r="E22" s="9" t="s">
        <v>676</v>
      </c>
      <c r="I22" s="54" t="s">
        <v>74</v>
      </c>
      <c r="J22" s="40">
        <v>3.9212962962962963E-2</v>
      </c>
      <c r="T22" s="91"/>
      <c r="DA22" s="59"/>
    </row>
    <row r="23" spans="3:218" s="12" customFormat="1" ht="17.100000000000001" customHeight="1" outlineLevel="1">
      <c r="C23" s="32"/>
      <c r="D23" s="154" t="s">
        <v>192</v>
      </c>
      <c r="E23" s="156" t="s">
        <v>159</v>
      </c>
      <c r="I23" s="154" t="s">
        <v>190</v>
      </c>
      <c r="J23" s="156" t="s">
        <v>159</v>
      </c>
      <c r="T23" s="91"/>
      <c r="DA23" s="59"/>
    </row>
    <row r="24" spans="3:218" s="12" customFormat="1" ht="17.100000000000001" customHeight="1" outlineLevel="1">
      <c r="C24" s="32"/>
      <c r="T24" s="91" t="s">
        <v>96</v>
      </c>
      <c r="DA24" s="59"/>
    </row>
    <row r="25" spans="3:218" s="12" customFormat="1" ht="16.5" customHeight="1" outlineLevel="1">
      <c r="C25" s="32"/>
      <c r="G25" s="54"/>
      <c r="R25" s="91"/>
      <c r="T25" s="91">
        <v>1</v>
      </c>
      <c r="U25" s="148" t="s">
        <v>93</v>
      </c>
      <c r="V25" s="32" t="s">
        <v>158</v>
      </c>
      <c r="W25" s="32" t="s">
        <v>76</v>
      </c>
      <c r="X25" s="32" t="s">
        <v>27</v>
      </c>
      <c r="Y25" s="32" t="s">
        <v>236</v>
      </c>
      <c r="Z25" s="32" t="s">
        <v>177</v>
      </c>
      <c r="AA25" s="32" t="s">
        <v>28</v>
      </c>
      <c r="AB25" s="32" t="s">
        <v>178</v>
      </c>
      <c r="AC25" s="32" t="s">
        <v>165</v>
      </c>
      <c r="AD25" s="32" t="s">
        <v>147</v>
      </c>
      <c r="AE25" s="32" t="s">
        <v>166</v>
      </c>
      <c r="AF25" s="32" t="s">
        <v>163</v>
      </c>
      <c r="AG25" s="32" t="s">
        <v>146</v>
      </c>
      <c r="AJ25" s="32" t="str">
        <f>V25</f>
        <v>Belkin</v>
      </c>
      <c r="AK25" s="32" t="str">
        <f t="shared" ref="AK25" si="11">W25</f>
        <v>CAT</v>
      </c>
      <c r="AL25" s="32" t="str">
        <f t="shared" ref="AL25" si="12">X25</f>
        <v>Chat</v>
      </c>
      <c r="AM25" s="32" t="str">
        <f t="shared" ref="AM25" si="13">Y25</f>
        <v>CS</v>
      </c>
      <c r="AN25" s="32" t="str">
        <f t="shared" ref="AN25" si="14">Z25</f>
        <v>Homestore</v>
      </c>
      <c r="AO25" s="32" t="str">
        <f t="shared" ref="AO25" si="15">AA25</f>
        <v>International</v>
      </c>
      <c r="AP25" s="32" t="str">
        <f t="shared" ref="AP25" si="16">AB25</f>
        <v>Linksys</v>
      </c>
      <c r="AQ25" s="32" t="str">
        <f t="shared" ref="AQ25" si="17">AC25</f>
        <v>SET</v>
      </c>
      <c r="AR25" s="32" t="str">
        <f t="shared" ref="AR25" si="18">AD25</f>
        <v>SMB</v>
      </c>
      <c r="AS25" s="32" t="str">
        <f t="shared" ref="AS25" si="19">AE25</f>
        <v>SMRT</v>
      </c>
      <c r="AT25" s="32" t="str">
        <f t="shared" ref="AT25" si="20">AF25</f>
        <v>Velop</v>
      </c>
      <c r="AU25" s="32" t="str">
        <f t="shared" ref="AU25" si="21">AG25</f>
        <v>Wemo</v>
      </c>
      <c r="DA25" s="59"/>
    </row>
    <row r="26" spans="3:218" s="52" customFormat="1" ht="30" customHeight="1">
      <c r="C26" s="57"/>
      <c r="D26" s="129" t="s">
        <v>131</v>
      </c>
      <c r="E26" s="129"/>
      <c r="F26" s="129"/>
      <c r="G26" s="129"/>
      <c r="H26" s="129"/>
      <c r="I26" s="129"/>
      <c r="J26" s="129"/>
      <c r="K26" s="12"/>
      <c r="R26" s="58"/>
      <c r="T26" s="91">
        <f>T25+1</f>
        <v>2</v>
      </c>
      <c r="U26" s="95" t="s">
        <v>91</v>
      </c>
      <c r="V26" s="81">
        <v>0.8</v>
      </c>
      <c r="W26" s="81">
        <v>0.9</v>
      </c>
      <c r="X26" s="81">
        <v>0.8</v>
      </c>
      <c r="Y26" s="81">
        <v>0.8</v>
      </c>
      <c r="Z26" s="81">
        <v>0.8</v>
      </c>
      <c r="AA26" s="81">
        <v>0.8</v>
      </c>
      <c r="AB26" s="81">
        <v>0.8</v>
      </c>
      <c r="AC26" s="81">
        <v>0.9</v>
      </c>
      <c r="AD26" s="81">
        <v>0.9</v>
      </c>
      <c r="AE26" s="81">
        <v>0.9</v>
      </c>
      <c r="AF26" s="81">
        <v>0.9</v>
      </c>
      <c r="AG26" s="81">
        <v>0.8</v>
      </c>
      <c r="AI26" s="32"/>
      <c r="AJ26" s="81">
        <v>0.8</v>
      </c>
      <c r="AK26" s="81">
        <v>0.8</v>
      </c>
      <c r="AL26" s="81">
        <v>0.8</v>
      </c>
      <c r="AM26" s="81">
        <v>0.8</v>
      </c>
      <c r="AN26" s="81">
        <v>0.8</v>
      </c>
      <c r="AO26" s="81">
        <v>0.8</v>
      </c>
      <c r="AP26" s="81">
        <v>0.8</v>
      </c>
      <c r="AQ26" s="81">
        <v>0.8</v>
      </c>
      <c r="AR26" s="81">
        <v>0.8</v>
      </c>
      <c r="AS26" s="81">
        <v>0.8</v>
      </c>
      <c r="AT26" s="81">
        <v>0.9</v>
      </c>
      <c r="AU26" s="81">
        <v>0.8</v>
      </c>
      <c r="DA26" s="59"/>
    </row>
    <row r="27" spans="3:218" s="52" customFormat="1" ht="30" customHeight="1">
      <c r="C27" s="57"/>
      <c r="D27" s="70" t="s">
        <v>78</v>
      </c>
      <c r="E27" s="71" t="s">
        <v>79</v>
      </c>
      <c r="F27" s="76" t="s">
        <v>80</v>
      </c>
      <c r="G27" s="76" t="s">
        <v>81</v>
      </c>
      <c r="H27" s="72" t="s">
        <v>82</v>
      </c>
      <c r="I27" s="192" t="s">
        <v>83</v>
      </c>
      <c r="J27" s="193"/>
      <c r="K27" s="12"/>
      <c r="L27" s="73" t="s">
        <v>38</v>
      </c>
      <c r="M27" s="60"/>
      <c r="N27" s="60"/>
      <c r="O27" s="61"/>
      <c r="Q27" s="86" t="s">
        <v>80</v>
      </c>
      <c r="R27" s="87" t="s">
        <v>92</v>
      </c>
      <c r="S27" s="109" t="s">
        <v>123</v>
      </c>
      <c r="T27" s="91">
        <f t="shared" ref="T27:T37" si="22">T26+1</f>
        <v>3</v>
      </c>
      <c r="U27" s="83" t="s">
        <v>90</v>
      </c>
      <c r="V27" s="82" t="s">
        <v>158</v>
      </c>
      <c r="W27" s="82" t="s">
        <v>76</v>
      </c>
      <c r="X27" s="82" t="s">
        <v>27</v>
      </c>
      <c r="Y27" s="82" t="s">
        <v>21</v>
      </c>
      <c r="Z27" s="82" t="s">
        <v>177</v>
      </c>
      <c r="AA27" s="82" t="s">
        <v>28</v>
      </c>
      <c r="AB27" s="82" t="s">
        <v>178</v>
      </c>
      <c r="AC27" s="82" t="s">
        <v>165</v>
      </c>
      <c r="AD27" s="82" t="s">
        <v>147</v>
      </c>
      <c r="AE27" s="82" t="s">
        <v>164</v>
      </c>
      <c r="AF27" s="82" t="s">
        <v>163</v>
      </c>
      <c r="AG27" s="82" t="s">
        <v>146</v>
      </c>
      <c r="AI27" s="96" t="s">
        <v>90</v>
      </c>
      <c r="AJ27" s="97" t="str">
        <f>V27</f>
        <v>Belkin</v>
      </c>
      <c r="AK27" s="97" t="str">
        <f t="shared" ref="AK27" si="23">W27</f>
        <v>CAT</v>
      </c>
      <c r="AL27" s="97" t="str">
        <f t="shared" ref="AL27" si="24">X27</f>
        <v>Chat</v>
      </c>
      <c r="AM27" s="97" t="str">
        <f t="shared" ref="AM27" si="25">Y27</f>
        <v>Customer Service</v>
      </c>
      <c r="AN27" s="97" t="str">
        <f t="shared" ref="AN27" si="26">Z27</f>
        <v>Homestore</v>
      </c>
      <c r="AO27" s="97" t="str">
        <f t="shared" ref="AO27" si="27">AA27</f>
        <v>International</v>
      </c>
      <c r="AP27" s="97" t="str">
        <f t="shared" ref="AP27" si="28">AB27</f>
        <v>Linksys</v>
      </c>
      <c r="AQ27" s="97" t="str">
        <f t="shared" ref="AQ27" si="29">AC27</f>
        <v>SET</v>
      </c>
      <c r="AR27" s="97" t="str">
        <f t="shared" ref="AR27" si="30">AD27</f>
        <v>SMB</v>
      </c>
      <c r="AS27" s="97" t="str">
        <f t="shared" ref="AS27" si="31">AE27</f>
        <v>Social Media</v>
      </c>
      <c r="AT27" s="97" t="str">
        <f t="shared" ref="AT27" si="32">AF27</f>
        <v>Velop</v>
      </c>
      <c r="AU27" s="97" t="str">
        <f>AG27</f>
        <v>Wemo</v>
      </c>
      <c r="AX27" s="73" t="s">
        <v>88</v>
      </c>
      <c r="AY27" s="62"/>
      <c r="AZ27" s="62"/>
      <c r="BA27" s="62"/>
      <c r="BB27" s="62"/>
      <c r="BC27" s="62"/>
      <c r="BD27" s="62"/>
      <c r="BE27" s="62"/>
      <c r="BF27" s="62"/>
      <c r="BG27" s="62"/>
      <c r="BH27" s="62"/>
      <c r="BI27" s="62"/>
      <c r="BJ27" s="62"/>
      <c r="BK27" s="62"/>
      <c r="BL27" s="62"/>
      <c r="BM27" s="62"/>
      <c r="BN27" s="62"/>
      <c r="BO27" s="62"/>
      <c r="BP27" s="62"/>
      <c r="BQ27" s="62"/>
      <c r="BR27" s="62"/>
      <c r="BS27" s="62"/>
      <c r="BT27" s="62"/>
      <c r="BU27" s="62"/>
      <c r="BV27" s="62"/>
      <c r="BW27" s="62"/>
      <c r="BX27" s="62"/>
      <c r="BY27" s="62"/>
      <c r="BZ27" s="62"/>
      <c r="CA27" s="62"/>
      <c r="CB27" s="62"/>
      <c r="CC27" s="62"/>
      <c r="CD27" s="62"/>
      <c r="CE27" s="62"/>
      <c r="CF27" s="62"/>
      <c r="CG27" s="62"/>
      <c r="CH27" s="62"/>
      <c r="CI27" s="62"/>
      <c r="CJ27" s="62"/>
      <c r="CK27" s="62"/>
      <c r="CL27" s="62"/>
      <c r="CM27" s="62"/>
      <c r="CN27" s="62"/>
      <c r="CO27" s="62"/>
      <c r="CP27" s="62"/>
      <c r="CQ27" s="62"/>
      <c r="CR27" s="62"/>
      <c r="CS27" s="62"/>
      <c r="CT27" s="62"/>
      <c r="CU27" s="62"/>
      <c r="CV27" s="62"/>
      <c r="CW27" s="62"/>
      <c r="CX27" s="62"/>
      <c r="CY27" s="62"/>
      <c r="CZ27" s="62"/>
      <c r="DA27" s="112" t="s">
        <v>124</v>
      </c>
      <c r="DB27" s="79" t="s">
        <v>87</v>
      </c>
      <c r="DC27" s="63"/>
      <c r="DD27" s="63"/>
      <c r="DE27" s="63"/>
      <c r="DF27" s="63"/>
      <c r="DG27" s="63"/>
      <c r="DH27" s="63"/>
      <c r="DI27" s="63"/>
      <c r="DJ27" s="63"/>
      <c r="DK27" s="63"/>
      <c r="DL27" s="63"/>
      <c r="DM27" s="63"/>
      <c r="DN27" s="63"/>
      <c r="DO27" s="63"/>
      <c r="DP27" s="63"/>
      <c r="DQ27" s="63"/>
      <c r="DR27" s="63"/>
      <c r="DS27" s="63"/>
      <c r="DT27" s="63"/>
      <c r="DU27" s="63"/>
      <c r="DV27" s="63"/>
      <c r="DW27" s="63"/>
      <c r="DX27" s="63"/>
      <c r="DY27" s="63"/>
      <c r="DZ27" s="63"/>
      <c r="EA27" s="63"/>
      <c r="EB27" s="63"/>
      <c r="EC27" s="63"/>
      <c r="ED27" s="63"/>
      <c r="EE27" s="63"/>
      <c r="EF27" s="63"/>
      <c r="EG27" s="63"/>
      <c r="EH27" s="63"/>
      <c r="EI27" s="63"/>
      <c r="EJ27" s="63"/>
      <c r="EK27" s="63"/>
      <c r="EL27" s="63"/>
      <c r="EM27" s="63"/>
      <c r="EN27" s="63"/>
      <c r="EO27" s="63"/>
      <c r="EP27" s="63"/>
      <c r="EQ27" s="63"/>
      <c r="ER27" s="63"/>
      <c r="ES27" s="63"/>
      <c r="ET27" s="63"/>
      <c r="EU27" s="63"/>
      <c r="EV27" s="63"/>
      <c r="EW27" s="63"/>
      <c r="EX27" s="63"/>
      <c r="EY27" s="63"/>
      <c r="EZ27" s="63"/>
      <c r="FA27" s="63"/>
      <c r="FB27" s="63"/>
      <c r="FC27" s="63"/>
      <c r="FD27" s="64"/>
      <c r="FF27" s="113" t="s">
        <v>126</v>
      </c>
      <c r="FG27" s="116"/>
      <c r="FH27" s="116"/>
      <c r="FI27" s="116"/>
      <c r="FJ27" s="116"/>
      <c r="FK27" s="116"/>
      <c r="FL27" s="116"/>
      <c r="FM27" s="116"/>
      <c r="FN27" s="116"/>
      <c r="FO27" s="116"/>
      <c r="FP27" s="116"/>
      <c r="FQ27" s="116"/>
      <c r="FR27" s="116"/>
      <c r="FS27" s="116"/>
      <c r="FT27" s="116"/>
      <c r="FU27" s="116"/>
      <c r="FV27" s="116"/>
      <c r="FW27" s="116"/>
      <c r="FX27" s="116"/>
      <c r="FY27" s="116"/>
      <c r="FZ27" s="116"/>
      <c r="GA27" s="116"/>
      <c r="GB27" s="116"/>
      <c r="GC27" s="116"/>
      <c r="GD27" s="116"/>
      <c r="GE27" s="116"/>
      <c r="GF27" s="116"/>
      <c r="GG27" s="116"/>
      <c r="GH27" s="116"/>
      <c r="GI27" s="116"/>
      <c r="GJ27" s="116"/>
      <c r="GK27" s="116"/>
      <c r="GL27" s="116"/>
      <c r="GM27" s="116"/>
      <c r="GN27" s="116"/>
      <c r="GO27" s="116"/>
      <c r="GP27" s="116"/>
      <c r="GQ27" s="116"/>
      <c r="GR27" s="116"/>
      <c r="GS27" s="116"/>
      <c r="GT27" s="116"/>
      <c r="GU27" s="116"/>
      <c r="GV27" s="116"/>
      <c r="GW27" s="116"/>
      <c r="GX27" s="116"/>
      <c r="GY27" s="116"/>
      <c r="GZ27" s="116"/>
      <c r="HA27" s="116"/>
      <c r="HB27" s="116"/>
      <c r="HC27" s="116"/>
      <c r="HD27" s="116"/>
      <c r="HE27" s="116"/>
      <c r="HF27" s="116"/>
      <c r="HG27" s="116"/>
      <c r="HH27" s="117"/>
      <c r="HJ27" s="115" t="s">
        <v>125</v>
      </c>
    </row>
    <row r="28" spans="3:218" s="119" customFormat="1" ht="45" customHeight="1">
      <c r="C28" s="118">
        <v>1</v>
      </c>
      <c r="D28" s="198" t="s">
        <v>9</v>
      </c>
      <c r="E28" s="3" t="s">
        <v>232</v>
      </c>
      <c r="F28" s="134">
        <f>IF($E$5="","",0%)</f>
        <v>0</v>
      </c>
      <c r="G28" s="134">
        <f>IF($E$5="","",0%)</f>
        <v>0</v>
      </c>
      <c r="H28" s="74" t="s">
        <v>173</v>
      </c>
      <c r="I28" s="190" t="s">
        <v>687</v>
      </c>
      <c r="J28" s="191"/>
      <c r="K28" s="43"/>
      <c r="L28" s="67"/>
      <c r="M28" s="65"/>
      <c r="N28" s="65"/>
      <c r="O28" s="66"/>
      <c r="Q28" s="132">
        <f t="shared" ref="Q28:Q37" si="33">IFERROR(IF(H28="N/A",0,R28),"")</f>
        <v>0</v>
      </c>
      <c r="R28" s="133">
        <f t="shared" ref="R28:R37" si="34">IFERROR(HLOOKUP($V$9,$AJ$25:$AU$37,$T28,0),"")</f>
        <v>0</v>
      </c>
      <c r="S28" s="120" t="str">
        <f t="shared" ref="S28:S37" si="35">IF(OR($H28="NO",ISNUMBER($DA28)),$E28&amp;"; ","")</f>
        <v/>
      </c>
      <c r="T28" s="91">
        <f t="shared" si="22"/>
        <v>4</v>
      </c>
      <c r="U28" s="84" t="s">
        <v>232</v>
      </c>
      <c r="V28" s="139">
        <v>0</v>
      </c>
      <c r="W28" s="139">
        <v>0</v>
      </c>
      <c r="X28" s="139">
        <v>0</v>
      </c>
      <c r="Y28" s="139">
        <v>0</v>
      </c>
      <c r="Z28" s="139">
        <v>0</v>
      </c>
      <c r="AA28" s="139">
        <v>0</v>
      </c>
      <c r="AB28" s="139">
        <v>0</v>
      </c>
      <c r="AC28" s="139">
        <v>0</v>
      </c>
      <c r="AD28" s="139">
        <v>0</v>
      </c>
      <c r="AE28" s="139">
        <v>0</v>
      </c>
      <c r="AF28" s="139">
        <v>0</v>
      </c>
      <c r="AG28" s="139">
        <v>0</v>
      </c>
      <c r="AI28" s="100" t="s">
        <v>232</v>
      </c>
      <c r="AJ28" s="143">
        <f>IFERROR(V28/SUM(V$28:V$37),"")</f>
        <v>0</v>
      </c>
      <c r="AK28" s="143">
        <f t="shared" ref="AK28:AK37" si="36">IFERROR(W28/SUM(W$28:W$37),"")</f>
        <v>0</v>
      </c>
      <c r="AL28" s="143">
        <f t="shared" ref="AL28:AL37" si="37">IFERROR(X28/SUM(X$28:X$37),"")</f>
        <v>0</v>
      </c>
      <c r="AM28" s="143">
        <f t="shared" ref="AM28:AM37" si="38">IFERROR(Y28/SUM(Y$28:Y$37),"")</f>
        <v>0</v>
      </c>
      <c r="AN28" s="143">
        <f t="shared" ref="AN28:AN37" si="39">IFERROR(Z28/SUM(Z$28:Z$37),"")</f>
        <v>0</v>
      </c>
      <c r="AO28" s="143">
        <f t="shared" ref="AO28:AO37" si="40">IFERROR(AA28/SUM(AA$28:AA$37),"")</f>
        <v>0</v>
      </c>
      <c r="AP28" s="143">
        <f t="shared" ref="AP28:AP37" si="41">IFERROR(AB28/SUM(AB$28:AB$37),"")</f>
        <v>0</v>
      </c>
      <c r="AQ28" s="143">
        <f t="shared" ref="AQ28:AQ37" si="42">IFERROR(AC28/SUM(AC$28:AC$37),"")</f>
        <v>0</v>
      </c>
      <c r="AR28" s="143">
        <f t="shared" ref="AR28:AR37" si="43">IFERROR(AD28/SUM(AD$28:AD$37),"")</f>
        <v>0</v>
      </c>
      <c r="AS28" s="143">
        <f t="shared" ref="AS28:AS37" si="44">IFERROR(AE28/SUM(AE$28:AE$37),"")</f>
        <v>0</v>
      </c>
      <c r="AT28" s="143">
        <f t="shared" ref="AT28:AT37" si="45">IFERROR(AF28/SUM(AF$28:AF$37),"")</f>
        <v>0</v>
      </c>
      <c r="AU28" s="143">
        <f t="shared" ref="AU28:AU37" si="46">IFERROR(AG28/SUM(AG$28:AG$37),"")</f>
        <v>0</v>
      </c>
      <c r="AX28" s="13" t="s">
        <v>335</v>
      </c>
      <c r="AY28" s="13"/>
      <c r="AZ28" s="13"/>
      <c r="BA28" s="13"/>
      <c r="BB28" s="13"/>
      <c r="BC28" s="13"/>
      <c r="BD28" s="13"/>
      <c r="BE28" s="13"/>
      <c r="BF28" s="13"/>
      <c r="BG28" s="13"/>
      <c r="BH28" s="13"/>
      <c r="BI28" s="13"/>
      <c r="BJ28" s="13"/>
      <c r="BK28" s="13"/>
      <c r="BL28" s="13"/>
      <c r="BM28" s="13"/>
      <c r="BN28" s="13"/>
      <c r="BO28" s="13"/>
      <c r="BP28" s="13"/>
      <c r="BQ28" s="13"/>
      <c r="BR28" s="13"/>
      <c r="BS28" s="13"/>
      <c r="BT28" s="13"/>
      <c r="BU28" s="13"/>
      <c r="BV28" s="13"/>
      <c r="BW28" s="13"/>
      <c r="BX28" s="13"/>
      <c r="BY28" s="13"/>
      <c r="BZ28" s="13"/>
      <c r="CA28" s="13"/>
      <c r="CB28" s="13"/>
      <c r="CC28" s="13"/>
      <c r="CD28" s="13"/>
      <c r="CE28" s="13"/>
      <c r="CF28" s="13"/>
      <c r="CG28" s="13"/>
      <c r="CH28" s="13"/>
      <c r="CI28" s="13"/>
      <c r="CJ28" s="13"/>
      <c r="CK28" s="13"/>
      <c r="CL28" s="13"/>
      <c r="CM28" s="13"/>
      <c r="CN28" s="13"/>
      <c r="CO28" s="13"/>
      <c r="CP28" s="13"/>
      <c r="CQ28" s="13"/>
      <c r="CR28" s="13"/>
      <c r="CS28" s="13"/>
      <c r="CT28" s="13"/>
      <c r="CU28" s="13"/>
      <c r="CV28" s="13"/>
      <c r="CW28" s="13"/>
      <c r="CX28" s="13"/>
      <c r="CY28" s="13"/>
      <c r="CZ28" s="13"/>
      <c r="DA28" s="112" t="e">
        <f>MATCH(TRUE,DB28:FD28,0)</f>
        <v>#N/A</v>
      </c>
      <c r="DB28" s="13"/>
      <c r="DC28" s="13"/>
      <c r="DD28" s="13"/>
      <c r="DE28" s="13"/>
      <c r="DF28" s="13"/>
      <c r="DG28" s="13"/>
      <c r="DH28" s="13"/>
      <c r="DI28" s="13"/>
      <c r="DJ28" s="13"/>
      <c r="DK28" s="13"/>
      <c r="DL28" s="13"/>
      <c r="DM28" s="13"/>
      <c r="DN28" s="13"/>
      <c r="DO28" s="13"/>
      <c r="DP28" s="13"/>
      <c r="DQ28" s="13"/>
      <c r="DR28" s="13"/>
      <c r="DS28" s="13"/>
      <c r="DT28" s="13"/>
      <c r="DU28" s="13"/>
      <c r="DV28" s="13"/>
      <c r="DW28" s="13"/>
      <c r="DX28" s="13"/>
      <c r="DY28" s="13"/>
      <c r="DZ28" s="13"/>
      <c r="EA28" s="13"/>
      <c r="EB28" s="13"/>
      <c r="EC28" s="13"/>
      <c r="ED28" s="13"/>
      <c r="EE28" s="13"/>
      <c r="EF28" s="13"/>
      <c r="EG28" s="13"/>
      <c r="EH28" s="13"/>
      <c r="EI28" s="13"/>
      <c r="EJ28" s="13"/>
      <c r="EK28" s="13"/>
      <c r="EL28" s="13"/>
      <c r="EM28" s="13"/>
      <c r="EN28" s="13"/>
      <c r="EO28" s="13"/>
      <c r="EP28" s="13"/>
      <c r="EQ28" s="13"/>
      <c r="ER28" s="13"/>
      <c r="ES28" s="13"/>
      <c r="ET28" s="13"/>
      <c r="EU28" s="13"/>
      <c r="EV28" s="13"/>
      <c r="EW28" s="13"/>
      <c r="EX28" s="13"/>
      <c r="EY28" s="13"/>
      <c r="EZ28" s="13"/>
      <c r="FA28" s="13"/>
      <c r="FB28" s="13"/>
      <c r="FC28" s="13"/>
      <c r="FD28" s="13"/>
      <c r="FF28" s="13" t="str">
        <f>IF(DB28=TRUE,AX28&amp;"; ","")</f>
        <v/>
      </c>
      <c r="FG28" s="13" t="str">
        <f t="shared" ref="FG28:HH32" si="47">IF(DC28=TRUE,AY28&amp;"; ","")</f>
        <v/>
      </c>
      <c r="FH28" s="13" t="str">
        <f t="shared" si="47"/>
        <v/>
      </c>
      <c r="FI28" s="13" t="str">
        <f t="shared" si="47"/>
        <v/>
      </c>
      <c r="FJ28" s="13" t="str">
        <f t="shared" si="47"/>
        <v/>
      </c>
      <c r="FK28" s="13" t="str">
        <f t="shared" si="47"/>
        <v/>
      </c>
      <c r="FL28" s="13" t="str">
        <f t="shared" si="47"/>
        <v/>
      </c>
      <c r="FM28" s="13" t="str">
        <f t="shared" si="47"/>
        <v/>
      </c>
      <c r="FN28" s="13" t="str">
        <f t="shared" si="47"/>
        <v/>
      </c>
      <c r="FO28" s="13" t="str">
        <f t="shared" si="47"/>
        <v/>
      </c>
      <c r="FP28" s="13" t="str">
        <f t="shared" si="47"/>
        <v/>
      </c>
      <c r="FQ28" s="13" t="str">
        <f t="shared" si="47"/>
        <v/>
      </c>
      <c r="FR28" s="13" t="str">
        <f t="shared" si="47"/>
        <v/>
      </c>
      <c r="FS28" s="13" t="str">
        <f t="shared" si="47"/>
        <v/>
      </c>
      <c r="FT28" s="13" t="str">
        <f t="shared" si="47"/>
        <v/>
      </c>
      <c r="FU28" s="13" t="str">
        <f t="shared" si="47"/>
        <v/>
      </c>
      <c r="FV28" s="13" t="str">
        <f t="shared" si="47"/>
        <v/>
      </c>
      <c r="FW28" s="13" t="str">
        <f t="shared" si="47"/>
        <v/>
      </c>
      <c r="FX28" s="13" t="str">
        <f t="shared" si="47"/>
        <v/>
      </c>
      <c r="FY28" s="13" t="str">
        <f t="shared" si="47"/>
        <v/>
      </c>
      <c r="FZ28" s="13" t="str">
        <f t="shared" si="47"/>
        <v/>
      </c>
      <c r="GA28" s="13" t="str">
        <f t="shared" si="47"/>
        <v/>
      </c>
      <c r="GB28" s="13" t="str">
        <f t="shared" si="47"/>
        <v/>
      </c>
      <c r="GC28" s="13" t="str">
        <f t="shared" si="47"/>
        <v/>
      </c>
      <c r="GD28" s="13" t="str">
        <f t="shared" si="47"/>
        <v/>
      </c>
      <c r="GE28" s="13" t="str">
        <f t="shared" si="47"/>
        <v/>
      </c>
      <c r="GF28" s="13" t="str">
        <f t="shared" si="47"/>
        <v/>
      </c>
      <c r="GG28" s="13" t="str">
        <f t="shared" si="47"/>
        <v/>
      </c>
      <c r="GH28" s="13" t="str">
        <f t="shared" si="47"/>
        <v/>
      </c>
      <c r="GI28" s="13" t="str">
        <f t="shared" si="47"/>
        <v/>
      </c>
      <c r="GJ28" s="13" t="str">
        <f t="shared" si="47"/>
        <v/>
      </c>
      <c r="GK28" s="13" t="str">
        <f t="shared" si="47"/>
        <v/>
      </c>
      <c r="GL28" s="13" t="str">
        <f t="shared" si="47"/>
        <v/>
      </c>
      <c r="GM28" s="13" t="str">
        <f t="shared" si="47"/>
        <v/>
      </c>
      <c r="GN28" s="13" t="str">
        <f t="shared" si="47"/>
        <v/>
      </c>
      <c r="GO28" s="13" t="str">
        <f t="shared" si="47"/>
        <v/>
      </c>
      <c r="GP28" s="13" t="str">
        <f t="shared" si="47"/>
        <v/>
      </c>
      <c r="GQ28" s="13" t="str">
        <f t="shared" si="47"/>
        <v/>
      </c>
      <c r="GR28" s="13" t="str">
        <f t="shared" si="47"/>
        <v/>
      </c>
      <c r="GS28" s="13" t="str">
        <f t="shared" si="47"/>
        <v/>
      </c>
      <c r="GT28" s="13" t="str">
        <f t="shared" si="47"/>
        <v/>
      </c>
      <c r="GU28" s="13" t="str">
        <f t="shared" si="47"/>
        <v/>
      </c>
      <c r="GV28" s="13" t="str">
        <f t="shared" si="47"/>
        <v/>
      </c>
      <c r="GW28" s="13" t="str">
        <f t="shared" si="47"/>
        <v/>
      </c>
      <c r="GX28" s="13" t="str">
        <f t="shared" si="47"/>
        <v/>
      </c>
      <c r="GY28" s="13" t="str">
        <f t="shared" si="47"/>
        <v/>
      </c>
      <c r="GZ28" s="13" t="str">
        <f t="shared" si="47"/>
        <v/>
      </c>
      <c r="HA28" s="13" t="str">
        <f t="shared" si="47"/>
        <v/>
      </c>
      <c r="HB28" s="13" t="str">
        <f t="shared" si="47"/>
        <v/>
      </c>
      <c r="HC28" s="13" t="str">
        <f t="shared" si="47"/>
        <v/>
      </c>
      <c r="HD28" s="13" t="str">
        <f t="shared" si="47"/>
        <v/>
      </c>
      <c r="HE28" s="13" t="str">
        <f t="shared" si="47"/>
        <v/>
      </c>
      <c r="HF28" s="13" t="str">
        <f t="shared" si="47"/>
        <v/>
      </c>
      <c r="HG28" s="13" t="str">
        <f t="shared" si="47"/>
        <v/>
      </c>
      <c r="HH28" s="13" t="str">
        <f t="shared" si="47"/>
        <v/>
      </c>
      <c r="HJ28" s="114" t="str">
        <f>IFERROR(LEFT(FF28&amp;FG28&amp;FH28&amp;FI28&amp;FJ28&amp;FK28&amp;FL28&amp;FM28&amp;FN28&amp;FO28&amp;FP28&amp;FQ28&amp;FR28&amp;FS28&amp;FT28&amp;FU28&amp;FV28&amp;FW28&amp;FX28&amp;FY28&amp;FZ28&amp;GA28&amp;GB28&amp;GC28&amp;GD28&amp;GE28&amp;GF28&amp;GG28&amp;GH28&amp;GI28&amp;GJ28&amp;GK28&amp;GL28&amp;GM28&amp;GN28&amp;GO28&amp;GP28&amp;GQ28&amp;GR28&amp;GS28&amp;GT28&amp;GU28&amp;GV28&amp;GW28&amp;GX28&amp;GY28&amp;GZ28&amp;HA28&amp;HB28&amp;HC28&amp;HD28&amp;HE28&amp;HF28&amp;HG28&amp;HH28,LEN(FF28&amp;FG28&amp;FH28&amp;FI28&amp;FJ28&amp;FK28&amp;FL28&amp;FM28&amp;FN28&amp;FO28&amp;FP28&amp;FQ28&amp;FR28&amp;FS28&amp;FT28&amp;FU28&amp;FV28&amp;FW28&amp;FX28&amp;FY28&amp;FZ28&amp;GA28&amp;GB28&amp;GC28&amp;GD28&amp;GE28&amp;GF28&amp;GG28&amp;GH28&amp;GI28&amp;GJ28&amp;GK28&amp;GL28&amp;GM28&amp;GN28&amp;GO28&amp;GP28&amp;GQ28&amp;GR28&amp;GS28&amp;GT28&amp;GU28&amp;GV28&amp;GW28&amp;GX28&amp;GY28&amp;GZ28&amp;HA28&amp;HB28&amp;HC28&amp;HD28&amp;HE28&amp;HF28&amp;HG28&amp;HH28)-2),"")</f>
        <v/>
      </c>
    </row>
    <row r="29" spans="3:218" s="119" customFormat="1" ht="45" customHeight="1">
      <c r="C29" s="121">
        <v>2</v>
      </c>
      <c r="D29" s="199"/>
      <c r="E29" s="3" t="s">
        <v>233</v>
      </c>
      <c r="F29" s="134">
        <f>IF($E$5="","",0%)</f>
        <v>0</v>
      </c>
      <c r="G29" s="134">
        <f>IF($E$5="","",0%)</f>
        <v>0</v>
      </c>
      <c r="H29" s="74" t="s">
        <v>173</v>
      </c>
      <c r="I29" s="190" t="s">
        <v>688</v>
      </c>
      <c r="J29" s="191"/>
      <c r="K29" s="43"/>
      <c r="L29" s="67"/>
      <c r="M29" s="65"/>
      <c r="N29" s="65"/>
      <c r="O29" s="66"/>
      <c r="Q29" s="132">
        <f t="shared" si="33"/>
        <v>0</v>
      </c>
      <c r="R29" s="133">
        <f t="shared" si="34"/>
        <v>0</v>
      </c>
      <c r="S29" s="120" t="str">
        <f t="shared" si="35"/>
        <v/>
      </c>
      <c r="T29" s="91">
        <f t="shared" si="22"/>
        <v>5</v>
      </c>
      <c r="U29" s="84" t="s">
        <v>233</v>
      </c>
      <c r="V29" s="139">
        <v>0</v>
      </c>
      <c r="W29" s="139">
        <v>0</v>
      </c>
      <c r="X29" s="139">
        <v>0</v>
      </c>
      <c r="Y29" s="139">
        <v>0</v>
      </c>
      <c r="Z29" s="139">
        <v>0</v>
      </c>
      <c r="AA29" s="139">
        <v>0</v>
      </c>
      <c r="AB29" s="139">
        <v>0</v>
      </c>
      <c r="AC29" s="139">
        <v>0</v>
      </c>
      <c r="AD29" s="139">
        <v>0</v>
      </c>
      <c r="AE29" s="139">
        <v>0</v>
      </c>
      <c r="AF29" s="139">
        <v>0</v>
      </c>
      <c r="AG29" s="139">
        <v>0</v>
      </c>
      <c r="AI29" s="100" t="s">
        <v>233</v>
      </c>
      <c r="AJ29" s="143">
        <f t="shared" ref="AJ29:AJ37" si="48">IFERROR(V29/SUM(V$28:V$37),"")</f>
        <v>0</v>
      </c>
      <c r="AK29" s="143">
        <f t="shared" si="36"/>
        <v>0</v>
      </c>
      <c r="AL29" s="143">
        <f t="shared" si="37"/>
        <v>0</v>
      </c>
      <c r="AM29" s="143">
        <f t="shared" si="38"/>
        <v>0</v>
      </c>
      <c r="AN29" s="143">
        <f t="shared" si="39"/>
        <v>0</v>
      </c>
      <c r="AO29" s="143">
        <f t="shared" si="40"/>
        <v>0</v>
      </c>
      <c r="AP29" s="143">
        <f t="shared" si="41"/>
        <v>0</v>
      </c>
      <c r="AQ29" s="143">
        <f t="shared" si="42"/>
        <v>0</v>
      </c>
      <c r="AR29" s="143">
        <f t="shared" si="43"/>
        <v>0</v>
      </c>
      <c r="AS29" s="143">
        <f t="shared" si="44"/>
        <v>0</v>
      </c>
      <c r="AT29" s="143">
        <f t="shared" si="45"/>
        <v>0</v>
      </c>
      <c r="AU29" s="143">
        <f t="shared" si="46"/>
        <v>0</v>
      </c>
      <c r="AX29" s="13" t="s">
        <v>336</v>
      </c>
      <c r="AY29" s="13" t="s">
        <v>337</v>
      </c>
      <c r="AZ29" s="13" t="s">
        <v>338</v>
      </c>
      <c r="BA29" s="13"/>
      <c r="BB29" s="13"/>
      <c r="BC29" s="13"/>
      <c r="BD29" s="13"/>
      <c r="BE29" s="13"/>
      <c r="BF29" s="13"/>
      <c r="BG29" s="13"/>
      <c r="BH29" s="13"/>
      <c r="BI29" s="13"/>
      <c r="BJ29" s="13"/>
      <c r="BK29" s="13"/>
      <c r="BL29" s="13"/>
      <c r="BM29" s="13"/>
      <c r="BN29" s="13"/>
      <c r="BO29" s="13"/>
      <c r="BP29" s="13"/>
      <c r="BQ29" s="13"/>
      <c r="BR29" s="13"/>
      <c r="BS29" s="13"/>
      <c r="BT29" s="13"/>
      <c r="BU29" s="13"/>
      <c r="BV29" s="13"/>
      <c r="BW29" s="13"/>
      <c r="BX29" s="13"/>
      <c r="BY29" s="13"/>
      <c r="BZ29" s="13"/>
      <c r="CA29" s="13"/>
      <c r="CB29" s="13"/>
      <c r="CC29" s="13"/>
      <c r="CD29" s="13"/>
      <c r="CE29" s="13"/>
      <c r="CF29" s="13"/>
      <c r="CG29" s="13"/>
      <c r="CH29" s="13"/>
      <c r="CI29" s="13"/>
      <c r="CJ29" s="13"/>
      <c r="CK29" s="13"/>
      <c r="CL29" s="13"/>
      <c r="CM29" s="13"/>
      <c r="CN29" s="13"/>
      <c r="CO29" s="13"/>
      <c r="CP29" s="13"/>
      <c r="CQ29" s="13"/>
      <c r="CR29" s="13"/>
      <c r="CS29" s="13"/>
      <c r="CT29" s="13"/>
      <c r="CU29" s="13"/>
      <c r="CV29" s="13"/>
      <c r="CW29" s="13"/>
      <c r="CX29" s="13"/>
      <c r="CY29" s="13"/>
      <c r="CZ29" s="13"/>
      <c r="DA29" s="112" t="e">
        <f t="shared" ref="DA29:DA37" si="49">MATCH(TRUE,DB29:FD29,0)</f>
        <v>#N/A</v>
      </c>
      <c r="DB29" s="13"/>
      <c r="DC29" s="13"/>
      <c r="DD29" s="13"/>
      <c r="DE29" s="13"/>
      <c r="DF29" s="13"/>
      <c r="DG29" s="13"/>
      <c r="DH29" s="13"/>
      <c r="DI29" s="13"/>
      <c r="DJ29" s="13"/>
      <c r="DK29" s="13"/>
      <c r="DL29" s="13"/>
      <c r="DM29" s="13"/>
      <c r="DN29" s="13"/>
      <c r="DO29" s="13"/>
      <c r="DP29" s="13"/>
      <c r="DQ29" s="13"/>
      <c r="DR29" s="13"/>
      <c r="DS29" s="13"/>
      <c r="DT29" s="13"/>
      <c r="DU29" s="13"/>
      <c r="DV29" s="13"/>
      <c r="DW29" s="13"/>
      <c r="DX29" s="13"/>
      <c r="DY29" s="13"/>
      <c r="DZ29" s="13"/>
      <c r="EA29" s="13"/>
      <c r="EB29" s="13"/>
      <c r="EC29" s="13"/>
      <c r="ED29" s="13"/>
      <c r="EE29" s="13"/>
      <c r="EF29" s="13"/>
      <c r="EG29" s="13"/>
      <c r="EH29" s="13"/>
      <c r="EI29" s="13"/>
      <c r="EJ29" s="13"/>
      <c r="EK29" s="13"/>
      <c r="EL29" s="13"/>
      <c r="EM29" s="13"/>
      <c r="EN29" s="13"/>
      <c r="EO29" s="13"/>
      <c r="EP29" s="13"/>
      <c r="EQ29" s="13"/>
      <c r="ER29" s="13"/>
      <c r="ES29" s="13"/>
      <c r="ET29" s="13"/>
      <c r="EU29" s="13"/>
      <c r="EV29" s="13"/>
      <c r="EW29" s="13"/>
      <c r="EX29" s="13"/>
      <c r="EY29" s="13"/>
      <c r="EZ29" s="13"/>
      <c r="FA29" s="13"/>
      <c r="FB29" s="13"/>
      <c r="FC29" s="13"/>
      <c r="FD29" s="13"/>
      <c r="FF29" s="13" t="str">
        <f t="shared" ref="FF29:FU37" si="50">IF(DB29=TRUE,AX29&amp;"; ","")</f>
        <v/>
      </c>
      <c r="FG29" s="13" t="str">
        <f t="shared" si="47"/>
        <v/>
      </c>
      <c r="FH29" s="13" t="str">
        <f t="shared" si="47"/>
        <v/>
      </c>
      <c r="FI29" s="13" t="str">
        <f t="shared" si="47"/>
        <v/>
      </c>
      <c r="FJ29" s="13" t="str">
        <f t="shared" si="47"/>
        <v/>
      </c>
      <c r="FK29" s="13" t="str">
        <f t="shared" si="47"/>
        <v/>
      </c>
      <c r="FL29" s="13" t="str">
        <f t="shared" si="47"/>
        <v/>
      </c>
      <c r="FM29" s="13" t="str">
        <f t="shared" si="47"/>
        <v/>
      </c>
      <c r="FN29" s="13" t="str">
        <f t="shared" si="47"/>
        <v/>
      </c>
      <c r="FO29" s="13" t="str">
        <f t="shared" si="47"/>
        <v/>
      </c>
      <c r="FP29" s="13" t="str">
        <f t="shared" si="47"/>
        <v/>
      </c>
      <c r="FQ29" s="13" t="str">
        <f t="shared" si="47"/>
        <v/>
      </c>
      <c r="FR29" s="13" t="str">
        <f t="shared" si="47"/>
        <v/>
      </c>
      <c r="FS29" s="13" t="str">
        <f t="shared" si="47"/>
        <v/>
      </c>
      <c r="FT29" s="13" t="str">
        <f t="shared" si="47"/>
        <v/>
      </c>
      <c r="FU29" s="13" t="str">
        <f t="shared" si="47"/>
        <v/>
      </c>
      <c r="FV29" s="13" t="str">
        <f t="shared" si="47"/>
        <v/>
      </c>
      <c r="FW29" s="13" t="str">
        <f t="shared" si="47"/>
        <v/>
      </c>
      <c r="FX29" s="13" t="str">
        <f t="shared" si="47"/>
        <v/>
      </c>
      <c r="FY29" s="13" t="str">
        <f t="shared" si="47"/>
        <v/>
      </c>
      <c r="FZ29" s="13" t="str">
        <f t="shared" si="47"/>
        <v/>
      </c>
      <c r="GA29" s="13" t="str">
        <f t="shared" si="47"/>
        <v/>
      </c>
      <c r="GB29" s="13" t="str">
        <f t="shared" si="47"/>
        <v/>
      </c>
      <c r="GC29" s="13" t="str">
        <f t="shared" si="47"/>
        <v/>
      </c>
      <c r="GD29" s="13" t="str">
        <f t="shared" si="47"/>
        <v/>
      </c>
      <c r="GE29" s="13" t="str">
        <f t="shared" si="47"/>
        <v/>
      </c>
      <c r="GF29" s="13" t="str">
        <f t="shared" si="47"/>
        <v/>
      </c>
      <c r="GG29" s="13" t="str">
        <f t="shared" si="47"/>
        <v/>
      </c>
      <c r="GH29" s="13" t="str">
        <f t="shared" si="47"/>
        <v/>
      </c>
      <c r="GI29" s="13" t="str">
        <f t="shared" si="47"/>
        <v/>
      </c>
      <c r="GJ29" s="13" t="str">
        <f t="shared" si="47"/>
        <v/>
      </c>
      <c r="GK29" s="13" t="str">
        <f t="shared" si="47"/>
        <v/>
      </c>
      <c r="GL29" s="13" t="str">
        <f t="shared" si="47"/>
        <v/>
      </c>
      <c r="GM29" s="13" t="str">
        <f t="shared" si="47"/>
        <v/>
      </c>
      <c r="GN29" s="13" t="str">
        <f t="shared" si="47"/>
        <v/>
      </c>
      <c r="GO29" s="13" t="str">
        <f t="shared" si="47"/>
        <v/>
      </c>
      <c r="GP29" s="13" t="str">
        <f t="shared" si="47"/>
        <v/>
      </c>
      <c r="GQ29" s="13" t="str">
        <f t="shared" si="47"/>
        <v/>
      </c>
      <c r="GR29" s="13" t="str">
        <f t="shared" si="47"/>
        <v/>
      </c>
      <c r="GS29" s="13" t="str">
        <f t="shared" si="47"/>
        <v/>
      </c>
      <c r="GT29" s="13" t="str">
        <f t="shared" si="47"/>
        <v/>
      </c>
      <c r="GU29" s="13" t="str">
        <f t="shared" si="47"/>
        <v/>
      </c>
      <c r="GV29" s="13" t="str">
        <f t="shared" si="47"/>
        <v/>
      </c>
      <c r="GW29" s="13" t="str">
        <f t="shared" si="47"/>
        <v/>
      </c>
      <c r="GX29" s="13" t="str">
        <f t="shared" si="47"/>
        <v/>
      </c>
      <c r="GY29" s="13" t="str">
        <f t="shared" si="47"/>
        <v/>
      </c>
      <c r="GZ29" s="13" t="str">
        <f t="shared" si="47"/>
        <v/>
      </c>
      <c r="HA29" s="13" t="str">
        <f t="shared" si="47"/>
        <v/>
      </c>
      <c r="HB29" s="13" t="str">
        <f t="shared" si="47"/>
        <v/>
      </c>
      <c r="HC29" s="13" t="str">
        <f t="shared" si="47"/>
        <v/>
      </c>
      <c r="HD29" s="13" t="str">
        <f t="shared" si="47"/>
        <v/>
      </c>
      <c r="HE29" s="13" t="str">
        <f t="shared" si="47"/>
        <v/>
      </c>
      <c r="HF29" s="13" t="str">
        <f t="shared" si="47"/>
        <v/>
      </c>
      <c r="HG29" s="13" t="str">
        <f t="shared" si="47"/>
        <v/>
      </c>
      <c r="HH29" s="13" t="str">
        <f t="shared" si="47"/>
        <v/>
      </c>
      <c r="HJ29" s="114" t="str">
        <f t="shared" ref="HJ29:HJ37" si="51">IFERROR(LEFT(FF29&amp;FG29&amp;FH29&amp;FI29&amp;FJ29&amp;FK29&amp;FL29&amp;FM29&amp;FN29&amp;FO29&amp;FP29&amp;FQ29&amp;FR29&amp;FS29&amp;FT29&amp;FU29&amp;FV29&amp;FW29&amp;FX29&amp;FY29&amp;FZ29&amp;GA29&amp;GB29&amp;GC29&amp;GD29&amp;GE29&amp;GF29&amp;GG29&amp;GH29&amp;GI29&amp;GJ29&amp;GK29&amp;GL29&amp;GM29&amp;GN29&amp;GO29&amp;GP29&amp;GQ29&amp;GR29&amp;GS29&amp;GT29&amp;GU29&amp;GV29&amp;GW29&amp;GX29&amp;GY29&amp;GZ29&amp;HA29&amp;HB29&amp;HC29&amp;HD29&amp;HE29&amp;HF29&amp;HG29&amp;HH29,LEN(FF29&amp;FG29&amp;FH29&amp;FI29&amp;FJ29&amp;FK29&amp;FL29&amp;FM29&amp;FN29&amp;FO29&amp;FP29&amp;FQ29&amp;FR29&amp;FS29&amp;FT29&amp;FU29&amp;FV29&amp;FW29&amp;FX29&amp;FY29&amp;FZ29&amp;GA29&amp;GB29&amp;GC29&amp;GD29&amp;GE29&amp;GF29&amp;GG29&amp;GH29&amp;GI29&amp;GJ29&amp;GK29&amp;GL29&amp;GM29&amp;GN29&amp;GO29&amp;GP29&amp;GQ29&amp;GR29&amp;GS29&amp;GT29&amp;GU29&amp;GV29&amp;GW29&amp;GX29&amp;GY29&amp;GZ29&amp;HA29&amp;HB29&amp;HC29&amp;HD29&amp;HE29&amp;HF29&amp;HG29&amp;HH29)-2),"")</f>
        <v/>
      </c>
    </row>
    <row r="30" spans="3:218" s="119" customFormat="1" ht="84.95" customHeight="1">
      <c r="C30" s="121">
        <v>3</v>
      </c>
      <c r="D30" s="199"/>
      <c r="E30" s="3" t="s">
        <v>75</v>
      </c>
      <c r="F30" s="134">
        <f t="shared" ref="F30:F37" si="52">$Q30</f>
        <v>0.1</v>
      </c>
      <c r="G30" s="134">
        <f t="shared" ref="G30:G37" si="53">IF($H30="YES",$Q30,IF($H30="","",0))</f>
        <v>0.1</v>
      </c>
      <c r="H30" s="74" t="s">
        <v>173</v>
      </c>
      <c r="I30" s="190" t="s">
        <v>684</v>
      </c>
      <c r="J30" s="191"/>
      <c r="K30" s="43"/>
      <c r="L30" s="67"/>
      <c r="M30" s="65"/>
      <c r="N30" s="65"/>
      <c r="O30" s="66"/>
      <c r="Q30" s="132">
        <f t="shared" si="33"/>
        <v>0.1</v>
      </c>
      <c r="R30" s="133">
        <f t="shared" si="34"/>
        <v>0.1</v>
      </c>
      <c r="S30" s="120" t="str">
        <f t="shared" si="35"/>
        <v/>
      </c>
      <c r="T30" s="91">
        <f t="shared" si="22"/>
        <v>6</v>
      </c>
      <c r="U30" s="84" t="s">
        <v>75</v>
      </c>
      <c r="V30" s="139">
        <v>10</v>
      </c>
      <c r="W30" s="139">
        <v>10</v>
      </c>
      <c r="X30" s="139">
        <v>10</v>
      </c>
      <c r="Y30" s="139">
        <v>10</v>
      </c>
      <c r="Z30" s="139">
        <v>10</v>
      </c>
      <c r="AA30" s="139">
        <v>10</v>
      </c>
      <c r="AB30" s="139">
        <v>10</v>
      </c>
      <c r="AC30" s="139">
        <v>10</v>
      </c>
      <c r="AD30" s="139">
        <v>10</v>
      </c>
      <c r="AE30" s="139">
        <v>10</v>
      </c>
      <c r="AF30" s="139">
        <v>10</v>
      </c>
      <c r="AG30" s="139">
        <v>10</v>
      </c>
      <c r="AI30" s="100" t="s">
        <v>75</v>
      </c>
      <c r="AJ30" s="143">
        <f t="shared" si="48"/>
        <v>0.1</v>
      </c>
      <c r="AK30" s="143">
        <f t="shared" si="36"/>
        <v>0.1</v>
      </c>
      <c r="AL30" s="143">
        <f t="shared" si="37"/>
        <v>0.1</v>
      </c>
      <c r="AM30" s="143">
        <f t="shared" si="38"/>
        <v>0.1</v>
      </c>
      <c r="AN30" s="143">
        <f t="shared" si="39"/>
        <v>0.1</v>
      </c>
      <c r="AO30" s="143">
        <f t="shared" si="40"/>
        <v>0.1</v>
      </c>
      <c r="AP30" s="143">
        <f t="shared" si="41"/>
        <v>0.1</v>
      </c>
      <c r="AQ30" s="143">
        <f t="shared" si="42"/>
        <v>0.1</v>
      </c>
      <c r="AR30" s="143">
        <f t="shared" si="43"/>
        <v>0.1</v>
      </c>
      <c r="AS30" s="143">
        <f t="shared" si="44"/>
        <v>0.1</v>
      </c>
      <c r="AT30" s="143">
        <f t="shared" si="45"/>
        <v>0.1</v>
      </c>
      <c r="AU30" s="143">
        <f t="shared" si="46"/>
        <v>0.1</v>
      </c>
      <c r="AX30" s="13" t="s">
        <v>339</v>
      </c>
      <c r="AY30" s="13" t="s">
        <v>340</v>
      </c>
      <c r="AZ30" s="13" t="s">
        <v>341</v>
      </c>
      <c r="BA30" s="13" t="s">
        <v>342</v>
      </c>
      <c r="BB30" s="13" t="s">
        <v>343</v>
      </c>
      <c r="BC30" s="13" t="s">
        <v>344</v>
      </c>
      <c r="BD30" s="13" t="s">
        <v>345</v>
      </c>
      <c r="BE30" s="13" t="s">
        <v>346</v>
      </c>
      <c r="BF30" s="13" t="s">
        <v>347</v>
      </c>
      <c r="BG30" s="13" t="s">
        <v>348</v>
      </c>
      <c r="BH30" s="13" t="s">
        <v>349</v>
      </c>
      <c r="BI30" s="13" t="s">
        <v>350</v>
      </c>
      <c r="BJ30" s="13" t="s">
        <v>351</v>
      </c>
      <c r="BK30" s="13" t="s">
        <v>352</v>
      </c>
      <c r="BL30" s="13" t="s">
        <v>353</v>
      </c>
      <c r="BM30" s="13" t="s">
        <v>354</v>
      </c>
      <c r="BN30" s="13" t="s">
        <v>355</v>
      </c>
      <c r="BO30" s="13" t="s">
        <v>356</v>
      </c>
      <c r="BP30" s="13" t="s">
        <v>357</v>
      </c>
      <c r="BQ30" s="13" t="s">
        <v>270</v>
      </c>
      <c r="BR30" s="13" t="s">
        <v>358</v>
      </c>
      <c r="BS30" s="13" t="s">
        <v>359</v>
      </c>
      <c r="BT30" s="13" t="s">
        <v>360</v>
      </c>
      <c r="BU30" s="13" t="s">
        <v>361</v>
      </c>
      <c r="BV30" s="13"/>
      <c r="BW30" s="13"/>
      <c r="BX30" s="13"/>
      <c r="BY30" s="13"/>
      <c r="BZ30" s="13"/>
      <c r="CA30" s="13"/>
      <c r="CB30" s="13"/>
      <c r="CC30" s="13"/>
      <c r="CD30" s="13"/>
      <c r="CE30" s="13"/>
      <c r="CF30" s="13"/>
      <c r="CG30" s="13"/>
      <c r="CH30" s="13"/>
      <c r="CI30" s="13"/>
      <c r="CJ30" s="13"/>
      <c r="CK30" s="13"/>
      <c r="CL30" s="13"/>
      <c r="CM30" s="13"/>
      <c r="CN30" s="13"/>
      <c r="CO30" s="13"/>
      <c r="CP30" s="13"/>
      <c r="CQ30" s="13"/>
      <c r="CR30" s="13"/>
      <c r="CS30" s="13"/>
      <c r="CT30" s="13"/>
      <c r="CU30" s="13"/>
      <c r="CV30" s="13"/>
      <c r="CW30" s="13"/>
      <c r="CX30" s="13"/>
      <c r="CY30" s="13"/>
      <c r="CZ30" s="13"/>
      <c r="DA30" s="112" t="e">
        <f t="shared" si="49"/>
        <v>#N/A</v>
      </c>
      <c r="DB30" s="13" t="b">
        <v>0</v>
      </c>
      <c r="DC30" s="13" t="b">
        <v>0</v>
      </c>
      <c r="DD30" s="13" t="b">
        <v>0</v>
      </c>
      <c r="DE30" s="13" t="b">
        <v>0</v>
      </c>
      <c r="DF30" s="13" t="b">
        <v>0</v>
      </c>
      <c r="DG30" s="13" t="b">
        <v>0</v>
      </c>
      <c r="DH30" s="13" t="b">
        <v>0</v>
      </c>
      <c r="DI30" s="13" t="b">
        <v>0</v>
      </c>
      <c r="DJ30" s="13" t="b">
        <v>0</v>
      </c>
      <c r="DK30" s="13" t="b">
        <v>0</v>
      </c>
      <c r="DL30" s="13" t="b">
        <v>0</v>
      </c>
      <c r="DM30" s="13" t="b">
        <v>0</v>
      </c>
      <c r="DN30" s="13" t="b">
        <v>0</v>
      </c>
      <c r="DO30" s="13" t="b">
        <v>0</v>
      </c>
      <c r="DP30" s="13" t="b">
        <v>0</v>
      </c>
      <c r="DQ30" s="13" t="b">
        <v>0</v>
      </c>
      <c r="DR30" s="13" t="b">
        <v>0</v>
      </c>
      <c r="DS30" s="13" t="b">
        <v>0</v>
      </c>
      <c r="DT30" s="13" t="b">
        <v>0</v>
      </c>
      <c r="DU30" s="13" t="b">
        <v>0</v>
      </c>
      <c r="DV30" s="13" t="b">
        <v>0</v>
      </c>
      <c r="DW30" s="13" t="b">
        <v>0</v>
      </c>
      <c r="DX30" s="13" t="b">
        <v>0</v>
      </c>
      <c r="DY30" s="13" t="b">
        <v>0</v>
      </c>
      <c r="DZ30" s="13"/>
      <c r="EA30" s="13"/>
      <c r="EB30" s="13"/>
      <c r="EC30" s="13"/>
      <c r="ED30" s="13"/>
      <c r="EE30" s="13"/>
      <c r="EF30" s="13"/>
      <c r="EG30" s="13"/>
      <c r="EH30" s="13"/>
      <c r="EI30" s="13"/>
      <c r="EJ30" s="13"/>
      <c r="EK30" s="13"/>
      <c r="EL30" s="13"/>
      <c r="EM30" s="13"/>
      <c r="EN30" s="13"/>
      <c r="EO30" s="13"/>
      <c r="EP30" s="13"/>
      <c r="EQ30" s="13"/>
      <c r="ER30" s="13"/>
      <c r="ES30" s="13"/>
      <c r="ET30" s="13"/>
      <c r="EU30" s="13"/>
      <c r="EV30" s="13"/>
      <c r="EW30" s="13"/>
      <c r="EX30" s="13"/>
      <c r="EY30" s="13"/>
      <c r="EZ30" s="13"/>
      <c r="FA30" s="13"/>
      <c r="FB30" s="13"/>
      <c r="FC30" s="13"/>
      <c r="FD30" s="13"/>
      <c r="FF30" s="13" t="str">
        <f t="shared" si="50"/>
        <v/>
      </c>
      <c r="FG30" s="13" t="str">
        <f t="shared" si="47"/>
        <v/>
      </c>
      <c r="FH30" s="13" t="str">
        <f t="shared" si="47"/>
        <v/>
      </c>
      <c r="FI30" s="13" t="str">
        <f t="shared" si="47"/>
        <v/>
      </c>
      <c r="FJ30" s="13" t="str">
        <f t="shared" si="47"/>
        <v/>
      </c>
      <c r="FK30" s="13" t="str">
        <f t="shared" si="47"/>
        <v/>
      </c>
      <c r="FL30" s="13" t="str">
        <f t="shared" si="47"/>
        <v/>
      </c>
      <c r="FM30" s="13" t="str">
        <f t="shared" si="47"/>
        <v/>
      </c>
      <c r="FN30" s="13" t="str">
        <f t="shared" si="47"/>
        <v/>
      </c>
      <c r="FO30" s="13" t="str">
        <f t="shared" si="47"/>
        <v/>
      </c>
      <c r="FP30" s="13" t="str">
        <f t="shared" si="47"/>
        <v/>
      </c>
      <c r="FQ30" s="13" t="str">
        <f t="shared" si="47"/>
        <v/>
      </c>
      <c r="FR30" s="13" t="str">
        <f t="shared" si="47"/>
        <v/>
      </c>
      <c r="FS30" s="13" t="str">
        <f t="shared" si="47"/>
        <v/>
      </c>
      <c r="FT30" s="13" t="str">
        <f t="shared" si="47"/>
        <v/>
      </c>
      <c r="FU30" s="13" t="str">
        <f t="shared" si="47"/>
        <v/>
      </c>
      <c r="FV30" s="13" t="str">
        <f t="shared" si="47"/>
        <v/>
      </c>
      <c r="FW30" s="13" t="str">
        <f t="shared" si="47"/>
        <v/>
      </c>
      <c r="FX30" s="13" t="str">
        <f t="shared" si="47"/>
        <v/>
      </c>
      <c r="FY30" s="13" t="str">
        <f t="shared" si="47"/>
        <v/>
      </c>
      <c r="FZ30" s="13" t="str">
        <f t="shared" si="47"/>
        <v/>
      </c>
      <c r="GA30" s="13" t="str">
        <f t="shared" si="47"/>
        <v/>
      </c>
      <c r="GB30" s="13" t="str">
        <f t="shared" si="47"/>
        <v/>
      </c>
      <c r="GC30" s="13" t="str">
        <f t="shared" si="47"/>
        <v/>
      </c>
      <c r="GD30" s="13" t="str">
        <f t="shared" si="47"/>
        <v/>
      </c>
      <c r="GE30" s="13" t="str">
        <f t="shared" si="47"/>
        <v/>
      </c>
      <c r="GF30" s="13" t="str">
        <f t="shared" si="47"/>
        <v/>
      </c>
      <c r="GG30" s="13" t="str">
        <f t="shared" si="47"/>
        <v/>
      </c>
      <c r="GH30" s="13" t="str">
        <f t="shared" si="47"/>
        <v/>
      </c>
      <c r="GI30" s="13" t="str">
        <f t="shared" si="47"/>
        <v/>
      </c>
      <c r="GJ30" s="13" t="str">
        <f t="shared" si="47"/>
        <v/>
      </c>
      <c r="GK30" s="13" t="str">
        <f t="shared" si="47"/>
        <v/>
      </c>
      <c r="GL30" s="13" t="str">
        <f t="shared" si="47"/>
        <v/>
      </c>
      <c r="GM30" s="13" t="str">
        <f t="shared" si="47"/>
        <v/>
      </c>
      <c r="GN30" s="13" t="str">
        <f t="shared" si="47"/>
        <v/>
      </c>
      <c r="GO30" s="13" t="str">
        <f t="shared" si="47"/>
        <v/>
      </c>
      <c r="GP30" s="13" t="str">
        <f t="shared" si="47"/>
        <v/>
      </c>
      <c r="GQ30" s="13" t="str">
        <f t="shared" si="47"/>
        <v/>
      </c>
      <c r="GR30" s="13" t="str">
        <f t="shared" si="47"/>
        <v/>
      </c>
      <c r="GS30" s="13" t="str">
        <f t="shared" si="47"/>
        <v/>
      </c>
      <c r="GT30" s="13" t="str">
        <f t="shared" si="47"/>
        <v/>
      </c>
      <c r="GU30" s="13" t="str">
        <f t="shared" si="47"/>
        <v/>
      </c>
      <c r="GV30" s="13" t="str">
        <f t="shared" si="47"/>
        <v/>
      </c>
      <c r="GW30" s="13" t="str">
        <f t="shared" si="47"/>
        <v/>
      </c>
      <c r="GX30" s="13" t="str">
        <f t="shared" si="47"/>
        <v/>
      </c>
      <c r="GY30" s="13" t="str">
        <f t="shared" si="47"/>
        <v/>
      </c>
      <c r="GZ30" s="13" t="str">
        <f t="shared" si="47"/>
        <v/>
      </c>
      <c r="HA30" s="13" t="str">
        <f t="shared" si="47"/>
        <v/>
      </c>
      <c r="HB30" s="13" t="str">
        <f t="shared" si="47"/>
        <v/>
      </c>
      <c r="HC30" s="13" t="str">
        <f t="shared" si="47"/>
        <v/>
      </c>
      <c r="HD30" s="13" t="str">
        <f t="shared" si="47"/>
        <v/>
      </c>
      <c r="HE30" s="13" t="str">
        <f t="shared" si="47"/>
        <v/>
      </c>
      <c r="HF30" s="13" t="str">
        <f t="shared" si="47"/>
        <v/>
      </c>
      <c r="HG30" s="13" t="str">
        <f t="shared" si="47"/>
        <v/>
      </c>
      <c r="HH30" s="13" t="str">
        <f t="shared" si="47"/>
        <v/>
      </c>
      <c r="HJ30" s="114" t="str">
        <f t="shared" si="51"/>
        <v/>
      </c>
    </row>
    <row r="31" spans="3:218" s="119" customFormat="1" ht="69.95" customHeight="1">
      <c r="C31" s="121">
        <v>4</v>
      </c>
      <c r="D31" s="199"/>
      <c r="E31" s="3" t="s">
        <v>134</v>
      </c>
      <c r="F31" s="134">
        <f t="shared" si="52"/>
        <v>0.1</v>
      </c>
      <c r="G31" s="134">
        <f t="shared" si="53"/>
        <v>0.1</v>
      </c>
      <c r="H31" s="74" t="s">
        <v>173</v>
      </c>
      <c r="I31" s="190" t="s">
        <v>685</v>
      </c>
      <c r="J31" s="191"/>
      <c r="K31" s="43"/>
      <c r="L31" s="67"/>
      <c r="M31" s="65"/>
      <c r="N31" s="65"/>
      <c r="O31" s="66"/>
      <c r="Q31" s="132">
        <f t="shared" si="33"/>
        <v>0.1</v>
      </c>
      <c r="R31" s="133">
        <f t="shared" si="34"/>
        <v>0.1</v>
      </c>
      <c r="S31" s="120" t="str">
        <f t="shared" si="35"/>
        <v/>
      </c>
      <c r="T31" s="91">
        <f t="shared" si="22"/>
        <v>7</v>
      </c>
      <c r="U31" s="84" t="s">
        <v>134</v>
      </c>
      <c r="V31" s="139">
        <v>10</v>
      </c>
      <c r="W31" s="139">
        <v>10</v>
      </c>
      <c r="X31" s="139">
        <v>10</v>
      </c>
      <c r="Y31" s="139">
        <v>10</v>
      </c>
      <c r="Z31" s="139">
        <v>10</v>
      </c>
      <c r="AA31" s="139">
        <v>10</v>
      </c>
      <c r="AB31" s="139">
        <v>10</v>
      </c>
      <c r="AC31" s="139">
        <v>10</v>
      </c>
      <c r="AD31" s="139">
        <v>10</v>
      </c>
      <c r="AE31" s="139">
        <v>10</v>
      </c>
      <c r="AF31" s="139">
        <v>10</v>
      </c>
      <c r="AG31" s="139">
        <v>10</v>
      </c>
      <c r="AI31" s="100" t="s">
        <v>134</v>
      </c>
      <c r="AJ31" s="143">
        <f t="shared" si="48"/>
        <v>0.1</v>
      </c>
      <c r="AK31" s="143">
        <f t="shared" si="36"/>
        <v>0.1</v>
      </c>
      <c r="AL31" s="143">
        <f t="shared" si="37"/>
        <v>0.1</v>
      </c>
      <c r="AM31" s="143">
        <f t="shared" si="38"/>
        <v>0.1</v>
      </c>
      <c r="AN31" s="143">
        <f t="shared" si="39"/>
        <v>0.1</v>
      </c>
      <c r="AO31" s="143">
        <f t="shared" si="40"/>
        <v>0.1</v>
      </c>
      <c r="AP31" s="143">
        <f t="shared" si="41"/>
        <v>0.1</v>
      </c>
      <c r="AQ31" s="143">
        <f t="shared" si="42"/>
        <v>0.1</v>
      </c>
      <c r="AR31" s="143">
        <f t="shared" si="43"/>
        <v>0.1</v>
      </c>
      <c r="AS31" s="143">
        <f t="shared" si="44"/>
        <v>0.1</v>
      </c>
      <c r="AT31" s="143">
        <f t="shared" si="45"/>
        <v>0.1</v>
      </c>
      <c r="AU31" s="143">
        <f t="shared" si="46"/>
        <v>0.1</v>
      </c>
      <c r="AX31" s="13" t="s">
        <v>362</v>
      </c>
      <c r="AY31" s="13" t="s">
        <v>363</v>
      </c>
      <c r="AZ31" s="13" t="s">
        <v>364</v>
      </c>
      <c r="BA31" s="13" t="s">
        <v>365</v>
      </c>
      <c r="BB31" s="13" t="s">
        <v>366</v>
      </c>
      <c r="BC31" s="13" t="s">
        <v>367</v>
      </c>
      <c r="BD31" s="13" t="s">
        <v>368</v>
      </c>
      <c r="BE31" s="13" t="s">
        <v>369</v>
      </c>
      <c r="BF31" s="13" t="s">
        <v>370</v>
      </c>
      <c r="BG31" s="13" t="s">
        <v>371</v>
      </c>
      <c r="BH31" s="13" t="s">
        <v>372</v>
      </c>
      <c r="BI31" s="13" t="s">
        <v>373</v>
      </c>
      <c r="BJ31" s="13" t="s">
        <v>374</v>
      </c>
      <c r="BK31" s="13" t="s">
        <v>375</v>
      </c>
      <c r="BL31" s="13" t="s">
        <v>376</v>
      </c>
      <c r="BM31" s="13" t="s">
        <v>377</v>
      </c>
      <c r="BN31" s="13"/>
      <c r="BO31" s="13"/>
      <c r="BP31" s="13"/>
      <c r="BQ31" s="13"/>
      <c r="BR31" s="13"/>
      <c r="BS31" s="13"/>
      <c r="BT31" s="13"/>
      <c r="BU31" s="13"/>
      <c r="BV31" s="13"/>
      <c r="BW31" s="13"/>
      <c r="BX31" s="13"/>
      <c r="BY31" s="13"/>
      <c r="BZ31" s="13"/>
      <c r="CA31" s="13"/>
      <c r="CB31" s="13"/>
      <c r="CC31" s="13"/>
      <c r="CD31" s="13"/>
      <c r="CE31" s="13"/>
      <c r="CF31" s="13"/>
      <c r="CG31" s="13"/>
      <c r="CH31" s="13"/>
      <c r="CI31" s="13"/>
      <c r="CJ31" s="13"/>
      <c r="CK31" s="13"/>
      <c r="CL31" s="13"/>
      <c r="CM31" s="13"/>
      <c r="CN31" s="13"/>
      <c r="CO31" s="13"/>
      <c r="CP31" s="13"/>
      <c r="CQ31" s="13"/>
      <c r="CR31" s="13"/>
      <c r="CS31" s="13"/>
      <c r="CT31" s="13"/>
      <c r="CU31" s="13"/>
      <c r="CV31" s="13"/>
      <c r="CW31" s="13"/>
      <c r="CX31" s="13"/>
      <c r="CY31" s="13"/>
      <c r="CZ31" s="13"/>
      <c r="DA31" s="112" t="e">
        <f t="shared" si="49"/>
        <v>#N/A</v>
      </c>
      <c r="DB31" s="13" t="b">
        <v>0</v>
      </c>
      <c r="DC31" s="13" t="b">
        <v>0</v>
      </c>
      <c r="DD31" s="13"/>
      <c r="DE31" s="13"/>
      <c r="DF31" s="13"/>
      <c r="DG31" s="13" t="b">
        <v>0</v>
      </c>
      <c r="DH31" s="13"/>
      <c r="DI31" s="13"/>
      <c r="DJ31" s="13"/>
      <c r="DK31" s="13"/>
      <c r="DL31" s="13" t="b">
        <v>0</v>
      </c>
      <c r="DM31" s="13"/>
      <c r="DN31" s="13"/>
      <c r="DO31" s="13"/>
      <c r="DP31" s="13"/>
      <c r="DQ31" s="13"/>
      <c r="DR31" s="13"/>
      <c r="DS31" s="13"/>
      <c r="DT31" s="13"/>
      <c r="DU31" s="13"/>
      <c r="DV31" s="13"/>
      <c r="DW31" s="13"/>
      <c r="DX31" s="13"/>
      <c r="DY31" s="13"/>
      <c r="DZ31" s="13"/>
      <c r="EA31" s="13"/>
      <c r="EB31" s="13"/>
      <c r="EC31" s="13"/>
      <c r="ED31" s="13"/>
      <c r="EE31" s="13"/>
      <c r="EF31" s="13"/>
      <c r="EG31" s="13"/>
      <c r="EH31" s="13"/>
      <c r="EI31" s="13"/>
      <c r="EJ31" s="13"/>
      <c r="EK31" s="13"/>
      <c r="EL31" s="13"/>
      <c r="EM31" s="13"/>
      <c r="EN31" s="13"/>
      <c r="EO31" s="13"/>
      <c r="EP31" s="13"/>
      <c r="EQ31" s="13"/>
      <c r="ER31" s="13"/>
      <c r="ES31" s="13"/>
      <c r="ET31" s="13"/>
      <c r="EU31" s="13"/>
      <c r="EV31" s="13"/>
      <c r="EW31" s="13"/>
      <c r="EX31" s="13"/>
      <c r="EY31" s="13"/>
      <c r="EZ31" s="13"/>
      <c r="FA31" s="13"/>
      <c r="FB31" s="13"/>
      <c r="FC31" s="13"/>
      <c r="FD31" s="13"/>
      <c r="FF31" s="13" t="str">
        <f t="shared" si="50"/>
        <v/>
      </c>
      <c r="FG31" s="13" t="str">
        <f t="shared" si="47"/>
        <v/>
      </c>
      <c r="FH31" s="13" t="str">
        <f t="shared" si="47"/>
        <v/>
      </c>
      <c r="FI31" s="13" t="str">
        <f t="shared" si="47"/>
        <v/>
      </c>
      <c r="FJ31" s="13" t="str">
        <f t="shared" si="47"/>
        <v/>
      </c>
      <c r="FK31" s="13" t="str">
        <f t="shared" si="47"/>
        <v/>
      </c>
      <c r="FL31" s="13" t="str">
        <f t="shared" si="47"/>
        <v/>
      </c>
      <c r="FM31" s="13" t="str">
        <f t="shared" si="47"/>
        <v/>
      </c>
      <c r="FN31" s="13" t="str">
        <f t="shared" si="47"/>
        <v/>
      </c>
      <c r="FO31" s="13" t="str">
        <f t="shared" si="47"/>
        <v/>
      </c>
      <c r="FP31" s="13" t="str">
        <f t="shared" si="47"/>
        <v/>
      </c>
      <c r="FQ31" s="13" t="str">
        <f t="shared" si="47"/>
        <v/>
      </c>
      <c r="FR31" s="13" t="str">
        <f t="shared" si="47"/>
        <v/>
      </c>
      <c r="FS31" s="13" t="str">
        <f t="shared" si="47"/>
        <v/>
      </c>
      <c r="FT31" s="13" t="str">
        <f t="shared" si="47"/>
        <v/>
      </c>
      <c r="FU31" s="13" t="str">
        <f t="shared" si="47"/>
        <v/>
      </c>
      <c r="FV31" s="13" t="str">
        <f t="shared" si="47"/>
        <v/>
      </c>
      <c r="FW31" s="13" t="str">
        <f t="shared" si="47"/>
        <v/>
      </c>
      <c r="FX31" s="13" t="str">
        <f t="shared" si="47"/>
        <v/>
      </c>
      <c r="FY31" s="13" t="str">
        <f t="shared" si="47"/>
        <v/>
      </c>
      <c r="FZ31" s="13" t="str">
        <f t="shared" si="47"/>
        <v/>
      </c>
      <c r="GA31" s="13" t="str">
        <f t="shared" si="47"/>
        <v/>
      </c>
      <c r="GB31" s="13" t="str">
        <f t="shared" si="47"/>
        <v/>
      </c>
      <c r="GC31" s="13" t="str">
        <f t="shared" si="47"/>
        <v/>
      </c>
      <c r="GD31" s="13" t="str">
        <f t="shared" si="47"/>
        <v/>
      </c>
      <c r="GE31" s="13" t="str">
        <f t="shared" si="47"/>
        <v/>
      </c>
      <c r="GF31" s="13" t="str">
        <f t="shared" si="47"/>
        <v/>
      </c>
      <c r="GG31" s="13" t="str">
        <f t="shared" si="47"/>
        <v/>
      </c>
      <c r="GH31" s="13" t="str">
        <f t="shared" si="47"/>
        <v/>
      </c>
      <c r="GI31" s="13" t="str">
        <f t="shared" si="47"/>
        <v/>
      </c>
      <c r="GJ31" s="13" t="str">
        <f t="shared" si="47"/>
        <v/>
      </c>
      <c r="GK31" s="13" t="str">
        <f t="shared" si="47"/>
        <v/>
      </c>
      <c r="GL31" s="13" t="str">
        <f t="shared" si="47"/>
        <v/>
      </c>
      <c r="GM31" s="13" t="str">
        <f t="shared" si="47"/>
        <v/>
      </c>
      <c r="GN31" s="13" t="str">
        <f t="shared" si="47"/>
        <v/>
      </c>
      <c r="GO31" s="13" t="str">
        <f t="shared" si="47"/>
        <v/>
      </c>
      <c r="GP31" s="13" t="str">
        <f t="shared" si="47"/>
        <v/>
      </c>
      <c r="GQ31" s="13" t="str">
        <f t="shared" si="47"/>
        <v/>
      </c>
      <c r="GR31" s="13" t="str">
        <f t="shared" si="47"/>
        <v/>
      </c>
      <c r="GS31" s="13" t="str">
        <f t="shared" si="47"/>
        <v/>
      </c>
      <c r="GT31" s="13" t="str">
        <f t="shared" si="47"/>
        <v/>
      </c>
      <c r="GU31" s="13" t="str">
        <f t="shared" si="47"/>
        <v/>
      </c>
      <c r="GV31" s="13" t="str">
        <f t="shared" si="47"/>
        <v/>
      </c>
      <c r="GW31" s="13" t="str">
        <f t="shared" si="47"/>
        <v/>
      </c>
      <c r="GX31" s="13" t="str">
        <f t="shared" si="47"/>
        <v/>
      </c>
      <c r="GY31" s="13" t="str">
        <f t="shared" si="47"/>
        <v/>
      </c>
      <c r="GZ31" s="13" t="str">
        <f t="shared" si="47"/>
        <v/>
      </c>
      <c r="HA31" s="13" t="str">
        <f t="shared" si="47"/>
        <v/>
      </c>
      <c r="HB31" s="13" t="str">
        <f t="shared" si="47"/>
        <v/>
      </c>
      <c r="HC31" s="13" t="str">
        <f t="shared" si="47"/>
        <v/>
      </c>
      <c r="HD31" s="13" t="str">
        <f t="shared" si="47"/>
        <v/>
      </c>
      <c r="HE31" s="13" t="str">
        <f t="shared" si="47"/>
        <v/>
      </c>
      <c r="HF31" s="13" t="str">
        <f t="shared" si="47"/>
        <v/>
      </c>
      <c r="HG31" s="13" t="str">
        <f t="shared" si="47"/>
        <v/>
      </c>
      <c r="HH31" s="13" t="str">
        <f t="shared" si="47"/>
        <v/>
      </c>
      <c r="HJ31" s="114" t="str">
        <f t="shared" si="51"/>
        <v/>
      </c>
    </row>
    <row r="32" spans="3:218" s="119" customFormat="1" ht="45" customHeight="1">
      <c r="C32" s="122">
        <v>5</v>
      </c>
      <c r="D32" s="200"/>
      <c r="E32" s="3" t="s">
        <v>139</v>
      </c>
      <c r="F32" s="134">
        <f t="shared" si="52"/>
        <v>0.02</v>
      </c>
      <c r="G32" s="134">
        <f t="shared" si="53"/>
        <v>0.02</v>
      </c>
      <c r="H32" s="74" t="s">
        <v>173</v>
      </c>
      <c r="I32" s="190" t="s">
        <v>686</v>
      </c>
      <c r="J32" s="191"/>
      <c r="K32" s="43"/>
      <c r="L32" s="67"/>
      <c r="M32" s="65"/>
      <c r="N32" s="65"/>
      <c r="O32" s="66"/>
      <c r="Q32" s="132">
        <f t="shared" si="33"/>
        <v>0.02</v>
      </c>
      <c r="R32" s="133">
        <f t="shared" si="34"/>
        <v>0.02</v>
      </c>
      <c r="S32" s="120" t="str">
        <f t="shared" si="35"/>
        <v/>
      </c>
      <c r="T32" s="91">
        <f t="shared" si="22"/>
        <v>8</v>
      </c>
      <c r="U32" s="84" t="s">
        <v>139</v>
      </c>
      <c r="V32" s="139"/>
      <c r="W32" s="139"/>
      <c r="X32" s="139">
        <v>2</v>
      </c>
      <c r="Y32" s="139">
        <v>2</v>
      </c>
      <c r="Z32" s="139">
        <v>2</v>
      </c>
      <c r="AA32" s="139"/>
      <c r="AB32" s="139">
        <v>2</v>
      </c>
      <c r="AC32" s="139"/>
      <c r="AD32" s="139"/>
      <c r="AE32" s="139"/>
      <c r="AF32" s="139"/>
      <c r="AG32" s="139"/>
      <c r="AI32" s="100" t="s">
        <v>139</v>
      </c>
      <c r="AJ32" s="143">
        <f t="shared" si="48"/>
        <v>0</v>
      </c>
      <c r="AK32" s="143">
        <f t="shared" si="36"/>
        <v>0</v>
      </c>
      <c r="AL32" s="143">
        <f t="shared" si="37"/>
        <v>0.02</v>
      </c>
      <c r="AM32" s="143">
        <f t="shared" si="38"/>
        <v>0.02</v>
      </c>
      <c r="AN32" s="143">
        <f t="shared" si="39"/>
        <v>0.02</v>
      </c>
      <c r="AO32" s="143">
        <f t="shared" si="40"/>
        <v>0</v>
      </c>
      <c r="AP32" s="143">
        <f t="shared" si="41"/>
        <v>0.02</v>
      </c>
      <c r="AQ32" s="143">
        <f t="shared" si="42"/>
        <v>0</v>
      </c>
      <c r="AR32" s="143">
        <f t="shared" si="43"/>
        <v>0</v>
      </c>
      <c r="AS32" s="143">
        <f t="shared" si="44"/>
        <v>0</v>
      </c>
      <c r="AT32" s="143">
        <f t="shared" si="45"/>
        <v>0</v>
      </c>
      <c r="AU32" s="143">
        <f t="shared" si="46"/>
        <v>0</v>
      </c>
      <c r="AX32" s="13"/>
      <c r="AY32" s="13"/>
      <c r="AZ32" s="13"/>
      <c r="BA32" s="13"/>
      <c r="BB32" s="13"/>
      <c r="BC32" s="13"/>
      <c r="BD32" s="13"/>
      <c r="BE32" s="13"/>
      <c r="BF32" s="13"/>
      <c r="BG32" s="13"/>
      <c r="BH32" s="13"/>
      <c r="BI32" s="13"/>
      <c r="BJ32" s="13"/>
      <c r="BK32" s="13"/>
      <c r="BL32" s="13"/>
      <c r="BM32" s="13"/>
      <c r="BN32" s="13"/>
      <c r="BO32" s="13"/>
      <c r="BP32" s="13"/>
      <c r="BQ32" s="13"/>
      <c r="BR32" s="13"/>
      <c r="BS32" s="13"/>
      <c r="BT32" s="13"/>
      <c r="BU32" s="13"/>
      <c r="BV32" s="13"/>
      <c r="BW32" s="13"/>
      <c r="BX32" s="13"/>
      <c r="BY32" s="13"/>
      <c r="BZ32" s="13"/>
      <c r="CA32" s="13"/>
      <c r="CB32" s="13"/>
      <c r="CC32" s="13"/>
      <c r="CD32" s="13"/>
      <c r="CE32" s="13"/>
      <c r="CF32" s="13"/>
      <c r="CG32" s="13"/>
      <c r="CH32" s="13"/>
      <c r="CI32" s="13"/>
      <c r="CJ32" s="13"/>
      <c r="CK32" s="13"/>
      <c r="CL32" s="13"/>
      <c r="CM32" s="13"/>
      <c r="CN32" s="13"/>
      <c r="CO32" s="13"/>
      <c r="CP32" s="13"/>
      <c r="CQ32" s="13"/>
      <c r="CR32" s="13"/>
      <c r="CS32" s="13"/>
      <c r="CT32" s="13"/>
      <c r="CU32" s="13"/>
      <c r="CV32" s="13"/>
      <c r="CW32" s="13"/>
      <c r="CX32" s="13"/>
      <c r="CY32" s="13"/>
      <c r="CZ32" s="13"/>
      <c r="DA32" s="112" t="e">
        <f t="shared" ref="DA32" si="54">MATCH(TRUE,DB32:FD32,0)</f>
        <v>#N/A</v>
      </c>
      <c r="DB32" s="13"/>
      <c r="DC32" s="13"/>
      <c r="DD32" s="13"/>
      <c r="DE32" s="13"/>
      <c r="DF32" s="13"/>
      <c r="DG32" s="13"/>
      <c r="DH32" s="13"/>
      <c r="DI32" s="13"/>
      <c r="DJ32" s="13"/>
      <c r="DK32" s="13"/>
      <c r="DL32" s="13"/>
      <c r="DM32" s="13"/>
      <c r="DN32" s="13"/>
      <c r="DO32" s="13"/>
      <c r="DP32" s="13"/>
      <c r="DQ32" s="13"/>
      <c r="DR32" s="13"/>
      <c r="DS32" s="13"/>
      <c r="DT32" s="13"/>
      <c r="DU32" s="13"/>
      <c r="DV32" s="13"/>
      <c r="DW32" s="13"/>
      <c r="DX32" s="13"/>
      <c r="DY32" s="13"/>
      <c r="DZ32" s="13"/>
      <c r="EA32" s="13"/>
      <c r="EB32" s="13"/>
      <c r="EC32" s="13"/>
      <c r="ED32" s="13"/>
      <c r="EE32" s="13"/>
      <c r="EF32" s="13"/>
      <c r="EG32" s="13"/>
      <c r="EH32" s="13"/>
      <c r="EI32" s="13"/>
      <c r="EJ32" s="13"/>
      <c r="EK32" s="13"/>
      <c r="EL32" s="13"/>
      <c r="EM32" s="13"/>
      <c r="EN32" s="13"/>
      <c r="EO32" s="13"/>
      <c r="EP32" s="13"/>
      <c r="EQ32" s="13"/>
      <c r="ER32" s="13"/>
      <c r="ES32" s="13"/>
      <c r="ET32" s="13"/>
      <c r="EU32" s="13"/>
      <c r="EV32" s="13"/>
      <c r="EW32" s="13"/>
      <c r="EX32" s="13"/>
      <c r="EY32" s="13"/>
      <c r="EZ32" s="13"/>
      <c r="FA32" s="13"/>
      <c r="FB32" s="13"/>
      <c r="FC32" s="13"/>
      <c r="FD32" s="13"/>
      <c r="FF32" s="13" t="str">
        <f t="shared" ref="FF32" si="55">IF(DB32=TRUE,AX32&amp;"; ","")</f>
        <v/>
      </c>
      <c r="FG32" s="13" t="str">
        <f t="shared" si="47"/>
        <v/>
      </c>
      <c r="FH32" s="13" t="str">
        <f t="shared" si="47"/>
        <v/>
      </c>
      <c r="FI32" s="13" t="str">
        <f t="shared" si="47"/>
        <v/>
      </c>
      <c r="FJ32" s="13" t="str">
        <f t="shared" si="47"/>
        <v/>
      </c>
      <c r="FK32" s="13" t="str">
        <f t="shared" si="47"/>
        <v/>
      </c>
      <c r="FL32" s="13" t="str">
        <f t="shared" si="47"/>
        <v/>
      </c>
      <c r="FM32" s="13" t="str">
        <f t="shared" si="47"/>
        <v/>
      </c>
      <c r="FN32" s="13" t="str">
        <f t="shared" si="47"/>
        <v/>
      </c>
      <c r="FO32" s="13" t="str">
        <f t="shared" si="47"/>
        <v/>
      </c>
      <c r="FP32" s="13" t="str">
        <f t="shared" si="47"/>
        <v/>
      </c>
      <c r="FQ32" s="13" t="str">
        <f t="shared" si="47"/>
        <v/>
      </c>
      <c r="FR32" s="13" t="str">
        <f t="shared" si="47"/>
        <v/>
      </c>
      <c r="FS32" s="13" t="str">
        <f t="shared" si="47"/>
        <v/>
      </c>
      <c r="FT32" s="13" t="str">
        <f t="shared" si="47"/>
        <v/>
      </c>
      <c r="FU32" s="13" t="str">
        <f t="shared" si="47"/>
        <v/>
      </c>
      <c r="FV32" s="13" t="str">
        <f t="shared" si="47"/>
        <v/>
      </c>
      <c r="FW32" s="13" t="str">
        <f t="shared" si="47"/>
        <v/>
      </c>
      <c r="FX32" s="13" t="str">
        <f t="shared" si="47"/>
        <v/>
      </c>
      <c r="FY32" s="13" t="str">
        <f t="shared" si="47"/>
        <v/>
      </c>
      <c r="FZ32" s="13" t="str">
        <f t="shared" si="47"/>
        <v/>
      </c>
      <c r="GA32" s="13" t="str">
        <f t="shared" si="47"/>
        <v/>
      </c>
      <c r="GB32" s="13" t="str">
        <f t="shared" si="47"/>
        <v/>
      </c>
      <c r="GC32" s="13" t="str">
        <f t="shared" si="47"/>
        <v/>
      </c>
      <c r="GD32" s="13" t="str">
        <f t="shared" si="47"/>
        <v/>
      </c>
      <c r="GE32" s="13" t="str">
        <f t="shared" si="47"/>
        <v/>
      </c>
      <c r="GF32" s="13" t="str">
        <f t="shared" si="47"/>
        <v/>
      </c>
      <c r="GG32" s="13" t="str">
        <f t="shared" si="47"/>
        <v/>
      </c>
      <c r="GH32" s="13" t="str">
        <f t="shared" si="47"/>
        <v/>
      </c>
      <c r="GI32" s="13" t="str">
        <f t="shared" si="47"/>
        <v/>
      </c>
      <c r="GJ32" s="13" t="str">
        <f t="shared" si="47"/>
        <v/>
      </c>
      <c r="GK32" s="13" t="str">
        <f t="shared" si="47"/>
        <v/>
      </c>
      <c r="GL32" s="13" t="str">
        <f t="shared" si="47"/>
        <v/>
      </c>
      <c r="GM32" s="13" t="str">
        <f t="shared" si="47"/>
        <v/>
      </c>
      <c r="GN32" s="13" t="str">
        <f t="shared" si="47"/>
        <v/>
      </c>
      <c r="GO32" s="13" t="str">
        <f t="shared" si="47"/>
        <v/>
      </c>
      <c r="GP32" s="13" t="str">
        <f t="shared" si="47"/>
        <v/>
      </c>
      <c r="GQ32" s="13" t="str">
        <f t="shared" si="47"/>
        <v/>
      </c>
      <c r="GR32" s="13" t="str">
        <f t="shared" si="47"/>
        <v/>
      </c>
      <c r="GS32" s="13" t="str">
        <f t="shared" si="47"/>
        <v/>
      </c>
      <c r="GT32" s="13" t="str">
        <f t="shared" ref="GT32" si="56">IF(EP32=TRUE,CL32&amp;"; ","")</f>
        <v/>
      </c>
      <c r="GU32" s="13" t="str">
        <f t="shared" ref="GU32" si="57">IF(EQ32=TRUE,CM32&amp;"; ","")</f>
        <v/>
      </c>
      <c r="GV32" s="13" t="str">
        <f t="shared" ref="GV32" si="58">IF(ER32=TRUE,CN32&amp;"; ","")</f>
        <v/>
      </c>
      <c r="GW32" s="13" t="str">
        <f t="shared" ref="GW32" si="59">IF(ES32=TRUE,CO32&amp;"; ","")</f>
        <v/>
      </c>
      <c r="GX32" s="13" t="str">
        <f t="shared" ref="GX32" si="60">IF(ET32=TRUE,CP32&amp;"; ","")</f>
        <v/>
      </c>
      <c r="GY32" s="13" t="str">
        <f t="shared" ref="GY32" si="61">IF(EU32=TRUE,CQ32&amp;"; ","")</f>
        <v/>
      </c>
      <c r="GZ32" s="13" t="str">
        <f t="shared" ref="GZ32" si="62">IF(EV32=TRUE,CR32&amp;"; ","")</f>
        <v/>
      </c>
      <c r="HA32" s="13" t="str">
        <f t="shared" ref="HA32" si="63">IF(EW32=TRUE,CS32&amp;"; ","")</f>
        <v/>
      </c>
      <c r="HB32" s="13" t="str">
        <f t="shared" ref="HB32" si="64">IF(EX32=TRUE,CT32&amp;"; ","")</f>
        <v/>
      </c>
      <c r="HC32" s="13" t="str">
        <f t="shared" ref="HC32" si="65">IF(EY32=TRUE,CU32&amp;"; ","")</f>
        <v/>
      </c>
      <c r="HD32" s="13" t="str">
        <f t="shared" ref="HD32" si="66">IF(EZ32=TRUE,CV32&amp;"; ","")</f>
        <v/>
      </c>
      <c r="HE32" s="13" t="str">
        <f t="shared" ref="HE32" si="67">IF(FA32=TRUE,CW32&amp;"; ","")</f>
        <v/>
      </c>
      <c r="HF32" s="13" t="str">
        <f t="shared" ref="HF32" si="68">IF(FB32=TRUE,CX32&amp;"; ","")</f>
        <v/>
      </c>
      <c r="HG32" s="13" t="str">
        <f t="shared" ref="HG32" si="69">IF(FC32=TRUE,CY32&amp;"; ","")</f>
        <v/>
      </c>
      <c r="HH32" s="13" t="str">
        <f t="shared" ref="HH32" si="70">IF(FD32=TRUE,CZ32&amp;"; ","")</f>
        <v/>
      </c>
      <c r="HJ32" s="114" t="str">
        <f t="shared" ref="HJ32" si="71">IFERROR(LEFT(FF32&amp;FG32&amp;FH32&amp;FI32&amp;FJ32&amp;FK32&amp;FL32&amp;FM32&amp;FN32&amp;FO32&amp;FP32&amp;FQ32&amp;FR32&amp;FS32&amp;FT32&amp;FU32&amp;FV32&amp;FW32&amp;FX32&amp;FY32&amp;FZ32&amp;GA32&amp;GB32&amp;GC32&amp;GD32&amp;GE32&amp;GF32&amp;GG32&amp;GH32&amp;GI32&amp;GJ32&amp;GK32&amp;GL32&amp;GM32&amp;GN32&amp;GO32&amp;GP32&amp;GQ32&amp;GR32&amp;GS32&amp;GT32&amp;GU32&amp;GV32&amp;GW32&amp;GX32&amp;GY32&amp;GZ32&amp;HA32&amp;HB32&amp;HC32&amp;HD32&amp;HE32&amp;HF32&amp;HG32&amp;HH32,LEN(FF32&amp;FG32&amp;FH32&amp;FI32&amp;FJ32&amp;FK32&amp;FL32&amp;FM32&amp;FN32&amp;FO32&amp;FP32&amp;FQ32&amp;FR32&amp;FS32&amp;FT32&amp;FU32&amp;FV32&amp;FW32&amp;FX32&amp;FY32&amp;FZ32&amp;GA32&amp;GB32&amp;GC32&amp;GD32&amp;GE32&amp;GF32&amp;GG32&amp;GH32&amp;GI32&amp;GJ32&amp;GK32&amp;GL32&amp;GM32&amp;GN32&amp;GO32&amp;GP32&amp;GQ32&amp;GR32&amp;GS32&amp;GT32&amp;GU32&amp;GV32&amp;GW32&amp;GX32&amp;GY32&amp;GZ32&amp;HA32&amp;HB32&amp;HC32&amp;HD32&amp;HE32&amp;HF32&amp;HG32&amp;HH32)-2),"")</f>
        <v/>
      </c>
    </row>
    <row r="33" spans="3:218" s="119" customFormat="1" ht="106.5" customHeight="1">
      <c r="C33" s="118">
        <v>6</v>
      </c>
      <c r="D33" s="201" t="s">
        <v>10</v>
      </c>
      <c r="E33" s="3" t="s">
        <v>136</v>
      </c>
      <c r="F33" s="134">
        <f t="shared" si="52"/>
        <v>0.05</v>
      </c>
      <c r="G33" s="134">
        <f t="shared" si="53"/>
        <v>0.05</v>
      </c>
      <c r="H33" s="74" t="s">
        <v>173</v>
      </c>
      <c r="I33" s="190" t="s">
        <v>689</v>
      </c>
      <c r="J33" s="191"/>
      <c r="K33" s="43"/>
      <c r="L33" s="67"/>
      <c r="M33" s="65"/>
      <c r="N33" s="65"/>
      <c r="O33" s="66"/>
      <c r="Q33" s="132">
        <f t="shared" si="33"/>
        <v>0.05</v>
      </c>
      <c r="R33" s="133">
        <f t="shared" si="34"/>
        <v>0.05</v>
      </c>
      <c r="S33" s="120" t="str">
        <f t="shared" si="35"/>
        <v/>
      </c>
      <c r="T33" s="91">
        <f t="shared" si="22"/>
        <v>9</v>
      </c>
      <c r="U33" s="84" t="s">
        <v>136</v>
      </c>
      <c r="V33" s="139">
        <v>5</v>
      </c>
      <c r="W33" s="139">
        <v>5</v>
      </c>
      <c r="X33" s="139">
        <v>5</v>
      </c>
      <c r="Y33" s="139">
        <v>5</v>
      </c>
      <c r="Z33" s="139">
        <v>5</v>
      </c>
      <c r="AA33" s="139">
        <v>5</v>
      </c>
      <c r="AB33" s="139">
        <v>5</v>
      </c>
      <c r="AC33" s="139">
        <v>5</v>
      </c>
      <c r="AD33" s="139">
        <v>5</v>
      </c>
      <c r="AE33" s="139">
        <v>5</v>
      </c>
      <c r="AF33" s="139">
        <v>5</v>
      </c>
      <c r="AG33" s="139">
        <v>5</v>
      </c>
      <c r="AI33" s="100" t="s">
        <v>136</v>
      </c>
      <c r="AJ33" s="143">
        <f t="shared" si="48"/>
        <v>0.05</v>
      </c>
      <c r="AK33" s="143">
        <f t="shared" si="36"/>
        <v>0.05</v>
      </c>
      <c r="AL33" s="143">
        <f t="shared" si="37"/>
        <v>0.05</v>
      </c>
      <c r="AM33" s="143">
        <f t="shared" si="38"/>
        <v>0.05</v>
      </c>
      <c r="AN33" s="143">
        <f t="shared" si="39"/>
        <v>0.05</v>
      </c>
      <c r="AO33" s="143">
        <f t="shared" si="40"/>
        <v>0.05</v>
      </c>
      <c r="AP33" s="143">
        <f t="shared" si="41"/>
        <v>0.05</v>
      </c>
      <c r="AQ33" s="143">
        <f t="shared" si="42"/>
        <v>0.05</v>
      </c>
      <c r="AR33" s="143">
        <f t="shared" si="43"/>
        <v>0.05</v>
      </c>
      <c r="AS33" s="143">
        <f t="shared" si="44"/>
        <v>0.05</v>
      </c>
      <c r="AT33" s="143">
        <f t="shared" si="45"/>
        <v>0.05</v>
      </c>
      <c r="AU33" s="143">
        <f t="shared" si="46"/>
        <v>0.05</v>
      </c>
      <c r="AX33" s="13" t="s">
        <v>378</v>
      </c>
      <c r="AY33" s="13"/>
      <c r="AZ33" s="13"/>
      <c r="BA33" s="13"/>
      <c r="BB33" s="13"/>
      <c r="BC33" s="13"/>
      <c r="BD33" s="13"/>
      <c r="BE33" s="13"/>
      <c r="BF33" s="13"/>
      <c r="BG33" s="13"/>
      <c r="BH33" s="13"/>
      <c r="BI33" s="13"/>
      <c r="BJ33" s="13"/>
      <c r="BK33" s="13"/>
      <c r="BL33" s="13"/>
      <c r="BM33" s="13"/>
      <c r="BN33" s="13"/>
      <c r="BO33" s="13"/>
      <c r="BP33" s="13"/>
      <c r="BQ33" s="13"/>
      <c r="BR33" s="13"/>
      <c r="BS33" s="13"/>
      <c r="BT33" s="13"/>
      <c r="BU33" s="13"/>
      <c r="BV33" s="13"/>
      <c r="BW33" s="13"/>
      <c r="BX33" s="13"/>
      <c r="BY33" s="13"/>
      <c r="BZ33" s="13"/>
      <c r="CA33" s="13"/>
      <c r="CB33" s="13"/>
      <c r="CC33" s="13"/>
      <c r="CD33" s="13"/>
      <c r="CE33" s="13"/>
      <c r="CF33" s="13"/>
      <c r="CG33" s="13"/>
      <c r="CH33" s="13"/>
      <c r="CI33" s="13"/>
      <c r="CJ33" s="13"/>
      <c r="CK33" s="13"/>
      <c r="CL33" s="13"/>
      <c r="CM33" s="13"/>
      <c r="CN33" s="13"/>
      <c r="CO33" s="13"/>
      <c r="CP33" s="13"/>
      <c r="CQ33" s="13"/>
      <c r="CR33" s="13"/>
      <c r="CS33" s="13"/>
      <c r="CT33" s="13"/>
      <c r="CU33" s="13"/>
      <c r="CV33" s="13"/>
      <c r="CW33" s="13"/>
      <c r="CX33" s="13"/>
      <c r="CY33" s="13"/>
      <c r="CZ33" s="13"/>
      <c r="DA33" s="112" t="e">
        <f t="shared" si="49"/>
        <v>#N/A</v>
      </c>
      <c r="DB33" s="13"/>
      <c r="DC33" s="13"/>
      <c r="DD33" s="13"/>
      <c r="DE33" s="13"/>
      <c r="DF33" s="13"/>
      <c r="DG33" s="13"/>
      <c r="DH33" s="13"/>
      <c r="DI33" s="13"/>
      <c r="DJ33" s="13"/>
      <c r="DK33" s="13"/>
      <c r="DL33" s="13"/>
      <c r="DM33" s="13"/>
      <c r="DN33" s="13"/>
      <c r="DO33" s="13"/>
      <c r="DP33" s="13"/>
      <c r="DQ33" s="13"/>
      <c r="DR33" s="13"/>
      <c r="DS33" s="13"/>
      <c r="DT33" s="13"/>
      <c r="DU33" s="13"/>
      <c r="DV33" s="13"/>
      <c r="DW33" s="13"/>
      <c r="DX33" s="13"/>
      <c r="DY33" s="13"/>
      <c r="DZ33" s="13"/>
      <c r="EA33" s="13"/>
      <c r="EB33" s="13"/>
      <c r="EC33" s="13"/>
      <c r="ED33" s="13"/>
      <c r="EE33" s="13"/>
      <c r="EF33" s="13"/>
      <c r="EG33" s="13"/>
      <c r="EH33" s="13"/>
      <c r="EI33" s="13"/>
      <c r="EJ33" s="13"/>
      <c r="EK33" s="13"/>
      <c r="EL33" s="13"/>
      <c r="EM33" s="13"/>
      <c r="EN33" s="13"/>
      <c r="EO33" s="13"/>
      <c r="EP33" s="13"/>
      <c r="EQ33" s="13"/>
      <c r="ER33" s="13"/>
      <c r="ES33" s="13"/>
      <c r="ET33" s="13"/>
      <c r="EU33" s="13"/>
      <c r="EV33" s="13"/>
      <c r="EW33" s="13"/>
      <c r="EX33" s="13"/>
      <c r="EY33" s="13"/>
      <c r="EZ33" s="13"/>
      <c r="FA33" s="13"/>
      <c r="FB33" s="13"/>
      <c r="FC33" s="13"/>
      <c r="FD33" s="13"/>
      <c r="FF33" s="13" t="str">
        <f t="shared" si="50"/>
        <v/>
      </c>
      <c r="FG33" s="13" t="str">
        <f t="shared" si="50"/>
        <v/>
      </c>
      <c r="FH33" s="13" t="str">
        <f t="shared" si="50"/>
        <v/>
      </c>
      <c r="FI33" s="13" t="str">
        <f t="shared" si="50"/>
        <v/>
      </c>
      <c r="FJ33" s="13" t="str">
        <f t="shared" si="50"/>
        <v/>
      </c>
      <c r="FK33" s="13" t="str">
        <f t="shared" si="50"/>
        <v/>
      </c>
      <c r="FL33" s="13" t="str">
        <f t="shared" si="50"/>
        <v/>
      </c>
      <c r="FM33" s="13" t="str">
        <f t="shared" si="50"/>
        <v/>
      </c>
      <c r="FN33" s="13" t="str">
        <f t="shared" si="50"/>
        <v/>
      </c>
      <c r="FO33" s="13" t="str">
        <f t="shared" si="50"/>
        <v/>
      </c>
      <c r="FP33" s="13" t="str">
        <f t="shared" si="50"/>
        <v/>
      </c>
      <c r="FQ33" s="13" t="str">
        <f t="shared" si="50"/>
        <v/>
      </c>
      <c r="FR33" s="13" t="str">
        <f t="shared" si="50"/>
        <v/>
      </c>
      <c r="FS33" s="13" t="str">
        <f t="shared" si="50"/>
        <v/>
      </c>
      <c r="FT33" s="13" t="str">
        <f t="shared" si="50"/>
        <v/>
      </c>
      <c r="FU33" s="13" t="str">
        <f t="shared" si="50"/>
        <v/>
      </c>
      <c r="FV33" s="13" t="str">
        <f t="shared" ref="FV33:GK37" si="72">IF(DR33=TRUE,BN33&amp;"; ","")</f>
        <v/>
      </c>
      <c r="FW33" s="13" t="str">
        <f t="shared" si="72"/>
        <v/>
      </c>
      <c r="FX33" s="13" t="str">
        <f t="shared" si="72"/>
        <v/>
      </c>
      <c r="FY33" s="13" t="str">
        <f t="shared" si="72"/>
        <v/>
      </c>
      <c r="FZ33" s="13" t="str">
        <f t="shared" si="72"/>
        <v/>
      </c>
      <c r="GA33" s="13" t="str">
        <f t="shared" si="72"/>
        <v/>
      </c>
      <c r="GB33" s="13" t="str">
        <f t="shared" si="72"/>
        <v/>
      </c>
      <c r="GC33" s="13" t="str">
        <f t="shared" si="72"/>
        <v/>
      </c>
      <c r="GD33" s="13" t="str">
        <f t="shared" si="72"/>
        <v/>
      </c>
      <c r="GE33" s="13" t="str">
        <f t="shared" si="72"/>
        <v/>
      </c>
      <c r="GF33" s="13" t="str">
        <f t="shared" si="72"/>
        <v/>
      </c>
      <c r="GG33" s="13" t="str">
        <f t="shared" si="72"/>
        <v/>
      </c>
      <c r="GH33" s="13" t="str">
        <f t="shared" si="72"/>
        <v/>
      </c>
      <c r="GI33" s="13" t="str">
        <f t="shared" si="72"/>
        <v/>
      </c>
      <c r="GJ33" s="13" t="str">
        <f t="shared" si="72"/>
        <v/>
      </c>
      <c r="GK33" s="13" t="str">
        <f t="shared" si="72"/>
        <v/>
      </c>
      <c r="GL33" s="13" t="str">
        <f t="shared" ref="GL33:GS37" si="73">IF(EH33=TRUE,CD33&amp;"; ","")</f>
        <v/>
      </c>
      <c r="GM33" s="13" t="str">
        <f t="shared" si="73"/>
        <v/>
      </c>
      <c r="GN33" s="13" t="str">
        <f t="shared" si="73"/>
        <v/>
      </c>
      <c r="GO33" s="13" t="str">
        <f t="shared" si="73"/>
        <v/>
      </c>
      <c r="GP33" s="13" t="str">
        <f t="shared" si="73"/>
        <v/>
      </c>
      <c r="GQ33" s="13" t="str">
        <f t="shared" si="73"/>
        <v/>
      </c>
      <c r="GR33" s="13" t="str">
        <f t="shared" si="73"/>
        <v/>
      </c>
      <c r="GS33" s="13" t="str">
        <f t="shared" si="73"/>
        <v/>
      </c>
      <c r="GT33" s="13" t="str">
        <f t="shared" ref="GT33:HH37" si="74">IF(EP33=TRUE,CL33&amp;"; ","")</f>
        <v/>
      </c>
      <c r="GU33" s="13" t="str">
        <f t="shared" si="74"/>
        <v/>
      </c>
      <c r="GV33" s="13" t="str">
        <f t="shared" si="74"/>
        <v/>
      </c>
      <c r="GW33" s="13" t="str">
        <f t="shared" si="74"/>
        <v/>
      </c>
      <c r="GX33" s="13" t="str">
        <f t="shared" si="74"/>
        <v/>
      </c>
      <c r="GY33" s="13" t="str">
        <f t="shared" si="74"/>
        <v/>
      </c>
      <c r="GZ33" s="13" t="str">
        <f t="shared" si="74"/>
        <v/>
      </c>
      <c r="HA33" s="13" t="str">
        <f t="shared" si="74"/>
        <v/>
      </c>
      <c r="HB33" s="13" t="str">
        <f t="shared" si="74"/>
        <v/>
      </c>
      <c r="HC33" s="13" t="str">
        <f t="shared" si="74"/>
        <v/>
      </c>
      <c r="HD33" s="13" t="str">
        <f t="shared" si="74"/>
        <v/>
      </c>
      <c r="HE33" s="13" t="str">
        <f t="shared" si="74"/>
        <v/>
      </c>
      <c r="HF33" s="13" t="str">
        <f t="shared" si="74"/>
        <v/>
      </c>
      <c r="HG33" s="13" t="str">
        <f t="shared" si="74"/>
        <v/>
      </c>
      <c r="HH33" s="13" t="str">
        <f t="shared" si="74"/>
        <v/>
      </c>
      <c r="HJ33" s="114" t="str">
        <f t="shared" si="51"/>
        <v/>
      </c>
    </row>
    <row r="34" spans="3:218" s="119" customFormat="1" ht="45" customHeight="1">
      <c r="C34" s="121">
        <v>7</v>
      </c>
      <c r="D34" s="201"/>
      <c r="E34" s="3" t="s">
        <v>234</v>
      </c>
      <c r="F34" s="134">
        <f t="shared" si="52"/>
        <v>0.05</v>
      </c>
      <c r="G34" s="134">
        <f t="shared" si="53"/>
        <v>0.05</v>
      </c>
      <c r="H34" s="74" t="s">
        <v>173</v>
      </c>
      <c r="I34" s="190" t="s">
        <v>691</v>
      </c>
      <c r="J34" s="191"/>
      <c r="K34" s="43"/>
      <c r="L34" s="67"/>
      <c r="M34" s="65"/>
      <c r="N34" s="65"/>
      <c r="O34" s="66"/>
      <c r="Q34" s="132">
        <f t="shared" si="33"/>
        <v>0.05</v>
      </c>
      <c r="R34" s="133">
        <f t="shared" si="34"/>
        <v>0.05</v>
      </c>
      <c r="S34" s="120" t="str">
        <f t="shared" si="35"/>
        <v/>
      </c>
      <c r="T34" s="91">
        <f t="shared" si="22"/>
        <v>10</v>
      </c>
      <c r="U34" s="84" t="s">
        <v>234</v>
      </c>
      <c r="V34" s="139">
        <v>5</v>
      </c>
      <c r="W34" s="139">
        <v>5</v>
      </c>
      <c r="X34" s="139">
        <v>5</v>
      </c>
      <c r="Y34" s="139">
        <v>5</v>
      </c>
      <c r="Z34" s="139">
        <v>5</v>
      </c>
      <c r="AA34" s="139">
        <v>5</v>
      </c>
      <c r="AB34" s="139">
        <v>5</v>
      </c>
      <c r="AC34" s="139">
        <v>5</v>
      </c>
      <c r="AD34" s="139">
        <v>5</v>
      </c>
      <c r="AE34" s="139">
        <v>5</v>
      </c>
      <c r="AF34" s="139">
        <v>5</v>
      </c>
      <c r="AG34" s="139">
        <v>5</v>
      </c>
      <c r="AI34" s="100" t="s">
        <v>234</v>
      </c>
      <c r="AJ34" s="143">
        <f t="shared" si="48"/>
        <v>0.05</v>
      </c>
      <c r="AK34" s="143">
        <f t="shared" si="36"/>
        <v>0.05</v>
      </c>
      <c r="AL34" s="143">
        <f t="shared" si="37"/>
        <v>0.05</v>
      </c>
      <c r="AM34" s="143">
        <f t="shared" si="38"/>
        <v>0.05</v>
      </c>
      <c r="AN34" s="143">
        <f t="shared" si="39"/>
        <v>0.05</v>
      </c>
      <c r="AO34" s="143">
        <f t="shared" si="40"/>
        <v>0.05</v>
      </c>
      <c r="AP34" s="143">
        <f t="shared" si="41"/>
        <v>0.05</v>
      </c>
      <c r="AQ34" s="143">
        <f t="shared" si="42"/>
        <v>0.05</v>
      </c>
      <c r="AR34" s="143">
        <f t="shared" si="43"/>
        <v>0.05</v>
      </c>
      <c r="AS34" s="143">
        <f t="shared" si="44"/>
        <v>0.05</v>
      </c>
      <c r="AT34" s="143">
        <f t="shared" si="45"/>
        <v>0.05</v>
      </c>
      <c r="AU34" s="143">
        <f t="shared" si="46"/>
        <v>0.05</v>
      </c>
      <c r="AX34" s="13" t="s">
        <v>379</v>
      </c>
      <c r="AY34" s="13" t="s">
        <v>380</v>
      </c>
      <c r="AZ34" s="13"/>
      <c r="BA34" s="13"/>
      <c r="BB34" s="13"/>
      <c r="BC34" s="13"/>
      <c r="BD34" s="13"/>
      <c r="BE34" s="13"/>
      <c r="BF34" s="13"/>
      <c r="BG34" s="13"/>
      <c r="BH34" s="13"/>
      <c r="BI34" s="13"/>
      <c r="BJ34" s="13"/>
      <c r="BK34" s="13"/>
      <c r="BL34" s="13"/>
      <c r="BM34" s="13"/>
      <c r="BN34" s="13"/>
      <c r="BO34" s="13"/>
      <c r="BP34" s="13"/>
      <c r="BQ34" s="13"/>
      <c r="BR34" s="13"/>
      <c r="BS34" s="13"/>
      <c r="BT34" s="13"/>
      <c r="BU34" s="13"/>
      <c r="BV34" s="13"/>
      <c r="BW34" s="13"/>
      <c r="BX34" s="13"/>
      <c r="BY34" s="13"/>
      <c r="BZ34" s="13"/>
      <c r="CA34" s="13"/>
      <c r="CB34" s="13"/>
      <c r="CC34" s="13"/>
      <c r="CD34" s="13"/>
      <c r="CE34" s="13"/>
      <c r="CF34" s="13"/>
      <c r="CG34" s="13"/>
      <c r="CH34" s="13"/>
      <c r="CI34" s="13"/>
      <c r="CJ34" s="13"/>
      <c r="CK34" s="13"/>
      <c r="CL34" s="13"/>
      <c r="CM34" s="13"/>
      <c r="CN34" s="13"/>
      <c r="CO34" s="13"/>
      <c r="CP34" s="13"/>
      <c r="CQ34" s="13"/>
      <c r="CR34" s="13"/>
      <c r="CS34" s="13"/>
      <c r="CT34" s="13"/>
      <c r="CU34" s="13"/>
      <c r="CV34" s="13"/>
      <c r="CW34" s="13"/>
      <c r="CX34" s="13"/>
      <c r="CY34" s="13"/>
      <c r="CZ34" s="13"/>
      <c r="DA34" s="112" t="e">
        <f t="shared" si="49"/>
        <v>#N/A</v>
      </c>
      <c r="DB34" s="13"/>
      <c r="DC34" s="13"/>
      <c r="DD34" s="13"/>
      <c r="DE34" s="13"/>
      <c r="DF34" s="13"/>
      <c r="DG34" s="13"/>
      <c r="DH34" s="13"/>
      <c r="DI34" s="13"/>
      <c r="DJ34" s="13"/>
      <c r="DK34" s="13"/>
      <c r="DL34" s="13"/>
      <c r="DM34" s="13"/>
      <c r="DN34" s="13"/>
      <c r="DO34" s="13"/>
      <c r="DP34" s="13"/>
      <c r="DQ34" s="13"/>
      <c r="DR34" s="13"/>
      <c r="DS34" s="13"/>
      <c r="DT34" s="13"/>
      <c r="DU34" s="13"/>
      <c r="DV34" s="13"/>
      <c r="DW34" s="13"/>
      <c r="DX34" s="13"/>
      <c r="DY34" s="13"/>
      <c r="DZ34" s="13"/>
      <c r="EA34" s="13"/>
      <c r="EB34" s="13"/>
      <c r="EC34" s="13"/>
      <c r="ED34" s="13"/>
      <c r="EE34" s="13"/>
      <c r="EF34" s="13"/>
      <c r="EG34" s="13"/>
      <c r="EH34" s="13"/>
      <c r="EI34" s="13"/>
      <c r="EJ34" s="13"/>
      <c r="EK34" s="13"/>
      <c r="EL34" s="13"/>
      <c r="EM34" s="13"/>
      <c r="EN34" s="13"/>
      <c r="EO34" s="13"/>
      <c r="EP34" s="13"/>
      <c r="EQ34" s="13"/>
      <c r="ER34" s="13"/>
      <c r="ES34" s="13"/>
      <c r="ET34" s="13"/>
      <c r="EU34" s="13"/>
      <c r="EV34" s="13"/>
      <c r="EW34" s="13"/>
      <c r="EX34" s="13"/>
      <c r="EY34" s="13"/>
      <c r="EZ34" s="13"/>
      <c r="FA34" s="13"/>
      <c r="FB34" s="13"/>
      <c r="FC34" s="13"/>
      <c r="FD34" s="13"/>
      <c r="FF34" s="13" t="str">
        <f t="shared" si="50"/>
        <v/>
      </c>
      <c r="FG34" s="13" t="str">
        <f t="shared" si="50"/>
        <v/>
      </c>
      <c r="FH34" s="13" t="str">
        <f t="shared" si="50"/>
        <v/>
      </c>
      <c r="FI34" s="13" t="str">
        <f t="shared" si="50"/>
        <v/>
      </c>
      <c r="FJ34" s="13" t="str">
        <f t="shared" si="50"/>
        <v/>
      </c>
      <c r="FK34" s="13" t="str">
        <f t="shared" si="50"/>
        <v/>
      </c>
      <c r="FL34" s="13" t="str">
        <f t="shared" si="50"/>
        <v/>
      </c>
      <c r="FM34" s="13" t="str">
        <f t="shared" si="50"/>
        <v/>
      </c>
      <c r="FN34" s="13" t="str">
        <f t="shared" si="50"/>
        <v/>
      </c>
      <c r="FO34" s="13" t="str">
        <f t="shared" si="50"/>
        <v/>
      </c>
      <c r="FP34" s="13" t="str">
        <f t="shared" si="50"/>
        <v/>
      </c>
      <c r="FQ34" s="13" t="str">
        <f t="shared" si="50"/>
        <v/>
      </c>
      <c r="FR34" s="13" t="str">
        <f t="shared" si="50"/>
        <v/>
      </c>
      <c r="FS34" s="13" t="str">
        <f t="shared" si="50"/>
        <v/>
      </c>
      <c r="FT34" s="13" t="str">
        <f t="shared" si="50"/>
        <v/>
      </c>
      <c r="FU34" s="13" t="str">
        <f t="shared" si="50"/>
        <v/>
      </c>
      <c r="FV34" s="13" t="str">
        <f t="shared" si="72"/>
        <v/>
      </c>
      <c r="FW34" s="13" t="str">
        <f t="shared" si="72"/>
        <v/>
      </c>
      <c r="FX34" s="13" t="str">
        <f t="shared" si="72"/>
        <v/>
      </c>
      <c r="FY34" s="13" t="str">
        <f t="shared" si="72"/>
        <v/>
      </c>
      <c r="FZ34" s="13" t="str">
        <f t="shared" si="72"/>
        <v/>
      </c>
      <c r="GA34" s="13" t="str">
        <f t="shared" si="72"/>
        <v/>
      </c>
      <c r="GB34" s="13" t="str">
        <f t="shared" si="72"/>
        <v/>
      </c>
      <c r="GC34" s="13" t="str">
        <f t="shared" si="72"/>
        <v/>
      </c>
      <c r="GD34" s="13" t="str">
        <f t="shared" si="72"/>
        <v/>
      </c>
      <c r="GE34" s="13" t="str">
        <f t="shared" si="72"/>
        <v/>
      </c>
      <c r="GF34" s="13" t="str">
        <f t="shared" si="72"/>
        <v/>
      </c>
      <c r="GG34" s="13" t="str">
        <f t="shared" si="72"/>
        <v/>
      </c>
      <c r="GH34" s="13" t="str">
        <f t="shared" si="72"/>
        <v/>
      </c>
      <c r="GI34" s="13" t="str">
        <f t="shared" si="72"/>
        <v/>
      </c>
      <c r="GJ34" s="13" t="str">
        <f t="shared" si="72"/>
        <v/>
      </c>
      <c r="GK34" s="13" t="str">
        <f t="shared" si="72"/>
        <v/>
      </c>
      <c r="GL34" s="13" t="str">
        <f t="shared" si="73"/>
        <v/>
      </c>
      <c r="GM34" s="13" t="str">
        <f t="shared" si="73"/>
        <v/>
      </c>
      <c r="GN34" s="13" t="str">
        <f t="shared" si="73"/>
        <v/>
      </c>
      <c r="GO34" s="13" t="str">
        <f t="shared" si="73"/>
        <v/>
      </c>
      <c r="GP34" s="13" t="str">
        <f t="shared" si="73"/>
        <v/>
      </c>
      <c r="GQ34" s="13" t="str">
        <f t="shared" si="73"/>
        <v/>
      </c>
      <c r="GR34" s="13" t="str">
        <f t="shared" si="73"/>
        <v/>
      </c>
      <c r="GS34" s="13" t="str">
        <f t="shared" si="73"/>
        <v/>
      </c>
      <c r="GT34" s="13" t="str">
        <f t="shared" si="74"/>
        <v/>
      </c>
      <c r="GU34" s="13" t="str">
        <f t="shared" si="74"/>
        <v/>
      </c>
      <c r="GV34" s="13" t="str">
        <f t="shared" si="74"/>
        <v/>
      </c>
      <c r="GW34" s="13" t="str">
        <f t="shared" si="74"/>
        <v/>
      </c>
      <c r="GX34" s="13" t="str">
        <f t="shared" si="74"/>
        <v/>
      </c>
      <c r="GY34" s="13" t="str">
        <f t="shared" si="74"/>
        <v/>
      </c>
      <c r="GZ34" s="13" t="str">
        <f t="shared" si="74"/>
        <v/>
      </c>
      <c r="HA34" s="13" t="str">
        <f t="shared" si="74"/>
        <v/>
      </c>
      <c r="HB34" s="13" t="str">
        <f t="shared" si="74"/>
        <v/>
      </c>
      <c r="HC34" s="13" t="str">
        <f t="shared" si="74"/>
        <v/>
      </c>
      <c r="HD34" s="13" t="str">
        <f t="shared" si="74"/>
        <v/>
      </c>
      <c r="HE34" s="13" t="str">
        <f t="shared" si="74"/>
        <v/>
      </c>
      <c r="HF34" s="13" t="str">
        <f t="shared" si="74"/>
        <v/>
      </c>
      <c r="HG34" s="13" t="str">
        <f t="shared" si="74"/>
        <v/>
      </c>
      <c r="HH34" s="13" t="str">
        <f t="shared" si="74"/>
        <v/>
      </c>
      <c r="HJ34" s="114" t="str">
        <f t="shared" si="51"/>
        <v/>
      </c>
    </row>
    <row r="35" spans="3:218" s="119" customFormat="1" ht="45" customHeight="1">
      <c r="C35" s="135">
        <v>8</v>
      </c>
      <c r="D35" s="145" t="s">
        <v>21</v>
      </c>
      <c r="E35" s="3" t="s">
        <v>135</v>
      </c>
      <c r="F35" s="134">
        <f t="shared" si="52"/>
        <v>0.08</v>
      </c>
      <c r="G35" s="134">
        <f t="shared" si="53"/>
        <v>0.08</v>
      </c>
      <c r="H35" s="74" t="s">
        <v>173</v>
      </c>
      <c r="I35" s="190" t="s">
        <v>690</v>
      </c>
      <c r="J35" s="191"/>
      <c r="K35" s="43"/>
      <c r="L35" s="67"/>
      <c r="M35" s="65"/>
      <c r="N35" s="65"/>
      <c r="O35" s="66"/>
      <c r="Q35" s="132">
        <f t="shared" si="33"/>
        <v>0.08</v>
      </c>
      <c r="R35" s="133">
        <f t="shared" si="34"/>
        <v>0.08</v>
      </c>
      <c r="S35" s="120" t="str">
        <f t="shared" si="35"/>
        <v/>
      </c>
      <c r="T35" s="91">
        <f t="shared" si="22"/>
        <v>11</v>
      </c>
      <c r="U35" s="84" t="s">
        <v>135</v>
      </c>
      <c r="V35" s="139">
        <v>10</v>
      </c>
      <c r="W35" s="139">
        <v>10</v>
      </c>
      <c r="X35" s="139">
        <v>8</v>
      </c>
      <c r="Y35" s="139">
        <v>8</v>
      </c>
      <c r="Z35" s="139">
        <v>8</v>
      </c>
      <c r="AA35" s="139">
        <v>10</v>
      </c>
      <c r="AB35" s="139">
        <v>8</v>
      </c>
      <c r="AC35" s="139">
        <v>10</v>
      </c>
      <c r="AD35" s="139">
        <v>10</v>
      </c>
      <c r="AE35" s="139">
        <v>10</v>
      </c>
      <c r="AF35" s="139">
        <v>10</v>
      </c>
      <c r="AG35" s="139">
        <v>10</v>
      </c>
      <c r="AI35" s="100" t="s">
        <v>135</v>
      </c>
      <c r="AJ35" s="143">
        <f t="shared" si="48"/>
        <v>0.1</v>
      </c>
      <c r="AK35" s="143">
        <f t="shared" si="36"/>
        <v>0.1</v>
      </c>
      <c r="AL35" s="143">
        <f t="shared" si="37"/>
        <v>0.08</v>
      </c>
      <c r="AM35" s="143">
        <f t="shared" si="38"/>
        <v>0.08</v>
      </c>
      <c r="AN35" s="143">
        <f t="shared" si="39"/>
        <v>0.08</v>
      </c>
      <c r="AO35" s="143">
        <f t="shared" si="40"/>
        <v>0.1</v>
      </c>
      <c r="AP35" s="143">
        <f t="shared" si="41"/>
        <v>0.08</v>
      </c>
      <c r="AQ35" s="143">
        <f t="shared" si="42"/>
        <v>0.1</v>
      </c>
      <c r="AR35" s="143">
        <f t="shared" si="43"/>
        <v>0.1</v>
      </c>
      <c r="AS35" s="143">
        <f t="shared" si="44"/>
        <v>0.1</v>
      </c>
      <c r="AT35" s="143">
        <f t="shared" si="45"/>
        <v>0.1</v>
      </c>
      <c r="AU35" s="143">
        <f t="shared" si="46"/>
        <v>0.1</v>
      </c>
      <c r="AX35" s="13" t="s">
        <v>381</v>
      </c>
      <c r="AY35" s="13" t="s">
        <v>382</v>
      </c>
      <c r="AZ35" s="13" t="s">
        <v>383</v>
      </c>
      <c r="BA35" s="13"/>
      <c r="BB35" s="13"/>
      <c r="BC35" s="13"/>
      <c r="BD35" s="13"/>
      <c r="BE35" s="13"/>
      <c r="BF35" s="13"/>
      <c r="BG35" s="13"/>
      <c r="BH35" s="13"/>
      <c r="BI35" s="13"/>
      <c r="BJ35" s="13"/>
      <c r="BK35" s="13"/>
      <c r="BL35" s="13"/>
      <c r="BM35" s="13"/>
      <c r="BN35" s="13"/>
      <c r="BO35" s="13"/>
      <c r="BP35" s="13"/>
      <c r="BQ35" s="13"/>
      <c r="BR35" s="13"/>
      <c r="BS35" s="13"/>
      <c r="BT35" s="13"/>
      <c r="BU35" s="13"/>
      <c r="BV35" s="13"/>
      <c r="BW35" s="13"/>
      <c r="BX35" s="13"/>
      <c r="BY35" s="13"/>
      <c r="BZ35" s="13"/>
      <c r="CA35" s="13"/>
      <c r="CB35" s="13"/>
      <c r="CC35" s="13"/>
      <c r="CD35" s="13"/>
      <c r="CE35" s="13"/>
      <c r="CF35" s="13"/>
      <c r="CG35" s="13"/>
      <c r="CH35" s="13"/>
      <c r="CI35" s="13"/>
      <c r="CJ35" s="13"/>
      <c r="CK35" s="13"/>
      <c r="CL35" s="13"/>
      <c r="CM35" s="13"/>
      <c r="CN35" s="13"/>
      <c r="CO35" s="13"/>
      <c r="CP35" s="13"/>
      <c r="CQ35" s="13"/>
      <c r="CR35" s="13"/>
      <c r="CS35" s="13"/>
      <c r="CT35" s="13"/>
      <c r="CU35" s="13"/>
      <c r="CV35" s="13"/>
      <c r="CW35" s="13"/>
      <c r="CX35" s="13"/>
      <c r="CY35" s="13"/>
      <c r="CZ35" s="13"/>
      <c r="DA35" s="112" t="e">
        <f t="shared" si="49"/>
        <v>#N/A</v>
      </c>
      <c r="DB35" s="13"/>
      <c r="DC35" s="13"/>
      <c r="DD35" s="13"/>
      <c r="DE35" s="13"/>
      <c r="DF35" s="13"/>
      <c r="DG35" s="13"/>
      <c r="DH35" s="13"/>
      <c r="DI35" s="13"/>
      <c r="DJ35" s="13"/>
      <c r="DK35" s="13"/>
      <c r="DL35" s="13"/>
      <c r="DM35" s="13"/>
      <c r="DN35" s="13"/>
      <c r="DO35" s="13"/>
      <c r="DP35" s="13"/>
      <c r="DQ35" s="13"/>
      <c r="DR35" s="13"/>
      <c r="DS35" s="13"/>
      <c r="DT35" s="13"/>
      <c r="DU35" s="13"/>
      <c r="DV35" s="13"/>
      <c r="DW35" s="13"/>
      <c r="DX35" s="13"/>
      <c r="DY35" s="13"/>
      <c r="DZ35" s="13"/>
      <c r="EA35" s="13"/>
      <c r="EB35" s="13"/>
      <c r="EC35" s="13"/>
      <c r="ED35" s="13"/>
      <c r="EE35" s="13"/>
      <c r="EF35" s="13"/>
      <c r="EG35" s="13"/>
      <c r="EH35" s="13"/>
      <c r="EI35" s="13"/>
      <c r="EJ35" s="13"/>
      <c r="EK35" s="13"/>
      <c r="EL35" s="13"/>
      <c r="EM35" s="13"/>
      <c r="EN35" s="13"/>
      <c r="EO35" s="13"/>
      <c r="EP35" s="13"/>
      <c r="EQ35" s="13"/>
      <c r="ER35" s="13"/>
      <c r="ES35" s="13"/>
      <c r="ET35" s="13"/>
      <c r="EU35" s="13"/>
      <c r="EV35" s="13"/>
      <c r="EW35" s="13"/>
      <c r="EX35" s="13"/>
      <c r="EY35" s="13"/>
      <c r="EZ35" s="13"/>
      <c r="FA35" s="13"/>
      <c r="FB35" s="13"/>
      <c r="FC35" s="13"/>
      <c r="FD35" s="13"/>
      <c r="FF35" s="13" t="str">
        <f t="shared" si="50"/>
        <v/>
      </c>
      <c r="FG35" s="13" t="str">
        <f t="shared" si="50"/>
        <v/>
      </c>
      <c r="FH35" s="13" t="str">
        <f t="shared" si="50"/>
        <v/>
      </c>
      <c r="FI35" s="13" t="str">
        <f t="shared" si="50"/>
        <v/>
      </c>
      <c r="FJ35" s="13" t="str">
        <f t="shared" si="50"/>
        <v/>
      </c>
      <c r="FK35" s="13" t="str">
        <f t="shared" si="50"/>
        <v/>
      </c>
      <c r="FL35" s="13" t="str">
        <f t="shared" si="50"/>
        <v/>
      </c>
      <c r="FM35" s="13" t="str">
        <f t="shared" si="50"/>
        <v/>
      </c>
      <c r="FN35" s="13" t="str">
        <f t="shared" si="50"/>
        <v/>
      </c>
      <c r="FO35" s="13" t="str">
        <f t="shared" si="50"/>
        <v/>
      </c>
      <c r="FP35" s="13" t="str">
        <f t="shared" si="50"/>
        <v/>
      </c>
      <c r="FQ35" s="13" t="str">
        <f t="shared" si="50"/>
        <v/>
      </c>
      <c r="FR35" s="13" t="str">
        <f t="shared" si="50"/>
        <v/>
      </c>
      <c r="FS35" s="13" t="str">
        <f t="shared" si="50"/>
        <v/>
      </c>
      <c r="FT35" s="13" t="str">
        <f t="shared" si="50"/>
        <v/>
      </c>
      <c r="FU35" s="13" t="str">
        <f t="shared" si="50"/>
        <v/>
      </c>
      <c r="FV35" s="13" t="str">
        <f t="shared" si="72"/>
        <v/>
      </c>
      <c r="FW35" s="13" t="str">
        <f t="shared" si="72"/>
        <v/>
      </c>
      <c r="FX35" s="13" t="str">
        <f t="shared" si="72"/>
        <v/>
      </c>
      <c r="FY35" s="13" t="str">
        <f t="shared" si="72"/>
        <v/>
      </c>
      <c r="FZ35" s="13" t="str">
        <f t="shared" si="72"/>
        <v/>
      </c>
      <c r="GA35" s="13" t="str">
        <f t="shared" si="72"/>
        <v/>
      </c>
      <c r="GB35" s="13" t="str">
        <f t="shared" si="72"/>
        <v/>
      </c>
      <c r="GC35" s="13" t="str">
        <f t="shared" si="72"/>
        <v/>
      </c>
      <c r="GD35" s="13" t="str">
        <f t="shared" si="72"/>
        <v/>
      </c>
      <c r="GE35" s="13" t="str">
        <f t="shared" si="72"/>
        <v/>
      </c>
      <c r="GF35" s="13" t="str">
        <f t="shared" si="72"/>
        <v/>
      </c>
      <c r="GG35" s="13" t="str">
        <f t="shared" si="72"/>
        <v/>
      </c>
      <c r="GH35" s="13" t="str">
        <f t="shared" si="72"/>
        <v/>
      </c>
      <c r="GI35" s="13" t="str">
        <f t="shared" si="72"/>
        <v/>
      </c>
      <c r="GJ35" s="13" t="str">
        <f t="shared" si="72"/>
        <v/>
      </c>
      <c r="GK35" s="13" t="str">
        <f t="shared" si="72"/>
        <v/>
      </c>
      <c r="GL35" s="13" t="str">
        <f t="shared" si="73"/>
        <v/>
      </c>
      <c r="GM35" s="13" t="str">
        <f t="shared" si="73"/>
        <v/>
      </c>
      <c r="GN35" s="13" t="str">
        <f t="shared" si="73"/>
        <v/>
      </c>
      <c r="GO35" s="13" t="str">
        <f t="shared" si="73"/>
        <v/>
      </c>
      <c r="GP35" s="13" t="str">
        <f t="shared" si="73"/>
        <v/>
      </c>
      <c r="GQ35" s="13" t="str">
        <f t="shared" si="73"/>
        <v/>
      </c>
      <c r="GR35" s="13" t="str">
        <f t="shared" si="73"/>
        <v/>
      </c>
      <c r="GS35" s="13" t="str">
        <f t="shared" si="73"/>
        <v/>
      </c>
      <c r="GT35" s="13" t="str">
        <f t="shared" si="74"/>
        <v/>
      </c>
      <c r="GU35" s="13" t="str">
        <f t="shared" si="74"/>
        <v/>
      </c>
      <c r="GV35" s="13" t="str">
        <f t="shared" si="74"/>
        <v/>
      </c>
      <c r="GW35" s="13" t="str">
        <f t="shared" si="74"/>
        <v/>
      </c>
      <c r="GX35" s="13" t="str">
        <f t="shared" si="74"/>
        <v/>
      </c>
      <c r="GY35" s="13" t="str">
        <f t="shared" si="74"/>
        <v/>
      </c>
      <c r="GZ35" s="13" t="str">
        <f t="shared" si="74"/>
        <v/>
      </c>
      <c r="HA35" s="13" t="str">
        <f t="shared" si="74"/>
        <v/>
      </c>
      <c r="HB35" s="13" t="str">
        <f t="shared" si="74"/>
        <v/>
      </c>
      <c r="HC35" s="13" t="str">
        <f t="shared" si="74"/>
        <v/>
      </c>
      <c r="HD35" s="13" t="str">
        <f t="shared" si="74"/>
        <v/>
      </c>
      <c r="HE35" s="13" t="str">
        <f t="shared" si="74"/>
        <v/>
      </c>
      <c r="HF35" s="13" t="str">
        <f t="shared" si="74"/>
        <v/>
      </c>
      <c r="HG35" s="13" t="str">
        <f t="shared" si="74"/>
        <v/>
      </c>
      <c r="HH35" s="13" t="str">
        <f t="shared" si="74"/>
        <v/>
      </c>
      <c r="HJ35" s="114" t="str">
        <f t="shared" si="51"/>
        <v/>
      </c>
    </row>
    <row r="36" spans="3:218" s="119" customFormat="1" ht="75.75" customHeight="1">
      <c r="C36" s="118">
        <v>9</v>
      </c>
      <c r="D36" s="201" t="s">
        <v>11</v>
      </c>
      <c r="E36" s="3" t="s">
        <v>132</v>
      </c>
      <c r="F36" s="134">
        <f t="shared" si="52"/>
        <v>0.3</v>
      </c>
      <c r="G36" s="134">
        <f t="shared" si="53"/>
        <v>0.3</v>
      </c>
      <c r="H36" s="74" t="s">
        <v>173</v>
      </c>
      <c r="I36" s="190" t="s">
        <v>692</v>
      </c>
      <c r="J36" s="191"/>
      <c r="K36" s="43"/>
      <c r="L36" s="67"/>
      <c r="M36" s="65"/>
      <c r="N36" s="65"/>
      <c r="O36" s="66"/>
      <c r="Q36" s="132">
        <f t="shared" si="33"/>
        <v>0.3</v>
      </c>
      <c r="R36" s="133">
        <f t="shared" si="34"/>
        <v>0.3</v>
      </c>
      <c r="S36" s="120" t="str">
        <f t="shared" si="35"/>
        <v/>
      </c>
      <c r="T36" s="91">
        <f t="shared" si="22"/>
        <v>12</v>
      </c>
      <c r="U36" s="84" t="s">
        <v>132</v>
      </c>
      <c r="V36" s="139">
        <v>30</v>
      </c>
      <c r="W36" s="139">
        <v>30</v>
      </c>
      <c r="X36" s="139">
        <v>30</v>
      </c>
      <c r="Y36" s="139">
        <v>30</v>
      </c>
      <c r="Z36" s="139">
        <v>30</v>
      </c>
      <c r="AA36" s="139">
        <v>30</v>
      </c>
      <c r="AB36" s="139">
        <v>30</v>
      </c>
      <c r="AC36" s="139">
        <v>30</v>
      </c>
      <c r="AD36" s="139">
        <v>30</v>
      </c>
      <c r="AE36" s="139">
        <v>30</v>
      </c>
      <c r="AF36" s="139">
        <v>30</v>
      </c>
      <c r="AG36" s="139">
        <v>30</v>
      </c>
      <c r="AI36" s="100" t="s">
        <v>132</v>
      </c>
      <c r="AJ36" s="143">
        <f t="shared" si="48"/>
        <v>0.3</v>
      </c>
      <c r="AK36" s="143">
        <f t="shared" si="36"/>
        <v>0.3</v>
      </c>
      <c r="AL36" s="143">
        <f t="shared" si="37"/>
        <v>0.3</v>
      </c>
      <c r="AM36" s="143">
        <f t="shared" si="38"/>
        <v>0.3</v>
      </c>
      <c r="AN36" s="143">
        <f t="shared" si="39"/>
        <v>0.3</v>
      </c>
      <c r="AO36" s="143">
        <f t="shared" si="40"/>
        <v>0.3</v>
      </c>
      <c r="AP36" s="143">
        <f t="shared" si="41"/>
        <v>0.3</v>
      </c>
      <c r="AQ36" s="143">
        <f t="shared" si="42"/>
        <v>0.3</v>
      </c>
      <c r="AR36" s="143">
        <f t="shared" si="43"/>
        <v>0.3</v>
      </c>
      <c r="AS36" s="143">
        <f t="shared" si="44"/>
        <v>0.3</v>
      </c>
      <c r="AT36" s="143">
        <f t="shared" si="45"/>
        <v>0.3</v>
      </c>
      <c r="AU36" s="143">
        <f t="shared" si="46"/>
        <v>0.3</v>
      </c>
      <c r="AX36" s="13" t="s">
        <v>384</v>
      </c>
      <c r="AY36" s="13" t="s">
        <v>385</v>
      </c>
      <c r="AZ36" s="13"/>
      <c r="BA36" s="13"/>
      <c r="BB36" s="13"/>
      <c r="BC36" s="13"/>
      <c r="BD36" s="13"/>
      <c r="BE36" s="13"/>
      <c r="BF36" s="13"/>
      <c r="BG36" s="13"/>
      <c r="BH36" s="13"/>
      <c r="BI36" s="13"/>
      <c r="BJ36" s="13"/>
      <c r="BK36" s="13"/>
      <c r="BL36" s="13"/>
      <c r="BM36" s="13"/>
      <c r="BN36" s="13"/>
      <c r="BO36" s="13"/>
      <c r="BP36" s="13"/>
      <c r="BQ36" s="13"/>
      <c r="BR36" s="13"/>
      <c r="BS36" s="13"/>
      <c r="BT36" s="13"/>
      <c r="BU36" s="13"/>
      <c r="BV36" s="13"/>
      <c r="BW36" s="13"/>
      <c r="BX36" s="13"/>
      <c r="BY36" s="13"/>
      <c r="BZ36" s="13"/>
      <c r="CA36" s="13"/>
      <c r="CB36" s="13"/>
      <c r="CC36" s="13"/>
      <c r="CD36" s="13"/>
      <c r="CE36" s="13"/>
      <c r="CF36" s="13"/>
      <c r="CG36" s="13"/>
      <c r="CH36" s="13"/>
      <c r="CI36" s="13"/>
      <c r="CJ36" s="13"/>
      <c r="CK36" s="13"/>
      <c r="CL36" s="13"/>
      <c r="CM36" s="13"/>
      <c r="CN36" s="13"/>
      <c r="CO36" s="13"/>
      <c r="CP36" s="13"/>
      <c r="CQ36" s="13"/>
      <c r="CR36" s="13"/>
      <c r="CS36" s="13"/>
      <c r="CT36" s="13"/>
      <c r="CU36" s="13"/>
      <c r="CV36" s="13"/>
      <c r="CW36" s="13"/>
      <c r="CX36" s="13"/>
      <c r="CY36" s="13"/>
      <c r="CZ36" s="13"/>
      <c r="DA36" s="112" t="e">
        <f t="shared" si="49"/>
        <v>#N/A</v>
      </c>
      <c r="DB36" s="13"/>
      <c r="DC36" s="13"/>
      <c r="DD36" s="13"/>
      <c r="DE36" s="13"/>
      <c r="DF36" s="13"/>
      <c r="DG36" s="13"/>
      <c r="DH36" s="13"/>
      <c r="DI36" s="13"/>
      <c r="DJ36" s="13"/>
      <c r="DK36" s="13"/>
      <c r="DL36" s="13"/>
      <c r="DM36" s="13"/>
      <c r="DN36" s="13"/>
      <c r="DO36" s="13"/>
      <c r="DP36" s="13"/>
      <c r="DQ36" s="13"/>
      <c r="DR36" s="13"/>
      <c r="DS36" s="13"/>
      <c r="DT36" s="13"/>
      <c r="DU36" s="13"/>
      <c r="DV36" s="13"/>
      <c r="DW36" s="13"/>
      <c r="DX36" s="13"/>
      <c r="DY36" s="13"/>
      <c r="DZ36" s="13"/>
      <c r="EA36" s="13"/>
      <c r="EB36" s="13"/>
      <c r="EC36" s="13"/>
      <c r="ED36" s="13"/>
      <c r="EE36" s="13"/>
      <c r="EF36" s="13"/>
      <c r="EG36" s="13"/>
      <c r="EH36" s="13"/>
      <c r="EI36" s="13"/>
      <c r="EJ36" s="13"/>
      <c r="EK36" s="13"/>
      <c r="EL36" s="13"/>
      <c r="EM36" s="13"/>
      <c r="EN36" s="13"/>
      <c r="EO36" s="13"/>
      <c r="EP36" s="13"/>
      <c r="EQ36" s="13"/>
      <c r="ER36" s="13"/>
      <c r="ES36" s="13"/>
      <c r="ET36" s="13"/>
      <c r="EU36" s="13"/>
      <c r="EV36" s="13"/>
      <c r="EW36" s="13"/>
      <c r="EX36" s="13"/>
      <c r="EY36" s="13"/>
      <c r="EZ36" s="13"/>
      <c r="FA36" s="13"/>
      <c r="FB36" s="13"/>
      <c r="FC36" s="13"/>
      <c r="FD36" s="13"/>
      <c r="FF36" s="13" t="str">
        <f t="shared" si="50"/>
        <v/>
      </c>
      <c r="FG36" s="13" t="str">
        <f t="shared" si="50"/>
        <v/>
      </c>
      <c r="FH36" s="13" t="str">
        <f t="shared" si="50"/>
        <v/>
      </c>
      <c r="FI36" s="13" t="str">
        <f t="shared" si="50"/>
        <v/>
      </c>
      <c r="FJ36" s="13" t="str">
        <f t="shared" si="50"/>
        <v/>
      </c>
      <c r="FK36" s="13" t="str">
        <f t="shared" si="50"/>
        <v/>
      </c>
      <c r="FL36" s="13" t="str">
        <f t="shared" si="50"/>
        <v/>
      </c>
      <c r="FM36" s="13" t="str">
        <f t="shared" si="50"/>
        <v/>
      </c>
      <c r="FN36" s="13" t="str">
        <f t="shared" si="50"/>
        <v/>
      </c>
      <c r="FO36" s="13" t="str">
        <f t="shared" si="50"/>
        <v/>
      </c>
      <c r="FP36" s="13" t="str">
        <f t="shared" si="50"/>
        <v/>
      </c>
      <c r="FQ36" s="13" t="str">
        <f t="shared" si="50"/>
        <v/>
      </c>
      <c r="FR36" s="13" t="str">
        <f t="shared" si="50"/>
        <v/>
      </c>
      <c r="FS36" s="13" t="str">
        <f t="shared" si="50"/>
        <v/>
      </c>
      <c r="FT36" s="13" t="str">
        <f t="shared" si="50"/>
        <v/>
      </c>
      <c r="FU36" s="13" t="str">
        <f t="shared" si="50"/>
        <v/>
      </c>
      <c r="FV36" s="13" t="str">
        <f t="shared" si="72"/>
        <v/>
      </c>
      <c r="FW36" s="13" t="str">
        <f t="shared" si="72"/>
        <v/>
      </c>
      <c r="FX36" s="13" t="str">
        <f t="shared" si="72"/>
        <v/>
      </c>
      <c r="FY36" s="13" t="str">
        <f t="shared" si="72"/>
        <v/>
      </c>
      <c r="FZ36" s="13" t="str">
        <f t="shared" si="72"/>
        <v/>
      </c>
      <c r="GA36" s="13" t="str">
        <f t="shared" si="72"/>
        <v/>
      </c>
      <c r="GB36" s="13" t="str">
        <f t="shared" si="72"/>
        <v/>
      </c>
      <c r="GC36" s="13" t="str">
        <f t="shared" si="72"/>
        <v/>
      </c>
      <c r="GD36" s="13" t="str">
        <f t="shared" si="72"/>
        <v/>
      </c>
      <c r="GE36" s="13" t="str">
        <f t="shared" si="72"/>
        <v/>
      </c>
      <c r="GF36" s="13" t="str">
        <f t="shared" si="72"/>
        <v/>
      </c>
      <c r="GG36" s="13" t="str">
        <f t="shared" si="72"/>
        <v/>
      </c>
      <c r="GH36" s="13" t="str">
        <f t="shared" si="72"/>
        <v/>
      </c>
      <c r="GI36" s="13" t="str">
        <f t="shared" si="72"/>
        <v/>
      </c>
      <c r="GJ36" s="13" t="str">
        <f t="shared" si="72"/>
        <v/>
      </c>
      <c r="GK36" s="13" t="str">
        <f t="shared" si="72"/>
        <v/>
      </c>
      <c r="GL36" s="13" t="str">
        <f t="shared" si="73"/>
        <v/>
      </c>
      <c r="GM36" s="13" t="str">
        <f t="shared" si="73"/>
        <v/>
      </c>
      <c r="GN36" s="13" t="str">
        <f t="shared" si="73"/>
        <v/>
      </c>
      <c r="GO36" s="13" t="str">
        <f t="shared" si="73"/>
        <v/>
      </c>
      <c r="GP36" s="13" t="str">
        <f t="shared" si="73"/>
        <v/>
      </c>
      <c r="GQ36" s="13" t="str">
        <f t="shared" si="73"/>
        <v/>
      </c>
      <c r="GR36" s="13" t="str">
        <f t="shared" si="73"/>
        <v/>
      </c>
      <c r="GS36" s="13" t="str">
        <f t="shared" si="73"/>
        <v/>
      </c>
      <c r="GT36" s="13" t="str">
        <f t="shared" si="74"/>
        <v/>
      </c>
      <c r="GU36" s="13" t="str">
        <f t="shared" si="74"/>
        <v/>
      </c>
      <c r="GV36" s="13" t="str">
        <f t="shared" si="74"/>
        <v/>
      </c>
      <c r="GW36" s="13" t="str">
        <f t="shared" si="74"/>
        <v/>
      </c>
      <c r="GX36" s="13" t="str">
        <f t="shared" si="74"/>
        <v/>
      </c>
      <c r="GY36" s="13" t="str">
        <f t="shared" si="74"/>
        <v/>
      </c>
      <c r="GZ36" s="13" t="str">
        <f t="shared" si="74"/>
        <v/>
      </c>
      <c r="HA36" s="13" t="str">
        <f t="shared" si="74"/>
        <v/>
      </c>
      <c r="HB36" s="13" t="str">
        <f t="shared" si="74"/>
        <v/>
      </c>
      <c r="HC36" s="13" t="str">
        <f t="shared" si="74"/>
        <v/>
      </c>
      <c r="HD36" s="13" t="str">
        <f t="shared" si="74"/>
        <v/>
      </c>
      <c r="HE36" s="13" t="str">
        <f t="shared" si="74"/>
        <v/>
      </c>
      <c r="HF36" s="13" t="str">
        <f t="shared" si="74"/>
        <v/>
      </c>
      <c r="HG36" s="13" t="str">
        <f t="shared" si="74"/>
        <v/>
      </c>
      <c r="HH36" s="13" t="str">
        <f t="shared" si="74"/>
        <v/>
      </c>
      <c r="HJ36" s="114" t="str">
        <f t="shared" si="51"/>
        <v/>
      </c>
    </row>
    <row r="37" spans="3:218" s="119" customFormat="1" ht="75.75" customHeight="1">
      <c r="C37" s="122">
        <v>10</v>
      </c>
      <c r="D37" s="201"/>
      <c r="E37" s="3" t="s">
        <v>235</v>
      </c>
      <c r="F37" s="134">
        <f t="shared" si="52"/>
        <v>0.3</v>
      </c>
      <c r="G37" s="134">
        <f t="shared" si="53"/>
        <v>0.3</v>
      </c>
      <c r="H37" s="74" t="s">
        <v>173</v>
      </c>
      <c r="I37" s="190" t="s">
        <v>693</v>
      </c>
      <c r="J37" s="191"/>
      <c r="K37" s="43"/>
      <c r="L37" s="67"/>
      <c r="M37" s="65"/>
      <c r="N37" s="65"/>
      <c r="O37" s="66"/>
      <c r="Q37" s="132">
        <f t="shared" si="33"/>
        <v>0.3</v>
      </c>
      <c r="R37" s="133">
        <f t="shared" si="34"/>
        <v>0.3</v>
      </c>
      <c r="S37" s="120" t="str">
        <f t="shared" si="35"/>
        <v/>
      </c>
      <c r="T37" s="91">
        <f t="shared" si="22"/>
        <v>13</v>
      </c>
      <c r="U37" s="85" t="s">
        <v>235</v>
      </c>
      <c r="V37" s="140">
        <v>30</v>
      </c>
      <c r="W37" s="140">
        <v>30</v>
      </c>
      <c r="X37" s="140">
        <v>30</v>
      </c>
      <c r="Y37" s="140">
        <v>30</v>
      </c>
      <c r="Z37" s="140">
        <v>30</v>
      </c>
      <c r="AA37" s="140">
        <v>30</v>
      </c>
      <c r="AB37" s="140">
        <v>30</v>
      </c>
      <c r="AC37" s="140">
        <v>30</v>
      </c>
      <c r="AD37" s="140">
        <v>30</v>
      </c>
      <c r="AE37" s="140">
        <v>30</v>
      </c>
      <c r="AF37" s="140">
        <v>30</v>
      </c>
      <c r="AG37" s="140">
        <v>30</v>
      </c>
      <c r="AI37" s="101" t="s">
        <v>235</v>
      </c>
      <c r="AJ37" s="144">
        <f t="shared" si="48"/>
        <v>0.3</v>
      </c>
      <c r="AK37" s="144">
        <f t="shared" si="36"/>
        <v>0.3</v>
      </c>
      <c r="AL37" s="144">
        <f t="shared" si="37"/>
        <v>0.3</v>
      </c>
      <c r="AM37" s="144">
        <f t="shared" si="38"/>
        <v>0.3</v>
      </c>
      <c r="AN37" s="144">
        <f t="shared" si="39"/>
        <v>0.3</v>
      </c>
      <c r="AO37" s="144">
        <f t="shared" si="40"/>
        <v>0.3</v>
      </c>
      <c r="AP37" s="144">
        <f t="shared" si="41"/>
        <v>0.3</v>
      </c>
      <c r="AQ37" s="144">
        <f t="shared" si="42"/>
        <v>0.3</v>
      </c>
      <c r="AR37" s="144">
        <f t="shared" si="43"/>
        <v>0.3</v>
      </c>
      <c r="AS37" s="144">
        <f t="shared" si="44"/>
        <v>0.3</v>
      </c>
      <c r="AT37" s="144">
        <f t="shared" si="45"/>
        <v>0.3</v>
      </c>
      <c r="AU37" s="144">
        <f t="shared" si="46"/>
        <v>0.3</v>
      </c>
      <c r="AX37" s="13" t="s">
        <v>386</v>
      </c>
      <c r="AY37" s="13" t="s">
        <v>387</v>
      </c>
      <c r="AZ37" s="13" t="s">
        <v>388</v>
      </c>
      <c r="BA37" s="13" t="s">
        <v>389</v>
      </c>
      <c r="BB37" s="13" t="s">
        <v>390</v>
      </c>
      <c r="BC37" s="13" t="s">
        <v>391</v>
      </c>
      <c r="BD37" s="13" t="s">
        <v>392</v>
      </c>
      <c r="BE37" s="13" t="s">
        <v>393</v>
      </c>
      <c r="BF37" s="13" t="s">
        <v>394</v>
      </c>
      <c r="BG37" s="13" t="s">
        <v>395</v>
      </c>
      <c r="BH37" s="13" t="s">
        <v>396</v>
      </c>
      <c r="BI37" s="13" t="s">
        <v>397</v>
      </c>
      <c r="BJ37" s="13" t="s">
        <v>398</v>
      </c>
      <c r="BK37" s="13" t="s">
        <v>399</v>
      </c>
      <c r="BL37" s="13" t="s">
        <v>400</v>
      </c>
      <c r="BM37" s="13" t="s">
        <v>401</v>
      </c>
      <c r="BN37" s="13" t="s">
        <v>402</v>
      </c>
      <c r="BO37" s="13" t="s">
        <v>403</v>
      </c>
      <c r="BP37" s="13" t="s">
        <v>404</v>
      </c>
      <c r="BQ37" s="13" t="s">
        <v>405</v>
      </c>
      <c r="BR37" s="13" t="s">
        <v>406</v>
      </c>
      <c r="BS37" s="13" t="s">
        <v>407</v>
      </c>
      <c r="BT37" s="13" t="s">
        <v>408</v>
      </c>
      <c r="BU37" s="13" t="s">
        <v>409</v>
      </c>
      <c r="BV37" s="13" t="s">
        <v>410</v>
      </c>
      <c r="BW37" s="13" t="s">
        <v>411</v>
      </c>
      <c r="BX37" s="13" t="s">
        <v>412</v>
      </c>
      <c r="BY37" s="13" t="s">
        <v>413</v>
      </c>
      <c r="BZ37" s="13" t="s">
        <v>414</v>
      </c>
      <c r="CA37" s="13" t="s">
        <v>415</v>
      </c>
      <c r="CB37" s="13" t="s">
        <v>416</v>
      </c>
      <c r="CC37" s="13" t="s">
        <v>417</v>
      </c>
      <c r="CD37" s="13" t="s">
        <v>418</v>
      </c>
      <c r="CE37" s="13" t="s">
        <v>419</v>
      </c>
      <c r="CF37" s="13" t="s">
        <v>420</v>
      </c>
      <c r="CG37" s="13" t="s">
        <v>421</v>
      </c>
      <c r="CH37" s="13" t="s">
        <v>422</v>
      </c>
      <c r="CI37" s="13" t="s">
        <v>423</v>
      </c>
      <c r="CJ37" s="13" t="s">
        <v>424</v>
      </c>
      <c r="CK37" s="13"/>
      <c r="CL37" s="13"/>
      <c r="CM37" s="13"/>
      <c r="CN37" s="13"/>
      <c r="CO37" s="13"/>
      <c r="CP37" s="13"/>
      <c r="CQ37" s="13"/>
      <c r="CR37" s="13"/>
      <c r="CS37" s="13"/>
      <c r="CT37" s="13"/>
      <c r="CU37" s="13"/>
      <c r="CV37" s="13"/>
      <c r="CW37" s="13"/>
      <c r="CX37" s="13"/>
      <c r="CY37" s="13"/>
      <c r="CZ37" s="13"/>
      <c r="DA37" s="112" t="e">
        <f t="shared" si="49"/>
        <v>#N/A</v>
      </c>
      <c r="DB37" s="13"/>
      <c r="DC37" s="13"/>
      <c r="DD37" s="13"/>
      <c r="DE37" s="13"/>
      <c r="DF37" s="13"/>
      <c r="DG37" s="13"/>
      <c r="DH37" s="13"/>
      <c r="DI37" s="13"/>
      <c r="DJ37" s="13"/>
      <c r="DK37" s="13"/>
      <c r="DL37" s="13"/>
      <c r="DM37" s="13"/>
      <c r="DN37" s="13"/>
      <c r="DO37" s="13"/>
      <c r="DP37" s="13"/>
      <c r="DQ37" s="13"/>
      <c r="DR37" s="13"/>
      <c r="DS37" s="13"/>
      <c r="DT37" s="13"/>
      <c r="DU37" s="13"/>
      <c r="DV37" s="13"/>
      <c r="DW37" s="13"/>
      <c r="DX37" s="13"/>
      <c r="DY37" s="13"/>
      <c r="DZ37" s="13"/>
      <c r="EA37" s="13"/>
      <c r="EB37" s="13"/>
      <c r="EC37" s="13"/>
      <c r="ED37" s="13"/>
      <c r="EE37" s="13"/>
      <c r="EF37" s="13"/>
      <c r="EG37" s="13"/>
      <c r="EH37" s="13"/>
      <c r="EI37" s="13"/>
      <c r="EJ37" s="13"/>
      <c r="EK37" s="13"/>
      <c r="EL37" s="13"/>
      <c r="EM37" s="13"/>
      <c r="EN37" s="13"/>
      <c r="EO37" s="13"/>
      <c r="EP37" s="13"/>
      <c r="EQ37" s="13"/>
      <c r="ER37" s="13"/>
      <c r="ES37" s="13"/>
      <c r="ET37" s="13"/>
      <c r="EU37" s="13"/>
      <c r="EV37" s="13"/>
      <c r="EW37" s="13"/>
      <c r="EX37" s="13"/>
      <c r="EY37" s="13"/>
      <c r="EZ37" s="13"/>
      <c r="FA37" s="13"/>
      <c r="FB37" s="13"/>
      <c r="FC37" s="13"/>
      <c r="FD37" s="13"/>
      <c r="FF37" s="13" t="str">
        <f t="shared" si="50"/>
        <v/>
      </c>
      <c r="FG37" s="13" t="str">
        <f t="shared" si="50"/>
        <v/>
      </c>
      <c r="FH37" s="13" t="str">
        <f t="shared" si="50"/>
        <v/>
      </c>
      <c r="FI37" s="13" t="str">
        <f t="shared" si="50"/>
        <v/>
      </c>
      <c r="FJ37" s="13" t="str">
        <f t="shared" si="50"/>
        <v/>
      </c>
      <c r="FK37" s="13" t="str">
        <f t="shared" si="50"/>
        <v/>
      </c>
      <c r="FL37" s="13" t="str">
        <f t="shared" si="50"/>
        <v/>
      </c>
      <c r="FM37" s="13" t="str">
        <f t="shared" si="50"/>
        <v/>
      </c>
      <c r="FN37" s="13" t="str">
        <f t="shared" si="50"/>
        <v/>
      </c>
      <c r="FO37" s="13" t="str">
        <f t="shared" si="50"/>
        <v/>
      </c>
      <c r="FP37" s="13" t="str">
        <f t="shared" si="50"/>
        <v/>
      </c>
      <c r="FQ37" s="13" t="str">
        <f t="shared" ref="FQ37:FU37" si="75">IF(DM37=TRUE,BI37&amp;"; ","")</f>
        <v/>
      </c>
      <c r="FR37" s="13" t="str">
        <f t="shared" si="75"/>
        <v/>
      </c>
      <c r="FS37" s="13" t="str">
        <f t="shared" si="75"/>
        <v/>
      </c>
      <c r="FT37" s="13" t="str">
        <f t="shared" si="75"/>
        <v/>
      </c>
      <c r="FU37" s="13" t="str">
        <f t="shared" si="75"/>
        <v/>
      </c>
      <c r="FV37" s="13" t="str">
        <f t="shared" si="72"/>
        <v/>
      </c>
      <c r="FW37" s="13" t="str">
        <f t="shared" si="72"/>
        <v/>
      </c>
      <c r="FX37" s="13" t="str">
        <f t="shared" si="72"/>
        <v/>
      </c>
      <c r="FY37" s="13" t="str">
        <f t="shared" si="72"/>
        <v/>
      </c>
      <c r="FZ37" s="13" t="str">
        <f t="shared" si="72"/>
        <v/>
      </c>
      <c r="GA37" s="13" t="str">
        <f t="shared" si="72"/>
        <v/>
      </c>
      <c r="GB37" s="13" t="str">
        <f t="shared" si="72"/>
        <v/>
      </c>
      <c r="GC37" s="13" t="str">
        <f t="shared" si="72"/>
        <v/>
      </c>
      <c r="GD37" s="13" t="str">
        <f t="shared" si="72"/>
        <v/>
      </c>
      <c r="GE37" s="13" t="str">
        <f t="shared" si="72"/>
        <v/>
      </c>
      <c r="GF37" s="13" t="str">
        <f t="shared" si="72"/>
        <v/>
      </c>
      <c r="GG37" s="13" t="str">
        <f t="shared" si="72"/>
        <v/>
      </c>
      <c r="GH37" s="13" t="str">
        <f t="shared" si="72"/>
        <v/>
      </c>
      <c r="GI37" s="13" t="str">
        <f t="shared" si="72"/>
        <v/>
      </c>
      <c r="GJ37" s="13" t="str">
        <f t="shared" si="72"/>
        <v/>
      </c>
      <c r="GK37" s="13" t="str">
        <f t="shared" ref="GK37" si="76">IF(EG37=TRUE,CC37&amp;"; ","")</f>
        <v/>
      </c>
      <c r="GL37" s="13" t="str">
        <f t="shared" si="73"/>
        <v/>
      </c>
      <c r="GM37" s="13" t="str">
        <f t="shared" si="73"/>
        <v/>
      </c>
      <c r="GN37" s="13" t="str">
        <f t="shared" si="73"/>
        <v/>
      </c>
      <c r="GO37" s="13" t="str">
        <f t="shared" si="73"/>
        <v/>
      </c>
      <c r="GP37" s="13" t="str">
        <f t="shared" si="73"/>
        <v/>
      </c>
      <c r="GQ37" s="13" t="str">
        <f t="shared" si="73"/>
        <v/>
      </c>
      <c r="GR37" s="13" t="str">
        <f t="shared" si="73"/>
        <v/>
      </c>
      <c r="GS37" s="13" t="str">
        <f t="shared" si="73"/>
        <v/>
      </c>
      <c r="GT37" s="13" t="str">
        <f t="shared" si="74"/>
        <v/>
      </c>
      <c r="GU37" s="13" t="str">
        <f t="shared" si="74"/>
        <v/>
      </c>
      <c r="GV37" s="13" t="str">
        <f t="shared" si="74"/>
        <v/>
      </c>
      <c r="GW37" s="13" t="str">
        <f t="shared" si="74"/>
        <v/>
      </c>
      <c r="GX37" s="13" t="str">
        <f t="shared" si="74"/>
        <v/>
      </c>
      <c r="GY37" s="13" t="str">
        <f t="shared" si="74"/>
        <v/>
      </c>
      <c r="GZ37" s="13" t="str">
        <f t="shared" si="74"/>
        <v/>
      </c>
      <c r="HA37" s="13" t="str">
        <f t="shared" si="74"/>
        <v/>
      </c>
      <c r="HB37" s="13" t="str">
        <f t="shared" si="74"/>
        <v/>
      </c>
      <c r="HC37" s="13" t="str">
        <f t="shared" si="74"/>
        <v/>
      </c>
      <c r="HD37" s="13" t="str">
        <f t="shared" si="74"/>
        <v/>
      </c>
      <c r="HE37" s="13" t="str">
        <f t="shared" si="74"/>
        <v/>
      </c>
      <c r="HF37" s="13" t="str">
        <f t="shared" si="74"/>
        <v/>
      </c>
      <c r="HG37" s="13" t="str">
        <f t="shared" si="74"/>
        <v/>
      </c>
      <c r="HH37" s="13" t="str">
        <f t="shared" si="74"/>
        <v/>
      </c>
      <c r="HJ37" s="114" t="str">
        <f t="shared" si="51"/>
        <v/>
      </c>
    </row>
    <row r="38" spans="3:218" s="119" customFormat="1" ht="30" customHeight="1">
      <c r="C38" s="118" t="s">
        <v>149</v>
      </c>
      <c r="D38" s="198" t="s">
        <v>8</v>
      </c>
      <c r="E38" s="128" t="s">
        <v>207</v>
      </c>
      <c r="F38" s="130"/>
      <c r="G38" s="131">
        <f>IF(H38="YES",1,0)</f>
        <v>0</v>
      </c>
      <c r="H38" s="74"/>
      <c r="I38" s="190"/>
      <c r="J38" s="191"/>
      <c r="K38" s="43"/>
      <c r="L38"/>
      <c r="M38"/>
      <c r="N38"/>
      <c r="O38"/>
      <c r="P38"/>
      <c r="Q38"/>
      <c r="R38"/>
      <c r="S38" s="110" t="str">
        <f>IFERROR(LEFT(S28&amp;S29&amp;S30&amp;S31&amp;S33&amp;S34&amp;S35&amp;S36&amp;S37,LEN(S28&amp;S29&amp;S30&amp;S31&amp;S33&amp;S34&amp;S35&amp;S36&amp;S37)-2),"")</f>
        <v/>
      </c>
      <c r="T38"/>
      <c r="U38"/>
      <c r="V38"/>
      <c r="W38"/>
      <c r="X38"/>
      <c r="Y38"/>
      <c r="Z38"/>
      <c r="AA38"/>
      <c r="AB38"/>
      <c r="AC38"/>
      <c r="AD38"/>
      <c r="AE38"/>
      <c r="AF38"/>
      <c r="AG38"/>
      <c r="AH38"/>
      <c r="AI38"/>
      <c r="AJ38"/>
      <c r="AK38"/>
      <c r="AL38"/>
      <c r="AM38"/>
      <c r="AN38"/>
      <c r="AO38"/>
      <c r="AP38"/>
      <c r="AQ38"/>
      <c r="AR38"/>
      <c r="AS38"/>
      <c r="AT38"/>
      <c r="AU38"/>
      <c r="AV38"/>
      <c r="AW38"/>
      <c r="AX38"/>
      <c r="AY38"/>
      <c r="AZ38"/>
      <c r="BA38"/>
      <c r="BB38"/>
      <c r="BC38"/>
      <c r="BD38"/>
      <c r="BE38"/>
      <c r="BF38"/>
      <c r="BG38"/>
      <c r="BH38"/>
      <c r="BI38"/>
      <c r="BJ38"/>
      <c r="BK38"/>
      <c r="BL38"/>
      <c r="BM38"/>
      <c r="BN38"/>
      <c r="BO38"/>
      <c r="BP38"/>
      <c r="BQ38"/>
      <c r="BR38"/>
      <c r="BS38"/>
      <c r="BT38"/>
      <c r="BU38"/>
      <c r="BV38"/>
      <c r="BW38"/>
      <c r="BX38"/>
      <c r="BY38"/>
      <c r="BZ38"/>
      <c r="CA38"/>
      <c r="CB38"/>
      <c r="CC38"/>
      <c r="CD38"/>
      <c r="CE38"/>
      <c r="CF38"/>
      <c r="CG38"/>
      <c r="CH38"/>
      <c r="CI38"/>
      <c r="CJ38"/>
      <c r="CK38"/>
      <c r="CL38"/>
      <c r="CM38"/>
      <c r="CN38"/>
      <c r="CO38"/>
      <c r="CP38"/>
      <c r="CQ38"/>
      <c r="CR38"/>
      <c r="CS38"/>
      <c r="CT38"/>
      <c r="CU38"/>
      <c r="CV38"/>
      <c r="CW38"/>
      <c r="CX38"/>
      <c r="CY38"/>
      <c r="CZ38"/>
      <c r="DA38"/>
      <c r="DB38"/>
      <c r="DC38"/>
      <c r="DD38"/>
      <c r="DE38"/>
      <c r="DF38"/>
      <c r="DG38"/>
      <c r="DH38"/>
      <c r="DI38"/>
      <c r="DJ38"/>
      <c r="DK38"/>
      <c r="DL38"/>
      <c r="DM38"/>
      <c r="DN38"/>
      <c r="DO38"/>
      <c r="DP38"/>
      <c r="DQ38"/>
      <c r="DR38"/>
      <c r="DS38"/>
      <c r="DT38"/>
      <c r="DU38"/>
      <c r="DV38"/>
      <c r="DW38"/>
      <c r="DX38"/>
      <c r="DY38"/>
      <c r="DZ38"/>
      <c r="EA38"/>
      <c r="EB38"/>
      <c r="EC38"/>
      <c r="ED38"/>
      <c r="EE38"/>
      <c r="EF38"/>
      <c r="EG38"/>
      <c r="EH38"/>
      <c r="EI38"/>
      <c r="EJ38"/>
      <c r="EK38"/>
      <c r="EL38"/>
      <c r="EM38"/>
      <c r="EN38"/>
      <c r="EO38"/>
      <c r="EP38"/>
      <c r="EQ38"/>
      <c r="ER38"/>
      <c r="ES38"/>
      <c r="ET38"/>
      <c r="EU38"/>
      <c r="EV38"/>
      <c r="EW38"/>
      <c r="EX38"/>
      <c r="EY38"/>
      <c r="EZ38"/>
      <c r="FA38"/>
      <c r="FB38"/>
      <c r="FC38"/>
      <c r="FD38"/>
      <c r="FE38"/>
      <c r="FF38"/>
      <c r="FG38"/>
      <c r="FH38"/>
      <c r="FI38"/>
      <c r="FJ38"/>
      <c r="FK38"/>
      <c r="FL38"/>
      <c r="FM38"/>
      <c r="FN38"/>
      <c r="FO38"/>
      <c r="FP38"/>
      <c r="FQ38"/>
      <c r="FR38"/>
      <c r="FS38"/>
      <c r="FT38"/>
      <c r="FU38"/>
      <c r="FV38"/>
      <c r="FW38"/>
      <c r="FX38"/>
      <c r="FY38"/>
      <c r="FZ38"/>
      <c r="GA38"/>
      <c r="GB38"/>
      <c r="GC38"/>
      <c r="GD38"/>
      <c r="GE38"/>
      <c r="GF38"/>
      <c r="GG38"/>
      <c r="GH38"/>
      <c r="GI38"/>
      <c r="GJ38"/>
      <c r="GK38"/>
      <c r="GL38"/>
      <c r="GM38"/>
      <c r="GN38"/>
      <c r="GO38"/>
      <c r="GP38"/>
      <c r="GQ38"/>
      <c r="GR38"/>
      <c r="GS38"/>
      <c r="GT38"/>
      <c r="GU38"/>
      <c r="GV38"/>
      <c r="GW38"/>
      <c r="GX38"/>
      <c r="GY38"/>
      <c r="GZ38"/>
      <c r="HA38"/>
      <c r="HB38"/>
      <c r="HC38"/>
      <c r="HD38"/>
      <c r="HE38"/>
      <c r="HF38"/>
      <c r="HG38"/>
      <c r="HH38"/>
      <c r="HI38"/>
      <c r="HJ38"/>
    </row>
    <row r="39" spans="3:218" s="119" customFormat="1" ht="30" customHeight="1">
      <c r="C39" s="121" t="s">
        <v>150</v>
      </c>
      <c r="D39" s="199"/>
      <c r="E39" s="128" t="s">
        <v>208</v>
      </c>
      <c r="F39" s="130"/>
      <c r="G39" s="131">
        <f t="shared" ref="G39:G48" si="77">IF(H39="YES",1,0)</f>
        <v>0</v>
      </c>
      <c r="H39" s="74"/>
      <c r="I39" s="190"/>
      <c r="J39" s="191"/>
      <c r="K39" s="43"/>
      <c r="L39"/>
      <c r="M39"/>
      <c r="N39"/>
      <c r="O39"/>
      <c r="P39"/>
      <c r="Q39"/>
      <c r="R39"/>
      <c r="S39"/>
      <c r="T39"/>
      <c r="U39"/>
      <c r="V39"/>
      <c r="W39"/>
      <c r="X39"/>
      <c r="Y39"/>
      <c r="Z39"/>
      <c r="AA39"/>
      <c r="AB39"/>
      <c r="AC39"/>
      <c r="AD39"/>
      <c r="AE39"/>
      <c r="AF39"/>
      <c r="AG39"/>
      <c r="AH39"/>
      <c r="AI39"/>
      <c r="AJ39"/>
      <c r="AK39"/>
      <c r="AL39"/>
      <c r="AM39"/>
      <c r="AN39"/>
      <c r="AO39"/>
      <c r="AP39"/>
      <c r="AQ39"/>
      <c r="AR39"/>
      <c r="AS39"/>
      <c r="AT39"/>
      <c r="AU39"/>
      <c r="AV39"/>
      <c r="AW39"/>
      <c r="AX39"/>
      <c r="AY39"/>
      <c r="AZ39"/>
      <c r="BA39"/>
      <c r="BB39"/>
      <c r="BC39"/>
      <c r="BD39"/>
      <c r="BE39"/>
      <c r="BF39"/>
      <c r="BG39"/>
      <c r="BH39"/>
      <c r="BI39"/>
      <c r="BJ39"/>
      <c r="BK39"/>
      <c r="BL39"/>
      <c r="BM39"/>
      <c r="BN39"/>
      <c r="BO39"/>
      <c r="BP39"/>
      <c r="BQ39"/>
      <c r="BR39"/>
      <c r="BS39"/>
      <c r="BT39"/>
      <c r="BU39"/>
      <c r="BV39"/>
      <c r="BW39"/>
      <c r="BX39"/>
      <c r="BY39"/>
      <c r="BZ39"/>
      <c r="CA39"/>
      <c r="CB39"/>
      <c r="CC39"/>
      <c r="CD39"/>
      <c r="CE39"/>
      <c r="CF39"/>
      <c r="CG39"/>
      <c r="CH39"/>
      <c r="CI39"/>
      <c r="CJ39"/>
      <c r="CK39"/>
      <c r="CL39"/>
      <c r="CM39"/>
      <c r="CN39"/>
      <c r="CO39"/>
      <c r="CP39"/>
      <c r="CQ39"/>
      <c r="CR39"/>
      <c r="CS39"/>
      <c r="CT39"/>
      <c r="CU39"/>
      <c r="CV39"/>
      <c r="CW39"/>
      <c r="CX39"/>
      <c r="CY39"/>
      <c r="CZ39"/>
      <c r="DA39"/>
      <c r="DB39"/>
      <c r="DC39"/>
      <c r="DD39"/>
      <c r="DE39"/>
      <c r="DF39"/>
      <c r="DG39"/>
      <c r="DH39"/>
      <c r="DI39"/>
      <c r="DJ39"/>
      <c r="DK39"/>
      <c r="DL39"/>
      <c r="DM39"/>
      <c r="DN39"/>
      <c r="DO39"/>
      <c r="DP39"/>
      <c r="DQ39"/>
      <c r="DR39"/>
      <c r="DS39"/>
      <c r="DT39"/>
      <c r="DU39"/>
      <c r="DV39"/>
      <c r="DW39"/>
      <c r="DX39"/>
      <c r="DY39"/>
      <c r="DZ39"/>
      <c r="EA39"/>
      <c r="EB39"/>
      <c r="EC39"/>
      <c r="ED39"/>
      <c r="EE39"/>
      <c r="EF39"/>
      <c r="EG39"/>
      <c r="EH39"/>
      <c r="EI39"/>
      <c r="EJ39"/>
      <c r="EK39"/>
      <c r="EL39"/>
      <c r="EM39"/>
      <c r="EN39"/>
      <c r="EO39"/>
      <c r="EP39"/>
      <c r="EQ39"/>
      <c r="ER39"/>
      <c r="ES39"/>
      <c r="ET39"/>
      <c r="EU39"/>
      <c r="EV39"/>
      <c r="EW39"/>
      <c r="EX39"/>
      <c r="EY39"/>
      <c r="EZ39"/>
      <c r="FA39"/>
      <c r="FB39"/>
      <c r="FC39"/>
      <c r="FD39"/>
      <c r="FE39"/>
      <c r="FF39"/>
      <c r="FG39"/>
      <c r="FH39"/>
      <c r="FI39"/>
      <c r="FJ39"/>
      <c r="FK39"/>
      <c r="FL39"/>
      <c r="FM39"/>
      <c r="FN39"/>
      <c r="FO39"/>
      <c r="FP39"/>
      <c r="FQ39"/>
      <c r="FR39"/>
      <c r="FS39"/>
      <c r="FT39"/>
      <c r="FU39"/>
      <c r="FV39"/>
      <c r="FW39"/>
      <c r="FX39"/>
      <c r="FY39"/>
      <c r="FZ39"/>
      <c r="GA39"/>
      <c r="GB39"/>
      <c r="GC39"/>
      <c r="GD39"/>
      <c r="GE39"/>
      <c r="GF39"/>
      <c r="GG39"/>
      <c r="GH39"/>
      <c r="GI39"/>
      <c r="GJ39"/>
      <c r="GK39"/>
      <c r="GL39"/>
      <c r="GM39"/>
      <c r="GN39"/>
      <c r="GO39"/>
      <c r="GP39"/>
      <c r="GQ39"/>
      <c r="GR39"/>
      <c r="GS39"/>
      <c r="GT39"/>
      <c r="GU39"/>
      <c r="GV39"/>
      <c r="GW39"/>
      <c r="GX39"/>
      <c r="GY39"/>
      <c r="GZ39"/>
      <c r="HA39"/>
      <c r="HB39"/>
      <c r="HC39"/>
      <c r="HD39"/>
      <c r="HE39"/>
      <c r="HF39"/>
      <c r="HG39"/>
      <c r="HH39"/>
      <c r="HI39"/>
      <c r="HJ39"/>
    </row>
    <row r="40" spans="3:218" s="119" customFormat="1" ht="30" customHeight="1">
      <c r="C40" s="121" t="s">
        <v>151</v>
      </c>
      <c r="D40" s="199"/>
      <c r="E40" s="128" t="s">
        <v>209</v>
      </c>
      <c r="F40" s="130"/>
      <c r="G40" s="131">
        <f t="shared" si="77"/>
        <v>0</v>
      </c>
      <c r="H40" s="74"/>
      <c r="I40" s="190"/>
      <c r="J40" s="191"/>
      <c r="K40" s="43"/>
      <c r="L40"/>
      <c r="M40"/>
      <c r="N40"/>
      <c r="O40"/>
      <c r="P40"/>
      <c r="Q40"/>
      <c r="R40"/>
      <c r="S40"/>
      <c r="T40"/>
      <c r="U40"/>
      <c r="V40"/>
      <c r="W40"/>
      <c r="X40"/>
      <c r="Y40"/>
      <c r="Z40"/>
      <c r="AA40"/>
      <c r="AB40"/>
      <c r="AC40"/>
      <c r="AD40"/>
      <c r="AE40"/>
      <c r="AF40"/>
      <c r="AG40"/>
      <c r="AH40"/>
      <c r="AI40"/>
      <c r="AJ40"/>
      <c r="AK40"/>
      <c r="AL40"/>
      <c r="AM40"/>
      <c r="AN40"/>
      <c r="AO40"/>
      <c r="AP40"/>
      <c r="AQ40"/>
      <c r="AR40"/>
      <c r="AS40"/>
      <c r="AT40"/>
      <c r="AU40"/>
      <c r="AV40"/>
      <c r="AW40"/>
      <c r="AX40"/>
      <c r="AY40"/>
      <c r="AZ40"/>
      <c r="BA40"/>
      <c r="BB40"/>
      <c r="BC40"/>
      <c r="BD40"/>
      <c r="BE40"/>
      <c r="BF40"/>
      <c r="BG40"/>
      <c r="BH40"/>
      <c r="BI40"/>
      <c r="BJ40"/>
      <c r="BK40"/>
      <c r="BL40"/>
      <c r="BM40"/>
      <c r="BN40"/>
      <c r="BO40"/>
      <c r="BP40"/>
      <c r="BQ40"/>
      <c r="BR40"/>
      <c r="BS40"/>
      <c r="BT40"/>
      <c r="BU40"/>
      <c r="BV40"/>
      <c r="BW40"/>
      <c r="BX40"/>
      <c r="BY40"/>
      <c r="BZ40"/>
      <c r="CA40"/>
      <c r="CB40"/>
      <c r="CC40"/>
      <c r="CD40"/>
      <c r="CE40"/>
      <c r="CF40"/>
      <c r="CG40"/>
      <c r="CH40"/>
      <c r="CI40"/>
      <c r="CJ40"/>
      <c r="CK40"/>
      <c r="CL40"/>
      <c r="CM40"/>
      <c r="CN40"/>
      <c r="CO40"/>
      <c r="CP40"/>
      <c r="CQ40"/>
      <c r="CR40"/>
      <c r="CS40"/>
      <c r="CT40"/>
      <c r="CU40"/>
      <c r="CV40"/>
      <c r="CW40"/>
      <c r="CX40"/>
      <c r="CY40"/>
      <c r="CZ40"/>
      <c r="DA40"/>
      <c r="DB40"/>
      <c r="DC40"/>
      <c r="DD40"/>
      <c r="DE40"/>
      <c r="DF40"/>
      <c r="DG40"/>
      <c r="DH40"/>
      <c r="DI40"/>
      <c r="DJ40"/>
      <c r="DK40"/>
      <c r="DL40"/>
      <c r="DM40"/>
      <c r="DN40"/>
      <c r="DO40"/>
      <c r="DP40"/>
      <c r="DQ40"/>
      <c r="DR40"/>
      <c r="DS40"/>
      <c r="DT40"/>
      <c r="DU40"/>
      <c r="DV40"/>
      <c r="DW40"/>
      <c r="DX40"/>
      <c r="DY40"/>
      <c r="DZ40"/>
      <c r="EA40"/>
      <c r="EB40"/>
      <c r="EC40"/>
      <c r="ED40"/>
      <c r="EE40"/>
      <c r="EF40"/>
      <c r="EG40"/>
      <c r="EH40"/>
      <c r="EI40"/>
      <c r="EJ40"/>
      <c r="EK40"/>
      <c r="EL40"/>
      <c r="EM40"/>
      <c r="EN40"/>
      <c r="EO40"/>
      <c r="EP40"/>
      <c r="EQ40"/>
      <c r="ER40"/>
      <c r="ES40"/>
      <c r="ET40"/>
      <c r="EU40"/>
      <c r="EV40"/>
      <c r="EW40"/>
      <c r="EX40"/>
      <c r="EY40"/>
      <c r="EZ40"/>
      <c r="FA40"/>
      <c r="FB40"/>
      <c r="FC40"/>
      <c r="FD40"/>
      <c r="FE40"/>
      <c r="FF40"/>
      <c r="FG40"/>
      <c r="FH40"/>
      <c r="FI40"/>
      <c r="FJ40"/>
      <c r="FK40"/>
      <c r="FL40"/>
      <c r="FM40"/>
      <c r="FN40"/>
      <c r="FO40"/>
      <c r="FP40"/>
      <c r="FQ40"/>
      <c r="FR40"/>
      <c r="FS40"/>
      <c r="FT40"/>
      <c r="FU40"/>
      <c r="FV40"/>
      <c r="FW40"/>
      <c r="FX40"/>
      <c r="FY40"/>
      <c r="FZ40"/>
      <c r="GA40"/>
      <c r="GB40"/>
      <c r="GC40"/>
      <c r="GD40"/>
      <c r="GE40"/>
      <c r="GF40"/>
      <c r="GG40"/>
      <c r="GH40"/>
      <c r="GI40"/>
      <c r="GJ40"/>
      <c r="GK40"/>
      <c r="GL40"/>
      <c r="GM40"/>
      <c r="GN40"/>
      <c r="GO40"/>
      <c r="GP40"/>
      <c r="GQ40"/>
      <c r="GR40"/>
      <c r="GS40"/>
      <c r="GT40"/>
      <c r="GU40"/>
      <c r="GV40"/>
      <c r="GW40"/>
      <c r="GX40"/>
      <c r="GY40"/>
      <c r="GZ40"/>
      <c r="HA40"/>
      <c r="HB40"/>
      <c r="HC40"/>
      <c r="HD40"/>
      <c r="HE40"/>
      <c r="HF40"/>
      <c r="HG40"/>
      <c r="HH40"/>
      <c r="HI40"/>
      <c r="HJ40"/>
    </row>
    <row r="41" spans="3:218" s="119" customFormat="1" ht="30" customHeight="1">
      <c r="C41" s="121" t="s">
        <v>152</v>
      </c>
      <c r="D41" s="199"/>
      <c r="E41" s="128" t="s">
        <v>210</v>
      </c>
      <c r="F41" s="130"/>
      <c r="G41" s="131">
        <f t="shared" si="77"/>
        <v>0</v>
      </c>
      <c r="H41" s="74"/>
      <c r="I41" s="190"/>
      <c r="J41" s="191"/>
      <c r="K41" s="43"/>
      <c r="L41"/>
      <c r="M41"/>
      <c r="N41"/>
      <c r="O41"/>
      <c r="P41"/>
      <c r="Q41"/>
      <c r="R41"/>
      <c r="S41"/>
      <c r="T41"/>
      <c r="U41"/>
      <c r="V41"/>
      <c r="W41"/>
      <c r="X41"/>
      <c r="Y41"/>
      <c r="Z41"/>
      <c r="AA41"/>
      <c r="AB41"/>
      <c r="AC41"/>
      <c r="AD41"/>
      <c r="AE41"/>
      <c r="AF41"/>
      <c r="AG41"/>
      <c r="AH41"/>
      <c r="AI41"/>
      <c r="AJ41"/>
      <c r="AK41"/>
      <c r="AL41"/>
      <c r="AM41"/>
      <c r="AN41"/>
      <c r="AO41"/>
      <c r="AP41"/>
      <c r="AQ41"/>
      <c r="AR41"/>
      <c r="AS41"/>
      <c r="AT41"/>
      <c r="AU41"/>
      <c r="AV41"/>
      <c r="AW41"/>
      <c r="AX41"/>
      <c r="AY41"/>
      <c r="AZ41"/>
      <c r="BA41"/>
      <c r="BB41"/>
      <c r="BC41"/>
      <c r="BD41"/>
      <c r="BE41"/>
      <c r="BF41"/>
      <c r="BG41"/>
      <c r="BH41"/>
      <c r="BI41"/>
      <c r="BJ41"/>
      <c r="BK41"/>
      <c r="BL41"/>
      <c r="BM41"/>
      <c r="BN41"/>
      <c r="BO41"/>
      <c r="BP41"/>
      <c r="BQ41"/>
      <c r="BR41"/>
      <c r="BS41"/>
      <c r="BT41"/>
      <c r="BU41"/>
      <c r="BV41"/>
      <c r="BW41"/>
      <c r="BX41"/>
      <c r="BY41"/>
      <c r="BZ41"/>
      <c r="CA41"/>
      <c r="CB41"/>
      <c r="CC41"/>
      <c r="CD41"/>
      <c r="CE41"/>
      <c r="CF41"/>
      <c r="CG41"/>
      <c r="CH41"/>
      <c r="CI41"/>
      <c r="CJ41"/>
      <c r="CK41"/>
      <c r="CL41"/>
      <c r="CM41"/>
      <c r="CN41"/>
      <c r="CO41"/>
      <c r="CP41"/>
      <c r="CQ41"/>
      <c r="CR41"/>
      <c r="CS41"/>
      <c r="CT41"/>
      <c r="CU41"/>
      <c r="CV41"/>
      <c r="CW41"/>
      <c r="CX41"/>
      <c r="CY41"/>
      <c r="CZ41"/>
      <c r="DA41"/>
      <c r="DB41"/>
      <c r="DC41"/>
      <c r="DD41"/>
      <c r="DE41"/>
      <c r="DF41"/>
      <c r="DG41"/>
      <c r="DH41"/>
      <c r="DI41"/>
      <c r="DJ41"/>
      <c r="DK41"/>
      <c r="DL41"/>
      <c r="DM41"/>
      <c r="DN41"/>
      <c r="DO41"/>
      <c r="DP41"/>
      <c r="DQ41"/>
      <c r="DR41"/>
      <c r="DS41"/>
      <c r="DT41"/>
      <c r="DU41"/>
      <c r="DV41"/>
      <c r="DW41"/>
      <c r="DX41"/>
      <c r="DY41"/>
      <c r="DZ41"/>
      <c r="EA41"/>
      <c r="EB41"/>
      <c r="EC41"/>
      <c r="ED41"/>
      <c r="EE41"/>
      <c r="EF41"/>
      <c r="EG41"/>
      <c r="EH41"/>
      <c r="EI41"/>
      <c r="EJ41"/>
      <c r="EK41"/>
      <c r="EL41"/>
      <c r="EM41"/>
      <c r="EN41"/>
      <c r="EO41"/>
      <c r="EP41"/>
      <c r="EQ41"/>
      <c r="ER41"/>
      <c r="ES41"/>
      <c r="ET41"/>
      <c r="EU41"/>
      <c r="EV41"/>
      <c r="EW41"/>
      <c r="EX41"/>
      <c r="EY41"/>
      <c r="EZ41"/>
      <c r="FA41"/>
      <c r="FB41"/>
      <c r="FC41"/>
      <c r="FD41"/>
      <c r="FE41"/>
      <c r="FF41"/>
      <c r="FG41"/>
      <c r="FH41"/>
      <c r="FI41"/>
      <c r="FJ41"/>
      <c r="FK41"/>
      <c r="FL41"/>
      <c r="FM41"/>
      <c r="FN41"/>
      <c r="FO41"/>
      <c r="FP41"/>
      <c r="FQ41"/>
      <c r="FR41"/>
      <c r="FS41"/>
      <c r="FT41"/>
      <c r="FU41"/>
      <c r="FV41"/>
      <c r="FW41"/>
      <c r="FX41"/>
      <c r="FY41"/>
      <c r="FZ41"/>
      <c r="GA41"/>
      <c r="GB41"/>
      <c r="GC41"/>
      <c r="GD41"/>
      <c r="GE41"/>
      <c r="GF41"/>
      <c r="GG41"/>
      <c r="GH41"/>
      <c r="GI41"/>
      <c r="GJ41"/>
      <c r="GK41"/>
      <c r="GL41"/>
      <c r="GM41"/>
      <c r="GN41"/>
      <c r="GO41"/>
      <c r="GP41"/>
      <c r="GQ41"/>
      <c r="GR41"/>
      <c r="GS41"/>
      <c r="GT41"/>
      <c r="GU41"/>
      <c r="GV41"/>
      <c r="GW41"/>
      <c r="GX41"/>
      <c r="GY41"/>
      <c r="GZ41"/>
      <c r="HA41"/>
      <c r="HB41"/>
      <c r="HC41"/>
      <c r="HD41"/>
      <c r="HE41"/>
      <c r="HF41"/>
      <c r="HG41"/>
      <c r="HH41"/>
      <c r="HI41"/>
      <c r="HJ41"/>
    </row>
    <row r="42" spans="3:218" s="119" customFormat="1" ht="30" customHeight="1">
      <c r="C42" s="121" t="s">
        <v>153</v>
      </c>
      <c r="D42" s="199"/>
      <c r="E42" s="128" t="s">
        <v>211</v>
      </c>
      <c r="F42" s="130"/>
      <c r="G42" s="131">
        <f t="shared" si="77"/>
        <v>0</v>
      </c>
      <c r="H42" s="74"/>
      <c r="I42" s="190"/>
      <c r="J42" s="191"/>
      <c r="K42" s="43"/>
      <c r="L42"/>
      <c r="M42"/>
      <c r="N42"/>
      <c r="O42"/>
      <c r="P42"/>
      <c r="Q42"/>
      <c r="R42"/>
      <c r="S42"/>
      <c r="T42"/>
      <c r="U42"/>
      <c r="V42"/>
      <c r="W42"/>
      <c r="X42"/>
      <c r="Y42"/>
      <c r="Z42"/>
      <c r="AA42"/>
      <c r="AB42"/>
      <c r="AC42"/>
      <c r="AD42"/>
      <c r="AE42"/>
      <c r="AF42"/>
      <c r="AG42"/>
      <c r="AH42"/>
      <c r="AI42"/>
      <c r="AJ42"/>
      <c r="AK42"/>
      <c r="AL42"/>
      <c r="AM42"/>
      <c r="AN42"/>
      <c r="AO42"/>
      <c r="AP42"/>
      <c r="AQ42"/>
      <c r="AR42"/>
      <c r="AS42"/>
      <c r="AT42"/>
      <c r="AU42"/>
      <c r="AV42"/>
      <c r="AW42"/>
      <c r="AX42"/>
      <c r="AY42"/>
      <c r="AZ42"/>
      <c r="BA42"/>
      <c r="BB42"/>
      <c r="BC42"/>
      <c r="BD42"/>
      <c r="BE42"/>
      <c r="BF42"/>
      <c r="BG42"/>
      <c r="BH42"/>
      <c r="BI42"/>
      <c r="BJ42"/>
      <c r="BK42"/>
      <c r="BL42"/>
      <c r="BM42"/>
      <c r="BN42"/>
      <c r="BO42"/>
      <c r="BP42"/>
      <c r="BQ42"/>
      <c r="BR42"/>
      <c r="BS42"/>
      <c r="BT42"/>
      <c r="BU42"/>
      <c r="BV42"/>
      <c r="BW42"/>
      <c r="BX42"/>
      <c r="BY42"/>
      <c r="BZ42"/>
      <c r="CA42"/>
      <c r="CB42"/>
      <c r="CC42"/>
      <c r="CD42"/>
      <c r="CE42"/>
      <c r="CF42"/>
      <c r="CG42"/>
      <c r="CH42"/>
      <c r="CI42"/>
      <c r="CJ42"/>
      <c r="CK42"/>
      <c r="CL42"/>
      <c r="CM42"/>
      <c r="CN42"/>
      <c r="CO42"/>
      <c r="CP42"/>
      <c r="CQ42"/>
      <c r="CR42"/>
      <c r="CS42"/>
      <c r="CT42"/>
      <c r="CU42"/>
      <c r="CV42"/>
      <c r="CW42"/>
      <c r="CX42"/>
      <c r="CY42"/>
      <c r="CZ42"/>
      <c r="DA42"/>
      <c r="DB42"/>
      <c r="DC42"/>
      <c r="DD42"/>
      <c r="DE42"/>
      <c r="DF42"/>
      <c r="DG42"/>
      <c r="DH42"/>
      <c r="DI42"/>
      <c r="DJ42"/>
      <c r="DK42"/>
      <c r="DL42"/>
      <c r="DM42"/>
      <c r="DN42"/>
      <c r="DO42"/>
      <c r="DP42"/>
      <c r="DQ42"/>
      <c r="DR42"/>
      <c r="DS42"/>
      <c r="DT42"/>
      <c r="DU42"/>
      <c r="DV42"/>
      <c r="DW42"/>
      <c r="DX42"/>
      <c r="DY42"/>
      <c r="DZ42"/>
      <c r="EA42"/>
      <c r="EB42"/>
      <c r="EC42"/>
      <c r="ED42"/>
      <c r="EE42"/>
      <c r="EF42"/>
      <c r="EG42"/>
      <c r="EH42"/>
      <c r="EI42"/>
      <c r="EJ42"/>
      <c r="EK42"/>
      <c r="EL42"/>
      <c r="EM42"/>
      <c r="EN42"/>
      <c r="EO42"/>
      <c r="EP42"/>
      <c r="EQ42"/>
      <c r="ER42"/>
      <c r="ES42"/>
      <c r="ET42"/>
      <c r="EU42"/>
      <c r="EV42"/>
      <c r="EW42"/>
      <c r="EX42"/>
      <c r="EY42"/>
      <c r="EZ42"/>
      <c r="FA42"/>
      <c r="FB42"/>
      <c r="FC42"/>
      <c r="FD42"/>
      <c r="FE42"/>
      <c r="FF42"/>
      <c r="FG42"/>
      <c r="FH42"/>
      <c r="FI42"/>
      <c r="FJ42"/>
      <c r="FK42"/>
      <c r="FL42"/>
      <c r="FM42"/>
      <c r="FN42"/>
      <c r="FO42"/>
      <c r="FP42"/>
      <c r="FQ42"/>
      <c r="FR42"/>
      <c r="FS42"/>
      <c r="FT42"/>
      <c r="FU42"/>
      <c r="FV42"/>
      <c r="FW42"/>
      <c r="FX42"/>
      <c r="FY42"/>
      <c r="FZ42"/>
      <c r="GA42"/>
      <c r="GB42"/>
      <c r="GC42"/>
      <c r="GD42"/>
      <c r="GE42"/>
      <c r="GF42"/>
      <c r="GG42"/>
      <c r="GH42"/>
      <c r="GI42"/>
      <c r="GJ42"/>
      <c r="GK42"/>
      <c r="GL42"/>
      <c r="GM42"/>
      <c r="GN42"/>
      <c r="GO42"/>
      <c r="GP42"/>
      <c r="GQ42"/>
      <c r="GR42"/>
      <c r="GS42"/>
      <c r="GT42"/>
      <c r="GU42"/>
      <c r="GV42"/>
      <c r="GW42"/>
      <c r="GX42"/>
      <c r="GY42"/>
      <c r="GZ42"/>
      <c r="HA42"/>
      <c r="HB42"/>
      <c r="HC42"/>
      <c r="HD42"/>
      <c r="HE42"/>
      <c r="HF42"/>
      <c r="HG42"/>
      <c r="HH42"/>
      <c r="HI42"/>
      <c r="HJ42"/>
    </row>
    <row r="43" spans="3:218" s="119" customFormat="1" ht="30" customHeight="1">
      <c r="C43" s="121" t="s">
        <v>154</v>
      </c>
      <c r="D43" s="199"/>
      <c r="E43" s="128" t="s">
        <v>212</v>
      </c>
      <c r="F43" s="130"/>
      <c r="G43" s="131">
        <f t="shared" si="77"/>
        <v>0</v>
      </c>
      <c r="H43" s="74"/>
      <c r="I43" s="190"/>
      <c r="J43" s="191"/>
      <c r="K43" s="43"/>
      <c r="L43"/>
      <c r="M43"/>
      <c r="N43"/>
      <c r="O43"/>
      <c r="P43"/>
      <c r="Q43"/>
      <c r="R43"/>
      <c r="S43"/>
      <c r="T43"/>
      <c r="U43"/>
      <c r="V43"/>
      <c r="W43"/>
      <c r="X43"/>
      <c r="Y43"/>
      <c r="Z43"/>
      <c r="AA43"/>
      <c r="AB43"/>
      <c r="AC43"/>
      <c r="AD43"/>
      <c r="AE43"/>
      <c r="AF43"/>
      <c r="AG43"/>
      <c r="AH43"/>
      <c r="AI43"/>
      <c r="AJ43"/>
      <c r="AK43"/>
      <c r="AL43"/>
      <c r="AM43"/>
      <c r="AN43"/>
      <c r="AO43"/>
      <c r="AP43"/>
      <c r="AQ43"/>
      <c r="AR43"/>
      <c r="AS43"/>
      <c r="AT43"/>
      <c r="AU43"/>
      <c r="AV43"/>
      <c r="AW43"/>
      <c r="AX43"/>
      <c r="AY43"/>
      <c r="AZ43"/>
      <c r="BA43"/>
      <c r="BB43"/>
      <c r="BC43"/>
      <c r="BD43"/>
      <c r="BE43"/>
      <c r="BF43"/>
      <c r="BG43"/>
      <c r="BH43"/>
      <c r="BI43"/>
      <c r="BJ43"/>
      <c r="BK43"/>
      <c r="BL43"/>
      <c r="BM43"/>
      <c r="BN43"/>
      <c r="BO43"/>
      <c r="BP43"/>
      <c r="BQ43"/>
      <c r="BR43"/>
      <c r="BS43"/>
      <c r="BT43"/>
      <c r="BU43"/>
      <c r="BV43"/>
      <c r="BW43"/>
      <c r="BX43"/>
      <c r="BY43"/>
      <c r="BZ43"/>
      <c r="CA43"/>
      <c r="CB43"/>
      <c r="CC43"/>
      <c r="CD43"/>
      <c r="CE43"/>
      <c r="CF43"/>
      <c r="CG43"/>
      <c r="CH43"/>
      <c r="CI43"/>
      <c r="CJ43"/>
      <c r="CK43"/>
      <c r="CL43"/>
      <c r="CM43"/>
      <c r="CN43"/>
      <c r="CO43"/>
      <c r="CP43"/>
      <c r="CQ43"/>
      <c r="CR43"/>
      <c r="CS43"/>
      <c r="CT43"/>
      <c r="CU43"/>
      <c r="CV43"/>
      <c r="CW43"/>
      <c r="CX43"/>
      <c r="CY43"/>
      <c r="CZ43"/>
      <c r="DA43"/>
      <c r="DB43"/>
      <c r="DC43"/>
      <c r="DD43"/>
      <c r="DE43"/>
      <c r="DF43"/>
      <c r="DG43"/>
      <c r="DH43"/>
      <c r="DI43"/>
      <c r="DJ43"/>
      <c r="DK43"/>
      <c r="DL43"/>
      <c r="DM43"/>
      <c r="DN43"/>
      <c r="DO43"/>
      <c r="DP43"/>
      <c r="DQ43"/>
      <c r="DR43"/>
      <c r="DS43"/>
      <c r="DT43"/>
      <c r="DU43"/>
      <c r="DV43"/>
      <c r="DW43"/>
      <c r="DX43"/>
      <c r="DY43"/>
      <c r="DZ43"/>
      <c r="EA43"/>
      <c r="EB43"/>
      <c r="EC43"/>
      <c r="ED43"/>
      <c r="EE43"/>
      <c r="EF43"/>
      <c r="EG43"/>
      <c r="EH43"/>
      <c r="EI43"/>
      <c r="EJ43"/>
      <c r="EK43"/>
      <c r="EL43"/>
      <c r="EM43"/>
      <c r="EN43"/>
      <c r="EO43"/>
      <c r="EP43"/>
      <c r="EQ43"/>
      <c r="ER43"/>
      <c r="ES43"/>
      <c r="ET43"/>
      <c r="EU43"/>
      <c r="EV43"/>
      <c r="EW43"/>
      <c r="EX43"/>
      <c r="EY43"/>
      <c r="EZ43"/>
      <c r="FA43"/>
      <c r="FB43"/>
      <c r="FC43"/>
      <c r="FD43"/>
      <c r="FE43"/>
      <c r="FF43"/>
      <c r="FG43"/>
      <c r="FH43"/>
      <c r="FI43"/>
      <c r="FJ43"/>
      <c r="FK43"/>
      <c r="FL43"/>
      <c r="FM43"/>
      <c r="FN43"/>
      <c r="FO43"/>
      <c r="FP43"/>
      <c r="FQ43"/>
      <c r="FR43"/>
      <c r="FS43"/>
      <c r="FT43"/>
      <c r="FU43"/>
      <c r="FV43"/>
      <c r="FW43"/>
      <c r="FX43"/>
      <c r="FY43"/>
      <c r="FZ43"/>
      <c r="GA43"/>
      <c r="GB43"/>
      <c r="GC43"/>
      <c r="GD43"/>
      <c r="GE43"/>
      <c r="GF43"/>
      <c r="GG43"/>
      <c r="GH43"/>
      <c r="GI43"/>
      <c r="GJ43"/>
      <c r="GK43"/>
      <c r="GL43"/>
      <c r="GM43"/>
      <c r="GN43"/>
      <c r="GO43"/>
      <c r="GP43"/>
      <c r="GQ43"/>
      <c r="GR43"/>
      <c r="GS43"/>
      <c r="GT43"/>
      <c r="GU43"/>
      <c r="GV43"/>
      <c r="GW43"/>
      <c r="GX43"/>
      <c r="GY43"/>
      <c r="GZ43"/>
      <c r="HA43"/>
      <c r="HB43"/>
      <c r="HC43"/>
      <c r="HD43"/>
      <c r="HE43"/>
      <c r="HF43"/>
      <c r="HG43"/>
      <c r="HH43"/>
      <c r="HI43"/>
      <c r="HJ43"/>
    </row>
    <row r="44" spans="3:218" s="119" customFormat="1" ht="30" customHeight="1">
      <c r="C44" s="121" t="s">
        <v>155</v>
      </c>
      <c r="D44" s="199"/>
      <c r="E44" s="128" t="s">
        <v>213</v>
      </c>
      <c r="F44" s="130"/>
      <c r="G44" s="131">
        <f t="shared" si="77"/>
        <v>0</v>
      </c>
      <c r="H44" s="74"/>
      <c r="I44" s="190"/>
      <c r="J44" s="191"/>
      <c r="K44" s="43"/>
      <c r="L44"/>
      <c r="M44"/>
      <c r="N44"/>
      <c r="O44"/>
      <c r="P44"/>
      <c r="Q44"/>
      <c r="R44"/>
      <c r="S44"/>
      <c r="T44"/>
      <c r="U44"/>
      <c r="V44"/>
      <c r="W44"/>
      <c r="X44"/>
      <c r="Y44"/>
      <c r="Z44"/>
      <c r="AA44"/>
      <c r="AB44"/>
      <c r="AC44"/>
      <c r="AD44"/>
      <c r="AE44"/>
      <c r="AF44"/>
      <c r="AG44"/>
      <c r="AH44"/>
      <c r="AI44"/>
      <c r="AJ44"/>
      <c r="AK44"/>
      <c r="AL44"/>
      <c r="AM44"/>
      <c r="AN44"/>
      <c r="AO44"/>
      <c r="AP44"/>
      <c r="AQ44"/>
      <c r="AR44"/>
      <c r="AS44"/>
      <c r="AT44"/>
      <c r="AU44"/>
      <c r="AV44"/>
      <c r="AW44"/>
      <c r="AX44"/>
      <c r="AY44"/>
      <c r="AZ44"/>
      <c r="BA44"/>
      <c r="BB44"/>
      <c r="BC44"/>
      <c r="BD44"/>
      <c r="BE44"/>
      <c r="BF44"/>
      <c r="BG44"/>
      <c r="BH44"/>
      <c r="BI44"/>
      <c r="BJ44"/>
      <c r="BK44"/>
      <c r="BL44"/>
      <c r="BM44"/>
      <c r="BN44"/>
      <c r="BO44"/>
      <c r="BP44"/>
      <c r="BQ44"/>
      <c r="BR44"/>
      <c r="BS44"/>
      <c r="BT44"/>
      <c r="BU44"/>
      <c r="BV44"/>
      <c r="BW44"/>
      <c r="BX44"/>
      <c r="BY44"/>
      <c r="BZ44"/>
      <c r="CA44"/>
      <c r="CB44"/>
      <c r="CC44"/>
      <c r="CD44"/>
      <c r="CE44"/>
      <c r="CF44"/>
      <c r="CG44"/>
      <c r="CH44"/>
      <c r="CI44"/>
      <c r="CJ44"/>
      <c r="CK44"/>
      <c r="CL44"/>
      <c r="CM44"/>
      <c r="CN44"/>
      <c r="CO44"/>
      <c r="CP44"/>
      <c r="CQ44"/>
      <c r="CR44"/>
      <c r="CS44"/>
      <c r="CT44"/>
      <c r="CU44"/>
      <c r="CV44"/>
      <c r="CW44"/>
      <c r="CX44"/>
      <c r="CY44"/>
      <c r="CZ44"/>
      <c r="DA44"/>
      <c r="DB44"/>
      <c r="DC44"/>
      <c r="DD44"/>
      <c r="DE44"/>
      <c r="DF44"/>
      <c r="DG44"/>
      <c r="DH44"/>
      <c r="DI44"/>
      <c r="DJ44"/>
      <c r="DK44"/>
      <c r="DL44"/>
      <c r="DM44"/>
      <c r="DN44"/>
      <c r="DO44"/>
      <c r="DP44"/>
      <c r="DQ44"/>
      <c r="DR44"/>
      <c r="DS44"/>
      <c r="DT44"/>
      <c r="DU44"/>
      <c r="DV44"/>
      <c r="DW44"/>
      <c r="DX44"/>
      <c r="DY44"/>
      <c r="DZ44"/>
      <c r="EA44"/>
      <c r="EB44"/>
      <c r="EC44"/>
      <c r="ED44"/>
      <c r="EE44"/>
      <c r="EF44"/>
      <c r="EG44"/>
      <c r="EH44"/>
      <c r="EI44"/>
      <c r="EJ44"/>
      <c r="EK44"/>
      <c r="EL44"/>
      <c r="EM44"/>
      <c r="EN44"/>
      <c r="EO44"/>
      <c r="EP44"/>
      <c r="EQ44"/>
      <c r="ER44"/>
      <c r="ES44"/>
      <c r="ET44"/>
      <c r="EU44"/>
      <c r="EV44"/>
      <c r="EW44"/>
      <c r="EX44"/>
      <c r="EY44"/>
      <c r="EZ44"/>
      <c r="FA44"/>
      <c r="FB44"/>
      <c r="FC44"/>
      <c r="FD44"/>
      <c r="FE44"/>
      <c r="FF44"/>
      <c r="FG44"/>
      <c r="FH44"/>
      <c r="FI44"/>
      <c r="FJ44"/>
      <c r="FK44"/>
      <c r="FL44"/>
      <c r="FM44"/>
      <c r="FN44"/>
      <c r="FO44"/>
      <c r="FP44"/>
      <c r="FQ44"/>
      <c r="FR44"/>
      <c r="FS44"/>
      <c r="FT44"/>
      <c r="FU44"/>
      <c r="FV44"/>
      <c r="FW44"/>
      <c r="FX44"/>
      <c r="FY44"/>
      <c r="FZ44"/>
      <c r="GA44"/>
      <c r="GB44"/>
      <c r="GC44"/>
      <c r="GD44"/>
      <c r="GE44"/>
      <c r="GF44"/>
      <c r="GG44"/>
      <c r="GH44"/>
      <c r="GI44"/>
      <c r="GJ44"/>
      <c r="GK44"/>
      <c r="GL44"/>
      <c r="GM44"/>
      <c r="GN44"/>
      <c r="GO44"/>
      <c r="GP44"/>
      <c r="GQ44"/>
      <c r="GR44"/>
      <c r="GS44"/>
      <c r="GT44"/>
      <c r="GU44"/>
      <c r="GV44"/>
      <c r="GW44"/>
      <c r="GX44"/>
      <c r="GY44"/>
      <c r="GZ44"/>
      <c r="HA44"/>
      <c r="HB44"/>
      <c r="HC44"/>
      <c r="HD44"/>
      <c r="HE44"/>
      <c r="HF44"/>
      <c r="HG44"/>
      <c r="HH44"/>
      <c r="HI44"/>
      <c r="HJ44"/>
    </row>
    <row r="45" spans="3:218" s="119" customFormat="1" ht="30" customHeight="1">
      <c r="C45" s="121" t="s">
        <v>156</v>
      </c>
      <c r="D45" s="199"/>
      <c r="E45" s="128" t="s">
        <v>214</v>
      </c>
      <c r="F45" s="130"/>
      <c r="G45" s="131">
        <f t="shared" si="77"/>
        <v>0</v>
      </c>
      <c r="H45" s="74"/>
      <c r="I45" s="190"/>
      <c r="J45" s="191"/>
      <c r="K45" s="43"/>
      <c r="L45"/>
      <c r="M45"/>
      <c r="N45"/>
      <c r="O45"/>
      <c r="P45"/>
      <c r="Q45"/>
      <c r="R45"/>
      <c r="S45"/>
      <c r="T45"/>
      <c r="U45"/>
      <c r="V45"/>
      <c r="W45"/>
      <c r="X45"/>
      <c r="Y45"/>
      <c r="Z45"/>
      <c r="AA45"/>
      <c r="AB45"/>
      <c r="AC45"/>
      <c r="AD45"/>
      <c r="AE45"/>
      <c r="AF45"/>
      <c r="AG45"/>
      <c r="AH45"/>
      <c r="AI45"/>
      <c r="AJ45"/>
      <c r="AK45"/>
      <c r="AL45"/>
      <c r="AM45"/>
      <c r="AN45"/>
      <c r="AO45"/>
      <c r="AP45"/>
      <c r="AQ45"/>
      <c r="AR45"/>
      <c r="AS45"/>
      <c r="AT45"/>
      <c r="AU45"/>
      <c r="AV45"/>
      <c r="AW45"/>
      <c r="AX45"/>
      <c r="AY45"/>
      <c r="AZ45"/>
      <c r="BA45"/>
      <c r="BB45"/>
      <c r="BC45"/>
      <c r="BD45"/>
      <c r="BE45"/>
      <c r="BF45"/>
      <c r="BG45"/>
      <c r="BH45"/>
      <c r="BI45"/>
      <c r="BJ45"/>
      <c r="BK45"/>
      <c r="BL45"/>
      <c r="BM45"/>
      <c r="BN45"/>
      <c r="BO45"/>
      <c r="BP45"/>
      <c r="BQ45"/>
      <c r="BR45"/>
      <c r="BS45"/>
      <c r="BT45"/>
      <c r="BU45"/>
      <c r="BV45"/>
      <c r="BW45"/>
      <c r="BX45"/>
      <c r="BY45"/>
      <c r="BZ45"/>
      <c r="CA45"/>
      <c r="CB45"/>
      <c r="CC45"/>
      <c r="CD45"/>
      <c r="CE45"/>
      <c r="CF45"/>
      <c r="CG45"/>
      <c r="CH45"/>
      <c r="CI45"/>
      <c r="CJ45"/>
      <c r="CK45"/>
      <c r="CL45"/>
      <c r="CM45"/>
      <c r="CN45"/>
      <c r="CO45"/>
      <c r="CP45"/>
      <c r="CQ45"/>
      <c r="CR45"/>
      <c r="CS45"/>
      <c r="CT45"/>
      <c r="CU45"/>
      <c r="CV45"/>
      <c r="CW45"/>
      <c r="CX45"/>
      <c r="CY45"/>
      <c r="CZ45"/>
      <c r="DA45"/>
      <c r="DB45"/>
      <c r="DC45"/>
      <c r="DD45"/>
      <c r="DE45"/>
      <c r="DF45"/>
      <c r="DG45"/>
      <c r="DH45"/>
      <c r="DI45"/>
      <c r="DJ45"/>
      <c r="DK45"/>
      <c r="DL45"/>
      <c r="DM45"/>
      <c r="DN45"/>
      <c r="DO45"/>
      <c r="DP45"/>
      <c r="DQ45"/>
      <c r="DR45"/>
      <c r="DS45"/>
      <c r="DT45"/>
      <c r="DU45"/>
      <c r="DV45"/>
      <c r="DW45"/>
      <c r="DX45"/>
      <c r="DY45"/>
      <c r="DZ45"/>
      <c r="EA45"/>
      <c r="EB45"/>
      <c r="EC45"/>
      <c r="ED45"/>
      <c r="EE45"/>
      <c r="EF45"/>
      <c r="EG45"/>
      <c r="EH45"/>
      <c r="EI45"/>
      <c r="EJ45"/>
      <c r="EK45"/>
      <c r="EL45"/>
      <c r="EM45"/>
      <c r="EN45"/>
      <c r="EO45"/>
      <c r="EP45"/>
      <c r="EQ45"/>
      <c r="ER45"/>
      <c r="ES45"/>
      <c r="ET45"/>
      <c r="EU45"/>
      <c r="EV45"/>
      <c r="EW45"/>
      <c r="EX45"/>
      <c r="EY45"/>
      <c r="EZ45"/>
      <c r="FA45"/>
      <c r="FB45"/>
      <c r="FC45"/>
      <c r="FD45"/>
      <c r="FE45"/>
      <c r="FF45"/>
      <c r="FG45"/>
      <c r="FH45"/>
      <c r="FI45"/>
      <c r="FJ45"/>
      <c r="FK45"/>
      <c r="FL45"/>
      <c r="FM45"/>
      <c r="FN45"/>
      <c r="FO45"/>
      <c r="FP45"/>
      <c r="FQ45"/>
      <c r="FR45"/>
      <c r="FS45"/>
      <c r="FT45"/>
      <c r="FU45"/>
      <c r="FV45"/>
      <c r="FW45"/>
      <c r="FX45"/>
      <c r="FY45"/>
      <c r="FZ45"/>
      <c r="GA45"/>
      <c r="GB45"/>
      <c r="GC45"/>
      <c r="GD45"/>
      <c r="GE45"/>
      <c r="GF45"/>
      <c r="GG45"/>
      <c r="GH45"/>
      <c r="GI45"/>
      <c r="GJ45"/>
      <c r="GK45"/>
      <c r="GL45"/>
      <c r="GM45"/>
      <c r="GN45"/>
      <c r="GO45"/>
      <c r="GP45"/>
      <c r="GQ45"/>
      <c r="GR45"/>
      <c r="GS45"/>
      <c r="GT45"/>
      <c r="GU45"/>
      <c r="GV45"/>
      <c r="GW45"/>
      <c r="GX45"/>
      <c r="GY45"/>
      <c r="GZ45"/>
      <c r="HA45"/>
      <c r="HB45"/>
      <c r="HC45"/>
      <c r="HD45"/>
      <c r="HE45"/>
      <c r="HF45"/>
      <c r="HG45"/>
      <c r="HH45"/>
      <c r="HI45"/>
      <c r="HJ45"/>
    </row>
    <row r="46" spans="3:218" s="119" customFormat="1" ht="30" customHeight="1">
      <c r="C46" s="121" t="s">
        <v>157</v>
      </c>
      <c r="D46" s="199"/>
      <c r="E46" s="128" t="s">
        <v>215</v>
      </c>
      <c r="F46" s="130"/>
      <c r="G46" s="131">
        <f t="shared" si="77"/>
        <v>0</v>
      </c>
      <c r="H46" s="74"/>
      <c r="I46" s="190"/>
      <c r="J46" s="191"/>
      <c r="K46" s="43"/>
      <c r="L46"/>
      <c r="M46"/>
      <c r="N46"/>
      <c r="O46"/>
      <c r="P46"/>
      <c r="Q46"/>
      <c r="R46"/>
      <c r="S46"/>
      <c r="T46"/>
      <c r="U46"/>
      <c r="V46"/>
      <c r="W46"/>
      <c r="X46"/>
      <c r="Y46"/>
      <c r="Z46"/>
      <c r="AA46"/>
      <c r="AB46"/>
      <c r="AC46"/>
      <c r="AD46"/>
      <c r="AE46"/>
      <c r="AF46"/>
      <c r="AG46"/>
      <c r="AH46"/>
      <c r="AI46"/>
      <c r="AJ46"/>
      <c r="AK46"/>
      <c r="AL46"/>
      <c r="AM46"/>
      <c r="AN46"/>
      <c r="AO46"/>
      <c r="AP46"/>
      <c r="AQ46"/>
      <c r="AR46"/>
      <c r="AS46"/>
      <c r="AT46"/>
      <c r="AU46"/>
      <c r="AV46"/>
      <c r="AW46"/>
      <c r="AX46"/>
      <c r="AY46"/>
      <c r="AZ46"/>
      <c r="BA46"/>
      <c r="BB46"/>
      <c r="BC46"/>
      <c r="BD46"/>
      <c r="BE46"/>
      <c r="BF46"/>
      <c r="BG46"/>
      <c r="BH46"/>
      <c r="BI46"/>
      <c r="BJ46"/>
      <c r="BK46"/>
      <c r="BL46"/>
      <c r="BM46"/>
      <c r="BN46"/>
      <c r="BO46"/>
      <c r="BP46"/>
      <c r="BQ46"/>
      <c r="BR46"/>
      <c r="BS46"/>
      <c r="BT46"/>
      <c r="BU46"/>
      <c r="BV46"/>
      <c r="BW46"/>
      <c r="BX46"/>
      <c r="BY46"/>
      <c r="BZ46"/>
      <c r="CA46"/>
      <c r="CB46"/>
      <c r="CC46"/>
      <c r="CD46"/>
      <c r="CE46"/>
      <c r="CF46"/>
      <c r="CG46"/>
      <c r="CH46"/>
      <c r="CI46"/>
      <c r="CJ46"/>
      <c r="CK46"/>
      <c r="CL46"/>
      <c r="CM46"/>
      <c r="CN46"/>
      <c r="CO46"/>
      <c r="CP46"/>
      <c r="CQ46"/>
      <c r="CR46"/>
      <c r="CS46"/>
      <c r="CT46"/>
      <c r="CU46"/>
      <c r="CV46"/>
      <c r="CW46"/>
      <c r="CX46"/>
      <c r="CY46"/>
      <c r="CZ46"/>
      <c r="DA46"/>
      <c r="DB46"/>
      <c r="DC46"/>
      <c r="DD46"/>
      <c r="DE46"/>
      <c r="DF46"/>
      <c r="DG46"/>
      <c r="DH46"/>
      <c r="DI46"/>
      <c r="DJ46"/>
      <c r="DK46"/>
      <c r="DL46"/>
      <c r="DM46"/>
      <c r="DN46"/>
      <c r="DO46"/>
      <c r="DP46"/>
      <c r="DQ46"/>
      <c r="DR46"/>
      <c r="DS46"/>
      <c r="DT46"/>
      <c r="DU46"/>
      <c r="DV46"/>
      <c r="DW46"/>
      <c r="DX46"/>
      <c r="DY46"/>
      <c r="DZ46"/>
      <c r="EA46"/>
      <c r="EB46"/>
      <c r="EC46"/>
      <c r="ED46"/>
      <c r="EE46"/>
      <c r="EF46"/>
      <c r="EG46"/>
      <c r="EH46"/>
      <c r="EI46"/>
      <c r="EJ46"/>
      <c r="EK46"/>
      <c r="EL46"/>
      <c r="EM46"/>
      <c r="EN46"/>
      <c r="EO46"/>
      <c r="EP46"/>
      <c r="EQ46"/>
      <c r="ER46"/>
      <c r="ES46"/>
      <c r="ET46"/>
      <c r="EU46"/>
      <c r="EV46"/>
      <c r="EW46"/>
      <c r="EX46"/>
      <c r="EY46"/>
      <c r="EZ46"/>
      <c r="FA46"/>
      <c r="FB46"/>
      <c r="FC46"/>
      <c r="FD46"/>
      <c r="FE46"/>
      <c r="FF46"/>
      <c r="FG46"/>
      <c r="FH46"/>
      <c r="FI46"/>
      <c r="FJ46"/>
      <c r="FK46"/>
      <c r="FL46"/>
      <c r="FM46"/>
      <c r="FN46"/>
      <c r="FO46"/>
      <c r="FP46"/>
      <c r="FQ46"/>
      <c r="FR46"/>
      <c r="FS46"/>
      <c r="FT46"/>
      <c r="FU46"/>
      <c r="FV46"/>
      <c r="FW46"/>
      <c r="FX46"/>
      <c r="FY46"/>
      <c r="FZ46"/>
      <c r="GA46"/>
      <c r="GB46"/>
      <c r="GC46"/>
      <c r="GD46"/>
      <c r="GE46"/>
      <c r="GF46"/>
      <c r="GG46"/>
      <c r="GH46"/>
      <c r="GI46"/>
      <c r="GJ46"/>
      <c r="GK46"/>
      <c r="GL46"/>
      <c r="GM46"/>
      <c r="GN46"/>
      <c r="GO46"/>
      <c r="GP46"/>
      <c r="GQ46"/>
      <c r="GR46"/>
      <c r="GS46"/>
      <c r="GT46"/>
      <c r="GU46"/>
      <c r="GV46"/>
      <c r="GW46"/>
      <c r="GX46"/>
      <c r="GY46"/>
      <c r="GZ46"/>
      <c r="HA46"/>
      <c r="HB46"/>
      <c r="HC46"/>
      <c r="HD46"/>
      <c r="HE46"/>
      <c r="HF46"/>
      <c r="HG46"/>
      <c r="HH46"/>
      <c r="HI46"/>
      <c r="HJ46"/>
    </row>
    <row r="47" spans="3:218" s="119" customFormat="1" ht="30" customHeight="1">
      <c r="C47" s="121" t="s">
        <v>218</v>
      </c>
      <c r="D47" s="199"/>
      <c r="E47" s="128" t="s">
        <v>216</v>
      </c>
      <c r="F47" s="130"/>
      <c r="G47" s="131">
        <f t="shared" si="77"/>
        <v>0</v>
      </c>
      <c r="H47" s="74"/>
      <c r="I47" s="190"/>
      <c r="J47" s="191"/>
      <c r="K47" s="43"/>
      <c r="L47"/>
      <c r="M47"/>
      <c r="N47"/>
      <c r="O47"/>
      <c r="P47"/>
      <c r="Q47"/>
      <c r="R47"/>
      <c r="S47"/>
      <c r="T47"/>
      <c r="U47"/>
      <c r="V47"/>
      <c r="W47"/>
      <c r="X47"/>
      <c r="Y47"/>
      <c r="Z47"/>
      <c r="AA47"/>
      <c r="AB47"/>
      <c r="AC47"/>
      <c r="AD47"/>
      <c r="AE47"/>
      <c r="AF47"/>
      <c r="AG47"/>
      <c r="AH47"/>
      <c r="AI47"/>
      <c r="AJ47"/>
      <c r="AK47"/>
      <c r="AL47"/>
      <c r="AM47"/>
      <c r="AN47"/>
      <c r="AO47"/>
      <c r="AP47"/>
      <c r="AQ47"/>
      <c r="AR47"/>
      <c r="AS47"/>
      <c r="AT47"/>
      <c r="AU47"/>
      <c r="AV47"/>
      <c r="AW47"/>
      <c r="AX47"/>
      <c r="AY47"/>
      <c r="AZ47"/>
      <c r="BA47"/>
      <c r="BB47"/>
      <c r="BC47"/>
      <c r="BD47"/>
      <c r="BE47"/>
      <c r="BF47"/>
      <c r="BG47"/>
      <c r="BH47"/>
      <c r="BI47"/>
      <c r="BJ47"/>
      <c r="BK47"/>
      <c r="BL47"/>
      <c r="BM47"/>
      <c r="BN47"/>
      <c r="BO47"/>
      <c r="BP47"/>
      <c r="BQ47"/>
      <c r="BR47"/>
      <c r="BS47"/>
      <c r="BT47"/>
      <c r="BU47"/>
      <c r="BV47"/>
      <c r="BW47"/>
      <c r="BX47"/>
      <c r="BY47"/>
      <c r="BZ47"/>
      <c r="CA47"/>
      <c r="CB47"/>
      <c r="CC47"/>
      <c r="CD47"/>
      <c r="CE47"/>
      <c r="CF47"/>
      <c r="CG47"/>
      <c r="CH47"/>
      <c r="CI47"/>
      <c r="CJ47"/>
      <c r="CK47"/>
      <c r="CL47"/>
      <c r="CM47"/>
      <c r="CN47"/>
      <c r="CO47"/>
      <c r="CP47"/>
      <c r="CQ47"/>
      <c r="CR47"/>
      <c r="CS47"/>
      <c r="CT47"/>
      <c r="CU47"/>
      <c r="CV47"/>
      <c r="CW47"/>
      <c r="CX47"/>
      <c r="CY47"/>
      <c r="CZ47"/>
      <c r="DA47"/>
      <c r="DB47"/>
      <c r="DC47"/>
      <c r="DD47"/>
      <c r="DE47"/>
      <c r="DF47"/>
      <c r="DG47"/>
      <c r="DH47"/>
      <c r="DI47"/>
      <c r="DJ47"/>
      <c r="DK47"/>
      <c r="DL47"/>
      <c r="DM47"/>
      <c r="DN47"/>
      <c r="DO47"/>
      <c r="DP47"/>
      <c r="DQ47"/>
      <c r="DR47"/>
      <c r="DS47"/>
      <c r="DT47"/>
      <c r="DU47"/>
      <c r="DV47"/>
      <c r="DW47"/>
      <c r="DX47"/>
      <c r="DY47"/>
      <c r="DZ47"/>
      <c r="EA47"/>
      <c r="EB47"/>
      <c r="EC47"/>
      <c r="ED47"/>
      <c r="EE47"/>
      <c r="EF47"/>
      <c r="EG47"/>
      <c r="EH47"/>
      <c r="EI47"/>
      <c r="EJ47"/>
      <c r="EK47"/>
      <c r="EL47"/>
      <c r="EM47"/>
      <c r="EN47"/>
      <c r="EO47"/>
      <c r="EP47"/>
      <c r="EQ47"/>
      <c r="ER47"/>
      <c r="ES47"/>
      <c r="ET47"/>
      <c r="EU47"/>
      <c r="EV47"/>
      <c r="EW47"/>
      <c r="EX47"/>
      <c r="EY47"/>
      <c r="EZ47"/>
      <c r="FA47"/>
      <c r="FB47"/>
      <c r="FC47"/>
      <c r="FD47"/>
      <c r="FE47"/>
      <c r="FF47"/>
      <c r="FG47"/>
      <c r="FH47"/>
      <c r="FI47"/>
      <c r="FJ47"/>
      <c r="FK47"/>
      <c r="FL47"/>
      <c r="FM47"/>
      <c r="FN47"/>
      <c r="FO47"/>
      <c r="FP47"/>
      <c r="FQ47"/>
      <c r="FR47"/>
      <c r="FS47"/>
      <c r="FT47"/>
      <c r="FU47"/>
      <c r="FV47"/>
      <c r="FW47"/>
      <c r="FX47"/>
      <c r="FY47"/>
      <c r="FZ47"/>
      <c r="GA47"/>
      <c r="GB47"/>
      <c r="GC47"/>
      <c r="GD47"/>
      <c r="GE47"/>
      <c r="GF47"/>
      <c r="GG47"/>
      <c r="GH47"/>
      <c r="GI47"/>
      <c r="GJ47"/>
      <c r="GK47"/>
      <c r="GL47"/>
      <c r="GM47"/>
      <c r="GN47"/>
      <c r="GO47"/>
      <c r="GP47"/>
      <c r="GQ47"/>
      <c r="GR47"/>
      <c r="GS47"/>
      <c r="GT47"/>
      <c r="GU47"/>
      <c r="GV47"/>
      <c r="GW47"/>
      <c r="GX47"/>
      <c r="GY47"/>
      <c r="GZ47"/>
      <c r="HA47"/>
      <c r="HB47"/>
      <c r="HC47"/>
      <c r="HD47"/>
      <c r="HE47"/>
      <c r="HF47"/>
      <c r="HG47"/>
      <c r="HH47"/>
      <c r="HI47"/>
      <c r="HJ47"/>
    </row>
    <row r="48" spans="3:218" s="119" customFormat="1" ht="30" customHeight="1">
      <c r="C48" s="122" t="s">
        <v>219</v>
      </c>
      <c r="D48" s="200"/>
      <c r="E48" s="128" t="s">
        <v>217</v>
      </c>
      <c r="F48" s="130"/>
      <c r="G48" s="131">
        <f t="shared" si="77"/>
        <v>0</v>
      </c>
      <c r="H48" s="74"/>
      <c r="I48" s="190"/>
      <c r="J48" s="191"/>
      <c r="K48" s="43"/>
      <c r="L48"/>
      <c r="M48"/>
      <c r="N48"/>
      <c r="O48"/>
      <c r="P48"/>
      <c r="Q48"/>
      <c r="R48"/>
      <c r="S48"/>
      <c r="T48"/>
      <c r="U48"/>
      <c r="V48"/>
      <c r="W48"/>
      <c r="X48"/>
      <c r="Y48"/>
      <c r="Z48"/>
      <c r="AA48"/>
      <c r="AB48"/>
      <c r="AC48"/>
      <c r="AD48"/>
      <c r="AE48"/>
      <c r="AF48"/>
      <c r="AG48"/>
      <c r="AH48"/>
      <c r="AI48"/>
      <c r="AJ48"/>
      <c r="AK48"/>
      <c r="AL48"/>
      <c r="AM48"/>
      <c r="AN48"/>
      <c r="AO48"/>
      <c r="AP48"/>
      <c r="AQ48"/>
      <c r="AR48"/>
      <c r="AS48"/>
      <c r="AT48"/>
      <c r="AU48"/>
      <c r="AV48"/>
      <c r="AW48"/>
      <c r="AX48"/>
      <c r="AY48"/>
      <c r="AZ48"/>
      <c r="BA48"/>
      <c r="BB48"/>
      <c r="BC48"/>
      <c r="BD48"/>
      <c r="BE48"/>
      <c r="BF48"/>
      <c r="BG48"/>
      <c r="BH48"/>
      <c r="BI48"/>
      <c r="BJ48"/>
      <c r="BK48"/>
      <c r="BL48"/>
      <c r="BM48"/>
      <c r="BN48"/>
      <c r="BO48"/>
      <c r="BP48"/>
      <c r="BQ48"/>
      <c r="BR48"/>
      <c r="BS48"/>
      <c r="BT48"/>
      <c r="BU48"/>
      <c r="BV48"/>
      <c r="BW48"/>
      <c r="BX48"/>
      <c r="BY48"/>
      <c r="BZ48"/>
      <c r="CA48"/>
      <c r="CB48"/>
      <c r="CC48"/>
      <c r="CD48"/>
      <c r="CE48"/>
      <c r="CF48"/>
      <c r="CG48"/>
      <c r="CH48"/>
      <c r="CI48"/>
      <c r="CJ48"/>
      <c r="CK48"/>
      <c r="CL48"/>
      <c r="CM48"/>
      <c r="CN48"/>
      <c r="CO48"/>
      <c r="CP48"/>
      <c r="CQ48"/>
      <c r="CR48"/>
      <c r="CS48"/>
      <c r="CT48"/>
      <c r="CU48"/>
      <c r="CV48"/>
      <c r="CW48"/>
      <c r="CX48"/>
      <c r="CY48"/>
      <c r="CZ48"/>
      <c r="DA48"/>
      <c r="DB48"/>
      <c r="DC48"/>
      <c r="DD48"/>
      <c r="DE48"/>
      <c r="DF48"/>
      <c r="DG48"/>
      <c r="DH48"/>
      <c r="DI48"/>
      <c r="DJ48"/>
      <c r="DK48"/>
      <c r="DL48"/>
      <c r="DM48"/>
      <c r="DN48"/>
      <c r="DO48"/>
      <c r="DP48"/>
      <c r="DQ48"/>
      <c r="DR48"/>
      <c r="DS48"/>
      <c r="DT48"/>
      <c r="DU48"/>
      <c r="DV48"/>
      <c r="DW48"/>
      <c r="DX48"/>
      <c r="DY48"/>
      <c r="DZ48"/>
      <c r="EA48"/>
      <c r="EB48"/>
      <c r="EC48"/>
      <c r="ED48"/>
      <c r="EE48"/>
      <c r="EF48"/>
      <c r="EG48"/>
      <c r="EH48"/>
      <c r="EI48"/>
      <c r="EJ48"/>
      <c r="EK48"/>
      <c r="EL48"/>
      <c r="EM48"/>
      <c r="EN48"/>
      <c r="EO48"/>
      <c r="EP48"/>
      <c r="EQ48"/>
      <c r="ER48"/>
      <c r="ES48"/>
      <c r="ET48"/>
      <c r="EU48"/>
      <c r="EV48"/>
      <c r="EW48"/>
      <c r="EX48"/>
      <c r="EY48"/>
      <c r="EZ48"/>
      <c r="FA48"/>
      <c r="FB48"/>
      <c r="FC48"/>
      <c r="FD48"/>
      <c r="FE48"/>
      <c r="FF48"/>
      <c r="FG48"/>
      <c r="FH48"/>
      <c r="FI48"/>
      <c r="FJ48"/>
      <c r="FK48"/>
      <c r="FL48"/>
      <c r="FM48"/>
      <c r="FN48"/>
      <c r="FO48"/>
      <c r="FP48"/>
      <c r="FQ48"/>
      <c r="FR48"/>
      <c r="FS48"/>
      <c r="FT48"/>
      <c r="FU48"/>
      <c r="FV48"/>
      <c r="FW48"/>
      <c r="FX48"/>
      <c r="FY48"/>
      <c r="FZ48"/>
      <c r="GA48"/>
      <c r="GB48"/>
      <c r="GC48"/>
      <c r="GD48"/>
      <c r="GE48"/>
      <c r="GF48"/>
      <c r="GG48"/>
      <c r="GH48"/>
      <c r="GI48"/>
      <c r="GJ48"/>
      <c r="GK48"/>
      <c r="GL48"/>
      <c r="GM48"/>
      <c r="GN48"/>
      <c r="GO48"/>
      <c r="GP48"/>
      <c r="GQ48"/>
      <c r="GR48"/>
      <c r="GS48"/>
      <c r="GT48"/>
      <c r="GU48"/>
      <c r="GV48"/>
      <c r="GW48"/>
      <c r="GX48"/>
      <c r="GY48"/>
      <c r="GZ48"/>
      <c r="HA48"/>
      <c r="HB48"/>
      <c r="HC48"/>
      <c r="HD48"/>
      <c r="HE48"/>
      <c r="HF48"/>
      <c r="HG48"/>
      <c r="HH48"/>
      <c r="HI48"/>
      <c r="HJ48"/>
    </row>
    <row r="49" spans="3:218" ht="20.100000000000001" customHeight="1">
      <c r="F49" s="12"/>
      <c r="G49" s="12"/>
      <c r="K49"/>
    </row>
    <row r="50" spans="3:218" s="52" customFormat="1" ht="30" customHeight="1">
      <c r="C50" s="57"/>
      <c r="D50" s="129" t="s">
        <v>133</v>
      </c>
      <c r="E50" s="129"/>
      <c r="F50" s="129"/>
      <c r="G50" s="129"/>
      <c r="H50" s="129"/>
      <c r="I50" s="129"/>
      <c r="J50" s="129"/>
      <c r="K50" s="12"/>
      <c r="Q50"/>
      <c r="R50"/>
      <c r="S50"/>
      <c r="T50"/>
      <c r="U50"/>
      <c r="V50"/>
      <c r="W50"/>
      <c r="X50"/>
      <c r="Y50"/>
      <c r="Z50"/>
      <c r="AA50"/>
      <c r="AB50"/>
      <c r="AC50"/>
      <c r="AD50"/>
      <c r="AE50"/>
      <c r="AF50"/>
      <c r="AG50"/>
      <c r="AH50"/>
      <c r="AI50"/>
      <c r="AJ50"/>
      <c r="AK50"/>
      <c r="AL50"/>
      <c r="AM50"/>
      <c r="AN50"/>
      <c r="AO50"/>
      <c r="AP50"/>
      <c r="AQ50"/>
      <c r="AR50"/>
      <c r="AS50"/>
      <c r="AT50"/>
      <c r="AU50"/>
      <c r="DA50" s="59"/>
    </row>
    <row r="51" spans="3:218" s="52" customFormat="1" ht="30" customHeight="1">
      <c r="C51" s="57"/>
      <c r="D51" s="70" t="s">
        <v>78</v>
      </c>
      <c r="E51" s="192" t="s">
        <v>137</v>
      </c>
      <c r="F51" s="194"/>
      <c r="G51" s="193"/>
      <c r="H51" s="72" t="s">
        <v>82</v>
      </c>
      <c r="I51" s="192" t="s">
        <v>83</v>
      </c>
      <c r="J51" s="193"/>
      <c r="K51" s="12"/>
      <c r="L51" s="73" t="s">
        <v>38</v>
      </c>
      <c r="M51" s="60"/>
      <c r="N51" s="60"/>
      <c r="O51" s="60"/>
      <c r="Q51"/>
      <c r="R51"/>
      <c r="S51"/>
      <c r="T51"/>
      <c r="U51"/>
      <c r="V51"/>
      <c r="W51"/>
      <c r="X51"/>
      <c r="Y51"/>
      <c r="Z51"/>
      <c r="AA51"/>
      <c r="AB51"/>
      <c r="AC51"/>
      <c r="AD51"/>
      <c r="AE51"/>
      <c r="AF51"/>
      <c r="AG51"/>
      <c r="AH51"/>
      <c r="AI51"/>
      <c r="AJ51"/>
      <c r="AK51"/>
      <c r="AL51"/>
      <c r="AM51"/>
      <c r="AN51"/>
      <c r="AO51"/>
      <c r="AP51"/>
      <c r="AQ51"/>
      <c r="AR51"/>
      <c r="AS51"/>
      <c r="AT51"/>
      <c r="AU51"/>
      <c r="AX51" s="73" t="s">
        <v>88</v>
      </c>
      <c r="AY51" s="62"/>
      <c r="AZ51" s="62"/>
      <c r="BA51" s="62"/>
      <c r="BB51" s="62"/>
      <c r="BC51" s="62"/>
      <c r="BD51" s="62"/>
      <c r="BE51" s="62"/>
      <c r="BF51" s="62"/>
      <c r="BG51" s="62"/>
      <c r="BH51" s="62"/>
      <c r="BI51" s="62"/>
      <c r="BJ51" s="62"/>
      <c r="BK51" s="62"/>
      <c r="BL51" s="62"/>
      <c r="BM51" s="62"/>
      <c r="BN51" s="62"/>
      <c r="BO51" s="62"/>
      <c r="BP51" s="62"/>
      <c r="BQ51" s="62"/>
      <c r="BR51" s="62"/>
      <c r="BS51" s="62"/>
      <c r="BT51" s="62"/>
      <c r="BU51" s="62"/>
      <c r="BV51" s="62"/>
      <c r="BW51" s="62"/>
      <c r="BX51" s="62"/>
      <c r="BY51" s="62"/>
      <c r="BZ51" s="62"/>
      <c r="CA51" s="62"/>
      <c r="CB51" s="62"/>
      <c r="CC51" s="62"/>
      <c r="CD51" s="62"/>
      <c r="CE51" s="62"/>
      <c r="CF51" s="62"/>
      <c r="CG51" s="62"/>
      <c r="CH51" s="62"/>
      <c r="CI51" s="62"/>
      <c r="CJ51" s="62"/>
      <c r="CK51" s="62"/>
      <c r="CL51" s="62"/>
      <c r="CM51" s="62"/>
      <c r="CN51" s="62"/>
      <c r="CO51" s="62"/>
      <c r="CP51" s="62"/>
      <c r="CQ51" s="62"/>
      <c r="CR51" s="62"/>
      <c r="CS51" s="62"/>
      <c r="CT51" s="62"/>
      <c r="CU51" s="62"/>
      <c r="CV51" s="62"/>
      <c r="CW51" s="62"/>
      <c r="CX51" s="62"/>
      <c r="CY51" s="62"/>
      <c r="CZ51" s="62"/>
      <c r="DA51" s="112" t="s">
        <v>124</v>
      </c>
      <c r="DB51" s="79" t="s">
        <v>87</v>
      </c>
      <c r="DC51" s="63"/>
      <c r="DD51" s="63"/>
      <c r="DE51" s="63"/>
      <c r="DF51" s="63"/>
      <c r="DG51" s="63"/>
      <c r="DH51" s="63"/>
      <c r="DI51" s="63"/>
      <c r="DJ51" s="63"/>
      <c r="DK51" s="63"/>
      <c r="DL51" s="63"/>
      <c r="DM51" s="63"/>
      <c r="DN51" s="63"/>
      <c r="DO51" s="63"/>
      <c r="DP51" s="63"/>
      <c r="DQ51" s="63"/>
      <c r="DR51" s="63"/>
      <c r="DS51" s="63"/>
      <c r="DT51" s="63"/>
      <c r="DU51" s="63"/>
      <c r="DV51" s="63"/>
      <c r="DW51" s="63"/>
      <c r="DX51" s="63"/>
      <c r="DY51" s="63"/>
      <c r="DZ51" s="63"/>
      <c r="EA51" s="63"/>
      <c r="EB51" s="63"/>
      <c r="EC51" s="63"/>
      <c r="ED51" s="63"/>
      <c r="EE51" s="63"/>
      <c r="EF51" s="63"/>
      <c r="EG51" s="63"/>
      <c r="EH51" s="63"/>
      <c r="EI51" s="63"/>
      <c r="EJ51" s="63"/>
      <c r="EK51" s="63"/>
      <c r="EL51" s="63"/>
      <c r="EM51" s="63"/>
      <c r="EN51" s="63"/>
      <c r="EO51" s="63"/>
      <c r="EP51" s="63"/>
      <c r="EQ51" s="63"/>
      <c r="ER51" s="63"/>
      <c r="ES51" s="63"/>
      <c r="ET51" s="63"/>
      <c r="EU51" s="63"/>
      <c r="EV51" s="63"/>
      <c r="EW51" s="63"/>
      <c r="EX51" s="63"/>
      <c r="EY51" s="63"/>
      <c r="EZ51" s="63"/>
      <c r="FA51" s="63"/>
      <c r="FB51" s="63"/>
      <c r="FC51" s="63"/>
      <c r="FD51" s="64"/>
      <c r="FF51" s="113" t="s">
        <v>126</v>
      </c>
      <c r="FG51" s="116"/>
      <c r="FH51" s="116"/>
      <c r="FI51" s="116"/>
      <c r="FJ51" s="116"/>
      <c r="FK51" s="116"/>
      <c r="FL51" s="116"/>
      <c r="FM51" s="116"/>
      <c r="FN51" s="116"/>
      <c r="FO51" s="116"/>
      <c r="FP51" s="116"/>
      <c r="FQ51" s="116"/>
      <c r="FR51" s="116"/>
      <c r="FS51" s="116"/>
      <c r="FT51" s="116"/>
      <c r="FU51" s="116"/>
      <c r="FV51" s="116"/>
      <c r="FW51" s="116"/>
      <c r="FX51" s="116"/>
      <c r="FY51" s="116"/>
      <c r="FZ51" s="116"/>
      <c r="GA51" s="116"/>
      <c r="GB51" s="116"/>
      <c r="GC51" s="116"/>
      <c r="GD51" s="116"/>
      <c r="GE51" s="116"/>
      <c r="GF51" s="116"/>
      <c r="GG51" s="116"/>
      <c r="GH51" s="116"/>
      <c r="GI51" s="116"/>
      <c r="GJ51" s="116"/>
      <c r="GK51" s="116"/>
      <c r="GL51" s="116"/>
      <c r="GM51" s="116"/>
      <c r="GN51" s="116"/>
      <c r="GO51" s="116"/>
      <c r="GP51" s="116"/>
      <c r="GQ51" s="116"/>
      <c r="GR51" s="116"/>
      <c r="GS51" s="116"/>
      <c r="GT51" s="116"/>
      <c r="GU51" s="116"/>
      <c r="GV51" s="116"/>
      <c r="GW51" s="116"/>
      <c r="GX51" s="116"/>
      <c r="GY51" s="116"/>
      <c r="GZ51" s="116"/>
      <c r="HA51" s="116"/>
      <c r="HB51" s="116"/>
      <c r="HC51" s="116"/>
      <c r="HD51" s="116"/>
      <c r="HE51" s="116"/>
      <c r="HF51" s="116"/>
      <c r="HG51" s="116"/>
      <c r="HH51" s="117"/>
      <c r="HJ51" s="115" t="s">
        <v>125</v>
      </c>
    </row>
    <row r="52" spans="3:218" s="119" customFormat="1" ht="45" customHeight="1">
      <c r="C52" s="118">
        <v>1</v>
      </c>
      <c r="D52" s="198" t="s">
        <v>138</v>
      </c>
      <c r="E52" s="195" t="s">
        <v>244</v>
      </c>
      <c r="F52" s="196"/>
      <c r="G52" s="197"/>
      <c r="H52" s="74" t="s">
        <v>173</v>
      </c>
      <c r="I52" s="190"/>
      <c r="J52" s="191"/>
      <c r="K52" s="43"/>
      <c r="L52" s="67"/>
      <c r="M52" s="65"/>
      <c r="N52" s="65"/>
      <c r="O52" s="66"/>
      <c r="Q52" s="52"/>
      <c r="R52" s="52"/>
      <c r="S52" s="52"/>
      <c r="T52" s="52"/>
      <c r="U52" s="52"/>
      <c r="V52" s="52"/>
      <c r="W52" s="52"/>
      <c r="X52" s="52"/>
      <c r="Y52" s="52"/>
      <c r="Z52" s="52"/>
      <c r="AA52" s="52"/>
      <c r="AB52" s="52"/>
      <c r="AC52" s="52"/>
      <c r="AD52" s="52"/>
      <c r="AE52" s="52"/>
      <c r="AF52" s="52"/>
      <c r="AG52" s="52"/>
      <c r="AH52" s="52"/>
      <c r="AI52" s="52"/>
      <c r="AJ52" s="52"/>
      <c r="AK52" s="52"/>
      <c r="AL52" s="52"/>
      <c r="AM52" s="52"/>
      <c r="AN52" s="52"/>
      <c r="AO52" s="52"/>
      <c r="AP52" s="52"/>
      <c r="AQ52" s="52"/>
      <c r="AR52" s="52"/>
      <c r="AS52" s="52"/>
      <c r="AT52" s="52"/>
      <c r="AU52" s="52"/>
      <c r="AV52" s="52"/>
      <c r="AX52" s="13"/>
      <c r="AY52" s="13"/>
      <c r="AZ52" s="13"/>
      <c r="BA52" s="13"/>
      <c r="BB52" s="13"/>
      <c r="BC52" s="13"/>
      <c r="BD52" s="13"/>
      <c r="BE52" s="13"/>
      <c r="BF52" s="13"/>
      <c r="BG52" s="13"/>
      <c r="BH52" s="13"/>
      <c r="BI52" s="13"/>
      <c r="BJ52" s="13"/>
      <c r="BK52" s="13"/>
      <c r="BL52" s="13"/>
      <c r="BM52" s="13"/>
      <c r="BN52" s="13"/>
      <c r="BO52" s="13"/>
      <c r="BP52" s="13"/>
      <c r="BQ52" s="13"/>
      <c r="BR52" s="13"/>
      <c r="BS52" s="13"/>
      <c r="BT52" s="13"/>
      <c r="BU52" s="13"/>
      <c r="BV52" s="13"/>
      <c r="BW52" s="13"/>
      <c r="BX52" s="13"/>
      <c r="BY52" s="13"/>
      <c r="BZ52" s="13"/>
      <c r="CA52" s="13"/>
      <c r="CB52" s="13"/>
      <c r="CC52" s="13"/>
      <c r="CD52" s="13"/>
      <c r="CE52" s="13"/>
      <c r="CF52" s="13"/>
      <c r="CG52" s="13"/>
      <c r="CH52" s="13"/>
      <c r="CI52" s="13"/>
      <c r="CJ52" s="13"/>
      <c r="CK52" s="13"/>
      <c r="CL52" s="13"/>
      <c r="CM52" s="13"/>
      <c r="CN52" s="13"/>
      <c r="CO52" s="13"/>
      <c r="CP52" s="13"/>
      <c r="CQ52" s="13"/>
      <c r="CR52" s="13"/>
      <c r="CS52" s="13"/>
      <c r="CT52" s="13"/>
      <c r="CU52" s="13"/>
      <c r="CV52" s="13"/>
      <c r="CW52" s="13"/>
      <c r="CX52" s="13"/>
      <c r="CY52" s="13"/>
      <c r="CZ52" s="13"/>
      <c r="DA52" s="112" t="e">
        <f t="shared" ref="DA52" si="78">MATCH(TRUE,DB52:FD52,0)</f>
        <v>#N/A</v>
      </c>
      <c r="DB52" s="13"/>
      <c r="DC52" s="13"/>
      <c r="DD52" s="13"/>
      <c r="DE52" s="13"/>
      <c r="DF52" s="13"/>
      <c r="DG52" s="13"/>
      <c r="DH52" s="13"/>
      <c r="DI52" s="13"/>
      <c r="DJ52" s="13"/>
      <c r="DK52" s="13"/>
      <c r="DL52" s="13"/>
      <c r="DM52" s="13"/>
      <c r="DN52" s="13"/>
      <c r="DO52" s="13"/>
      <c r="DP52" s="13"/>
      <c r="DQ52" s="13"/>
      <c r="DR52" s="13"/>
      <c r="DS52" s="13"/>
      <c r="DT52" s="13"/>
      <c r="DU52" s="13"/>
      <c r="DV52" s="13"/>
      <c r="DW52" s="13"/>
      <c r="DX52" s="13"/>
      <c r="DY52" s="13"/>
      <c r="DZ52" s="13"/>
      <c r="EA52" s="13"/>
      <c r="EB52" s="13"/>
      <c r="EC52" s="13"/>
      <c r="ED52" s="13"/>
      <c r="EE52" s="13"/>
      <c r="EF52" s="13"/>
      <c r="EG52" s="13"/>
      <c r="EH52" s="13"/>
      <c r="EI52" s="13"/>
      <c r="EJ52" s="13"/>
      <c r="EK52" s="13"/>
      <c r="EL52" s="13"/>
      <c r="EM52" s="13"/>
      <c r="EN52" s="13"/>
      <c r="EO52" s="13"/>
      <c r="EP52" s="13"/>
      <c r="EQ52" s="13"/>
      <c r="ER52" s="13"/>
      <c r="ES52" s="13"/>
      <c r="ET52" s="13"/>
      <c r="EU52" s="13"/>
      <c r="EV52" s="13"/>
      <c r="EW52" s="13"/>
      <c r="EX52" s="13"/>
      <c r="EY52" s="13"/>
      <c r="EZ52" s="13"/>
      <c r="FA52" s="13"/>
      <c r="FB52" s="13"/>
      <c r="FC52" s="13"/>
      <c r="FD52" s="13"/>
      <c r="FF52" s="13" t="str">
        <f t="shared" ref="FF52:HH52" si="79">IF(DB52=TRUE,AX52&amp;"; ","")</f>
        <v/>
      </c>
      <c r="FG52" s="13" t="str">
        <f t="shared" si="79"/>
        <v/>
      </c>
      <c r="FH52" s="13" t="str">
        <f t="shared" si="79"/>
        <v/>
      </c>
      <c r="FI52" s="13" t="str">
        <f t="shared" si="79"/>
        <v/>
      </c>
      <c r="FJ52" s="13" t="str">
        <f t="shared" si="79"/>
        <v/>
      </c>
      <c r="FK52" s="13" t="str">
        <f t="shared" si="79"/>
        <v/>
      </c>
      <c r="FL52" s="13" t="str">
        <f t="shared" si="79"/>
        <v/>
      </c>
      <c r="FM52" s="13" t="str">
        <f t="shared" si="79"/>
        <v/>
      </c>
      <c r="FN52" s="13" t="str">
        <f t="shared" si="79"/>
        <v/>
      </c>
      <c r="FO52" s="13" t="str">
        <f t="shared" si="79"/>
        <v/>
      </c>
      <c r="FP52" s="13" t="str">
        <f t="shared" si="79"/>
        <v/>
      </c>
      <c r="FQ52" s="13" t="str">
        <f t="shared" si="79"/>
        <v/>
      </c>
      <c r="FR52" s="13" t="str">
        <f t="shared" si="79"/>
        <v/>
      </c>
      <c r="FS52" s="13" t="str">
        <f t="shared" si="79"/>
        <v/>
      </c>
      <c r="FT52" s="13" t="str">
        <f t="shared" si="79"/>
        <v/>
      </c>
      <c r="FU52" s="13" t="str">
        <f t="shared" si="79"/>
        <v/>
      </c>
      <c r="FV52" s="13" t="str">
        <f t="shared" si="79"/>
        <v/>
      </c>
      <c r="FW52" s="13" t="str">
        <f t="shared" si="79"/>
        <v/>
      </c>
      <c r="FX52" s="13" t="str">
        <f t="shared" si="79"/>
        <v/>
      </c>
      <c r="FY52" s="13" t="str">
        <f t="shared" si="79"/>
        <v/>
      </c>
      <c r="FZ52" s="13" t="str">
        <f t="shared" si="79"/>
        <v/>
      </c>
      <c r="GA52" s="13" t="str">
        <f t="shared" si="79"/>
        <v/>
      </c>
      <c r="GB52" s="13" t="str">
        <f t="shared" si="79"/>
        <v/>
      </c>
      <c r="GC52" s="13" t="str">
        <f t="shared" si="79"/>
        <v/>
      </c>
      <c r="GD52" s="13" t="str">
        <f t="shared" si="79"/>
        <v/>
      </c>
      <c r="GE52" s="13" t="str">
        <f t="shared" si="79"/>
        <v/>
      </c>
      <c r="GF52" s="13" t="str">
        <f t="shared" si="79"/>
        <v/>
      </c>
      <c r="GG52" s="13" t="str">
        <f t="shared" si="79"/>
        <v/>
      </c>
      <c r="GH52" s="13" t="str">
        <f t="shared" si="79"/>
        <v/>
      </c>
      <c r="GI52" s="13" t="str">
        <f t="shared" si="79"/>
        <v/>
      </c>
      <c r="GJ52" s="13" t="str">
        <f t="shared" si="79"/>
        <v/>
      </c>
      <c r="GK52" s="13" t="str">
        <f t="shared" si="79"/>
        <v/>
      </c>
      <c r="GL52" s="13" t="str">
        <f t="shared" si="79"/>
        <v/>
      </c>
      <c r="GM52" s="13" t="str">
        <f t="shared" si="79"/>
        <v/>
      </c>
      <c r="GN52" s="13" t="str">
        <f t="shared" si="79"/>
        <v/>
      </c>
      <c r="GO52" s="13" t="str">
        <f t="shared" si="79"/>
        <v/>
      </c>
      <c r="GP52" s="13" t="str">
        <f t="shared" si="79"/>
        <v/>
      </c>
      <c r="GQ52" s="13" t="str">
        <f t="shared" si="79"/>
        <v/>
      </c>
      <c r="GR52" s="13" t="str">
        <f t="shared" si="79"/>
        <v/>
      </c>
      <c r="GS52" s="13" t="str">
        <f t="shared" si="79"/>
        <v/>
      </c>
      <c r="GT52" s="13" t="str">
        <f t="shared" si="79"/>
        <v/>
      </c>
      <c r="GU52" s="13" t="str">
        <f t="shared" si="79"/>
        <v/>
      </c>
      <c r="GV52" s="13" t="str">
        <f t="shared" si="79"/>
        <v/>
      </c>
      <c r="GW52" s="13" t="str">
        <f t="shared" si="79"/>
        <v/>
      </c>
      <c r="GX52" s="13" t="str">
        <f t="shared" si="79"/>
        <v/>
      </c>
      <c r="GY52" s="13" t="str">
        <f t="shared" si="79"/>
        <v/>
      </c>
      <c r="GZ52" s="13" t="str">
        <f t="shared" si="79"/>
        <v/>
      </c>
      <c r="HA52" s="13" t="str">
        <f t="shared" si="79"/>
        <v/>
      </c>
      <c r="HB52" s="13" t="str">
        <f t="shared" si="79"/>
        <v/>
      </c>
      <c r="HC52" s="13" t="str">
        <f t="shared" si="79"/>
        <v/>
      </c>
      <c r="HD52" s="13" t="str">
        <f t="shared" si="79"/>
        <v/>
      </c>
      <c r="HE52" s="13" t="str">
        <f t="shared" si="79"/>
        <v/>
      </c>
      <c r="HF52" s="13" t="str">
        <f t="shared" si="79"/>
        <v/>
      </c>
      <c r="HG52" s="13" t="str">
        <f t="shared" si="79"/>
        <v/>
      </c>
      <c r="HH52" s="13" t="str">
        <f t="shared" si="79"/>
        <v/>
      </c>
      <c r="HJ52" s="114" t="str">
        <f t="shared" ref="HJ52" si="80">IFERROR(LEFT(FF52&amp;FG52&amp;FH52&amp;FI52&amp;FJ52&amp;FK52&amp;FL52&amp;FM52&amp;FN52&amp;FO52&amp;FP52&amp;FQ52&amp;FR52&amp;FS52&amp;FT52&amp;FU52&amp;FV52&amp;FW52&amp;FX52&amp;FY52&amp;FZ52&amp;GA52&amp;GB52&amp;GC52&amp;GD52&amp;GE52&amp;GF52&amp;GG52&amp;GH52&amp;GI52&amp;GJ52&amp;GK52&amp;GL52&amp;GM52&amp;GN52&amp;GO52&amp;GP52&amp;GQ52&amp;GR52&amp;GS52&amp;GT52&amp;GU52&amp;GV52&amp;GW52&amp;GX52&amp;GY52&amp;GZ52&amp;HA52&amp;HB52&amp;HC52&amp;HD52&amp;HE52&amp;HF52&amp;HG52&amp;HH52,LEN(FF52&amp;FG52&amp;FH52&amp;FI52&amp;FJ52&amp;FK52&amp;FL52&amp;FM52&amp;FN52&amp;FO52&amp;FP52&amp;FQ52&amp;FR52&amp;FS52&amp;FT52&amp;FU52&amp;FV52&amp;FW52&amp;FX52&amp;FY52&amp;FZ52&amp;GA52&amp;GB52&amp;GC52&amp;GD52&amp;GE52&amp;GF52&amp;GG52&amp;GH52&amp;GI52&amp;GJ52&amp;GK52&amp;GL52&amp;GM52&amp;GN52&amp;GO52&amp;GP52&amp;GQ52&amp;GR52&amp;GS52&amp;GT52&amp;GU52&amp;GV52&amp;GW52&amp;GX52&amp;GY52&amp;GZ52&amp;HA52&amp;HB52&amp;HC52&amp;HD52&amp;HE52&amp;HF52&amp;HG52&amp;HH52)-2),"")</f>
        <v/>
      </c>
    </row>
    <row r="53" spans="3:218" s="119" customFormat="1" ht="45" customHeight="1">
      <c r="C53" s="121">
        <f t="shared" ref="C53:C64" si="81">C52+1</f>
        <v>2</v>
      </c>
      <c r="D53" s="200"/>
      <c r="E53" s="195" t="s">
        <v>245</v>
      </c>
      <c r="F53" s="196"/>
      <c r="G53" s="197"/>
      <c r="H53" s="74" t="s">
        <v>173</v>
      </c>
      <c r="I53" s="190"/>
      <c r="J53" s="191"/>
      <c r="K53" s="43"/>
      <c r="L53" s="67"/>
      <c r="M53" s="65"/>
      <c r="N53" s="65"/>
      <c r="O53" s="66"/>
      <c r="Q53" s="52"/>
      <c r="R53" s="52"/>
      <c r="S53" s="52"/>
      <c r="T53" s="52"/>
      <c r="U53" s="52"/>
      <c r="V53" s="52"/>
      <c r="W53" s="52"/>
      <c r="X53" s="52"/>
      <c r="Y53" s="52"/>
      <c r="Z53" s="52"/>
      <c r="AA53" s="52"/>
      <c r="AB53" s="52"/>
      <c r="AC53" s="52"/>
      <c r="AD53" s="52"/>
      <c r="AE53" s="52"/>
      <c r="AF53" s="52"/>
      <c r="AG53" s="52"/>
      <c r="AH53" s="52"/>
      <c r="AI53" s="52"/>
      <c r="AJ53" s="52"/>
      <c r="AK53" s="52"/>
      <c r="AL53" s="52"/>
      <c r="AM53" s="52"/>
      <c r="AN53" s="52"/>
      <c r="AO53" s="52"/>
      <c r="AP53" s="52"/>
      <c r="AQ53" s="52"/>
      <c r="AR53" s="52"/>
      <c r="AS53" s="52"/>
      <c r="AT53" s="52"/>
      <c r="AU53" s="52"/>
      <c r="AV53" s="52"/>
      <c r="AX53" s="13"/>
      <c r="AY53" s="13"/>
      <c r="AZ53" s="13"/>
      <c r="BA53" s="13"/>
      <c r="BB53" s="13"/>
      <c r="BC53" s="13"/>
      <c r="BD53" s="13"/>
      <c r="BE53" s="13"/>
      <c r="BF53" s="13"/>
      <c r="BG53" s="13"/>
      <c r="BH53" s="13"/>
      <c r="BI53" s="13"/>
      <c r="BJ53" s="13"/>
      <c r="BK53" s="13"/>
      <c r="BL53" s="13"/>
      <c r="BM53" s="13"/>
      <c r="BN53" s="13"/>
      <c r="BO53" s="13"/>
      <c r="BP53" s="13"/>
      <c r="BQ53" s="13"/>
      <c r="BR53" s="13"/>
      <c r="BS53" s="13"/>
      <c r="BT53" s="13"/>
      <c r="BU53" s="13"/>
      <c r="BV53" s="13"/>
      <c r="BW53" s="13"/>
      <c r="BX53" s="13"/>
      <c r="BY53" s="13"/>
      <c r="BZ53" s="13"/>
      <c r="CA53" s="13"/>
      <c r="CB53" s="13"/>
      <c r="CC53" s="13"/>
      <c r="CD53" s="13"/>
      <c r="CE53" s="13"/>
      <c r="CF53" s="13"/>
      <c r="CG53" s="13"/>
      <c r="CH53" s="13"/>
      <c r="CI53" s="13"/>
      <c r="CJ53" s="13"/>
      <c r="CK53" s="13"/>
      <c r="CL53" s="13"/>
      <c r="CM53" s="13"/>
      <c r="CN53" s="13"/>
      <c r="CO53" s="13"/>
      <c r="CP53" s="13"/>
      <c r="CQ53" s="13"/>
      <c r="CR53" s="13"/>
      <c r="CS53" s="13"/>
      <c r="CT53" s="13"/>
      <c r="CU53" s="13"/>
      <c r="CV53" s="13"/>
      <c r="CW53" s="13"/>
      <c r="CX53" s="13"/>
      <c r="CY53" s="13"/>
      <c r="CZ53" s="13"/>
      <c r="DA53" s="112" t="e">
        <f t="shared" ref="DA53" si="82">MATCH(TRUE,DB53:FD53,0)</f>
        <v>#N/A</v>
      </c>
      <c r="DB53" s="13"/>
      <c r="DC53" s="13"/>
      <c r="DD53" s="13"/>
      <c r="DE53" s="13"/>
      <c r="DF53" s="13"/>
      <c r="DG53" s="13"/>
      <c r="DH53" s="13"/>
      <c r="DI53" s="13"/>
      <c r="DJ53" s="13"/>
      <c r="DK53" s="13"/>
      <c r="DL53" s="13"/>
      <c r="DM53" s="13"/>
      <c r="DN53" s="13"/>
      <c r="DO53" s="13"/>
      <c r="DP53" s="13"/>
      <c r="DQ53" s="13"/>
      <c r="DR53" s="13"/>
      <c r="DS53" s="13"/>
      <c r="DT53" s="13"/>
      <c r="DU53" s="13"/>
      <c r="DV53" s="13"/>
      <c r="DW53" s="13"/>
      <c r="DX53" s="13"/>
      <c r="DY53" s="13"/>
      <c r="DZ53" s="13"/>
      <c r="EA53" s="13"/>
      <c r="EB53" s="13"/>
      <c r="EC53" s="13"/>
      <c r="ED53" s="13"/>
      <c r="EE53" s="13"/>
      <c r="EF53" s="13"/>
      <c r="EG53" s="13"/>
      <c r="EH53" s="13"/>
      <c r="EI53" s="13"/>
      <c r="EJ53" s="13"/>
      <c r="EK53" s="13"/>
      <c r="EL53" s="13"/>
      <c r="EM53" s="13"/>
      <c r="EN53" s="13"/>
      <c r="EO53" s="13"/>
      <c r="EP53" s="13"/>
      <c r="EQ53" s="13"/>
      <c r="ER53" s="13"/>
      <c r="ES53" s="13"/>
      <c r="ET53" s="13"/>
      <c r="EU53" s="13"/>
      <c r="EV53" s="13"/>
      <c r="EW53" s="13"/>
      <c r="EX53" s="13"/>
      <c r="EY53" s="13"/>
      <c r="EZ53" s="13"/>
      <c r="FA53" s="13"/>
      <c r="FB53" s="13"/>
      <c r="FC53" s="13"/>
      <c r="FD53" s="13"/>
      <c r="FF53" s="13" t="str">
        <f t="shared" ref="FF53" si="83">IF(DB53=TRUE,AX53&amp;"; ","")</f>
        <v/>
      </c>
      <c r="FG53" s="13" t="str">
        <f t="shared" ref="FG53" si="84">IF(DC53=TRUE,AY53&amp;"; ","")</f>
        <v/>
      </c>
      <c r="FH53" s="13" t="str">
        <f t="shared" ref="FH53" si="85">IF(DD53=TRUE,AZ53&amp;"; ","")</f>
        <v/>
      </c>
      <c r="FI53" s="13" t="str">
        <f t="shared" ref="FI53" si="86">IF(DE53=TRUE,BA53&amp;"; ","")</f>
        <v/>
      </c>
      <c r="FJ53" s="13" t="str">
        <f t="shared" ref="FJ53" si="87">IF(DF53=TRUE,BB53&amp;"; ","")</f>
        <v/>
      </c>
      <c r="FK53" s="13" t="str">
        <f t="shared" ref="FK53" si="88">IF(DG53=TRUE,BC53&amp;"; ","")</f>
        <v/>
      </c>
      <c r="FL53" s="13" t="str">
        <f t="shared" ref="FL53" si="89">IF(DH53=TRUE,BD53&amp;"; ","")</f>
        <v/>
      </c>
      <c r="FM53" s="13" t="str">
        <f t="shared" ref="FM53" si="90">IF(DI53=TRUE,BE53&amp;"; ","")</f>
        <v/>
      </c>
      <c r="FN53" s="13" t="str">
        <f t="shared" ref="FN53" si="91">IF(DJ53=TRUE,BF53&amp;"; ","")</f>
        <v/>
      </c>
      <c r="FO53" s="13" t="str">
        <f t="shared" ref="FO53" si="92">IF(DK53=TRUE,BG53&amp;"; ","")</f>
        <v/>
      </c>
      <c r="FP53" s="13" t="str">
        <f t="shared" ref="FP53" si="93">IF(DL53=TRUE,BH53&amp;"; ","")</f>
        <v/>
      </c>
      <c r="FQ53" s="13" t="str">
        <f t="shared" ref="FQ53" si="94">IF(DM53=TRUE,BI53&amp;"; ","")</f>
        <v/>
      </c>
      <c r="FR53" s="13" t="str">
        <f t="shared" ref="FR53" si="95">IF(DN53=TRUE,BJ53&amp;"; ","")</f>
        <v/>
      </c>
      <c r="FS53" s="13" t="str">
        <f t="shared" ref="FS53" si="96">IF(DO53=TRUE,BK53&amp;"; ","")</f>
        <v/>
      </c>
      <c r="FT53" s="13" t="str">
        <f t="shared" ref="FT53" si="97">IF(DP53=TRUE,BL53&amp;"; ","")</f>
        <v/>
      </c>
      <c r="FU53" s="13" t="str">
        <f t="shared" ref="FU53" si="98">IF(DQ53=TRUE,BM53&amp;"; ","")</f>
        <v/>
      </c>
      <c r="FV53" s="13" t="str">
        <f t="shared" ref="FV53" si="99">IF(DR53=TRUE,BN53&amp;"; ","")</f>
        <v/>
      </c>
      <c r="FW53" s="13" t="str">
        <f t="shared" ref="FW53" si="100">IF(DS53=TRUE,BO53&amp;"; ","")</f>
        <v/>
      </c>
      <c r="FX53" s="13" t="str">
        <f t="shared" ref="FX53" si="101">IF(DT53=TRUE,BP53&amp;"; ","")</f>
        <v/>
      </c>
      <c r="FY53" s="13" t="str">
        <f t="shared" ref="FY53" si="102">IF(DU53=TRUE,BQ53&amp;"; ","")</f>
        <v/>
      </c>
      <c r="FZ53" s="13" t="str">
        <f t="shared" ref="FZ53" si="103">IF(DV53=TRUE,BR53&amp;"; ","")</f>
        <v/>
      </c>
      <c r="GA53" s="13" t="str">
        <f t="shared" ref="GA53" si="104">IF(DW53=TRUE,BS53&amp;"; ","")</f>
        <v/>
      </c>
      <c r="GB53" s="13" t="str">
        <f t="shared" ref="GB53" si="105">IF(DX53=TRUE,BT53&amp;"; ","")</f>
        <v/>
      </c>
      <c r="GC53" s="13" t="str">
        <f t="shared" ref="GC53" si="106">IF(DY53=TRUE,BU53&amp;"; ","")</f>
        <v/>
      </c>
      <c r="GD53" s="13" t="str">
        <f t="shared" ref="GD53" si="107">IF(DZ53=TRUE,BV53&amp;"; ","")</f>
        <v/>
      </c>
      <c r="GE53" s="13" t="str">
        <f t="shared" ref="GE53" si="108">IF(EA53=TRUE,BW53&amp;"; ","")</f>
        <v/>
      </c>
      <c r="GF53" s="13" t="str">
        <f t="shared" ref="GF53" si="109">IF(EB53=TRUE,BX53&amp;"; ","")</f>
        <v/>
      </c>
      <c r="GG53" s="13" t="str">
        <f t="shared" ref="GG53" si="110">IF(EC53=TRUE,BY53&amp;"; ","")</f>
        <v/>
      </c>
      <c r="GH53" s="13" t="str">
        <f t="shared" ref="GH53" si="111">IF(ED53=TRUE,BZ53&amp;"; ","")</f>
        <v/>
      </c>
      <c r="GI53" s="13" t="str">
        <f t="shared" ref="GI53" si="112">IF(EE53=TRUE,CA53&amp;"; ","")</f>
        <v/>
      </c>
      <c r="GJ53" s="13" t="str">
        <f t="shared" ref="GJ53" si="113">IF(EF53=TRUE,CB53&amp;"; ","")</f>
        <v/>
      </c>
      <c r="GK53" s="13" t="str">
        <f t="shared" ref="GK53" si="114">IF(EG53=TRUE,CC53&amp;"; ","")</f>
        <v/>
      </c>
      <c r="GL53" s="13" t="str">
        <f t="shared" ref="GL53" si="115">IF(EH53=TRUE,CD53&amp;"; ","")</f>
        <v/>
      </c>
      <c r="GM53" s="13" t="str">
        <f t="shared" ref="GM53" si="116">IF(EI53=TRUE,CE53&amp;"; ","")</f>
        <v/>
      </c>
      <c r="GN53" s="13" t="str">
        <f t="shared" ref="GN53" si="117">IF(EJ53=TRUE,CF53&amp;"; ","")</f>
        <v/>
      </c>
      <c r="GO53" s="13" t="str">
        <f t="shared" ref="GO53" si="118">IF(EK53=TRUE,CG53&amp;"; ","")</f>
        <v/>
      </c>
      <c r="GP53" s="13" t="str">
        <f t="shared" ref="GP53" si="119">IF(EL53=TRUE,CH53&amp;"; ","")</f>
        <v/>
      </c>
      <c r="GQ53" s="13" t="str">
        <f t="shared" ref="GQ53" si="120">IF(EM53=TRUE,CI53&amp;"; ","")</f>
        <v/>
      </c>
      <c r="GR53" s="13" t="str">
        <f t="shared" ref="GR53" si="121">IF(EN53=TRUE,CJ53&amp;"; ","")</f>
        <v/>
      </c>
      <c r="GS53" s="13" t="str">
        <f t="shared" ref="GS53" si="122">IF(EO53=TRUE,CK53&amp;"; ","")</f>
        <v/>
      </c>
      <c r="GT53" s="13" t="str">
        <f t="shared" ref="GT53" si="123">IF(EP53=TRUE,CL53&amp;"; ","")</f>
        <v/>
      </c>
      <c r="GU53" s="13" t="str">
        <f t="shared" ref="GU53" si="124">IF(EQ53=TRUE,CM53&amp;"; ","")</f>
        <v/>
      </c>
      <c r="GV53" s="13" t="str">
        <f t="shared" ref="GV53" si="125">IF(ER53=TRUE,CN53&amp;"; ","")</f>
        <v/>
      </c>
      <c r="GW53" s="13" t="str">
        <f t="shared" ref="GW53" si="126">IF(ES53=TRUE,CO53&amp;"; ","")</f>
        <v/>
      </c>
      <c r="GX53" s="13" t="str">
        <f t="shared" ref="GX53" si="127">IF(ET53=TRUE,CP53&amp;"; ","")</f>
        <v/>
      </c>
      <c r="GY53" s="13" t="str">
        <f t="shared" ref="GY53" si="128">IF(EU53=TRUE,CQ53&amp;"; ","")</f>
        <v/>
      </c>
      <c r="GZ53" s="13" t="str">
        <f t="shared" ref="GZ53" si="129">IF(EV53=TRUE,CR53&amp;"; ","")</f>
        <v/>
      </c>
      <c r="HA53" s="13" t="str">
        <f t="shared" ref="HA53" si="130">IF(EW53=TRUE,CS53&amp;"; ","")</f>
        <v/>
      </c>
      <c r="HB53" s="13" t="str">
        <f t="shared" ref="HB53" si="131">IF(EX53=TRUE,CT53&amp;"; ","")</f>
        <v/>
      </c>
      <c r="HC53" s="13" t="str">
        <f t="shared" ref="HC53" si="132">IF(EY53=TRUE,CU53&amp;"; ","")</f>
        <v/>
      </c>
      <c r="HD53" s="13" t="str">
        <f t="shared" ref="HD53" si="133">IF(EZ53=TRUE,CV53&amp;"; ","")</f>
        <v/>
      </c>
      <c r="HE53" s="13" t="str">
        <f t="shared" ref="HE53" si="134">IF(FA53=TRUE,CW53&amp;"; ","")</f>
        <v/>
      </c>
      <c r="HF53" s="13" t="str">
        <f t="shared" ref="HF53" si="135">IF(FB53=TRUE,CX53&amp;"; ","")</f>
        <v/>
      </c>
      <c r="HG53" s="13" t="str">
        <f t="shared" ref="HG53" si="136">IF(FC53=TRUE,CY53&amp;"; ","")</f>
        <v/>
      </c>
      <c r="HH53" s="13" t="str">
        <f t="shared" ref="HH53" si="137">IF(FD53=TRUE,CZ53&amp;"; ","")</f>
        <v/>
      </c>
      <c r="HJ53" s="114" t="str">
        <f t="shared" ref="HJ53" si="138">IFERROR(LEFT(FF53&amp;FG53&amp;FH53&amp;FI53&amp;FJ53&amp;FK53&amp;FL53&amp;FM53&amp;FN53&amp;FO53&amp;FP53&amp;FQ53&amp;FR53&amp;FS53&amp;FT53&amp;FU53&amp;FV53&amp;FW53&amp;FX53&amp;FY53&amp;FZ53&amp;GA53&amp;GB53&amp;GC53&amp;GD53&amp;GE53&amp;GF53&amp;GG53&amp;GH53&amp;GI53&amp;GJ53&amp;GK53&amp;GL53&amp;GM53&amp;GN53&amp;GO53&amp;GP53&amp;GQ53&amp;GR53&amp;GS53&amp;GT53&amp;GU53&amp;GV53&amp;GW53&amp;GX53&amp;GY53&amp;GZ53&amp;HA53&amp;HB53&amp;HC53&amp;HD53&amp;HE53&amp;HF53&amp;HG53&amp;HH53,LEN(FF53&amp;FG53&amp;FH53&amp;FI53&amp;FJ53&amp;FK53&amp;FL53&amp;FM53&amp;FN53&amp;FO53&amp;FP53&amp;FQ53&amp;FR53&amp;FS53&amp;FT53&amp;FU53&amp;FV53&amp;FW53&amp;FX53&amp;FY53&amp;FZ53&amp;GA53&amp;GB53&amp;GC53&amp;GD53&amp;GE53&amp;GF53&amp;GG53&amp;GH53&amp;GI53&amp;GJ53&amp;GK53&amp;GL53&amp;GM53&amp;GN53&amp;GO53&amp;GP53&amp;GQ53&amp;GR53&amp;GS53&amp;GT53&amp;GU53&amp;GV53&amp;GW53&amp;GX53&amp;GY53&amp;GZ53&amp;HA53&amp;HB53&amp;HC53&amp;HD53&amp;HE53&amp;HF53&amp;HG53&amp;HH53)-2),"")</f>
        <v/>
      </c>
    </row>
    <row r="54" spans="3:218" s="119" customFormat="1" ht="54.95" customHeight="1">
      <c r="C54" s="118">
        <f t="shared" si="81"/>
        <v>3</v>
      </c>
      <c r="D54" s="198" t="s">
        <v>140</v>
      </c>
      <c r="E54" s="195" t="s">
        <v>142</v>
      </c>
      <c r="F54" s="196"/>
      <c r="G54" s="197"/>
      <c r="H54" s="74" t="s">
        <v>173</v>
      </c>
      <c r="I54" s="190"/>
      <c r="J54" s="191"/>
      <c r="K54" s="43"/>
      <c r="L54" s="67"/>
      <c r="M54" s="65"/>
      <c r="N54" s="65"/>
      <c r="O54" s="66"/>
      <c r="Q54" s="52"/>
      <c r="R54" s="52"/>
      <c r="S54" s="52"/>
      <c r="T54" s="52"/>
      <c r="U54" s="52"/>
      <c r="V54" s="52"/>
      <c r="W54" s="52"/>
      <c r="X54" s="52"/>
      <c r="Y54" s="52"/>
      <c r="Z54" s="52"/>
      <c r="AA54" s="52"/>
      <c r="AB54" s="52"/>
      <c r="AC54" s="52"/>
      <c r="AD54" s="52"/>
      <c r="AE54" s="52"/>
      <c r="AF54" s="52"/>
      <c r="AG54" s="52"/>
      <c r="AH54" s="52"/>
      <c r="AI54" s="52"/>
      <c r="AJ54" s="52"/>
      <c r="AK54" s="52"/>
      <c r="AL54" s="52"/>
      <c r="AM54" s="52"/>
      <c r="AN54" s="52"/>
      <c r="AO54" s="52"/>
      <c r="AP54" s="52"/>
      <c r="AQ54" s="52"/>
      <c r="AR54" s="52"/>
      <c r="AS54" s="52"/>
      <c r="AT54" s="52"/>
      <c r="AU54" s="52"/>
      <c r="AV54" s="52"/>
      <c r="AX54" s="13"/>
      <c r="AY54" s="13"/>
      <c r="AZ54" s="13"/>
      <c r="BA54" s="13"/>
      <c r="BB54" s="13"/>
      <c r="BC54" s="13"/>
      <c r="BD54" s="13"/>
      <c r="BE54" s="13"/>
      <c r="BF54" s="13"/>
      <c r="BG54" s="13"/>
      <c r="BH54" s="13"/>
      <c r="BI54" s="13"/>
      <c r="BJ54" s="13"/>
      <c r="BK54" s="13"/>
      <c r="BL54" s="13"/>
      <c r="BM54" s="13"/>
      <c r="BN54" s="13"/>
      <c r="BO54" s="13"/>
      <c r="BP54" s="13"/>
      <c r="BQ54" s="13"/>
      <c r="BR54" s="13"/>
      <c r="BS54" s="13"/>
      <c r="BT54" s="13"/>
      <c r="BU54" s="13"/>
      <c r="BV54" s="13"/>
      <c r="BW54" s="13"/>
      <c r="BX54" s="13"/>
      <c r="BY54" s="13"/>
      <c r="BZ54" s="13"/>
      <c r="CA54" s="13"/>
      <c r="CB54" s="13"/>
      <c r="CC54" s="13"/>
      <c r="CD54" s="13"/>
      <c r="CE54" s="13"/>
      <c r="CF54" s="13"/>
      <c r="CG54" s="13"/>
      <c r="CH54" s="13"/>
      <c r="CI54" s="13"/>
      <c r="CJ54" s="13"/>
      <c r="CK54" s="13"/>
      <c r="CL54" s="13"/>
      <c r="CM54" s="13"/>
      <c r="CN54" s="13"/>
      <c r="CO54" s="13"/>
      <c r="CP54" s="13"/>
      <c r="CQ54" s="13"/>
      <c r="CR54" s="13"/>
      <c r="CS54" s="13"/>
      <c r="CT54" s="13"/>
      <c r="CU54" s="13"/>
      <c r="CV54" s="13"/>
      <c r="CW54" s="13"/>
      <c r="CX54" s="13"/>
      <c r="CY54" s="13"/>
      <c r="CZ54" s="13"/>
      <c r="DA54" s="112" t="e">
        <f t="shared" ref="DA54" si="139">MATCH(TRUE,DB54:FD54,0)</f>
        <v>#N/A</v>
      </c>
      <c r="DB54" s="13"/>
      <c r="DC54" s="13"/>
      <c r="DD54" s="13"/>
      <c r="DE54" s="13"/>
      <c r="DF54" s="13"/>
      <c r="DG54" s="13"/>
      <c r="DH54" s="13"/>
      <c r="DI54" s="13"/>
      <c r="DJ54" s="13"/>
      <c r="DK54" s="13"/>
      <c r="DL54" s="13"/>
      <c r="DM54" s="13"/>
      <c r="DN54" s="13"/>
      <c r="DO54" s="13"/>
      <c r="DP54" s="13"/>
      <c r="DQ54" s="13"/>
      <c r="DR54" s="13"/>
      <c r="DS54" s="13"/>
      <c r="DT54" s="13"/>
      <c r="DU54" s="13"/>
      <c r="DV54" s="13"/>
      <c r="DW54" s="13"/>
      <c r="DX54" s="13"/>
      <c r="DY54" s="13"/>
      <c r="DZ54" s="13"/>
      <c r="EA54" s="13"/>
      <c r="EB54" s="13"/>
      <c r="EC54" s="13"/>
      <c r="ED54" s="13"/>
      <c r="EE54" s="13"/>
      <c r="EF54" s="13"/>
      <c r="EG54" s="13"/>
      <c r="EH54" s="13"/>
      <c r="EI54" s="13"/>
      <c r="EJ54" s="13"/>
      <c r="EK54" s="13"/>
      <c r="EL54" s="13"/>
      <c r="EM54" s="13"/>
      <c r="EN54" s="13"/>
      <c r="EO54" s="13"/>
      <c r="EP54" s="13"/>
      <c r="EQ54" s="13"/>
      <c r="ER54" s="13"/>
      <c r="ES54" s="13"/>
      <c r="ET54" s="13"/>
      <c r="EU54" s="13"/>
      <c r="EV54" s="13"/>
      <c r="EW54" s="13"/>
      <c r="EX54" s="13"/>
      <c r="EY54" s="13"/>
      <c r="EZ54" s="13"/>
      <c r="FA54" s="13"/>
      <c r="FB54" s="13"/>
      <c r="FC54" s="13"/>
      <c r="FD54" s="13"/>
      <c r="FF54" s="13" t="str">
        <f t="shared" ref="FF54" si="140">IF(DB54=TRUE,AX54&amp;"; ","")</f>
        <v/>
      </c>
      <c r="FG54" s="13" t="str">
        <f t="shared" ref="FG54" si="141">IF(DC54=TRUE,AY54&amp;"; ","")</f>
        <v/>
      </c>
      <c r="FH54" s="13" t="str">
        <f t="shared" ref="FH54" si="142">IF(DD54=TRUE,AZ54&amp;"; ","")</f>
        <v/>
      </c>
      <c r="FI54" s="13" t="str">
        <f t="shared" ref="FI54" si="143">IF(DE54=TRUE,BA54&amp;"; ","")</f>
        <v/>
      </c>
      <c r="FJ54" s="13" t="str">
        <f t="shared" ref="FJ54" si="144">IF(DF54=TRUE,BB54&amp;"; ","")</f>
        <v/>
      </c>
      <c r="FK54" s="13" t="str">
        <f t="shared" ref="FK54" si="145">IF(DG54=TRUE,BC54&amp;"; ","")</f>
        <v/>
      </c>
      <c r="FL54" s="13" t="str">
        <f t="shared" ref="FL54" si="146">IF(DH54=TRUE,BD54&amp;"; ","")</f>
        <v/>
      </c>
      <c r="FM54" s="13" t="str">
        <f t="shared" ref="FM54" si="147">IF(DI54=TRUE,BE54&amp;"; ","")</f>
        <v/>
      </c>
      <c r="FN54" s="13" t="str">
        <f t="shared" ref="FN54" si="148">IF(DJ54=TRUE,BF54&amp;"; ","")</f>
        <v/>
      </c>
      <c r="FO54" s="13" t="str">
        <f t="shared" ref="FO54" si="149">IF(DK54=TRUE,BG54&amp;"; ","")</f>
        <v/>
      </c>
      <c r="FP54" s="13" t="str">
        <f t="shared" ref="FP54" si="150">IF(DL54=TRUE,BH54&amp;"; ","")</f>
        <v/>
      </c>
      <c r="FQ54" s="13" t="str">
        <f t="shared" ref="FQ54" si="151">IF(DM54=TRUE,BI54&amp;"; ","")</f>
        <v/>
      </c>
      <c r="FR54" s="13" t="str">
        <f t="shared" ref="FR54" si="152">IF(DN54=TRUE,BJ54&amp;"; ","")</f>
        <v/>
      </c>
      <c r="FS54" s="13" t="str">
        <f t="shared" ref="FS54" si="153">IF(DO54=TRUE,BK54&amp;"; ","")</f>
        <v/>
      </c>
      <c r="FT54" s="13" t="str">
        <f t="shared" ref="FT54" si="154">IF(DP54=TRUE,BL54&amp;"; ","")</f>
        <v/>
      </c>
      <c r="FU54" s="13" t="str">
        <f t="shared" ref="FU54" si="155">IF(DQ54=TRUE,BM54&amp;"; ","")</f>
        <v/>
      </c>
      <c r="FV54" s="13" t="str">
        <f t="shared" ref="FV54" si="156">IF(DR54=TRUE,BN54&amp;"; ","")</f>
        <v/>
      </c>
      <c r="FW54" s="13" t="str">
        <f t="shared" ref="FW54" si="157">IF(DS54=TRUE,BO54&amp;"; ","")</f>
        <v/>
      </c>
      <c r="FX54" s="13" t="str">
        <f t="shared" ref="FX54" si="158">IF(DT54=TRUE,BP54&amp;"; ","")</f>
        <v/>
      </c>
      <c r="FY54" s="13" t="str">
        <f t="shared" ref="FY54" si="159">IF(DU54=TRUE,BQ54&amp;"; ","")</f>
        <v/>
      </c>
      <c r="FZ54" s="13" t="str">
        <f t="shared" ref="FZ54" si="160">IF(DV54=TRUE,BR54&amp;"; ","")</f>
        <v/>
      </c>
      <c r="GA54" s="13" t="str">
        <f t="shared" ref="GA54" si="161">IF(DW54=TRUE,BS54&amp;"; ","")</f>
        <v/>
      </c>
      <c r="GB54" s="13" t="str">
        <f t="shared" ref="GB54" si="162">IF(DX54=TRUE,BT54&amp;"; ","")</f>
        <v/>
      </c>
      <c r="GC54" s="13" t="str">
        <f t="shared" ref="GC54" si="163">IF(DY54=TRUE,BU54&amp;"; ","")</f>
        <v/>
      </c>
      <c r="GD54" s="13" t="str">
        <f t="shared" ref="GD54" si="164">IF(DZ54=TRUE,BV54&amp;"; ","")</f>
        <v/>
      </c>
      <c r="GE54" s="13" t="str">
        <f t="shared" ref="GE54" si="165">IF(EA54=TRUE,BW54&amp;"; ","")</f>
        <v/>
      </c>
      <c r="GF54" s="13" t="str">
        <f t="shared" ref="GF54" si="166">IF(EB54=TRUE,BX54&amp;"; ","")</f>
        <v/>
      </c>
      <c r="GG54" s="13" t="str">
        <f t="shared" ref="GG54" si="167">IF(EC54=TRUE,BY54&amp;"; ","")</f>
        <v/>
      </c>
      <c r="GH54" s="13" t="str">
        <f t="shared" ref="GH54" si="168">IF(ED54=TRUE,BZ54&amp;"; ","")</f>
        <v/>
      </c>
      <c r="GI54" s="13" t="str">
        <f t="shared" ref="GI54" si="169">IF(EE54=TRUE,CA54&amp;"; ","")</f>
        <v/>
      </c>
      <c r="GJ54" s="13" t="str">
        <f t="shared" ref="GJ54" si="170">IF(EF54=TRUE,CB54&amp;"; ","")</f>
        <v/>
      </c>
      <c r="GK54" s="13" t="str">
        <f t="shared" ref="GK54" si="171">IF(EG54=TRUE,CC54&amp;"; ","")</f>
        <v/>
      </c>
      <c r="GL54" s="13" t="str">
        <f t="shared" ref="GL54" si="172">IF(EH54=TRUE,CD54&amp;"; ","")</f>
        <v/>
      </c>
      <c r="GM54" s="13" t="str">
        <f t="shared" ref="GM54" si="173">IF(EI54=TRUE,CE54&amp;"; ","")</f>
        <v/>
      </c>
      <c r="GN54" s="13" t="str">
        <f t="shared" ref="GN54" si="174">IF(EJ54=TRUE,CF54&amp;"; ","")</f>
        <v/>
      </c>
      <c r="GO54" s="13" t="str">
        <f t="shared" ref="GO54" si="175">IF(EK54=TRUE,CG54&amp;"; ","")</f>
        <v/>
      </c>
      <c r="GP54" s="13" t="str">
        <f t="shared" ref="GP54" si="176">IF(EL54=TRUE,CH54&amp;"; ","")</f>
        <v/>
      </c>
      <c r="GQ54" s="13" t="str">
        <f t="shared" ref="GQ54" si="177">IF(EM54=TRUE,CI54&amp;"; ","")</f>
        <v/>
      </c>
      <c r="GR54" s="13" t="str">
        <f t="shared" ref="GR54" si="178">IF(EN54=TRUE,CJ54&amp;"; ","")</f>
        <v/>
      </c>
      <c r="GS54" s="13" t="str">
        <f t="shared" ref="GS54" si="179">IF(EO54=TRUE,CK54&amp;"; ","")</f>
        <v/>
      </c>
      <c r="GT54" s="13" t="str">
        <f t="shared" ref="GT54" si="180">IF(EP54=TRUE,CL54&amp;"; ","")</f>
        <v/>
      </c>
      <c r="GU54" s="13" t="str">
        <f t="shared" ref="GU54" si="181">IF(EQ54=TRUE,CM54&amp;"; ","")</f>
        <v/>
      </c>
      <c r="GV54" s="13" t="str">
        <f t="shared" ref="GV54" si="182">IF(ER54=TRUE,CN54&amp;"; ","")</f>
        <v/>
      </c>
      <c r="GW54" s="13" t="str">
        <f t="shared" ref="GW54" si="183">IF(ES54=TRUE,CO54&amp;"; ","")</f>
        <v/>
      </c>
      <c r="GX54" s="13" t="str">
        <f t="shared" ref="GX54" si="184">IF(ET54=TRUE,CP54&amp;"; ","")</f>
        <v/>
      </c>
      <c r="GY54" s="13" t="str">
        <f t="shared" ref="GY54" si="185">IF(EU54=TRUE,CQ54&amp;"; ","")</f>
        <v/>
      </c>
      <c r="GZ54" s="13" t="str">
        <f t="shared" ref="GZ54" si="186">IF(EV54=TRUE,CR54&amp;"; ","")</f>
        <v/>
      </c>
      <c r="HA54" s="13" t="str">
        <f t="shared" ref="HA54" si="187">IF(EW54=TRUE,CS54&amp;"; ","")</f>
        <v/>
      </c>
      <c r="HB54" s="13" t="str">
        <f t="shared" ref="HB54" si="188">IF(EX54=TRUE,CT54&amp;"; ","")</f>
        <v/>
      </c>
      <c r="HC54" s="13" t="str">
        <f t="shared" ref="HC54" si="189">IF(EY54=TRUE,CU54&amp;"; ","")</f>
        <v/>
      </c>
      <c r="HD54" s="13" t="str">
        <f t="shared" ref="HD54" si="190">IF(EZ54=TRUE,CV54&amp;"; ","")</f>
        <v/>
      </c>
      <c r="HE54" s="13" t="str">
        <f t="shared" ref="HE54" si="191">IF(FA54=TRUE,CW54&amp;"; ","")</f>
        <v/>
      </c>
      <c r="HF54" s="13" t="str">
        <f t="shared" ref="HF54" si="192">IF(FB54=TRUE,CX54&amp;"; ","")</f>
        <v/>
      </c>
      <c r="HG54" s="13" t="str">
        <f t="shared" ref="HG54" si="193">IF(FC54=TRUE,CY54&amp;"; ","")</f>
        <v/>
      </c>
      <c r="HH54" s="13" t="str">
        <f t="shared" ref="HH54" si="194">IF(FD54=TRUE,CZ54&amp;"; ","")</f>
        <v/>
      </c>
      <c r="HJ54" s="114" t="str">
        <f t="shared" ref="HJ54" si="195">IFERROR(LEFT(FF54&amp;FG54&amp;FH54&amp;FI54&amp;FJ54&amp;FK54&amp;FL54&amp;FM54&amp;FN54&amp;FO54&amp;FP54&amp;FQ54&amp;FR54&amp;FS54&amp;FT54&amp;FU54&amp;FV54&amp;FW54&amp;FX54&amp;FY54&amp;FZ54&amp;GA54&amp;GB54&amp;GC54&amp;GD54&amp;GE54&amp;GF54&amp;GG54&amp;GH54&amp;GI54&amp;GJ54&amp;GK54&amp;GL54&amp;GM54&amp;GN54&amp;GO54&amp;GP54&amp;GQ54&amp;GR54&amp;GS54&amp;GT54&amp;GU54&amp;GV54&amp;GW54&amp;GX54&amp;GY54&amp;GZ54&amp;HA54&amp;HB54&amp;HC54&amp;HD54&amp;HE54&amp;HF54&amp;HG54&amp;HH54,LEN(FF54&amp;FG54&amp;FH54&amp;FI54&amp;FJ54&amp;FK54&amp;FL54&amp;FM54&amp;FN54&amp;FO54&amp;FP54&amp;FQ54&amp;FR54&amp;FS54&amp;FT54&amp;FU54&amp;FV54&amp;FW54&amp;FX54&amp;FY54&amp;FZ54&amp;GA54&amp;GB54&amp;GC54&amp;GD54&amp;GE54&amp;GF54&amp;GG54&amp;GH54&amp;GI54&amp;GJ54&amp;GK54&amp;GL54&amp;GM54&amp;GN54&amp;GO54&amp;GP54&amp;GQ54&amp;GR54&amp;GS54&amp;GT54&amp;GU54&amp;GV54&amp;GW54&amp;GX54&amp;GY54&amp;GZ54&amp;HA54&amp;HB54&amp;HC54&amp;HD54&amp;HE54&amp;HF54&amp;HG54&amp;HH54)-2),"")</f>
        <v/>
      </c>
    </row>
    <row r="55" spans="3:218" s="119" customFormat="1" ht="45" customHeight="1">
      <c r="C55" s="121">
        <f t="shared" si="81"/>
        <v>4</v>
      </c>
      <c r="D55" s="199"/>
      <c r="E55" s="195" t="s">
        <v>245</v>
      </c>
      <c r="F55" s="196"/>
      <c r="G55" s="197"/>
      <c r="H55" s="74" t="s">
        <v>173</v>
      </c>
      <c r="I55" s="190"/>
      <c r="J55" s="191"/>
      <c r="K55" s="43"/>
      <c r="L55" s="67"/>
      <c r="M55" s="65"/>
      <c r="N55" s="65"/>
      <c r="O55" s="66"/>
      <c r="Q55" s="52"/>
      <c r="R55" s="52"/>
      <c r="S55" s="52"/>
      <c r="T55" s="52"/>
      <c r="U55" s="52"/>
      <c r="V55" s="52"/>
      <c r="W55" s="52"/>
      <c r="X55" s="52"/>
      <c r="Y55" s="52"/>
      <c r="Z55" s="52"/>
      <c r="AA55" s="52"/>
      <c r="AB55" s="52"/>
      <c r="AC55" s="52"/>
      <c r="AD55" s="52"/>
      <c r="AE55" s="52"/>
      <c r="AF55" s="52"/>
      <c r="AG55" s="52"/>
      <c r="AH55" s="52"/>
      <c r="AI55" s="52"/>
      <c r="AJ55" s="52"/>
      <c r="AK55" s="52"/>
      <c r="AL55" s="52"/>
      <c r="AM55" s="52"/>
      <c r="AN55" s="52"/>
      <c r="AO55" s="52"/>
      <c r="AP55" s="52"/>
      <c r="AQ55" s="52"/>
      <c r="AR55" s="52"/>
      <c r="AS55" s="52"/>
      <c r="AT55" s="52"/>
      <c r="AU55" s="52"/>
      <c r="AV55" s="52"/>
      <c r="AX55" s="13"/>
      <c r="AY55" s="13"/>
      <c r="AZ55" s="13"/>
      <c r="BA55" s="13"/>
      <c r="BB55" s="13"/>
      <c r="BC55" s="13"/>
      <c r="BD55" s="13"/>
      <c r="BE55" s="13"/>
      <c r="BF55" s="13"/>
      <c r="BG55" s="13"/>
      <c r="BH55" s="13"/>
      <c r="BI55" s="13"/>
      <c r="BJ55" s="13"/>
      <c r="BK55" s="13"/>
      <c r="BL55" s="13"/>
      <c r="BM55" s="13"/>
      <c r="BN55" s="13"/>
      <c r="BO55" s="13"/>
      <c r="BP55" s="13"/>
      <c r="BQ55" s="13"/>
      <c r="BR55" s="13"/>
      <c r="BS55" s="13"/>
      <c r="BT55" s="13"/>
      <c r="BU55" s="13"/>
      <c r="BV55" s="13"/>
      <c r="BW55" s="13"/>
      <c r="BX55" s="13"/>
      <c r="BY55" s="13"/>
      <c r="BZ55" s="13"/>
      <c r="CA55" s="13"/>
      <c r="CB55" s="13"/>
      <c r="CC55" s="13"/>
      <c r="CD55" s="13"/>
      <c r="CE55" s="13"/>
      <c r="CF55" s="13"/>
      <c r="CG55" s="13"/>
      <c r="CH55" s="13"/>
      <c r="CI55" s="13"/>
      <c r="CJ55" s="13"/>
      <c r="CK55" s="13"/>
      <c r="CL55" s="13"/>
      <c r="CM55" s="13"/>
      <c r="CN55" s="13"/>
      <c r="CO55" s="13"/>
      <c r="CP55" s="13"/>
      <c r="CQ55" s="13"/>
      <c r="CR55" s="13"/>
      <c r="CS55" s="13"/>
      <c r="CT55" s="13"/>
      <c r="CU55" s="13"/>
      <c r="CV55" s="13"/>
      <c r="CW55" s="13"/>
      <c r="CX55" s="13"/>
      <c r="CY55" s="13"/>
      <c r="CZ55" s="13"/>
      <c r="DA55" s="112" t="e">
        <f t="shared" ref="DA55" si="196">MATCH(TRUE,DB55:FD55,0)</f>
        <v>#N/A</v>
      </c>
      <c r="DB55" s="13"/>
      <c r="DC55" s="13"/>
      <c r="DD55" s="13"/>
      <c r="DE55" s="13"/>
      <c r="DF55" s="13"/>
      <c r="DG55" s="13"/>
      <c r="DH55" s="13"/>
      <c r="DI55" s="13"/>
      <c r="DJ55" s="13"/>
      <c r="DK55" s="13"/>
      <c r="DL55" s="13"/>
      <c r="DM55" s="13"/>
      <c r="DN55" s="13"/>
      <c r="DO55" s="13"/>
      <c r="DP55" s="13"/>
      <c r="DQ55" s="13"/>
      <c r="DR55" s="13"/>
      <c r="DS55" s="13"/>
      <c r="DT55" s="13"/>
      <c r="DU55" s="13"/>
      <c r="DV55" s="13"/>
      <c r="DW55" s="13"/>
      <c r="DX55" s="13"/>
      <c r="DY55" s="13"/>
      <c r="DZ55" s="13"/>
      <c r="EA55" s="13"/>
      <c r="EB55" s="13"/>
      <c r="EC55" s="13"/>
      <c r="ED55" s="13"/>
      <c r="EE55" s="13"/>
      <c r="EF55" s="13"/>
      <c r="EG55" s="13"/>
      <c r="EH55" s="13"/>
      <c r="EI55" s="13"/>
      <c r="EJ55" s="13"/>
      <c r="EK55" s="13"/>
      <c r="EL55" s="13"/>
      <c r="EM55" s="13"/>
      <c r="EN55" s="13"/>
      <c r="EO55" s="13"/>
      <c r="EP55" s="13"/>
      <c r="EQ55" s="13"/>
      <c r="ER55" s="13"/>
      <c r="ES55" s="13"/>
      <c r="ET55" s="13"/>
      <c r="EU55" s="13"/>
      <c r="EV55" s="13"/>
      <c r="EW55" s="13"/>
      <c r="EX55" s="13"/>
      <c r="EY55" s="13"/>
      <c r="EZ55" s="13"/>
      <c r="FA55" s="13"/>
      <c r="FB55" s="13"/>
      <c r="FC55" s="13"/>
      <c r="FD55" s="13"/>
      <c r="FF55" s="13" t="str">
        <f t="shared" ref="FF55" si="197">IF(DB55=TRUE,AX55&amp;"; ","")</f>
        <v/>
      </c>
      <c r="FG55" s="13" t="str">
        <f t="shared" ref="FG55" si="198">IF(DC55=TRUE,AY55&amp;"; ","")</f>
        <v/>
      </c>
      <c r="FH55" s="13" t="str">
        <f t="shared" ref="FH55" si="199">IF(DD55=TRUE,AZ55&amp;"; ","")</f>
        <v/>
      </c>
      <c r="FI55" s="13" t="str">
        <f t="shared" ref="FI55" si="200">IF(DE55=TRUE,BA55&amp;"; ","")</f>
        <v/>
      </c>
      <c r="FJ55" s="13" t="str">
        <f t="shared" ref="FJ55" si="201">IF(DF55=TRUE,BB55&amp;"; ","")</f>
        <v/>
      </c>
      <c r="FK55" s="13" t="str">
        <f t="shared" ref="FK55" si="202">IF(DG55=TRUE,BC55&amp;"; ","")</f>
        <v/>
      </c>
      <c r="FL55" s="13" t="str">
        <f t="shared" ref="FL55" si="203">IF(DH55=TRUE,BD55&amp;"; ","")</f>
        <v/>
      </c>
      <c r="FM55" s="13" t="str">
        <f t="shared" ref="FM55" si="204">IF(DI55=TRUE,BE55&amp;"; ","")</f>
        <v/>
      </c>
      <c r="FN55" s="13" t="str">
        <f t="shared" ref="FN55" si="205">IF(DJ55=TRUE,BF55&amp;"; ","")</f>
        <v/>
      </c>
      <c r="FO55" s="13" t="str">
        <f t="shared" ref="FO55" si="206">IF(DK55=TRUE,BG55&amp;"; ","")</f>
        <v/>
      </c>
      <c r="FP55" s="13" t="str">
        <f t="shared" ref="FP55" si="207">IF(DL55=TRUE,BH55&amp;"; ","")</f>
        <v/>
      </c>
      <c r="FQ55" s="13" t="str">
        <f t="shared" ref="FQ55" si="208">IF(DM55=TRUE,BI55&amp;"; ","")</f>
        <v/>
      </c>
      <c r="FR55" s="13" t="str">
        <f t="shared" ref="FR55" si="209">IF(DN55=TRUE,BJ55&amp;"; ","")</f>
        <v/>
      </c>
      <c r="FS55" s="13" t="str">
        <f t="shared" ref="FS55" si="210">IF(DO55=TRUE,BK55&amp;"; ","")</f>
        <v/>
      </c>
      <c r="FT55" s="13" t="str">
        <f t="shared" ref="FT55" si="211">IF(DP55=TRUE,BL55&amp;"; ","")</f>
        <v/>
      </c>
      <c r="FU55" s="13" t="str">
        <f t="shared" ref="FU55" si="212">IF(DQ55=TRUE,BM55&amp;"; ","")</f>
        <v/>
      </c>
      <c r="FV55" s="13" t="str">
        <f t="shared" ref="FV55" si="213">IF(DR55=TRUE,BN55&amp;"; ","")</f>
        <v/>
      </c>
      <c r="FW55" s="13" t="str">
        <f t="shared" ref="FW55" si="214">IF(DS55=TRUE,BO55&amp;"; ","")</f>
        <v/>
      </c>
      <c r="FX55" s="13" t="str">
        <f t="shared" ref="FX55" si="215">IF(DT55=TRUE,BP55&amp;"; ","")</f>
        <v/>
      </c>
      <c r="FY55" s="13" t="str">
        <f t="shared" ref="FY55" si="216">IF(DU55=TRUE,BQ55&amp;"; ","")</f>
        <v/>
      </c>
      <c r="FZ55" s="13" t="str">
        <f t="shared" ref="FZ55" si="217">IF(DV55=TRUE,BR55&amp;"; ","")</f>
        <v/>
      </c>
      <c r="GA55" s="13" t="str">
        <f t="shared" ref="GA55" si="218">IF(DW55=TRUE,BS55&amp;"; ","")</f>
        <v/>
      </c>
      <c r="GB55" s="13" t="str">
        <f t="shared" ref="GB55" si="219">IF(DX55=TRUE,BT55&amp;"; ","")</f>
        <v/>
      </c>
      <c r="GC55" s="13" t="str">
        <f t="shared" ref="GC55" si="220">IF(DY55=TRUE,BU55&amp;"; ","")</f>
        <v/>
      </c>
      <c r="GD55" s="13" t="str">
        <f t="shared" ref="GD55" si="221">IF(DZ55=TRUE,BV55&amp;"; ","")</f>
        <v/>
      </c>
      <c r="GE55" s="13" t="str">
        <f t="shared" ref="GE55" si="222">IF(EA55=TRUE,BW55&amp;"; ","")</f>
        <v/>
      </c>
      <c r="GF55" s="13" t="str">
        <f t="shared" ref="GF55" si="223">IF(EB55=TRUE,BX55&amp;"; ","")</f>
        <v/>
      </c>
      <c r="GG55" s="13" t="str">
        <f t="shared" ref="GG55" si="224">IF(EC55=TRUE,BY55&amp;"; ","")</f>
        <v/>
      </c>
      <c r="GH55" s="13" t="str">
        <f t="shared" ref="GH55" si="225">IF(ED55=TRUE,BZ55&amp;"; ","")</f>
        <v/>
      </c>
      <c r="GI55" s="13" t="str">
        <f t="shared" ref="GI55" si="226">IF(EE55=TRUE,CA55&amp;"; ","")</f>
        <v/>
      </c>
      <c r="GJ55" s="13" t="str">
        <f t="shared" ref="GJ55" si="227">IF(EF55=TRUE,CB55&amp;"; ","")</f>
        <v/>
      </c>
      <c r="GK55" s="13" t="str">
        <f t="shared" ref="GK55" si="228">IF(EG55=TRUE,CC55&amp;"; ","")</f>
        <v/>
      </c>
      <c r="GL55" s="13" t="str">
        <f t="shared" ref="GL55" si="229">IF(EH55=TRUE,CD55&amp;"; ","")</f>
        <v/>
      </c>
      <c r="GM55" s="13" t="str">
        <f t="shared" ref="GM55" si="230">IF(EI55=TRUE,CE55&amp;"; ","")</f>
        <v/>
      </c>
      <c r="GN55" s="13" t="str">
        <f t="shared" ref="GN55" si="231">IF(EJ55=TRUE,CF55&amp;"; ","")</f>
        <v/>
      </c>
      <c r="GO55" s="13" t="str">
        <f t="shared" ref="GO55" si="232">IF(EK55=TRUE,CG55&amp;"; ","")</f>
        <v/>
      </c>
      <c r="GP55" s="13" t="str">
        <f t="shared" ref="GP55" si="233">IF(EL55=TRUE,CH55&amp;"; ","")</f>
        <v/>
      </c>
      <c r="GQ55" s="13" t="str">
        <f t="shared" ref="GQ55" si="234">IF(EM55=TRUE,CI55&amp;"; ","")</f>
        <v/>
      </c>
      <c r="GR55" s="13" t="str">
        <f t="shared" ref="GR55" si="235">IF(EN55=TRUE,CJ55&amp;"; ","")</f>
        <v/>
      </c>
      <c r="GS55" s="13" t="str">
        <f t="shared" ref="GS55" si="236">IF(EO55=TRUE,CK55&amp;"; ","")</f>
        <v/>
      </c>
      <c r="GT55" s="13" t="str">
        <f t="shared" ref="GT55" si="237">IF(EP55=TRUE,CL55&amp;"; ","")</f>
        <v/>
      </c>
      <c r="GU55" s="13" t="str">
        <f t="shared" ref="GU55" si="238">IF(EQ55=TRUE,CM55&amp;"; ","")</f>
        <v/>
      </c>
      <c r="GV55" s="13" t="str">
        <f t="shared" ref="GV55" si="239">IF(ER55=TRUE,CN55&amp;"; ","")</f>
        <v/>
      </c>
      <c r="GW55" s="13" t="str">
        <f t="shared" ref="GW55" si="240">IF(ES55=TRUE,CO55&amp;"; ","")</f>
        <v/>
      </c>
      <c r="GX55" s="13" t="str">
        <f t="shared" ref="GX55" si="241">IF(ET55=TRUE,CP55&amp;"; ","")</f>
        <v/>
      </c>
      <c r="GY55" s="13" t="str">
        <f t="shared" ref="GY55" si="242">IF(EU55=TRUE,CQ55&amp;"; ","")</f>
        <v/>
      </c>
      <c r="GZ55" s="13" t="str">
        <f t="shared" ref="GZ55" si="243">IF(EV55=TRUE,CR55&amp;"; ","")</f>
        <v/>
      </c>
      <c r="HA55" s="13" t="str">
        <f t="shared" ref="HA55" si="244">IF(EW55=TRUE,CS55&amp;"; ","")</f>
        <v/>
      </c>
      <c r="HB55" s="13" t="str">
        <f t="shared" ref="HB55" si="245">IF(EX55=TRUE,CT55&amp;"; ","")</f>
        <v/>
      </c>
      <c r="HC55" s="13" t="str">
        <f t="shared" ref="HC55" si="246">IF(EY55=TRUE,CU55&amp;"; ","")</f>
        <v/>
      </c>
      <c r="HD55" s="13" t="str">
        <f t="shared" ref="HD55" si="247">IF(EZ55=TRUE,CV55&amp;"; ","")</f>
        <v/>
      </c>
      <c r="HE55" s="13" t="str">
        <f t="shared" ref="HE55" si="248">IF(FA55=TRUE,CW55&amp;"; ","")</f>
        <v/>
      </c>
      <c r="HF55" s="13" t="str">
        <f t="shared" ref="HF55" si="249">IF(FB55=TRUE,CX55&amp;"; ","")</f>
        <v/>
      </c>
      <c r="HG55" s="13" t="str">
        <f t="shared" ref="HG55" si="250">IF(FC55=TRUE,CY55&amp;"; ","")</f>
        <v/>
      </c>
      <c r="HH55" s="13" t="str">
        <f t="shared" ref="HH55" si="251">IF(FD55=TRUE,CZ55&amp;"; ","")</f>
        <v/>
      </c>
      <c r="HJ55" s="114" t="str">
        <f t="shared" ref="HJ55" si="252">IFERROR(LEFT(FF55&amp;FG55&amp;FH55&amp;FI55&amp;FJ55&amp;FK55&amp;FL55&amp;FM55&amp;FN55&amp;FO55&amp;FP55&amp;FQ55&amp;FR55&amp;FS55&amp;FT55&amp;FU55&amp;FV55&amp;FW55&amp;FX55&amp;FY55&amp;FZ55&amp;GA55&amp;GB55&amp;GC55&amp;GD55&amp;GE55&amp;GF55&amp;GG55&amp;GH55&amp;GI55&amp;GJ55&amp;GK55&amp;GL55&amp;GM55&amp;GN55&amp;GO55&amp;GP55&amp;GQ55&amp;GR55&amp;GS55&amp;GT55&amp;GU55&amp;GV55&amp;GW55&amp;GX55&amp;GY55&amp;GZ55&amp;HA55&amp;HB55&amp;HC55&amp;HD55&amp;HE55&amp;HF55&amp;HG55&amp;HH55,LEN(FF55&amp;FG55&amp;FH55&amp;FI55&amp;FJ55&amp;FK55&amp;FL55&amp;FM55&amp;FN55&amp;FO55&amp;FP55&amp;FQ55&amp;FR55&amp;FS55&amp;FT55&amp;FU55&amp;FV55&amp;FW55&amp;FX55&amp;FY55&amp;FZ55&amp;GA55&amp;GB55&amp;GC55&amp;GD55&amp;GE55&amp;GF55&amp;GG55&amp;GH55&amp;GI55&amp;GJ55&amp;GK55&amp;GL55&amp;GM55&amp;GN55&amp;GO55&amp;GP55&amp;GQ55&amp;GR55&amp;GS55&amp;GT55&amp;GU55&amp;GV55&amp;GW55&amp;GX55&amp;GY55&amp;GZ55&amp;HA55&amp;HB55&amp;HC55&amp;HD55&amp;HE55&amp;HF55&amp;HG55&amp;HH55)-2),"")</f>
        <v/>
      </c>
    </row>
    <row r="56" spans="3:218" s="119" customFormat="1" ht="69.95" customHeight="1">
      <c r="C56" s="122">
        <f t="shared" si="81"/>
        <v>5</v>
      </c>
      <c r="D56" s="200"/>
      <c r="E56" s="195" t="s">
        <v>246</v>
      </c>
      <c r="F56" s="196"/>
      <c r="G56" s="197"/>
      <c r="H56" s="74" t="s">
        <v>173</v>
      </c>
      <c r="I56" s="190"/>
      <c r="J56" s="191"/>
      <c r="K56" s="43"/>
      <c r="L56" s="67"/>
      <c r="M56" s="65"/>
      <c r="N56" s="65"/>
      <c r="O56" s="66"/>
      <c r="Q56" s="52"/>
      <c r="R56" s="52"/>
      <c r="S56" s="52"/>
      <c r="T56" s="52"/>
      <c r="U56" s="52"/>
      <c r="V56" s="52"/>
      <c r="W56" s="52"/>
      <c r="X56" s="52"/>
      <c r="Y56" s="52"/>
      <c r="Z56" s="52"/>
      <c r="AA56" s="52"/>
      <c r="AB56" s="52"/>
      <c r="AC56" s="52"/>
      <c r="AD56" s="52"/>
      <c r="AE56" s="52"/>
      <c r="AF56" s="52"/>
      <c r="AG56" s="52"/>
      <c r="AH56" s="52"/>
      <c r="AI56" s="52"/>
      <c r="AJ56" s="52"/>
      <c r="AK56" s="52"/>
      <c r="AL56" s="52"/>
      <c r="AM56" s="52"/>
      <c r="AN56" s="52"/>
      <c r="AO56" s="52"/>
      <c r="AP56" s="52"/>
      <c r="AQ56" s="52"/>
      <c r="AR56" s="52"/>
      <c r="AS56" s="52"/>
      <c r="AT56" s="52"/>
      <c r="AU56" s="52"/>
      <c r="AV56" s="52"/>
      <c r="AX56" s="13"/>
      <c r="AY56" s="13"/>
      <c r="AZ56" s="13"/>
      <c r="BA56" s="13"/>
      <c r="BB56" s="13"/>
      <c r="BC56" s="13"/>
      <c r="BD56" s="13"/>
      <c r="BE56" s="13"/>
      <c r="BF56" s="13"/>
      <c r="BG56" s="13"/>
      <c r="BH56" s="13"/>
      <c r="BI56" s="13"/>
      <c r="BJ56" s="13"/>
      <c r="BK56" s="13"/>
      <c r="BL56" s="13"/>
      <c r="BM56" s="13"/>
      <c r="BN56" s="13"/>
      <c r="BO56" s="13"/>
      <c r="BP56" s="13"/>
      <c r="BQ56" s="13"/>
      <c r="BR56" s="13"/>
      <c r="BS56" s="13"/>
      <c r="BT56" s="13"/>
      <c r="BU56" s="13"/>
      <c r="BV56" s="13"/>
      <c r="BW56" s="13"/>
      <c r="BX56" s="13"/>
      <c r="BY56" s="13"/>
      <c r="BZ56" s="13"/>
      <c r="CA56" s="13"/>
      <c r="CB56" s="13"/>
      <c r="CC56" s="13"/>
      <c r="CD56" s="13"/>
      <c r="CE56" s="13"/>
      <c r="CF56" s="13"/>
      <c r="CG56" s="13"/>
      <c r="CH56" s="13"/>
      <c r="CI56" s="13"/>
      <c r="CJ56" s="13"/>
      <c r="CK56" s="13"/>
      <c r="CL56" s="13"/>
      <c r="CM56" s="13"/>
      <c r="CN56" s="13"/>
      <c r="CO56" s="13"/>
      <c r="CP56" s="13"/>
      <c r="CQ56" s="13"/>
      <c r="CR56" s="13"/>
      <c r="CS56" s="13"/>
      <c r="CT56" s="13"/>
      <c r="CU56" s="13"/>
      <c r="CV56" s="13"/>
      <c r="CW56" s="13"/>
      <c r="CX56" s="13"/>
      <c r="CY56" s="13"/>
      <c r="CZ56" s="13"/>
      <c r="DA56" s="112" t="e">
        <f t="shared" ref="DA56:DA57" si="253">MATCH(TRUE,DB56:FD56,0)</f>
        <v>#N/A</v>
      </c>
      <c r="DB56" s="13"/>
      <c r="DC56" s="13"/>
      <c r="DD56" s="13"/>
      <c r="DE56" s="13"/>
      <c r="DF56" s="13"/>
      <c r="DG56" s="13"/>
      <c r="DH56" s="13"/>
      <c r="DI56" s="13"/>
      <c r="DJ56" s="13"/>
      <c r="DK56" s="13"/>
      <c r="DL56" s="13"/>
      <c r="DM56" s="13"/>
      <c r="DN56" s="13"/>
      <c r="DO56" s="13"/>
      <c r="DP56" s="13"/>
      <c r="DQ56" s="13"/>
      <c r="DR56" s="13"/>
      <c r="DS56" s="13"/>
      <c r="DT56" s="13"/>
      <c r="DU56" s="13"/>
      <c r="DV56" s="13"/>
      <c r="DW56" s="13"/>
      <c r="DX56" s="13"/>
      <c r="DY56" s="13"/>
      <c r="DZ56" s="13"/>
      <c r="EA56" s="13"/>
      <c r="EB56" s="13"/>
      <c r="EC56" s="13"/>
      <c r="ED56" s="13"/>
      <c r="EE56" s="13"/>
      <c r="EF56" s="13"/>
      <c r="EG56" s="13"/>
      <c r="EH56" s="13"/>
      <c r="EI56" s="13"/>
      <c r="EJ56" s="13"/>
      <c r="EK56" s="13"/>
      <c r="EL56" s="13"/>
      <c r="EM56" s="13"/>
      <c r="EN56" s="13"/>
      <c r="EO56" s="13"/>
      <c r="EP56" s="13"/>
      <c r="EQ56" s="13"/>
      <c r="ER56" s="13"/>
      <c r="ES56" s="13"/>
      <c r="ET56" s="13"/>
      <c r="EU56" s="13"/>
      <c r="EV56" s="13"/>
      <c r="EW56" s="13"/>
      <c r="EX56" s="13"/>
      <c r="EY56" s="13"/>
      <c r="EZ56" s="13"/>
      <c r="FA56" s="13"/>
      <c r="FB56" s="13"/>
      <c r="FC56" s="13"/>
      <c r="FD56" s="13"/>
      <c r="FF56" s="13" t="str">
        <f t="shared" ref="FF56:FF57" si="254">IF(DB56=TRUE,AX56&amp;"; ","")</f>
        <v/>
      </c>
      <c r="FG56" s="13" t="str">
        <f t="shared" ref="FG56:FG57" si="255">IF(DC56=TRUE,AY56&amp;"; ","")</f>
        <v/>
      </c>
      <c r="FH56" s="13" t="str">
        <f t="shared" ref="FH56:FH57" si="256">IF(DD56=TRUE,AZ56&amp;"; ","")</f>
        <v/>
      </c>
      <c r="FI56" s="13" t="str">
        <f t="shared" ref="FI56:FI57" si="257">IF(DE56=TRUE,BA56&amp;"; ","")</f>
        <v/>
      </c>
      <c r="FJ56" s="13" t="str">
        <f t="shared" ref="FJ56:FJ57" si="258">IF(DF56=TRUE,BB56&amp;"; ","")</f>
        <v/>
      </c>
      <c r="FK56" s="13" t="str">
        <f t="shared" ref="FK56:FK57" si="259">IF(DG56=TRUE,BC56&amp;"; ","")</f>
        <v/>
      </c>
      <c r="FL56" s="13" t="str">
        <f t="shared" ref="FL56:FL57" si="260">IF(DH56=TRUE,BD56&amp;"; ","")</f>
        <v/>
      </c>
      <c r="FM56" s="13" t="str">
        <f t="shared" ref="FM56:FM57" si="261">IF(DI56=TRUE,BE56&amp;"; ","")</f>
        <v/>
      </c>
      <c r="FN56" s="13" t="str">
        <f t="shared" ref="FN56:FN57" si="262">IF(DJ56=TRUE,BF56&amp;"; ","")</f>
        <v/>
      </c>
      <c r="FO56" s="13" t="str">
        <f t="shared" ref="FO56:FO57" si="263">IF(DK56=TRUE,BG56&amp;"; ","")</f>
        <v/>
      </c>
      <c r="FP56" s="13" t="str">
        <f t="shared" ref="FP56:FP57" si="264">IF(DL56=TRUE,BH56&amp;"; ","")</f>
        <v/>
      </c>
      <c r="FQ56" s="13" t="str">
        <f t="shared" ref="FQ56:FQ57" si="265">IF(DM56=TRUE,BI56&amp;"; ","")</f>
        <v/>
      </c>
      <c r="FR56" s="13" t="str">
        <f t="shared" ref="FR56:FR57" si="266">IF(DN56=TRUE,BJ56&amp;"; ","")</f>
        <v/>
      </c>
      <c r="FS56" s="13" t="str">
        <f t="shared" ref="FS56:FS57" si="267">IF(DO56=TRUE,BK56&amp;"; ","")</f>
        <v/>
      </c>
      <c r="FT56" s="13" t="str">
        <f t="shared" ref="FT56:FT57" si="268">IF(DP56=TRUE,BL56&amp;"; ","")</f>
        <v/>
      </c>
      <c r="FU56" s="13" t="str">
        <f t="shared" ref="FU56:FU57" si="269">IF(DQ56=TRUE,BM56&amp;"; ","")</f>
        <v/>
      </c>
      <c r="FV56" s="13" t="str">
        <f t="shared" ref="FV56:FV57" si="270">IF(DR56=TRUE,BN56&amp;"; ","")</f>
        <v/>
      </c>
      <c r="FW56" s="13" t="str">
        <f t="shared" ref="FW56:FW57" si="271">IF(DS56=TRUE,BO56&amp;"; ","")</f>
        <v/>
      </c>
      <c r="FX56" s="13" t="str">
        <f t="shared" ref="FX56:FX57" si="272">IF(DT56=TRUE,BP56&amp;"; ","")</f>
        <v/>
      </c>
      <c r="FY56" s="13" t="str">
        <f t="shared" ref="FY56:FY57" si="273">IF(DU56=TRUE,BQ56&amp;"; ","")</f>
        <v/>
      </c>
      <c r="FZ56" s="13" t="str">
        <f t="shared" ref="FZ56:FZ57" si="274">IF(DV56=TRUE,BR56&amp;"; ","")</f>
        <v/>
      </c>
      <c r="GA56" s="13" t="str">
        <f t="shared" ref="GA56:GA57" si="275">IF(DW56=TRUE,BS56&amp;"; ","")</f>
        <v/>
      </c>
      <c r="GB56" s="13" t="str">
        <f t="shared" ref="GB56:GB57" si="276">IF(DX56=TRUE,BT56&amp;"; ","")</f>
        <v/>
      </c>
      <c r="GC56" s="13" t="str">
        <f t="shared" ref="GC56:GC57" si="277">IF(DY56=TRUE,BU56&amp;"; ","")</f>
        <v/>
      </c>
      <c r="GD56" s="13" t="str">
        <f t="shared" ref="GD56:GD57" si="278">IF(DZ56=TRUE,BV56&amp;"; ","")</f>
        <v/>
      </c>
      <c r="GE56" s="13" t="str">
        <f t="shared" ref="GE56:GE57" si="279">IF(EA56=TRUE,BW56&amp;"; ","")</f>
        <v/>
      </c>
      <c r="GF56" s="13" t="str">
        <f t="shared" ref="GF56:GF57" si="280">IF(EB56=TRUE,BX56&amp;"; ","")</f>
        <v/>
      </c>
      <c r="GG56" s="13" t="str">
        <f t="shared" ref="GG56:GG57" si="281">IF(EC56=TRUE,BY56&amp;"; ","")</f>
        <v/>
      </c>
      <c r="GH56" s="13" t="str">
        <f t="shared" ref="GH56:GH57" si="282">IF(ED56=TRUE,BZ56&amp;"; ","")</f>
        <v/>
      </c>
      <c r="GI56" s="13" t="str">
        <f t="shared" ref="GI56:GI57" si="283">IF(EE56=TRUE,CA56&amp;"; ","")</f>
        <v/>
      </c>
      <c r="GJ56" s="13" t="str">
        <f t="shared" ref="GJ56:GJ57" si="284">IF(EF56=TRUE,CB56&amp;"; ","")</f>
        <v/>
      </c>
      <c r="GK56" s="13" t="str">
        <f t="shared" ref="GK56:GK57" si="285">IF(EG56=TRUE,CC56&amp;"; ","")</f>
        <v/>
      </c>
      <c r="GL56" s="13" t="str">
        <f t="shared" ref="GL56:GL57" si="286">IF(EH56=TRUE,CD56&amp;"; ","")</f>
        <v/>
      </c>
      <c r="GM56" s="13" t="str">
        <f t="shared" ref="GM56:GM57" si="287">IF(EI56=TRUE,CE56&amp;"; ","")</f>
        <v/>
      </c>
      <c r="GN56" s="13" t="str">
        <f t="shared" ref="GN56:GN57" si="288">IF(EJ56=TRUE,CF56&amp;"; ","")</f>
        <v/>
      </c>
      <c r="GO56" s="13" t="str">
        <f t="shared" ref="GO56:GO57" si="289">IF(EK56=TRUE,CG56&amp;"; ","")</f>
        <v/>
      </c>
      <c r="GP56" s="13" t="str">
        <f t="shared" ref="GP56:GP57" si="290">IF(EL56=TRUE,CH56&amp;"; ","")</f>
        <v/>
      </c>
      <c r="GQ56" s="13" t="str">
        <f t="shared" ref="GQ56:GQ57" si="291">IF(EM56=TRUE,CI56&amp;"; ","")</f>
        <v/>
      </c>
      <c r="GR56" s="13" t="str">
        <f t="shared" ref="GR56:GR57" si="292">IF(EN56=TRUE,CJ56&amp;"; ","")</f>
        <v/>
      </c>
      <c r="GS56" s="13" t="str">
        <f t="shared" ref="GS56:GS57" si="293">IF(EO56=TRUE,CK56&amp;"; ","")</f>
        <v/>
      </c>
      <c r="GT56" s="13" t="str">
        <f t="shared" ref="GT56:GT57" si="294">IF(EP56=TRUE,CL56&amp;"; ","")</f>
        <v/>
      </c>
      <c r="GU56" s="13" t="str">
        <f t="shared" ref="GU56:GU57" si="295">IF(EQ56=TRUE,CM56&amp;"; ","")</f>
        <v/>
      </c>
      <c r="GV56" s="13" t="str">
        <f t="shared" ref="GV56:GV57" si="296">IF(ER56=TRUE,CN56&amp;"; ","")</f>
        <v/>
      </c>
      <c r="GW56" s="13" t="str">
        <f t="shared" ref="GW56:GW57" si="297">IF(ES56=TRUE,CO56&amp;"; ","")</f>
        <v/>
      </c>
      <c r="GX56" s="13" t="str">
        <f t="shared" ref="GX56:GX57" si="298">IF(ET56=TRUE,CP56&amp;"; ","")</f>
        <v/>
      </c>
      <c r="GY56" s="13" t="str">
        <f t="shared" ref="GY56:GY57" si="299">IF(EU56=TRUE,CQ56&amp;"; ","")</f>
        <v/>
      </c>
      <c r="GZ56" s="13" t="str">
        <f t="shared" ref="GZ56:GZ57" si="300">IF(EV56=TRUE,CR56&amp;"; ","")</f>
        <v/>
      </c>
      <c r="HA56" s="13" t="str">
        <f t="shared" ref="HA56:HA57" si="301">IF(EW56=TRUE,CS56&amp;"; ","")</f>
        <v/>
      </c>
      <c r="HB56" s="13" t="str">
        <f t="shared" ref="HB56:HB57" si="302">IF(EX56=TRUE,CT56&amp;"; ","")</f>
        <v/>
      </c>
      <c r="HC56" s="13" t="str">
        <f t="shared" ref="HC56:HC57" si="303">IF(EY56=TRUE,CU56&amp;"; ","")</f>
        <v/>
      </c>
      <c r="HD56" s="13" t="str">
        <f t="shared" ref="HD56:HD57" si="304">IF(EZ56=TRUE,CV56&amp;"; ","")</f>
        <v/>
      </c>
      <c r="HE56" s="13" t="str">
        <f t="shared" ref="HE56:HE57" si="305">IF(FA56=TRUE,CW56&amp;"; ","")</f>
        <v/>
      </c>
      <c r="HF56" s="13" t="str">
        <f t="shared" ref="HF56:HF57" si="306">IF(FB56=TRUE,CX56&amp;"; ","")</f>
        <v/>
      </c>
      <c r="HG56" s="13" t="str">
        <f t="shared" ref="HG56:HG57" si="307">IF(FC56=TRUE,CY56&amp;"; ","")</f>
        <v/>
      </c>
      <c r="HH56" s="13" t="str">
        <f t="shared" ref="HH56:HH57" si="308">IF(FD56=TRUE,CZ56&amp;"; ","")</f>
        <v/>
      </c>
      <c r="HJ56" s="114" t="str">
        <f t="shared" ref="HJ56:HJ57" si="309">IFERROR(LEFT(FF56&amp;FG56&amp;FH56&amp;FI56&amp;FJ56&amp;FK56&amp;FL56&amp;FM56&amp;FN56&amp;FO56&amp;FP56&amp;FQ56&amp;FR56&amp;FS56&amp;FT56&amp;FU56&amp;FV56&amp;FW56&amp;FX56&amp;FY56&amp;FZ56&amp;GA56&amp;GB56&amp;GC56&amp;GD56&amp;GE56&amp;GF56&amp;GG56&amp;GH56&amp;GI56&amp;GJ56&amp;GK56&amp;GL56&amp;GM56&amp;GN56&amp;GO56&amp;GP56&amp;GQ56&amp;GR56&amp;GS56&amp;GT56&amp;GU56&amp;GV56&amp;GW56&amp;GX56&amp;GY56&amp;GZ56&amp;HA56&amp;HB56&amp;HC56&amp;HD56&amp;HE56&amp;HF56&amp;HG56&amp;HH56,LEN(FF56&amp;FG56&amp;FH56&amp;FI56&amp;FJ56&amp;FK56&amp;FL56&amp;FM56&amp;FN56&amp;FO56&amp;FP56&amp;FQ56&amp;FR56&amp;FS56&amp;FT56&amp;FU56&amp;FV56&amp;FW56&amp;FX56&amp;FY56&amp;FZ56&amp;GA56&amp;GB56&amp;GC56&amp;GD56&amp;GE56&amp;GF56&amp;GG56&amp;GH56&amp;GI56&amp;GJ56&amp;GK56&amp;GL56&amp;GM56&amp;GN56&amp;GO56&amp;GP56&amp;GQ56&amp;GR56&amp;GS56&amp;GT56&amp;GU56&amp;GV56&amp;GW56&amp;GX56&amp;GY56&amp;GZ56&amp;HA56&amp;HB56&amp;HC56&amp;HD56&amp;HE56&amp;HF56&amp;HG56&amp;HH56)-2),"")</f>
        <v/>
      </c>
    </row>
    <row r="57" spans="3:218" s="119" customFormat="1" ht="45" customHeight="1">
      <c r="C57" s="118">
        <f t="shared" si="81"/>
        <v>6</v>
      </c>
      <c r="D57" s="198" t="s">
        <v>141</v>
      </c>
      <c r="E57" s="195" t="s">
        <v>142</v>
      </c>
      <c r="F57" s="196"/>
      <c r="G57" s="197"/>
      <c r="H57" s="74" t="s">
        <v>173</v>
      </c>
      <c r="I57" s="190"/>
      <c r="J57" s="191"/>
      <c r="K57" s="43"/>
      <c r="L57" s="67"/>
      <c r="M57" s="65"/>
      <c r="N57" s="65"/>
      <c r="O57" s="66"/>
      <c r="Q57" s="52"/>
      <c r="R57" s="52"/>
      <c r="S57" s="52"/>
      <c r="T57" s="52"/>
      <c r="U57" s="52"/>
      <c r="V57" s="52"/>
      <c r="W57" s="52"/>
      <c r="X57" s="52"/>
      <c r="Y57" s="52"/>
      <c r="Z57" s="52"/>
      <c r="AA57" s="52"/>
      <c r="AB57" s="52"/>
      <c r="AC57" s="52"/>
      <c r="AD57" s="52"/>
      <c r="AE57" s="52"/>
      <c r="AF57" s="52"/>
      <c r="AG57" s="52"/>
      <c r="AH57" s="52"/>
      <c r="AI57" s="52"/>
      <c r="AJ57" s="52"/>
      <c r="AK57" s="52"/>
      <c r="AL57" s="52"/>
      <c r="AM57" s="52"/>
      <c r="AN57" s="52"/>
      <c r="AO57" s="52"/>
      <c r="AP57" s="52"/>
      <c r="AQ57" s="52"/>
      <c r="AR57" s="52"/>
      <c r="AS57" s="52"/>
      <c r="AT57" s="52"/>
      <c r="AU57" s="52"/>
      <c r="AV57" s="52"/>
      <c r="AX57" s="13"/>
      <c r="AY57" s="13"/>
      <c r="AZ57" s="13"/>
      <c r="BA57" s="13"/>
      <c r="BB57" s="13"/>
      <c r="BC57" s="13"/>
      <c r="BD57" s="13"/>
      <c r="BE57" s="13"/>
      <c r="BF57" s="13"/>
      <c r="BG57" s="13"/>
      <c r="BH57" s="13"/>
      <c r="BI57" s="13"/>
      <c r="BJ57" s="13"/>
      <c r="BK57" s="13"/>
      <c r="BL57" s="13"/>
      <c r="BM57" s="13"/>
      <c r="BN57" s="13"/>
      <c r="BO57" s="13"/>
      <c r="BP57" s="13"/>
      <c r="BQ57" s="13"/>
      <c r="BR57" s="13"/>
      <c r="BS57" s="13"/>
      <c r="BT57" s="13"/>
      <c r="BU57" s="13"/>
      <c r="BV57" s="13"/>
      <c r="BW57" s="13"/>
      <c r="BX57" s="13"/>
      <c r="BY57" s="13"/>
      <c r="BZ57" s="13"/>
      <c r="CA57" s="13"/>
      <c r="CB57" s="13"/>
      <c r="CC57" s="13"/>
      <c r="CD57" s="13"/>
      <c r="CE57" s="13"/>
      <c r="CF57" s="13"/>
      <c r="CG57" s="13"/>
      <c r="CH57" s="13"/>
      <c r="CI57" s="13"/>
      <c r="CJ57" s="13"/>
      <c r="CK57" s="13"/>
      <c r="CL57" s="13"/>
      <c r="CM57" s="13"/>
      <c r="CN57" s="13"/>
      <c r="CO57" s="13"/>
      <c r="CP57" s="13"/>
      <c r="CQ57" s="13"/>
      <c r="CR57" s="13"/>
      <c r="CS57" s="13"/>
      <c r="CT57" s="13"/>
      <c r="CU57" s="13"/>
      <c r="CV57" s="13"/>
      <c r="CW57" s="13"/>
      <c r="CX57" s="13"/>
      <c r="CY57" s="13"/>
      <c r="CZ57" s="13"/>
      <c r="DA57" s="112" t="e">
        <f t="shared" si="253"/>
        <v>#N/A</v>
      </c>
      <c r="DB57" s="13"/>
      <c r="DC57" s="13"/>
      <c r="DD57" s="13"/>
      <c r="DE57" s="13"/>
      <c r="DF57" s="13"/>
      <c r="DG57" s="13"/>
      <c r="DH57" s="13"/>
      <c r="DI57" s="13"/>
      <c r="DJ57" s="13"/>
      <c r="DK57" s="13"/>
      <c r="DL57" s="13"/>
      <c r="DM57" s="13"/>
      <c r="DN57" s="13"/>
      <c r="DO57" s="13"/>
      <c r="DP57" s="13"/>
      <c r="DQ57" s="13"/>
      <c r="DR57" s="13"/>
      <c r="DS57" s="13"/>
      <c r="DT57" s="13"/>
      <c r="DU57" s="13"/>
      <c r="DV57" s="13"/>
      <c r="DW57" s="13"/>
      <c r="DX57" s="13"/>
      <c r="DY57" s="13"/>
      <c r="DZ57" s="13"/>
      <c r="EA57" s="13"/>
      <c r="EB57" s="13"/>
      <c r="EC57" s="13"/>
      <c r="ED57" s="13"/>
      <c r="EE57" s="13"/>
      <c r="EF57" s="13"/>
      <c r="EG57" s="13"/>
      <c r="EH57" s="13"/>
      <c r="EI57" s="13"/>
      <c r="EJ57" s="13"/>
      <c r="EK57" s="13"/>
      <c r="EL57" s="13"/>
      <c r="EM57" s="13"/>
      <c r="EN57" s="13"/>
      <c r="EO57" s="13"/>
      <c r="EP57" s="13"/>
      <c r="EQ57" s="13"/>
      <c r="ER57" s="13"/>
      <c r="ES57" s="13"/>
      <c r="ET57" s="13"/>
      <c r="EU57" s="13"/>
      <c r="EV57" s="13"/>
      <c r="EW57" s="13"/>
      <c r="EX57" s="13"/>
      <c r="EY57" s="13"/>
      <c r="EZ57" s="13"/>
      <c r="FA57" s="13"/>
      <c r="FB57" s="13"/>
      <c r="FC57" s="13"/>
      <c r="FD57" s="13"/>
      <c r="FF57" s="13" t="str">
        <f t="shared" si="254"/>
        <v/>
      </c>
      <c r="FG57" s="13" t="str">
        <f t="shared" si="255"/>
        <v/>
      </c>
      <c r="FH57" s="13" t="str">
        <f t="shared" si="256"/>
        <v/>
      </c>
      <c r="FI57" s="13" t="str">
        <f t="shared" si="257"/>
        <v/>
      </c>
      <c r="FJ57" s="13" t="str">
        <f t="shared" si="258"/>
        <v/>
      </c>
      <c r="FK57" s="13" t="str">
        <f t="shared" si="259"/>
        <v/>
      </c>
      <c r="FL57" s="13" t="str">
        <f t="shared" si="260"/>
        <v/>
      </c>
      <c r="FM57" s="13" t="str">
        <f t="shared" si="261"/>
        <v/>
      </c>
      <c r="FN57" s="13" t="str">
        <f t="shared" si="262"/>
        <v/>
      </c>
      <c r="FO57" s="13" t="str">
        <f t="shared" si="263"/>
        <v/>
      </c>
      <c r="FP57" s="13" t="str">
        <f t="shared" si="264"/>
        <v/>
      </c>
      <c r="FQ57" s="13" t="str">
        <f t="shared" si="265"/>
        <v/>
      </c>
      <c r="FR57" s="13" t="str">
        <f t="shared" si="266"/>
        <v/>
      </c>
      <c r="FS57" s="13" t="str">
        <f t="shared" si="267"/>
        <v/>
      </c>
      <c r="FT57" s="13" t="str">
        <f t="shared" si="268"/>
        <v/>
      </c>
      <c r="FU57" s="13" t="str">
        <f t="shared" si="269"/>
        <v/>
      </c>
      <c r="FV57" s="13" t="str">
        <f t="shared" si="270"/>
        <v/>
      </c>
      <c r="FW57" s="13" t="str">
        <f t="shared" si="271"/>
        <v/>
      </c>
      <c r="FX57" s="13" t="str">
        <f t="shared" si="272"/>
        <v/>
      </c>
      <c r="FY57" s="13" t="str">
        <f t="shared" si="273"/>
        <v/>
      </c>
      <c r="FZ57" s="13" t="str">
        <f t="shared" si="274"/>
        <v/>
      </c>
      <c r="GA57" s="13" t="str">
        <f t="shared" si="275"/>
        <v/>
      </c>
      <c r="GB57" s="13" t="str">
        <f t="shared" si="276"/>
        <v/>
      </c>
      <c r="GC57" s="13" t="str">
        <f t="shared" si="277"/>
        <v/>
      </c>
      <c r="GD57" s="13" t="str">
        <f t="shared" si="278"/>
        <v/>
      </c>
      <c r="GE57" s="13" t="str">
        <f t="shared" si="279"/>
        <v/>
      </c>
      <c r="GF57" s="13" t="str">
        <f t="shared" si="280"/>
        <v/>
      </c>
      <c r="GG57" s="13" t="str">
        <f t="shared" si="281"/>
        <v/>
      </c>
      <c r="GH57" s="13" t="str">
        <f t="shared" si="282"/>
        <v/>
      </c>
      <c r="GI57" s="13" t="str">
        <f t="shared" si="283"/>
        <v/>
      </c>
      <c r="GJ57" s="13" t="str">
        <f t="shared" si="284"/>
        <v/>
      </c>
      <c r="GK57" s="13" t="str">
        <f t="shared" si="285"/>
        <v/>
      </c>
      <c r="GL57" s="13" t="str">
        <f t="shared" si="286"/>
        <v/>
      </c>
      <c r="GM57" s="13" t="str">
        <f t="shared" si="287"/>
        <v/>
      </c>
      <c r="GN57" s="13" t="str">
        <f t="shared" si="288"/>
        <v/>
      </c>
      <c r="GO57" s="13" t="str">
        <f t="shared" si="289"/>
        <v/>
      </c>
      <c r="GP57" s="13" t="str">
        <f t="shared" si="290"/>
        <v/>
      </c>
      <c r="GQ57" s="13" t="str">
        <f t="shared" si="291"/>
        <v/>
      </c>
      <c r="GR57" s="13" t="str">
        <f t="shared" si="292"/>
        <v/>
      </c>
      <c r="GS57" s="13" t="str">
        <f t="shared" si="293"/>
        <v/>
      </c>
      <c r="GT57" s="13" t="str">
        <f t="shared" si="294"/>
        <v/>
      </c>
      <c r="GU57" s="13" t="str">
        <f t="shared" si="295"/>
        <v/>
      </c>
      <c r="GV57" s="13" t="str">
        <f t="shared" si="296"/>
        <v/>
      </c>
      <c r="GW57" s="13" t="str">
        <f t="shared" si="297"/>
        <v/>
      </c>
      <c r="GX57" s="13" t="str">
        <f t="shared" si="298"/>
        <v/>
      </c>
      <c r="GY57" s="13" t="str">
        <f t="shared" si="299"/>
        <v/>
      </c>
      <c r="GZ57" s="13" t="str">
        <f t="shared" si="300"/>
        <v/>
      </c>
      <c r="HA57" s="13" t="str">
        <f t="shared" si="301"/>
        <v/>
      </c>
      <c r="HB57" s="13" t="str">
        <f t="shared" si="302"/>
        <v/>
      </c>
      <c r="HC57" s="13" t="str">
        <f t="shared" si="303"/>
        <v/>
      </c>
      <c r="HD57" s="13" t="str">
        <f t="shared" si="304"/>
        <v/>
      </c>
      <c r="HE57" s="13" t="str">
        <f t="shared" si="305"/>
        <v/>
      </c>
      <c r="HF57" s="13" t="str">
        <f t="shared" si="306"/>
        <v/>
      </c>
      <c r="HG57" s="13" t="str">
        <f t="shared" si="307"/>
        <v/>
      </c>
      <c r="HH57" s="13" t="str">
        <f t="shared" si="308"/>
        <v/>
      </c>
      <c r="HJ57" s="114" t="str">
        <f t="shared" si="309"/>
        <v/>
      </c>
    </row>
    <row r="58" spans="3:218" s="119" customFormat="1" ht="45" customHeight="1">
      <c r="C58" s="121">
        <f t="shared" si="81"/>
        <v>7</v>
      </c>
      <c r="D58" s="199"/>
      <c r="E58" s="195" t="s">
        <v>245</v>
      </c>
      <c r="F58" s="196"/>
      <c r="G58" s="197"/>
      <c r="H58" s="74" t="s">
        <v>173</v>
      </c>
      <c r="I58" s="190"/>
      <c r="J58" s="191"/>
      <c r="K58" s="43"/>
      <c r="L58" s="67"/>
      <c r="M58" s="65"/>
      <c r="N58" s="65"/>
      <c r="O58" s="66"/>
      <c r="Q58" s="52"/>
      <c r="R58" s="52"/>
      <c r="S58" s="52"/>
      <c r="T58" s="52"/>
      <c r="U58" s="52"/>
      <c r="V58" s="52"/>
      <c r="W58" s="52"/>
      <c r="X58" s="52"/>
      <c r="Y58" s="52"/>
      <c r="Z58" s="52"/>
      <c r="AA58" s="52"/>
      <c r="AB58" s="52"/>
      <c r="AC58" s="52"/>
      <c r="AD58" s="52"/>
      <c r="AE58" s="52"/>
      <c r="AF58" s="52"/>
      <c r="AG58" s="52"/>
      <c r="AH58" s="52"/>
      <c r="AI58" s="52"/>
      <c r="AJ58" s="52"/>
      <c r="AK58" s="52"/>
      <c r="AL58" s="52"/>
      <c r="AM58" s="52"/>
      <c r="AN58" s="52"/>
      <c r="AO58" s="52"/>
      <c r="AP58" s="52"/>
      <c r="AQ58" s="52"/>
      <c r="AR58" s="52"/>
      <c r="AS58" s="52"/>
      <c r="AT58" s="52"/>
      <c r="AU58" s="52"/>
      <c r="AV58" s="52"/>
      <c r="AX58" s="13"/>
      <c r="AY58" s="13"/>
      <c r="AZ58" s="13"/>
      <c r="BA58" s="13"/>
      <c r="BB58" s="13"/>
      <c r="BC58" s="13"/>
      <c r="BD58" s="13"/>
      <c r="BE58" s="13"/>
      <c r="BF58" s="13"/>
      <c r="BG58" s="13"/>
      <c r="BH58" s="13"/>
      <c r="BI58" s="13"/>
      <c r="BJ58" s="13"/>
      <c r="BK58" s="13"/>
      <c r="BL58" s="13"/>
      <c r="BM58" s="13"/>
      <c r="BN58" s="13"/>
      <c r="BO58" s="13"/>
      <c r="BP58" s="13"/>
      <c r="BQ58" s="13"/>
      <c r="BR58" s="13"/>
      <c r="BS58" s="13"/>
      <c r="BT58" s="13"/>
      <c r="BU58" s="13"/>
      <c r="BV58" s="13"/>
      <c r="BW58" s="13"/>
      <c r="BX58" s="13"/>
      <c r="BY58" s="13"/>
      <c r="BZ58" s="13"/>
      <c r="CA58" s="13"/>
      <c r="CB58" s="13"/>
      <c r="CC58" s="13"/>
      <c r="CD58" s="13"/>
      <c r="CE58" s="13"/>
      <c r="CF58" s="13"/>
      <c r="CG58" s="13"/>
      <c r="CH58" s="13"/>
      <c r="CI58" s="13"/>
      <c r="CJ58" s="13"/>
      <c r="CK58" s="13"/>
      <c r="CL58" s="13"/>
      <c r="CM58" s="13"/>
      <c r="CN58" s="13"/>
      <c r="CO58" s="13"/>
      <c r="CP58" s="13"/>
      <c r="CQ58" s="13"/>
      <c r="CR58" s="13"/>
      <c r="CS58" s="13"/>
      <c r="CT58" s="13"/>
      <c r="CU58" s="13"/>
      <c r="CV58" s="13"/>
      <c r="CW58" s="13"/>
      <c r="CX58" s="13"/>
      <c r="CY58" s="13"/>
      <c r="CZ58" s="13"/>
      <c r="DA58" s="112" t="e">
        <f t="shared" ref="DA58:DA60" si="310">MATCH(TRUE,DB58:FD58,0)</f>
        <v>#N/A</v>
      </c>
      <c r="DB58" s="13"/>
      <c r="DC58" s="13"/>
      <c r="DD58" s="13"/>
      <c r="DE58" s="13"/>
      <c r="DF58" s="13"/>
      <c r="DG58" s="13"/>
      <c r="DH58" s="13"/>
      <c r="DI58" s="13"/>
      <c r="DJ58" s="13"/>
      <c r="DK58" s="13"/>
      <c r="DL58" s="13"/>
      <c r="DM58" s="13"/>
      <c r="DN58" s="13"/>
      <c r="DO58" s="13"/>
      <c r="DP58" s="13"/>
      <c r="DQ58" s="13"/>
      <c r="DR58" s="13"/>
      <c r="DS58" s="13"/>
      <c r="DT58" s="13"/>
      <c r="DU58" s="13"/>
      <c r="DV58" s="13"/>
      <c r="DW58" s="13"/>
      <c r="DX58" s="13"/>
      <c r="DY58" s="13"/>
      <c r="DZ58" s="13"/>
      <c r="EA58" s="13"/>
      <c r="EB58" s="13"/>
      <c r="EC58" s="13"/>
      <c r="ED58" s="13"/>
      <c r="EE58" s="13"/>
      <c r="EF58" s="13"/>
      <c r="EG58" s="13"/>
      <c r="EH58" s="13"/>
      <c r="EI58" s="13"/>
      <c r="EJ58" s="13"/>
      <c r="EK58" s="13"/>
      <c r="EL58" s="13"/>
      <c r="EM58" s="13"/>
      <c r="EN58" s="13"/>
      <c r="EO58" s="13"/>
      <c r="EP58" s="13"/>
      <c r="EQ58" s="13"/>
      <c r="ER58" s="13"/>
      <c r="ES58" s="13"/>
      <c r="ET58" s="13"/>
      <c r="EU58" s="13"/>
      <c r="EV58" s="13"/>
      <c r="EW58" s="13"/>
      <c r="EX58" s="13"/>
      <c r="EY58" s="13"/>
      <c r="EZ58" s="13"/>
      <c r="FA58" s="13"/>
      <c r="FB58" s="13"/>
      <c r="FC58" s="13"/>
      <c r="FD58" s="13"/>
      <c r="FF58" s="13" t="str">
        <f t="shared" ref="FF58:FF60" si="311">IF(DB58=TRUE,AX58&amp;"; ","")</f>
        <v/>
      </c>
      <c r="FG58" s="13" t="str">
        <f t="shared" ref="FG58:FG60" si="312">IF(DC58=TRUE,AY58&amp;"; ","")</f>
        <v/>
      </c>
      <c r="FH58" s="13" t="str">
        <f t="shared" ref="FH58:FH60" si="313">IF(DD58=TRUE,AZ58&amp;"; ","")</f>
        <v/>
      </c>
      <c r="FI58" s="13" t="str">
        <f t="shared" ref="FI58:FI60" si="314">IF(DE58=TRUE,BA58&amp;"; ","")</f>
        <v/>
      </c>
      <c r="FJ58" s="13" t="str">
        <f t="shared" ref="FJ58:FJ60" si="315">IF(DF58=TRUE,BB58&amp;"; ","")</f>
        <v/>
      </c>
      <c r="FK58" s="13" t="str">
        <f t="shared" ref="FK58:FK60" si="316">IF(DG58=TRUE,BC58&amp;"; ","")</f>
        <v/>
      </c>
      <c r="FL58" s="13" t="str">
        <f t="shared" ref="FL58:FL60" si="317">IF(DH58=TRUE,BD58&amp;"; ","")</f>
        <v/>
      </c>
      <c r="FM58" s="13" t="str">
        <f t="shared" ref="FM58:FM60" si="318">IF(DI58=TRUE,BE58&amp;"; ","")</f>
        <v/>
      </c>
      <c r="FN58" s="13" t="str">
        <f t="shared" ref="FN58:FN60" si="319">IF(DJ58=TRUE,BF58&amp;"; ","")</f>
        <v/>
      </c>
      <c r="FO58" s="13" t="str">
        <f t="shared" ref="FO58:FO60" si="320">IF(DK58=TRUE,BG58&amp;"; ","")</f>
        <v/>
      </c>
      <c r="FP58" s="13" t="str">
        <f t="shared" ref="FP58:FP60" si="321">IF(DL58=TRUE,BH58&amp;"; ","")</f>
        <v/>
      </c>
      <c r="FQ58" s="13" t="str">
        <f t="shared" ref="FQ58:FQ60" si="322">IF(DM58=TRUE,BI58&amp;"; ","")</f>
        <v/>
      </c>
      <c r="FR58" s="13" t="str">
        <f t="shared" ref="FR58:FR60" si="323">IF(DN58=TRUE,BJ58&amp;"; ","")</f>
        <v/>
      </c>
      <c r="FS58" s="13" t="str">
        <f t="shared" ref="FS58:FS60" si="324">IF(DO58=TRUE,BK58&amp;"; ","")</f>
        <v/>
      </c>
      <c r="FT58" s="13" t="str">
        <f t="shared" ref="FT58:FT60" si="325">IF(DP58=TRUE,BL58&amp;"; ","")</f>
        <v/>
      </c>
      <c r="FU58" s="13" t="str">
        <f t="shared" ref="FU58:FU60" si="326">IF(DQ58=TRUE,BM58&amp;"; ","")</f>
        <v/>
      </c>
      <c r="FV58" s="13" t="str">
        <f t="shared" ref="FV58:FV60" si="327">IF(DR58=TRUE,BN58&amp;"; ","")</f>
        <v/>
      </c>
      <c r="FW58" s="13" t="str">
        <f t="shared" ref="FW58:FW60" si="328">IF(DS58=TRUE,BO58&amp;"; ","")</f>
        <v/>
      </c>
      <c r="FX58" s="13" t="str">
        <f t="shared" ref="FX58:FX60" si="329">IF(DT58=TRUE,BP58&amp;"; ","")</f>
        <v/>
      </c>
      <c r="FY58" s="13" t="str">
        <f t="shared" ref="FY58:FY60" si="330">IF(DU58=TRUE,BQ58&amp;"; ","")</f>
        <v/>
      </c>
      <c r="FZ58" s="13" t="str">
        <f t="shared" ref="FZ58:FZ60" si="331">IF(DV58=TRUE,BR58&amp;"; ","")</f>
        <v/>
      </c>
      <c r="GA58" s="13" t="str">
        <f t="shared" ref="GA58:GA60" si="332">IF(DW58=TRUE,BS58&amp;"; ","")</f>
        <v/>
      </c>
      <c r="GB58" s="13" t="str">
        <f t="shared" ref="GB58:GB60" si="333">IF(DX58=TRUE,BT58&amp;"; ","")</f>
        <v/>
      </c>
      <c r="GC58" s="13" t="str">
        <f t="shared" ref="GC58:GC60" si="334">IF(DY58=TRUE,BU58&amp;"; ","")</f>
        <v/>
      </c>
      <c r="GD58" s="13" t="str">
        <f t="shared" ref="GD58:GD60" si="335">IF(DZ58=TRUE,BV58&amp;"; ","")</f>
        <v/>
      </c>
      <c r="GE58" s="13" t="str">
        <f t="shared" ref="GE58:GE60" si="336">IF(EA58=TRUE,BW58&amp;"; ","")</f>
        <v/>
      </c>
      <c r="GF58" s="13" t="str">
        <f t="shared" ref="GF58:GF60" si="337">IF(EB58=TRUE,BX58&amp;"; ","")</f>
        <v/>
      </c>
      <c r="GG58" s="13" t="str">
        <f t="shared" ref="GG58:GG60" si="338">IF(EC58=TRUE,BY58&amp;"; ","")</f>
        <v/>
      </c>
      <c r="GH58" s="13" t="str">
        <f t="shared" ref="GH58:GH60" si="339">IF(ED58=TRUE,BZ58&amp;"; ","")</f>
        <v/>
      </c>
      <c r="GI58" s="13" t="str">
        <f t="shared" ref="GI58:GI60" si="340">IF(EE58=TRUE,CA58&amp;"; ","")</f>
        <v/>
      </c>
      <c r="GJ58" s="13" t="str">
        <f t="shared" ref="GJ58:GJ60" si="341">IF(EF58=TRUE,CB58&amp;"; ","")</f>
        <v/>
      </c>
      <c r="GK58" s="13" t="str">
        <f t="shared" ref="GK58:GK60" si="342">IF(EG58=TRUE,CC58&amp;"; ","")</f>
        <v/>
      </c>
      <c r="GL58" s="13" t="str">
        <f t="shared" ref="GL58:GL60" si="343">IF(EH58=TRUE,CD58&amp;"; ","")</f>
        <v/>
      </c>
      <c r="GM58" s="13" t="str">
        <f t="shared" ref="GM58:GM60" si="344">IF(EI58=TRUE,CE58&amp;"; ","")</f>
        <v/>
      </c>
      <c r="GN58" s="13" t="str">
        <f t="shared" ref="GN58:GN60" si="345">IF(EJ58=TRUE,CF58&amp;"; ","")</f>
        <v/>
      </c>
      <c r="GO58" s="13" t="str">
        <f t="shared" ref="GO58:GO60" si="346">IF(EK58=TRUE,CG58&amp;"; ","")</f>
        <v/>
      </c>
      <c r="GP58" s="13" t="str">
        <f t="shared" ref="GP58:GP60" si="347">IF(EL58=TRUE,CH58&amp;"; ","")</f>
        <v/>
      </c>
      <c r="GQ58" s="13" t="str">
        <f t="shared" ref="GQ58:GQ60" si="348">IF(EM58=TRUE,CI58&amp;"; ","")</f>
        <v/>
      </c>
      <c r="GR58" s="13" t="str">
        <f t="shared" ref="GR58:GR60" si="349">IF(EN58=TRUE,CJ58&amp;"; ","")</f>
        <v/>
      </c>
      <c r="GS58" s="13" t="str">
        <f t="shared" ref="GS58:GS60" si="350">IF(EO58=TRUE,CK58&amp;"; ","")</f>
        <v/>
      </c>
      <c r="GT58" s="13" t="str">
        <f t="shared" ref="GT58:GT60" si="351">IF(EP58=TRUE,CL58&amp;"; ","")</f>
        <v/>
      </c>
      <c r="GU58" s="13" t="str">
        <f t="shared" ref="GU58:GU60" si="352">IF(EQ58=TRUE,CM58&amp;"; ","")</f>
        <v/>
      </c>
      <c r="GV58" s="13" t="str">
        <f t="shared" ref="GV58:GV60" si="353">IF(ER58=TRUE,CN58&amp;"; ","")</f>
        <v/>
      </c>
      <c r="GW58" s="13" t="str">
        <f t="shared" ref="GW58:GW60" si="354">IF(ES58=TRUE,CO58&amp;"; ","")</f>
        <v/>
      </c>
      <c r="GX58" s="13" t="str">
        <f t="shared" ref="GX58:GX60" si="355">IF(ET58=TRUE,CP58&amp;"; ","")</f>
        <v/>
      </c>
      <c r="GY58" s="13" t="str">
        <f t="shared" ref="GY58:GY60" si="356">IF(EU58=TRUE,CQ58&amp;"; ","")</f>
        <v/>
      </c>
      <c r="GZ58" s="13" t="str">
        <f t="shared" ref="GZ58:GZ60" si="357">IF(EV58=TRUE,CR58&amp;"; ","")</f>
        <v/>
      </c>
      <c r="HA58" s="13" t="str">
        <f t="shared" ref="HA58:HA60" si="358">IF(EW58=TRUE,CS58&amp;"; ","")</f>
        <v/>
      </c>
      <c r="HB58" s="13" t="str">
        <f t="shared" ref="HB58:HB60" si="359">IF(EX58=TRUE,CT58&amp;"; ","")</f>
        <v/>
      </c>
      <c r="HC58" s="13" t="str">
        <f t="shared" ref="HC58:HC60" si="360">IF(EY58=TRUE,CU58&amp;"; ","")</f>
        <v/>
      </c>
      <c r="HD58" s="13" t="str">
        <f t="shared" ref="HD58:HD60" si="361">IF(EZ58=TRUE,CV58&amp;"; ","")</f>
        <v/>
      </c>
      <c r="HE58" s="13" t="str">
        <f t="shared" ref="HE58:HE60" si="362">IF(FA58=TRUE,CW58&amp;"; ","")</f>
        <v/>
      </c>
      <c r="HF58" s="13" t="str">
        <f t="shared" ref="HF58:HF60" si="363">IF(FB58=TRUE,CX58&amp;"; ","")</f>
        <v/>
      </c>
      <c r="HG58" s="13" t="str">
        <f t="shared" ref="HG58:HG60" si="364">IF(FC58=TRUE,CY58&amp;"; ","")</f>
        <v/>
      </c>
      <c r="HH58" s="13" t="str">
        <f t="shared" ref="HH58:HH60" si="365">IF(FD58=TRUE,CZ58&amp;"; ","")</f>
        <v/>
      </c>
      <c r="HJ58" s="114" t="str">
        <f t="shared" ref="HJ58:HJ60" si="366">IFERROR(LEFT(FF58&amp;FG58&amp;FH58&amp;FI58&amp;FJ58&amp;FK58&amp;FL58&amp;FM58&amp;FN58&amp;FO58&amp;FP58&amp;FQ58&amp;FR58&amp;FS58&amp;FT58&amp;FU58&amp;FV58&amp;FW58&amp;FX58&amp;FY58&amp;FZ58&amp;GA58&amp;GB58&amp;GC58&amp;GD58&amp;GE58&amp;GF58&amp;GG58&amp;GH58&amp;GI58&amp;GJ58&amp;GK58&amp;GL58&amp;GM58&amp;GN58&amp;GO58&amp;GP58&amp;GQ58&amp;GR58&amp;GS58&amp;GT58&amp;GU58&amp;GV58&amp;GW58&amp;GX58&amp;GY58&amp;GZ58&amp;HA58&amp;HB58&amp;HC58&amp;HD58&amp;HE58&amp;HF58&amp;HG58&amp;HH58,LEN(FF58&amp;FG58&amp;FH58&amp;FI58&amp;FJ58&amp;FK58&amp;FL58&amp;FM58&amp;FN58&amp;FO58&amp;FP58&amp;FQ58&amp;FR58&amp;FS58&amp;FT58&amp;FU58&amp;FV58&amp;FW58&amp;FX58&amp;FY58&amp;FZ58&amp;GA58&amp;GB58&amp;GC58&amp;GD58&amp;GE58&amp;GF58&amp;GG58&amp;GH58&amp;GI58&amp;GJ58&amp;GK58&amp;GL58&amp;GM58&amp;GN58&amp;GO58&amp;GP58&amp;GQ58&amp;GR58&amp;GS58&amp;GT58&amp;GU58&amp;GV58&amp;GW58&amp;GX58&amp;GY58&amp;GZ58&amp;HA58&amp;HB58&amp;HC58&amp;HD58&amp;HE58&amp;HF58&amp;HG58&amp;HH58)-2),"")</f>
        <v/>
      </c>
    </row>
    <row r="59" spans="3:218" s="119" customFormat="1" ht="45" customHeight="1">
      <c r="C59" s="122">
        <f t="shared" si="81"/>
        <v>8</v>
      </c>
      <c r="D59" s="200"/>
      <c r="E59" s="195" t="s">
        <v>246</v>
      </c>
      <c r="F59" s="196"/>
      <c r="G59" s="197"/>
      <c r="H59" s="74" t="s">
        <v>173</v>
      </c>
      <c r="I59" s="190"/>
      <c r="J59" s="191"/>
      <c r="K59" s="43"/>
      <c r="L59" s="67"/>
      <c r="M59" s="65"/>
      <c r="N59" s="65"/>
      <c r="O59" s="66"/>
      <c r="Q59" s="52"/>
      <c r="R59" s="52"/>
      <c r="S59" s="52"/>
      <c r="T59" s="52"/>
      <c r="U59" s="52"/>
      <c r="V59" s="52"/>
      <c r="W59" s="52"/>
      <c r="X59" s="52"/>
      <c r="Y59" s="52"/>
      <c r="Z59" s="52"/>
      <c r="AA59" s="52"/>
      <c r="AB59" s="52"/>
      <c r="AC59" s="52"/>
      <c r="AD59" s="52"/>
      <c r="AE59" s="52"/>
      <c r="AF59" s="52"/>
      <c r="AG59" s="52"/>
      <c r="AH59" s="52"/>
      <c r="AI59" s="52"/>
      <c r="AJ59" s="52"/>
      <c r="AK59" s="52"/>
      <c r="AL59" s="52"/>
      <c r="AM59" s="52"/>
      <c r="AN59" s="52"/>
      <c r="AO59" s="52"/>
      <c r="AP59" s="52"/>
      <c r="AQ59" s="52"/>
      <c r="AR59" s="52"/>
      <c r="AS59" s="52"/>
      <c r="AT59" s="52"/>
      <c r="AU59" s="52"/>
      <c r="AV59" s="52"/>
      <c r="AX59" s="13"/>
      <c r="AY59" s="13"/>
      <c r="AZ59" s="13"/>
      <c r="BA59" s="13"/>
      <c r="BB59" s="13"/>
      <c r="BC59" s="13"/>
      <c r="BD59" s="13"/>
      <c r="BE59" s="13"/>
      <c r="BF59" s="13"/>
      <c r="BG59" s="13"/>
      <c r="BH59" s="13"/>
      <c r="BI59" s="13"/>
      <c r="BJ59" s="13"/>
      <c r="BK59" s="13"/>
      <c r="BL59" s="13"/>
      <c r="BM59" s="13"/>
      <c r="BN59" s="13"/>
      <c r="BO59" s="13"/>
      <c r="BP59" s="13"/>
      <c r="BQ59" s="13"/>
      <c r="BR59" s="13"/>
      <c r="BS59" s="13"/>
      <c r="BT59" s="13"/>
      <c r="BU59" s="13"/>
      <c r="BV59" s="13"/>
      <c r="BW59" s="13"/>
      <c r="BX59" s="13"/>
      <c r="BY59" s="13"/>
      <c r="BZ59" s="13"/>
      <c r="CA59" s="13"/>
      <c r="CB59" s="13"/>
      <c r="CC59" s="13"/>
      <c r="CD59" s="13"/>
      <c r="CE59" s="13"/>
      <c r="CF59" s="13"/>
      <c r="CG59" s="13"/>
      <c r="CH59" s="13"/>
      <c r="CI59" s="13"/>
      <c r="CJ59" s="13"/>
      <c r="CK59" s="13"/>
      <c r="CL59" s="13"/>
      <c r="CM59" s="13"/>
      <c r="CN59" s="13"/>
      <c r="CO59" s="13"/>
      <c r="CP59" s="13"/>
      <c r="CQ59" s="13"/>
      <c r="CR59" s="13"/>
      <c r="CS59" s="13"/>
      <c r="CT59" s="13"/>
      <c r="CU59" s="13"/>
      <c r="CV59" s="13"/>
      <c r="CW59" s="13"/>
      <c r="CX59" s="13"/>
      <c r="CY59" s="13"/>
      <c r="CZ59" s="13"/>
      <c r="DA59" s="112" t="e">
        <f t="shared" si="310"/>
        <v>#N/A</v>
      </c>
      <c r="DB59" s="13"/>
      <c r="DC59" s="13"/>
      <c r="DD59" s="13"/>
      <c r="DE59" s="13"/>
      <c r="DF59" s="13"/>
      <c r="DG59" s="13"/>
      <c r="DH59" s="13"/>
      <c r="DI59" s="13"/>
      <c r="DJ59" s="13"/>
      <c r="DK59" s="13"/>
      <c r="DL59" s="13"/>
      <c r="DM59" s="13"/>
      <c r="DN59" s="13"/>
      <c r="DO59" s="13"/>
      <c r="DP59" s="13"/>
      <c r="DQ59" s="13"/>
      <c r="DR59" s="13"/>
      <c r="DS59" s="13"/>
      <c r="DT59" s="13"/>
      <c r="DU59" s="13"/>
      <c r="DV59" s="13"/>
      <c r="DW59" s="13"/>
      <c r="DX59" s="13"/>
      <c r="DY59" s="13"/>
      <c r="DZ59" s="13"/>
      <c r="EA59" s="13"/>
      <c r="EB59" s="13"/>
      <c r="EC59" s="13"/>
      <c r="ED59" s="13"/>
      <c r="EE59" s="13"/>
      <c r="EF59" s="13"/>
      <c r="EG59" s="13"/>
      <c r="EH59" s="13"/>
      <c r="EI59" s="13"/>
      <c r="EJ59" s="13"/>
      <c r="EK59" s="13"/>
      <c r="EL59" s="13"/>
      <c r="EM59" s="13"/>
      <c r="EN59" s="13"/>
      <c r="EO59" s="13"/>
      <c r="EP59" s="13"/>
      <c r="EQ59" s="13"/>
      <c r="ER59" s="13"/>
      <c r="ES59" s="13"/>
      <c r="ET59" s="13"/>
      <c r="EU59" s="13"/>
      <c r="EV59" s="13"/>
      <c r="EW59" s="13"/>
      <c r="EX59" s="13"/>
      <c r="EY59" s="13"/>
      <c r="EZ59" s="13"/>
      <c r="FA59" s="13"/>
      <c r="FB59" s="13"/>
      <c r="FC59" s="13"/>
      <c r="FD59" s="13"/>
      <c r="FF59" s="13" t="str">
        <f t="shared" si="311"/>
        <v/>
      </c>
      <c r="FG59" s="13" t="str">
        <f t="shared" si="312"/>
        <v/>
      </c>
      <c r="FH59" s="13" t="str">
        <f t="shared" si="313"/>
        <v/>
      </c>
      <c r="FI59" s="13" t="str">
        <f t="shared" si="314"/>
        <v/>
      </c>
      <c r="FJ59" s="13" t="str">
        <f t="shared" si="315"/>
        <v/>
      </c>
      <c r="FK59" s="13" t="str">
        <f t="shared" si="316"/>
        <v/>
      </c>
      <c r="FL59" s="13" t="str">
        <f t="shared" si="317"/>
        <v/>
      </c>
      <c r="FM59" s="13" t="str">
        <f t="shared" si="318"/>
        <v/>
      </c>
      <c r="FN59" s="13" t="str">
        <f t="shared" si="319"/>
        <v/>
      </c>
      <c r="FO59" s="13" t="str">
        <f t="shared" si="320"/>
        <v/>
      </c>
      <c r="FP59" s="13" t="str">
        <f t="shared" si="321"/>
        <v/>
      </c>
      <c r="FQ59" s="13" t="str">
        <f t="shared" si="322"/>
        <v/>
      </c>
      <c r="FR59" s="13" t="str">
        <f t="shared" si="323"/>
        <v/>
      </c>
      <c r="FS59" s="13" t="str">
        <f t="shared" si="324"/>
        <v/>
      </c>
      <c r="FT59" s="13" t="str">
        <f t="shared" si="325"/>
        <v/>
      </c>
      <c r="FU59" s="13" t="str">
        <f t="shared" si="326"/>
        <v/>
      </c>
      <c r="FV59" s="13" t="str">
        <f t="shared" si="327"/>
        <v/>
      </c>
      <c r="FW59" s="13" t="str">
        <f t="shared" si="328"/>
        <v/>
      </c>
      <c r="FX59" s="13" t="str">
        <f t="shared" si="329"/>
        <v/>
      </c>
      <c r="FY59" s="13" t="str">
        <f t="shared" si="330"/>
        <v/>
      </c>
      <c r="FZ59" s="13" t="str">
        <f t="shared" si="331"/>
        <v/>
      </c>
      <c r="GA59" s="13" t="str">
        <f t="shared" si="332"/>
        <v/>
      </c>
      <c r="GB59" s="13" t="str">
        <f t="shared" si="333"/>
        <v/>
      </c>
      <c r="GC59" s="13" t="str">
        <f t="shared" si="334"/>
        <v/>
      </c>
      <c r="GD59" s="13" t="str">
        <f t="shared" si="335"/>
        <v/>
      </c>
      <c r="GE59" s="13" t="str">
        <f t="shared" si="336"/>
        <v/>
      </c>
      <c r="GF59" s="13" t="str">
        <f t="shared" si="337"/>
        <v/>
      </c>
      <c r="GG59" s="13" t="str">
        <f t="shared" si="338"/>
        <v/>
      </c>
      <c r="GH59" s="13" t="str">
        <f t="shared" si="339"/>
        <v/>
      </c>
      <c r="GI59" s="13" t="str">
        <f t="shared" si="340"/>
        <v/>
      </c>
      <c r="GJ59" s="13" t="str">
        <f t="shared" si="341"/>
        <v/>
      </c>
      <c r="GK59" s="13" t="str">
        <f t="shared" si="342"/>
        <v/>
      </c>
      <c r="GL59" s="13" t="str">
        <f t="shared" si="343"/>
        <v/>
      </c>
      <c r="GM59" s="13" t="str">
        <f t="shared" si="344"/>
        <v/>
      </c>
      <c r="GN59" s="13" t="str">
        <f t="shared" si="345"/>
        <v/>
      </c>
      <c r="GO59" s="13" t="str">
        <f t="shared" si="346"/>
        <v/>
      </c>
      <c r="GP59" s="13" t="str">
        <f t="shared" si="347"/>
        <v/>
      </c>
      <c r="GQ59" s="13" t="str">
        <f t="shared" si="348"/>
        <v/>
      </c>
      <c r="GR59" s="13" t="str">
        <f t="shared" si="349"/>
        <v/>
      </c>
      <c r="GS59" s="13" t="str">
        <f t="shared" si="350"/>
        <v/>
      </c>
      <c r="GT59" s="13" t="str">
        <f t="shared" si="351"/>
        <v/>
      </c>
      <c r="GU59" s="13" t="str">
        <f t="shared" si="352"/>
        <v/>
      </c>
      <c r="GV59" s="13" t="str">
        <f t="shared" si="353"/>
        <v/>
      </c>
      <c r="GW59" s="13" t="str">
        <f t="shared" si="354"/>
        <v/>
      </c>
      <c r="GX59" s="13" t="str">
        <f t="shared" si="355"/>
        <v/>
      </c>
      <c r="GY59" s="13" t="str">
        <f t="shared" si="356"/>
        <v/>
      </c>
      <c r="GZ59" s="13" t="str">
        <f t="shared" si="357"/>
        <v/>
      </c>
      <c r="HA59" s="13" t="str">
        <f t="shared" si="358"/>
        <v/>
      </c>
      <c r="HB59" s="13" t="str">
        <f t="shared" si="359"/>
        <v/>
      </c>
      <c r="HC59" s="13" t="str">
        <f t="shared" si="360"/>
        <v/>
      </c>
      <c r="HD59" s="13" t="str">
        <f t="shared" si="361"/>
        <v/>
      </c>
      <c r="HE59" s="13" t="str">
        <f t="shared" si="362"/>
        <v/>
      </c>
      <c r="HF59" s="13" t="str">
        <f t="shared" si="363"/>
        <v/>
      </c>
      <c r="HG59" s="13" t="str">
        <f t="shared" si="364"/>
        <v/>
      </c>
      <c r="HH59" s="13" t="str">
        <f t="shared" si="365"/>
        <v/>
      </c>
      <c r="HJ59" s="114" t="str">
        <f t="shared" si="366"/>
        <v/>
      </c>
    </row>
    <row r="60" spans="3:218" s="119" customFormat="1" ht="45" customHeight="1">
      <c r="C60" s="118">
        <f t="shared" si="81"/>
        <v>9</v>
      </c>
      <c r="D60" s="198" t="s">
        <v>247</v>
      </c>
      <c r="E60" s="195" t="s">
        <v>248</v>
      </c>
      <c r="F60" s="196"/>
      <c r="G60" s="197"/>
      <c r="H60" s="74" t="s">
        <v>173</v>
      </c>
      <c r="I60" s="190"/>
      <c r="J60" s="191"/>
      <c r="K60" s="43"/>
      <c r="L60" s="67"/>
      <c r="M60" s="65"/>
      <c r="N60" s="65"/>
      <c r="O60" s="66"/>
      <c r="Q60" s="52"/>
      <c r="R60" s="52"/>
      <c r="S60" s="52"/>
      <c r="T60" s="52"/>
      <c r="U60" s="52"/>
      <c r="V60" s="52"/>
      <c r="W60" s="52"/>
      <c r="X60" s="52"/>
      <c r="Y60" s="52"/>
      <c r="Z60" s="52"/>
      <c r="AA60" s="52"/>
      <c r="AB60" s="52"/>
      <c r="AC60" s="52"/>
      <c r="AD60" s="52"/>
      <c r="AE60" s="52"/>
      <c r="AF60" s="52"/>
      <c r="AG60" s="52"/>
      <c r="AH60" s="52"/>
      <c r="AI60" s="52"/>
      <c r="AJ60" s="52"/>
      <c r="AK60" s="52"/>
      <c r="AL60" s="52"/>
      <c r="AM60" s="52"/>
      <c r="AN60" s="52"/>
      <c r="AO60" s="52"/>
      <c r="AP60" s="52"/>
      <c r="AQ60" s="52"/>
      <c r="AR60" s="52"/>
      <c r="AS60" s="52"/>
      <c r="AT60" s="52"/>
      <c r="AU60" s="52"/>
      <c r="AV60" s="52"/>
      <c r="AX60" s="13"/>
      <c r="AY60" s="13"/>
      <c r="AZ60" s="13"/>
      <c r="BA60" s="13"/>
      <c r="BB60" s="13"/>
      <c r="BC60" s="13"/>
      <c r="BD60" s="13"/>
      <c r="BE60" s="13"/>
      <c r="BF60" s="13"/>
      <c r="BG60" s="13"/>
      <c r="BH60" s="13"/>
      <c r="BI60" s="13"/>
      <c r="BJ60" s="13"/>
      <c r="BK60" s="13"/>
      <c r="BL60" s="13"/>
      <c r="BM60" s="13"/>
      <c r="BN60" s="13"/>
      <c r="BO60" s="13"/>
      <c r="BP60" s="13"/>
      <c r="BQ60" s="13"/>
      <c r="BR60" s="13"/>
      <c r="BS60" s="13"/>
      <c r="BT60" s="13"/>
      <c r="BU60" s="13"/>
      <c r="BV60" s="13"/>
      <c r="BW60" s="13"/>
      <c r="BX60" s="13"/>
      <c r="BY60" s="13"/>
      <c r="BZ60" s="13"/>
      <c r="CA60" s="13"/>
      <c r="CB60" s="13"/>
      <c r="CC60" s="13"/>
      <c r="CD60" s="13"/>
      <c r="CE60" s="13"/>
      <c r="CF60" s="13"/>
      <c r="CG60" s="13"/>
      <c r="CH60" s="13"/>
      <c r="CI60" s="13"/>
      <c r="CJ60" s="13"/>
      <c r="CK60" s="13"/>
      <c r="CL60" s="13"/>
      <c r="CM60" s="13"/>
      <c r="CN60" s="13"/>
      <c r="CO60" s="13"/>
      <c r="CP60" s="13"/>
      <c r="CQ60" s="13"/>
      <c r="CR60" s="13"/>
      <c r="CS60" s="13"/>
      <c r="CT60" s="13"/>
      <c r="CU60" s="13"/>
      <c r="CV60" s="13"/>
      <c r="CW60" s="13"/>
      <c r="CX60" s="13"/>
      <c r="CY60" s="13"/>
      <c r="CZ60" s="13"/>
      <c r="DA60" s="112" t="e">
        <f t="shared" si="310"/>
        <v>#N/A</v>
      </c>
      <c r="DB60" s="13"/>
      <c r="DC60" s="13"/>
      <c r="DD60" s="13"/>
      <c r="DE60" s="13"/>
      <c r="DF60" s="13"/>
      <c r="DG60" s="13"/>
      <c r="DH60" s="13"/>
      <c r="DI60" s="13"/>
      <c r="DJ60" s="13"/>
      <c r="DK60" s="13"/>
      <c r="DL60" s="13"/>
      <c r="DM60" s="13"/>
      <c r="DN60" s="13"/>
      <c r="DO60" s="13"/>
      <c r="DP60" s="13"/>
      <c r="DQ60" s="13"/>
      <c r="DR60" s="13"/>
      <c r="DS60" s="13"/>
      <c r="DT60" s="13"/>
      <c r="DU60" s="13"/>
      <c r="DV60" s="13"/>
      <c r="DW60" s="13"/>
      <c r="DX60" s="13"/>
      <c r="DY60" s="13"/>
      <c r="DZ60" s="13"/>
      <c r="EA60" s="13"/>
      <c r="EB60" s="13"/>
      <c r="EC60" s="13"/>
      <c r="ED60" s="13"/>
      <c r="EE60" s="13"/>
      <c r="EF60" s="13"/>
      <c r="EG60" s="13"/>
      <c r="EH60" s="13"/>
      <c r="EI60" s="13"/>
      <c r="EJ60" s="13"/>
      <c r="EK60" s="13"/>
      <c r="EL60" s="13"/>
      <c r="EM60" s="13"/>
      <c r="EN60" s="13"/>
      <c r="EO60" s="13"/>
      <c r="EP60" s="13"/>
      <c r="EQ60" s="13"/>
      <c r="ER60" s="13"/>
      <c r="ES60" s="13"/>
      <c r="ET60" s="13"/>
      <c r="EU60" s="13"/>
      <c r="EV60" s="13"/>
      <c r="EW60" s="13"/>
      <c r="EX60" s="13"/>
      <c r="EY60" s="13"/>
      <c r="EZ60" s="13"/>
      <c r="FA60" s="13"/>
      <c r="FB60" s="13"/>
      <c r="FC60" s="13"/>
      <c r="FD60" s="13"/>
      <c r="FF60" s="13" t="str">
        <f t="shared" si="311"/>
        <v/>
      </c>
      <c r="FG60" s="13" t="str">
        <f t="shared" si="312"/>
        <v/>
      </c>
      <c r="FH60" s="13" t="str">
        <f t="shared" si="313"/>
        <v/>
      </c>
      <c r="FI60" s="13" t="str">
        <f t="shared" si="314"/>
        <v/>
      </c>
      <c r="FJ60" s="13" t="str">
        <f t="shared" si="315"/>
        <v/>
      </c>
      <c r="FK60" s="13" t="str">
        <f t="shared" si="316"/>
        <v/>
      </c>
      <c r="FL60" s="13" t="str">
        <f t="shared" si="317"/>
        <v/>
      </c>
      <c r="FM60" s="13" t="str">
        <f t="shared" si="318"/>
        <v/>
      </c>
      <c r="FN60" s="13" t="str">
        <f t="shared" si="319"/>
        <v/>
      </c>
      <c r="FO60" s="13" t="str">
        <f t="shared" si="320"/>
        <v/>
      </c>
      <c r="FP60" s="13" t="str">
        <f t="shared" si="321"/>
        <v/>
      </c>
      <c r="FQ60" s="13" t="str">
        <f t="shared" si="322"/>
        <v/>
      </c>
      <c r="FR60" s="13" t="str">
        <f t="shared" si="323"/>
        <v/>
      </c>
      <c r="FS60" s="13" t="str">
        <f t="shared" si="324"/>
        <v/>
      </c>
      <c r="FT60" s="13" t="str">
        <f t="shared" si="325"/>
        <v/>
      </c>
      <c r="FU60" s="13" t="str">
        <f t="shared" si="326"/>
        <v/>
      </c>
      <c r="FV60" s="13" t="str">
        <f t="shared" si="327"/>
        <v/>
      </c>
      <c r="FW60" s="13" t="str">
        <f t="shared" si="328"/>
        <v/>
      </c>
      <c r="FX60" s="13" t="str">
        <f t="shared" si="329"/>
        <v/>
      </c>
      <c r="FY60" s="13" t="str">
        <f t="shared" si="330"/>
        <v/>
      </c>
      <c r="FZ60" s="13" t="str">
        <f t="shared" si="331"/>
        <v/>
      </c>
      <c r="GA60" s="13" t="str">
        <f t="shared" si="332"/>
        <v/>
      </c>
      <c r="GB60" s="13" t="str">
        <f t="shared" si="333"/>
        <v/>
      </c>
      <c r="GC60" s="13" t="str">
        <f t="shared" si="334"/>
        <v/>
      </c>
      <c r="GD60" s="13" t="str">
        <f t="shared" si="335"/>
        <v/>
      </c>
      <c r="GE60" s="13" t="str">
        <f t="shared" si="336"/>
        <v/>
      </c>
      <c r="GF60" s="13" t="str">
        <f t="shared" si="337"/>
        <v/>
      </c>
      <c r="GG60" s="13" t="str">
        <f t="shared" si="338"/>
        <v/>
      </c>
      <c r="GH60" s="13" t="str">
        <f t="shared" si="339"/>
        <v/>
      </c>
      <c r="GI60" s="13" t="str">
        <f t="shared" si="340"/>
        <v/>
      </c>
      <c r="GJ60" s="13" t="str">
        <f t="shared" si="341"/>
        <v/>
      </c>
      <c r="GK60" s="13" t="str">
        <f t="shared" si="342"/>
        <v/>
      </c>
      <c r="GL60" s="13" t="str">
        <f t="shared" si="343"/>
        <v/>
      </c>
      <c r="GM60" s="13" t="str">
        <f t="shared" si="344"/>
        <v/>
      </c>
      <c r="GN60" s="13" t="str">
        <f t="shared" si="345"/>
        <v/>
      </c>
      <c r="GO60" s="13" t="str">
        <f t="shared" si="346"/>
        <v/>
      </c>
      <c r="GP60" s="13" t="str">
        <f t="shared" si="347"/>
        <v/>
      </c>
      <c r="GQ60" s="13" t="str">
        <f t="shared" si="348"/>
        <v/>
      </c>
      <c r="GR60" s="13" t="str">
        <f t="shared" si="349"/>
        <v/>
      </c>
      <c r="GS60" s="13" t="str">
        <f t="shared" si="350"/>
        <v/>
      </c>
      <c r="GT60" s="13" t="str">
        <f t="shared" si="351"/>
        <v/>
      </c>
      <c r="GU60" s="13" t="str">
        <f t="shared" si="352"/>
        <v/>
      </c>
      <c r="GV60" s="13" t="str">
        <f t="shared" si="353"/>
        <v/>
      </c>
      <c r="GW60" s="13" t="str">
        <f t="shared" si="354"/>
        <v/>
      </c>
      <c r="GX60" s="13" t="str">
        <f t="shared" si="355"/>
        <v/>
      </c>
      <c r="GY60" s="13" t="str">
        <f t="shared" si="356"/>
        <v/>
      </c>
      <c r="GZ60" s="13" t="str">
        <f t="shared" si="357"/>
        <v/>
      </c>
      <c r="HA60" s="13" t="str">
        <f t="shared" si="358"/>
        <v/>
      </c>
      <c r="HB60" s="13" t="str">
        <f t="shared" si="359"/>
        <v/>
      </c>
      <c r="HC60" s="13" t="str">
        <f t="shared" si="360"/>
        <v/>
      </c>
      <c r="HD60" s="13" t="str">
        <f t="shared" si="361"/>
        <v/>
      </c>
      <c r="HE60" s="13" t="str">
        <f t="shared" si="362"/>
        <v/>
      </c>
      <c r="HF60" s="13" t="str">
        <f t="shared" si="363"/>
        <v/>
      </c>
      <c r="HG60" s="13" t="str">
        <f t="shared" si="364"/>
        <v/>
      </c>
      <c r="HH60" s="13" t="str">
        <f t="shared" si="365"/>
        <v/>
      </c>
      <c r="HJ60" s="114" t="str">
        <f t="shared" si="366"/>
        <v/>
      </c>
    </row>
    <row r="61" spans="3:218" s="119" customFormat="1" ht="45" customHeight="1">
      <c r="C61" s="122">
        <f t="shared" si="81"/>
        <v>10</v>
      </c>
      <c r="D61" s="200"/>
      <c r="E61" s="195" t="s">
        <v>245</v>
      </c>
      <c r="F61" s="196"/>
      <c r="G61" s="197"/>
      <c r="H61" s="74" t="s">
        <v>173</v>
      </c>
      <c r="I61" s="190"/>
      <c r="J61" s="191"/>
      <c r="K61" s="43"/>
      <c r="L61" s="67"/>
      <c r="M61" s="65"/>
      <c r="N61" s="65"/>
      <c r="O61" s="66"/>
      <c r="Q61" s="52"/>
      <c r="R61" s="52"/>
      <c r="S61" s="52"/>
      <c r="T61" s="52"/>
      <c r="U61" s="52"/>
      <c r="V61" s="52"/>
      <c r="W61" s="52"/>
      <c r="X61" s="52"/>
      <c r="Y61" s="52"/>
      <c r="Z61" s="52"/>
      <c r="AA61" s="52"/>
      <c r="AB61" s="52"/>
      <c r="AC61" s="52"/>
      <c r="AD61" s="52"/>
      <c r="AE61" s="52"/>
      <c r="AF61" s="52"/>
      <c r="AG61" s="52"/>
      <c r="AH61" s="52"/>
      <c r="AI61" s="52"/>
      <c r="AJ61" s="52"/>
      <c r="AK61" s="52"/>
      <c r="AL61" s="52"/>
      <c r="AM61" s="52"/>
      <c r="AN61" s="52"/>
      <c r="AO61" s="52"/>
      <c r="AP61" s="52"/>
      <c r="AQ61" s="52"/>
      <c r="AR61" s="52"/>
      <c r="AS61" s="52"/>
      <c r="AT61" s="52"/>
      <c r="AU61" s="52"/>
      <c r="AV61" s="52"/>
      <c r="AX61" s="13"/>
      <c r="AY61" s="13"/>
      <c r="AZ61" s="13"/>
      <c r="BA61" s="13"/>
      <c r="BB61" s="13"/>
      <c r="BC61" s="13"/>
      <c r="BD61" s="13"/>
      <c r="BE61" s="13"/>
      <c r="BF61" s="13"/>
      <c r="BG61" s="13"/>
      <c r="BH61" s="13"/>
      <c r="BI61" s="13"/>
      <c r="BJ61" s="13"/>
      <c r="BK61" s="13"/>
      <c r="BL61" s="13"/>
      <c r="BM61" s="13"/>
      <c r="BN61" s="13"/>
      <c r="BO61" s="13"/>
      <c r="BP61" s="13"/>
      <c r="BQ61" s="13"/>
      <c r="BR61" s="13"/>
      <c r="BS61" s="13"/>
      <c r="BT61" s="13"/>
      <c r="BU61" s="13"/>
      <c r="BV61" s="13"/>
      <c r="BW61" s="13"/>
      <c r="BX61" s="13"/>
      <c r="BY61" s="13"/>
      <c r="BZ61" s="13"/>
      <c r="CA61" s="13"/>
      <c r="CB61" s="13"/>
      <c r="CC61" s="13"/>
      <c r="CD61" s="13"/>
      <c r="CE61" s="13"/>
      <c r="CF61" s="13"/>
      <c r="CG61" s="13"/>
      <c r="CH61" s="13"/>
      <c r="CI61" s="13"/>
      <c r="CJ61" s="13"/>
      <c r="CK61" s="13"/>
      <c r="CL61" s="13"/>
      <c r="CM61" s="13"/>
      <c r="CN61" s="13"/>
      <c r="CO61" s="13"/>
      <c r="CP61" s="13"/>
      <c r="CQ61" s="13"/>
      <c r="CR61" s="13"/>
      <c r="CS61" s="13"/>
      <c r="CT61" s="13"/>
      <c r="CU61" s="13"/>
      <c r="CV61" s="13"/>
      <c r="CW61" s="13"/>
      <c r="CX61" s="13"/>
      <c r="CY61" s="13"/>
      <c r="CZ61" s="13"/>
      <c r="DA61" s="112" t="e">
        <f t="shared" ref="DA61:DA62" si="367">MATCH(TRUE,DB61:FD61,0)</f>
        <v>#N/A</v>
      </c>
      <c r="DB61" s="13"/>
      <c r="DC61" s="13"/>
      <c r="DD61" s="13"/>
      <c r="DE61" s="13"/>
      <c r="DF61" s="13"/>
      <c r="DG61" s="13"/>
      <c r="DH61" s="13"/>
      <c r="DI61" s="13"/>
      <c r="DJ61" s="13"/>
      <c r="DK61" s="13"/>
      <c r="DL61" s="13"/>
      <c r="DM61" s="13"/>
      <c r="DN61" s="13"/>
      <c r="DO61" s="13"/>
      <c r="DP61" s="13"/>
      <c r="DQ61" s="13"/>
      <c r="DR61" s="13"/>
      <c r="DS61" s="13"/>
      <c r="DT61" s="13"/>
      <c r="DU61" s="13"/>
      <c r="DV61" s="13"/>
      <c r="DW61" s="13"/>
      <c r="DX61" s="13"/>
      <c r="DY61" s="13"/>
      <c r="DZ61" s="13"/>
      <c r="EA61" s="13"/>
      <c r="EB61" s="13"/>
      <c r="EC61" s="13"/>
      <c r="ED61" s="13"/>
      <c r="EE61" s="13"/>
      <c r="EF61" s="13"/>
      <c r="EG61" s="13"/>
      <c r="EH61" s="13"/>
      <c r="EI61" s="13"/>
      <c r="EJ61" s="13"/>
      <c r="EK61" s="13"/>
      <c r="EL61" s="13"/>
      <c r="EM61" s="13"/>
      <c r="EN61" s="13"/>
      <c r="EO61" s="13"/>
      <c r="EP61" s="13"/>
      <c r="EQ61" s="13"/>
      <c r="ER61" s="13"/>
      <c r="ES61" s="13"/>
      <c r="ET61" s="13"/>
      <c r="EU61" s="13"/>
      <c r="EV61" s="13"/>
      <c r="EW61" s="13"/>
      <c r="EX61" s="13"/>
      <c r="EY61" s="13"/>
      <c r="EZ61" s="13"/>
      <c r="FA61" s="13"/>
      <c r="FB61" s="13"/>
      <c r="FC61" s="13"/>
      <c r="FD61" s="13"/>
      <c r="FF61" s="13" t="str">
        <f t="shared" ref="FF61:FF62" si="368">IF(DB61=TRUE,AX61&amp;"; ","")</f>
        <v/>
      </c>
      <c r="FG61" s="13" t="str">
        <f t="shared" ref="FG61:FG62" si="369">IF(DC61=TRUE,AY61&amp;"; ","")</f>
        <v/>
      </c>
      <c r="FH61" s="13" t="str">
        <f t="shared" ref="FH61:FH62" si="370">IF(DD61=TRUE,AZ61&amp;"; ","")</f>
        <v/>
      </c>
      <c r="FI61" s="13" t="str">
        <f t="shared" ref="FI61:FI62" si="371">IF(DE61=TRUE,BA61&amp;"; ","")</f>
        <v/>
      </c>
      <c r="FJ61" s="13" t="str">
        <f t="shared" ref="FJ61:FJ62" si="372">IF(DF61=TRUE,BB61&amp;"; ","")</f>
        <v/>
      </c>
      <c r="FK61" s="13" t="str">
        <f t="shared" ref="FK61:FK62" si="373">IF(DG61=TRUE,BC61&amp;"; ","")</f>
        <v/>
      </c>
      <c r="FL61" s="13" t="str">
        <f t="shared" ref="FL61:FL62" si="374">IF(DH61=TRUE,BD61&amp;"; ","")</f>
        <v/>
      </c>
      <c r="FM61" s="13" t="str">
        <f t="shared" ref="FM61:FM62" si="375">IF(DI61=TRUE,BE61&amp;"; ","")</f>
        <v/>
      </c>
      <c r="FN61" s="13" t="str">
        <f t="shared" ref="FN61:FN62" si="376">IF(DJ61=TRUE,BF61&amp;"; ","")</f>
        <v/>
      </c>
      <c r="FO61" s="13" t="str">
        <f t="shared" ref="FO61:FO62" si="377">IF(DK61=TRUE,BG61&amp;"; ","")</f>
        <v/>
      </c>
      <c r="FP61" s="13" t="str">
        <f t="shared" ref="FP61:FP62" si="378">IF(DL61=TRUE,BH61&amp;"; ","")</f>
        <v/>
      </c>
      <c r="FQ61" s="13" t="str">
        <f t="shared" ref="FQ61:FQ62" si="379">IF(DM61=TRUE,BI61&amp;"; ","")</f>
        <v/>
      </c>
      <c r="FR61" s="13" t="str">
        <f t="shared" ref="FR61:FR62" si="380">IF(DN61=TRUE,BJ61&amp;"; ","")</f>
        <v/>
      </c>
      <c r="FS61" s="13" t="str">
        <f t="shared" ref="FS61:FS62" si="381">IF(DO61=TRUE,BK61&amp;"; ","")</f>
        <v/>
      </c>
      <c r="FT61" s="13" t="str">
        <f t="shared" ref="FT61:FT62" si="382">IF(DP61=TRUE,BL61&amp;"; ","")</f>
        <v/>
      </c>
      <c r="FU61" s="13" t="str">
        <f t="shared" ref="FU61:FU62" si="383">IF(DQ61=TRUE,BM61&amp;"; ","")</f>
        <v/>
      </c>
      <c r="FV61" s="13" t="str">
        <f t="shared" ref="FV61:FV62" si="384">IF(DR61=TRUE,BN61&amp;"; ","")</f>
        <v/>
      </c>
      <c r="FW61" s="13" t="str">
        <f t="shared" ref="FW61:FW62" si="385">IF(DS61=TRUE,BO61&amp;"; ","")</f>
        <v/>
      </c>
      <c r="FX61" s="13" t="str">
        <f t="shared" ref="FX61:FX62" si="386">IF(DT61=TRUE,BP61&amp;"; ","")</f>
        <v/>
      </c>
      <c r="FY61" s="13" t="str">
        <f t="shared" ref="FY61:FY62" si="387">IF(DU61=TRUE,BQ61&amp;"; ","")</f>
        <v/>
      </c>
      <c r="FZ61" s="13" t="str">
        <f t="shared" ref="FZ61:FZ62" si="388">IF(DV61=TRUE,BR61&amp;"; ","")</f>
        <v/>
      </c>
      <c r="GA61" s="13" t="str">
        <f t="shared" ref="GA61:GA62" si="389">IF(DW61=TRUE,BS61&amp;"; ","")</f>
        <v/>
      </c>
      <c r="GB61" s="13" t="str">
        <f t="shared" ref="GB61:GB62" si="390">IF(DX61=TRUE,BT61&amp;"; ","")</f>
        <v/>
      </c>
      <c r="GC61" s="13" t="str">
        <f t="shared" ref="GC61:GC62" si="391">IF(DY61=TRUE,BU61&amp;"; ","")</f>
        <v/>
      </c>
      <c r="GD61" s="13" t="str">
        <f t="shared" ref="GD61:GD62" si="392">IF(DZ61=TRUE,BV61&amp;"; ","")</f>
        <v/>
      </c>
      <c r="GE61" s="13" t="str">
        <f t="shared" ref="GE61:GE62" si="393">IF(EA61=TRUE,BW61&amp;"; ","")</f>
        <v/>
      </c>
      <c r="GF61" s="13" t="str">
        <f t="shared" ref="GF61:GF62" si="394">IF(EB61=TRUE,BX61&amp;"; ","")</f>
        <v/>
      </c>
      <c r="GG61" s="13" t="str">
        <f t="shared" ref="GG61:GG62" si="395">IF(EC61=TRUE,BY61&amp;"; ","")</f>
        <v/>
      </c>
      <c r="GH61" s="13" t="str">
        <f t="shared" ref="GH61:GH62" si="396">IF(ED61=TRUE,BZ61&amp;"; ","")</f>
        <v/>
      </c>
      <c r="GI61" s="13" t="str">
        <f t="shared" ref="GI61:GI62" si="397">IF(EE61=TRUE,CA61&amp;"; ","")</f>
        <v/>
      </c>
      <c r="GJ61" s="13" t="str">
        <f t="shared" ref="GJ61:GJ62" si="398">IF(EF61=TRUE,CB61&amp;"; ","")</f>
        <v/>
      </c>
      <c r="GK61" s="13" t="str">
        <f t="shared" ref="GK61:GK62" si="399">IF(EG61=TRUE,CC61&amp;"; ","")</f>
        <v/>
      </c>
      <c r="GL61" s="13" t="str">
        <f t="shared" ref="GL61:GL62" si="400">IF(EH61=TRUE,CD61&amp;"; ","")</f>
        <v/>
      </c>
      <c r="GM61" s="13" t="str">
        <f t="shared" ref="GM61:GM62" si="401">IF(EI61=TRUE,CE61&amp;"; ","")</f>
        <v/>
      </c>
      <c r="GN61" s="13" t="str">
        <f t="shared" ref="GN61:GN62" si="402">IF(EJ61=TRUE,CF61&amp;"; ","")</f>
        <v/>
      </c>
      <c r="GO61" s="13" t="str">
        <f t="shared" ref="GO61:GO62" si="403">IF(EK61=TRUE,CG61&amp;"; ","")</f>
        <v/>
      </c>
      <c r="GP61" s="13" t="str">
        <f t="shared" ref="GP61:GP62" si="404">IF(EL61=TRUE,CH61&amp;"; ","")</f>
        <v/>
      </c>
      <c r="GQ61" s="13" t="str">
        <f t="shared" ref="GQ61:GQ62" si="405">IF(EM61=TRUE,CI61&amp;"; ","")</f>
        <v/>
      </c>
      <c r="GR61" s="13" t="str">
        <f t="shared" ref="GR61:GR62" si="406">IF(EN61=TRUE,CJ61&amp;"; ","")</f>
        <v/>
      </c>
      <c r="GS61" s="13" t="str">
        <f t="shared" ref="GS61:GS62" si="407">IF(EO61=TRUE,CK61&amp;"; ","")</f>
        <v/>
      </c>
      <c r="GT61" s="13" t="str">
        <f t="shared" ref="GT61:GT62" si="408">IF(EP61=TRUE,CL61&amp;"; ","")</f>
        <v/>
      </c>
      <c r="GU61" s="13" t="str">
        <f t="shared" ref="GU61:GU62" si="409">IF(EQ61=TRUE,CM61&amp;"; ","")</f>
        <v/>
      </c>
      <c r="GV61" s="13" t="str">
        <f t="shared" ref="GV61:GV62" si="410">IF(ER61=TRUE,CN61&amp;"; ","")</f>
        <v/>
      </c>
      <c r="GW61" s="13" t="str">
        <f t="shared" ref="GW61:GW62" si="411">IF(ES61=TRUE,CO61&amp;"; ","")</f>
        <v/>
      </c>
      <c r="GX61" s="13" t="str">
        <f t="shared" ref="GX61:GX62" si="412">IF(ET61=TRUE,CP61&amp;"; ","")</f>
        <v/>
      </c>
      <c r="GY61" s="13" t="str">
        <f t="shared" ref="GY61:GY62" si="413">IF(EU61=TRUE,CQ61&amp;"; ","")</f>
        <v/>
      </c>
      <c r="GZ61" s="13" t="str">
        <f t="shared" ref="GZ61:GZ62" si="414">IF(EV61=TRUE,CR61&amp;"; ","")</f>
        <v/>
      </c>
      <c r="HA61" s="13" t="str">
        <f t="shared" ref="HA61:HA62" si="415">IF(EW61=TRUE,CS61&amp;"; ","")</f>
        <v/>
      </c>
      <c r="HB61" s="13" t="str">
        <f t="shared" ref="HB61:HB62" si="416">IF(EX61=TRUE,CT61&amp;"; ","")</f>
        <v/>
      </c>
      <c r="HC61" s="13" t="str">
        <f t="shared" ref="HC61:HC62" si="417">IF(EY61=TRUE,CU61&amp;"; ","")</f>
        <v/>
      </c>
      <c r="HD61" s="13" t="str">
        <f t="shared" ref="HD61:HD62" si="418">IF(EZ61=TRUE,CV61&amp;"; ","")</f>
        <v/>
      </c>
      <c r="HE61" s="13" t="str">
        <f t="shared" ref="HE61:HE62" si="419">IF(FA61=TRUE,CW61&amp;"; ","")</f>
        <v/>
      </c>
      <c r="HF61" s="13" t="str">
        <f t="shared" ref="HF61:HF62" si="420">IF(FB61=TRUE,CX61&amp;"; ","")</f>
        <v/>
      </c>
      <c r="HG61" s="13" t="str">
        <f t="shared" ref="HG61:HG62" si="421">IF(FC61=TRUE,CY61&amp;"; ","")</f>
        <v/>
      </c>
      <c r="HH61" s="13" t="str">
        <f t="shared" ref="HH61:HH62" si="422">IF(FD61=TRUE,CZ61&amp;"; ","")</f>
        <v/>
      </c>
      <c r="HJ61" s="114" t="str">
        <f t="shared" ref="HJ61:HJ62" si="423">IFERROR(LEFT(FF61&amp;FG61&amp;FH61&amp;FI61&amp;FJ61&amp;FK61&amp;FL61&amp;FM61&amp;FN61&amp;FO61&amp;FP61&amp;FQ61&amp;FR61&amp;FS61&amp;FT61&amp;FU61&amp;FV61&amp;FW61&amp;FX61&amp;FY61&amp;FZ61&amp;GA61&amp;GB61&amp;GC61&amp;GD61&amp;GE61&amp;GF61&amp;GG61&amp;GH61&amp;GI61&amp;GJ61&amp;GK61&amp;GL61&amp;GM61&amp;GN61&amp;GO61&amp;GP61&amp;GQ61&amp;GR61&amp;GS61&amp;GT61&amp;GU61&amp;GV61&amp;GW61&amp;GX61&amp;GY61&amp;GZ61&amp;HA61&amp;HB61&amp;HC61&amp;HD61&amp;HE61&amp;HF61&amp;HG61&amp;HH61,LEN(FF61&amp;FG61&amp;FH61&amp;FI61&amp;FJ61&amp;FK61&amp;FL61&amp;FM61&amp;FN61&amp;FO61&amp;FP61&amp;FQ61&amp;FR61&amp;FS61&amp;FT61&amp;FU61&amp;FV61&amp;FW61&amp;FX61&amp;FY61&amp;FZ61&amp;GA61&amp;GB61&amp;GC61&amp;GD61&amp;GE61&amp;GF61&amp;GG61&amp;GH61&amp;GI61&amp;GJ61&amp;GK61&amp;GL61&amp;GM61&amp;GN61&amp;GO61&amp;GP61&amp;GQ61&amp;GR61&amp;GS61&amp;GT61&amp;GU61&amp;GV61&amp;GW61&amp;GX61&amp;GY61&amp;GZ61&amp;HA61&amp;HB61&amp;HC61&amp;HD61&amp;HE61&amp;HF61&amp;HG61&amp;HH61)-2),"")</f>
        <v/>
      </c>
    </row>
    <row r="62" spans="3:218" s="119" customFormat="1" ht="45" customHeight="1">
      <c r="C62" s="118">
        <f t="shared" si="81"/>
        <v>11</v>
      </c>
      <c r="D62" s="198" t="s">
        <v>139</v>
      </c>
      <c r="E62" s="195" t="s">
        <v>249</v>
      </c>
      <c r="F62" s="196"/>
      <c r="G62" s="197"/>
      <c r="H62" s="74" t="s">
        <v>173</v>
      </c>
      <c r="I62" s="190"/>
      <c r="J62" s="191"/>
      <c r="K62" s="43"/>
      <c r="L62" s="67"/>
      <c r="M62" s="65"/>
      <c r="N62" s="65"/>
      <c r="O62" s="66"/>
      <c r="Q62" s="52"/>
      <c r="R62" s="52"/>
      <c r="S62" s="52"/>
      <c r="T62" s="52"/>
      <c r="U62" s="52"/>
      <c r="V62" s="52"/>
      <c r="W62" s="52"/>
      <c r="X62" s="52"/>
      <c r="Y62" s="52"/>
      <c r="Z62" s="52"/>
      <c r="AA62" s="52"/>
      <c r="AB62" s="52"/>
      <c r="AC62" s="52"/>
      <c r="AD62" s="52"/>
      <c r="AE62" s="52"/>
      <c r="AF62" s="52"/>
      <c r="AG62" s="52"/>
      <c r="AH62" s="52"/>
      <c r="AI62" s="52"/>
      <c r="AJ62" s="52"/>
      <c r="AK62" s="52"/>
      <c r="AL62" s="52"/>
      <c r="AM62" s="52"/>
      <c r="AN62" s="52"/>
      <c r="AO62" s="52"/>
      <c r="AP62" s="52"/>
      <c r="AQ62" s="52"/>
      <c r="AR62" s="52"/>
      <c r="AS62" s="52"/>
      <c r="AT62" s="52"/>
      <c r="AU62" s="52"/>
      <c r="AV62" s="52"/>
      <c r="AX62" s="13"/>
      <c r="AY62" s="13"/>
      <c r="AZ62" s="13"/>
      <c r="BA62" s="13"/>
      <c r="BB62" s="13"/>
      <c r="BC62" s="13"/>
      <c r="BD62" s="13"/>
      <c r="BE62" s="13"/>
      <c r="BF62" s="13"/>
      <c r="BG62" s="13"/>
      <c r="BH62" s="13"/>
      <c r="BI62" s="13"/>
      <c r="BJ62" s="13"/>
      <c r="BK62" s="13"/>
      <c r="BL62" s="13"/>
      <c r="BM62" s="13"/>
      <c r="BN62" s="13"/>
      <c r="BO62" s="13"/>
      <c r="BP62" s="13"/>
      <c r="BQ62" s="13"/>
      <c r="BR62" s="13"/>
      <c r="BS62" s="13"/>
      <c r="BT62" s="13"/>
      <c r="BU62" s="13"/>
      <c r="BV62" s="13"/>
      <c r="BW62" s="13"/>
      <c r="BX62" s="13"/>
      <c r="BY62" s="13"/>
      <c r="BZ62" s="13"/>
      <c r="CA62" s="13"/>
      <c r="CB62" s="13"/>
      <c r="CC62" s="13"/>
      <c r="CD62" s="13"/>
      <c r="CE62" s="13"/>
      <c r="CF62" s="13"/>
      <c r="CG62" s="13"/>
      <c r="CH62" s="13"/>
      <c r="CI62" s="13"/>
      <c r="CJ62" s="13"/>
      <c r="CK62" s="13"/>
      <c r="CL62" s="13"/>
      <c r="CM62" s="13"/>
      <c r="CN62" s="13"/>
      <c r="CO62" s="13"/>
      <c r="CP62" s="13"/>
      <c r="CQ62" s="13"/>
      <c r="CR62" s="13"/>
      <c r="CS62" s="13"/>
      <c r="CT62" s="13"/>
      <c r="CU62" s="13"/>
      <c r="CV62" s="13"/>
      <c r="CW62" s="13"/>
      <c r="CX62" s="13"/>
      <c r="CY62" s="13"/>
      <c r="CZ62" s="13"/>
      <c r="DA62" s="112" t="e">
        <f t="shared" si="367"/>
        <v>#N/A</v>
      </c>
      <c r="DB62" s="13"/>
      <c r="DC62" s="13"/>
      <c r="DD62" s="13"/>
      <c r="DE62" s="13"/>
      <c r="DF62" s="13"/>
      <c r="DG62" s="13"/>
      <c r="DH62" s="13"/>
      <c r="DI62" s="13"/>
      <c r="DJ62" s="13"/>
      <c r="DK62" s="13"/>
      <c r="DL62" s="13"/>
      <c r="DM62" s="13"/>
      <c r="DN62" s="13"/>
      <c r="DO62" s="13"/>
      <c r="DP62" s="13"/>
      <c r="DQ62" s="13"/>
      <c r="DR62" s="13"/>
      <c r="DS62" s="13"/>
      <c r="DT62" s="13"/>
      <c r="DU62" s="13"/>
      <c r="DV62" s="13"/>
      <c r="DW62" s="13"/>
      <c r="DX62" s="13"/>
      <c r="DY62" s="13"/>
      <c r="DZ62" s="13"/>
      <c r="EA62" s="13"/>
      <c r="EB62" s="13"/>
      <c r="EC62" s="13"/>
      <c r="ED62" s="13"/>
      <c r="EE62" s="13"/>
      <c r="EF62" s="13"/>
      <c r="EG62" s="13"/>
      <c r="EH62" s="13"/>
      <c r="EI62" s="13"/>
      <c r="EJ62" s="13"/>
      <c r="EK62" s="13"/>
      <c r="EL62" s="13"/>
      <c r="EM62" s="13"/>
      <c r="EN62" s="13"/>
      <c r="EO62" s="13"/>
      <c r="EP62" s="13"/>
      <c r="EQ62" s="13"/>
      <c r="ER62" s="13"/>
      <c r="ES62" s="13"/>
      <c r="ET62" s="13"/>
      <c r="EU62" s="13"/>
      <c r="EV62" s="13"/>
      <c r="EW62" s="13"/>
      <c r="EX62" s="13"/>
      <c r="EY62" s="13"/>
      <c r="EZ62" s="13"/>
      <c r="FA62" s="13"/>
      <c r="FB62" s="13"/>
      <c r="FC62" s="13"/>
      <c r="FD62" s="13"/>
      <c r="FF62" s="13" t="str">
        <f t="shared" si="368"/>
        <v/>
      </c>
      <c r="FG62" s="13" t="str">
        <f t="shared" si="369"/>
        <v/>
      </c>
      <c r="FH62" s="13" t="str">
        <f t="shared" si="370"/>
        <v/>
      </c>
      <c r="FI62" s="13" t="str">
        <f t="shared" si="371"/>
        <v/>
      </c>
      <c r="FJ62" s="13" t="str">
        <f t="shared" si="372"/>
        <v/>
      </c>
      <c r="FK62" s="13" t="str">
        <f t="shared" si="373"/>
        <v/>
      </c>
      <c r="FL62" s="13" t="str">
        <f t="shared" si="374"/>
        <v/>
      </c>
      <c r="FM62" s="13" t="str">
        <f t="shared" si="375"/>
        <v/>
      </c>
      <c r="FN62" s="13" t="str">
        <f t="shared" si="376"/>
        <v/>
      </c>
      <c r="FO62" s="13" t="str">
        <f t="shared" si="377"/>
        <v/>
      </c>
      <c r="FP62" s="13" t="str">
        <f t="shared" si="378"/>
        <v/>
      </c>
      <c r="FQ62" s="13" t="str">
        <f t="shared" si="379"/>
        <v/>
      </c>
      <c r="FR62" s="13" t="str">
        <f t="shared" si="380"/>
        <v/>
      </c>
      <c r="FS62" s="13" t="str">
        <f t="shared" si="381"/>
        <v/>
      </c>
      <c r="FT62" s="13" t="str">
        <f t="shared" si="382"/>
        <v/>
      </c>
      <c r="FU62" s="13" t="str">
        <f t="shared" si="383"/>
        <v/>
      </c>
      <c r="FV62" s="13" t="str">
        <f t="shared" si="384"/>
        <v/>
      </c>
      <c r="FW62" s="13" t="str">
        <f t="shared" si="385"/>
        <v/>
      </c>
      <c r="FX62" s="13" t="str">
        <f t="shared" si="386"/>
        <v/>
      </c>
      <c r="FY62" s="13" t="str">
        <f t="shared" si="387"/>
        <v/>
      </c>
      <c r="FZ62" s="13" t="str">
        <f t="shared" si="388"/>
        <v/>
      </c>
      <c r="GA62" s="13" t="str">
        <f t="shared" si="389"/>
        <v/>
      </c>
      <c r="GB62" s="13" t="str">
        <f t="shared" si="390"/>
        <v/>
      </c>
      <c r="GC62" s="13" t="str">
        <f t="shared" si="391"/>
        <v/>
      </c>
      <c r="GD62" s="13" t="str">
        <f t="shared" si="392"/>
        <v/>
      </c>
      <c r="GE62" s="13" t="str">
        <f t="shared" si="393"/>
        <v/>
      </c>
      <c r="GF62" s="13" t="str">
        <f t="shared" si="394"/>
        <v/>
      </c>
      <c r="GG62" s="13" t="str">
        <f t="shared" si="395"/>
        <v/>
      </c>
      <c r="GH62" s="13" t="str">
        <f t="shared" si="396"/>
        <v/>
      </c>
      <c r="GI62" s="13" t="str">
        <f t="shared" si="397"/>
        <v/>
      </c>
      <c r="GJ62" s="13" t="str">
        <f t="shared" si="398"/>
        <v/>
      </c>
      <c r="GK62" s="13" t="str">
        <f t="shared" si="399"/>
        <v/>
      </c>
      <c r="GL62" s="13" t="str">
        <f t="shared" si="400"/>
        <v/>
      </c>
      <c r="GM62" s="13" t="str">
        <f t="shared" si="401"/>
        <v/>
      </c>
      <c r="GN62" s="13" t="str">
        <f t="shared" si="402"/>
        <v/>
      </c>
      <c r="GO62" s="13" t="str">
        <f t="shared" si="403"/>
        <v/>
      </c>
      <c r="GP62" s="13" t="str">
        <f t="shared" si="404"/>
        <v/>
      </c>
      <c r="GQ62" s="13" t="str">
        <f t="shared" si="405"/>
        <v/>
      </c>
      <c r="GR62" s="13" t="str">
        <f t="shared" si="406"/>
        <v/>
      </c>
      <c r="GS62" s="13" t="str">
        <f t="shared" si="407"/>
        <v/>
      </c>
      <c r="GT62" s="13" t="str">
        <f t="shared" si="408"/>
        <v/>
      </c>
      <c r="GU62" s="13" t="str">
        <f t="shared" si="409"/>
        <v/>
      </c>
      <c r="GV62" s="13" t="str">
        <f t="shared" si="410"/>
        <v/>
      </c>
      <c r="GW62" s="13" t="str">
        <f t="shared" si="411"/>
        <v/>
      </c>
      <c r="GX62" s="13" t="str">
        <f t="shared" si="412"/>
        <v/>
      </c>
      <c r="GY62" s="13" t="str">
        <f t="shared" si="413"/>
        <v/>
      </c>
      <c r="GZ62" s="13" t="str">
        <f t="shared" si="414"/>
        <v/>
      </c>
      <c r="HA62" s="13" t="str">
        <f t="shared" si="415"/>
        <v/>
      </c>
      <c r="HB62" s="13" t="str">
        <f t="shared" si="416"/>
        <v/>
      </c>
      <c r="HC62" s="13" t="str">
        <f t="shared" si="417"/>
        <v/>
      </c>
      <c r="HD62" s="13" t="str">
        <f t="shared" si="418"/>
        <v/>
      </c>
      <c r="HE62" s="13" t="str">
        <f t="shared" si="419"/>
        <v/>
      </c>
      <c r="HF62" s="13" t="str">
        <f t="shared" si="420"/>
        <v/>
      </c>
      <c r="HG62" s="13" t="str">
        <f t="shared" si="421"/>
        <v/>
      </c>
      <c r="HH62" s="13" t="str">
        <f t="shared" si="422"/>
        <v/>
      </c>
      <c r="HJ62" s="114" t="str">
        <f t="shared" si="423"/>
        <v/>
      </c>
    </row>
    <row r="63" spans="3:218" s="119" customFormat="1" ht="45" customHeight="1">
      <c r="C63" s="122">
        <f t="shared" si="81"/>
        <v>12</v>
      </c>
      <c r="D63" s="200"/>
      <c r="E63" s="195" t="s">
        <v>250</v>
      </c>
      <c r="F63" s="196"/>
      <c r="G63" s="197"/>
      <c r="H63" s="74" t="s">
        <v>173</v>
      </c>
      <c r="I63" s="190"/>
      <c r="J63" s="191"/>
      <c r="K63" s="43"/>
      <c r="L63" s="67"/>
      <c r="M63" s="65"/>
      <c r="N63" s="65"/>
      <c r="O63" s="66"/>
      <c r="Q63" s="52"/>
      <c r="R63" s="52"/>
      <c r="S63" s="52"/>
      <c r="T63" s="52"/>
      <c r="U63" s="52"/>
      <c r="V63" s="52"/>
      <c r="W63" s="52"/>
      <c r="X63" s="52"/>
      <c r="Y63" s="52"/>
      <c r="Z63" s="52"/>
      <c r="AA63" s="52"/>
      <c r="AB63" s="52"/>
      <c r="AC63" s="52"/>
      <c r="AD63" s="52"/>
      <c r="AE63" s="52"/>
      <c r="AF63" s="52"/>
      <c r="AG63" s="52"/>
      <c r="AH63" s="52"/>
      <c r="AI63" s="52"/>
      <c r="AJ63" s="52"/>
      <c r="AK63" s="52"/>
      <c r="AL63" s="52"/>
      <c r="AM63" s="52"/>
      <c r="AN63" s="52"/>
      <c r="AO63" s="52"/>
      <c r="AP63" s="52"/>
      <c r="AQ63" s="52"/>
      <c r="AR63" s="52"/>
      <c r="AS63" s="52"/>
      <c r="AT63" s="52"/>
      <c r="AU63" s="52"/>
      <c r="AV63" s="52"/>
      <c r="AX63" s="13"/>
      <c r="AY63" s="13"/>
      <c r="AZ63" s="13"/>
      <c r="BA63" s="13"/>
      <c r="BB63" s="13"/>
      <c r="BC63" s="13"/>
      <c r="BD63" s="13"/>
      <c r="BE63" s="13"/>
      <c r="BF63" s="13"/>
      <c r="BG63" s="13"/>
      <c r="BH63" s="13"/>
      <c r="BI63" s="13"/>
      <c r="BJ63" s="13"/>
      <c r="BK63" s="13"/>
      <c r="BL63" s="13"/>
      <c r="BM63" s="13"/>
      <c r="BN63" s="13"/>
      <c r="BO63" s="13"/>
      <c r="BP63" s="13"/>
      <c r="BQ63" s="13"/>
      <c r="BR63" s="13"/>
      <c r="BS63" s="13"/>
      <c r="BT63" s="13"/>
      <c r="BU63" s="13"/>
      <c r="BV63" s="13"/>
      <c r="BW63" s="13"/>
      <c r="BX63" s="13"/>
      <c r="BY63" s="13"/>
      <c r="BZ63" s="13"/>
      <c r="CA63" s="13"/>
      <c r="CB63" s="13"/>
      <c r="CC63" s="13"/>
      <c r="CD63" s="13"/>
      <c r="CE63" s="13"/>
      <c r="CF63" s="13"/>
      <c r="CG63" s="13"/>
      <c r="CH63" s="13"/>
      <c r="CI63" s="13"/>
      <c r="CJ63" s="13"/>
      <c r="CK63" s="13"/>
      <c r="CL63" s="13"/>
      <c r="CM63" s="13"/>
      <c r="CN63" s="13"/>
      <c r="CO63" s="13"/>
      <c r="CP63" s="13"/>
      <c r="CQ63" s="13"/>
      <c r="CR63" s="13"/>
      <c r="CS63" s="13"/>
      <c r="CT63" s="13"/>
      <c r="CU63" s="13"/>
      <c r="CV63" s="13"/>
      <c r="CW63" s="13"/>
      <c r="CX63" s="13"/>
      <c r="CY63" s="13"/>
      <c r="CZ63" s="13"/>
      <c r="DA63" s="112" t="e">
        <f t="shared" ref="DA63" si="424">MATCH(TRUE,DB63:FD63,0)</f>
        <v>#N/A</v>
      </c>
      <c r="DB63" s="13"/>
      <c r="DC63" s="13"/>
      <c r="DD63" s="13"/>
      <c r="DE63" s="13"/>
      <c r="DF63" s="13"/>
      <c r="DG63" s="13"/>
      <c r="DH63" s="13"/>
      <c r="DI63" s="13"/>
      <c r="DJ63" s="13"/>
      <c r="DK63" s="13"/>
      <c r="DL63" s="13"/>
      <c r="DM63" s="13"/>
      <c r="DN63" s="13"/>
      <c r="DO63" s="13"/>
      <c r="DP63" s="13"/>
      <c r="DQ63" s="13"/>
      <c r="DR63" s="13"/>
      <c r="DS63" s="13"/>
      <c r="DT63" s="13"/>
      <c r="DU63" s="13"/>
      <c r="DV63" s="13"/>
      <c r="DW63" s="13"/>
      <c r="DX63" s="13"/>
      <c r="DY63" s="13"/>
      <c r="DZ63" s="13"/>
      <c r="EA63" s="13"/>
      <c r="EB63" s="13"/>
      <c r="EC63" s="13"/>
      <c r="ED63" s="13"/>
      <c r="EE63" s="13"/>
      <c r="EF63" s="13"/>
      <c r="EG63" s="13"/>
      <c r="EH63" s="13"/>
      <c r="EI63" s="13"/>
      <c r="EJ63" s="13"/>
      <c r="EK63" s="13"/>
      <c r="EL63" s="13"/>
      <c r="EM63" s="13"/>
      <c r="EN63" s="13"/>
      <c r="EO63" s="13"/>
      <c r="EP63" s="13"/>
      <c r="EQ63" s="13"/>
      <c r="ER63" s="13"/>
      <c r="ES63" s="13"/>
      <c r="ET63" s="13"/>
      <c r="EU63" s="13"/>
      <c r="EV63" s="13"/>
      <c r="EW63" s="13"/>
      <c r="EX63" s="13"/>
      <c r="EY63" s="13"/>
      <c r="EZ63" s="13"/>
      <c r="FA63" s="13"/>
      <c r="FB63" s="13"/>
      <c r="FC63" s="13"/>
      <c r="FD63" s="13"/>
      <c r="FF63" s="13" t="str">
        <f t="shared" ref="FF63" si="425">IF(DB63=TRUE,AX63&amp;"; ","")</f>
        <v/>
      </c>
      <c r="FG63" s="13" t="str">
        <f t="shared" ref="FG63" si="426">IF(DC63=TRUE,AY63&amp;"; ","")</f>
        <v/>
      </c>
      <c r="FH63" s="13" t="str">
        <f t="shared" ref="FH63" si="427">IF(DD63=TRUE,AZ63&amp;"; ","")</f>
        <v/>
      </c>
      <c r="FI63" s="13" t="str">
        <f t="shared" ref="FI63" si="428">IF(DE63=TRUE,BA63&amp;"; ","")</f>
        <v/>
      </c>
      <c r="FJ63" s="13" t="str">
        <f t="shared" ref="FJ63" si="429">IF(DF63=TRUE,BB63&amp;"; ","")</f>
        <v/>
      </c>
      <c r="FK63" s="13" t="str">
        <f t="shared" ref="FK63" si="430">IF(DG63=TRUE,BC63&amp;"; ","")</f>
        <v/>
      </c>
      <c r="FL63" s="13" t="str">
        <f t="shared" ref="FL63" si="431">IF(DH63=TRUE,BD63&amp;"; ","")</f>
        <v/>
      </c>
      <c r="FM63" s="13" t="str">
        <f t="shared" ref="FM63" si="432">IF(DI63=TRUE,BE63&amp;"; ","")</f>
        <v/>
      </c>
      <c r="FN63" s="13" t="str">
        <f t="shared" ref="FN63" si="433">IF(DJ63=TRUE,BF63&amp;"; ","")</f>
        <v/>
      </c>
      <c r="FO63" s="13" t="str">
        <f t="shared" ref="FO63" si="434">IF(DK63=TRUE,BG63&amp;"; ","")</f>
        <v/>
      </c>
      <c r="FP63" s="13" t="str">
        <f t="shared" ref="FP63" si="435">IF(DL63=TRUE,BH63&amp;"; ","")</f>
        <v/>
      </c>
      <c r="FQ63" s="13" t="str">
        <f t="shared" ref="FQ63" si="436">IF(DM63=TRUE,BI63&amp;"; ","")</f>
        <v/>
      </c>
      <c r="FR63" s="13" t="str">
        <f t="shared" ref="FR63" si="437">IF(DN63=TRUE,BJ63&amp;"; ","")</f>
        <v/>
      </c>
      <c r="FS63" s="13" t="str">
        <f t="shared" ref="FS63" si="438">IF(DO63=TRUE,BK63&amp;"; ","")</f>
        <v/>
      </c>
      <c r="FT63" s="13" t="str">
        <f t="shared" ref="FT63" si="439">IF(DP63=TRUE,BL63&amp;"; ","")</f>
        <v/>
      </c>
      <c r="FU63" s="13" t="str">
        <f t="shared" ref="FU63" si="440">IF(DQ63=TRUE,BM63&amp;"; ","")</f>
        <v/>
      </c>
      <c r="FV63" s="13" t="str">
        <f t="shared" ref="FV63" si="441">IF(DR63=TRUE,BN63&amp;"; ","")</f>
        <v/>
      </c>
      <c r="FW63" s="13" t="str">
        <f t="shared" ref="FW63" si="442">IF(DS63=TRUE,BO63&amp;"; ","")</f>
        <v/>
      </c>
      <c r="FX63" s="13" t="str">
        <f t="shared" ref="FX63" si="443">IF(DT63=TRUE,BP63&amp;"; ","")</f>
        <v/>
      </c>
      <c r="FY63" s="13" t="str">
        <f t="shared" ref="FY63" si="444">IF(DU63=TRUE,BQ63&amp;"; ","")</f>
        <v/>
      </c>
      <c r="FZ63" s="13" t="str">
        <f t="shared" ref="FZ63" si="445">IF(DV63=TRUE,BR63&amp;"; ","")</f>
        <v/>
      </c>
      <c r="GA63" s="13" t="str">
        <f t="shared" ref="GA63" si="446">IF(DW63=TRUE,BS63&amp;"; ","")</f>
        <v/>
      </c>
      <c r="GB63" s="13" t="str">
        <f t="shared" ref="GB63" si="447">IF(DX63=TRUE,BT63&amp;"; ","")</f>
        <v/>
      </c>
      <c r="GC63" s="13" t="str">
        <f t="shared" ref="GC63" si="448">IF(DY63=TRUE,BU63&amp;"; ","")</f>
        <v/>
      </c>
      <c r="GD63" s="13" t="str">
        <f t="shared" ref="GD63" si="449">IF(DZ63=TRUE,BV63&amp;"; ","")</f>
        <v/>
      </c>
      <c r="GE63" s="13" t="str">
        <f t="shared" ref="GE63" si="450">IF(EA63=TRUE,BW63&amp;"; ","")</f>
        <v/>
      </c>
      <c r="GF63" s="13" t="str">
        <f t="shared" ref="GF63" si="451">IF(EB63=TRUE,BX63&amp;"; ","")</f>
        <v/>
      </c>
      <c r="GG63" s="13" t="str">
        <f t="shared" ref="GG63" si="452">IF(EC63=TRUE,BY63&amp;"; ","")</f>
        <v/>
      </c>
      <c r="GH63" s="13" t="str">
        <f t="shared" ref="GH63" si="453">IF(ED63=TRUE,BZ63&amp;"; ","")</f>
        <v/>
      </c>
      <c r="GI63" s="13" t="str">
        <f t="shared" ref="GI63" si="454">IF(EE63=TRUE,CA63&amp;"; ","")</f>
        <v/>
      </c>
      <c r="GJ63" s="13" t="str">
        <f t="shared" ref="GJ63" si="455">IF(EF63=TRUE,CB63&amp;"; ","")</f>
        <v/>
      </c>
      <c r="GK63" s="13" t="str">
        <f t="shared" ref="GK63" si="456">IF(EG63=TRUE,CC63&amp;"; ","")</f>
        <v/>
      </c>
      <c r="GL63" s="13" t="str">
        <f t="shared" ref="GL63" si="457">IF(EH63=TRUE,CD63&amp;"; ","")</f>
        <v/>
      </c>
      <c r="GM63" s="13" t="str">
        <f t="shared" ref="GM63" si="458">IF(EI63=TRUE,CE63&amp;"; ","")</f>
        <v/>
      </c>
      <c r="GN63" s="13" t="str">
        <f t="shared" ref="GN63" si="459">IF(EJ63=TRUE,CF63&amp;"; ","")</f>
        <v/>
      </c>
      <c r="GO63" s="13" t="str">
        <f t="shared" ref="GO63" si="460">IF(EK63=TRUE,CG63&amp;"; ","")</f>
        <v/>
      </c>
      <c r="GP63" s="13" t="str">
        <f t="shared" ref="GP63" si="461">IF(EL63=TRUE,CH63&amp;"; ","")</f>
        <v/>
      </c>
      <c r="GQ63" s="13" t="str">
        <f t="shared" ref="GQ63" si="462">IF(EM63=TRUE,CI63&amp;"; ","")</f>
        <v/>
      </c>
      <c r="GR63" s="13" t="str">
        <f t="shared" ref="GR63" si="463">IF(EN63=TRUE,CJ63&amp;"; ","")</f>
        <v/>
      </c>
      <c r="GS63" s="13" t="str">
        <f t="shared" ref="GS63" si="464">IF(EO63=TRUE,CK63&amp;"; ","")</f>
        <v/>
      </c>
      <c r="GT63" s="13" t="str">
        <f t="shared" ref="GT63" si="465">IF(EP63=TRUE,CL63&amp;"; ","")</f>
        <v/>
      </c>
      <c r="GU63" s="13" t="str">
        <f t="shared" ref="GU63" si="466">IF(EQ63=TRUE,CM63&amp;"; ","")</f>
        <v/>
      </c>
      <c r="GV63" s="13" t="str">
        <f t="shared" ref="GV63" si="467">IF(ER63=TRUE,CN63&amp;"; ","")</f>
        <v/>
      </c>
      <c r="GW63" s="13" t="str">
        <f t="shared" ref="GW63" si="468">IF(ES63=TRUE,CO63&amp;"; ","")</f>
        <v/>
      </c>
      <c r="GX63" s="13" t="str">
        <f t="shared" ref="GX63" si="469">IF(ET63=TRUE,CP63&amp;"; ","")</f>
        <v/>
      </c>
      <c r="GY63" s="13" t="str">
        <f t="shared" ref="GY63" si="470">IF(EU63=TRUE,CQ63&amp;"; ","")</f>
        <v/>
      </c>
      <c r="GZ63" s="13" t="str">
        <f t="shared" ref="GZ63" si="471">IF(EV63=TRUE,CR63&amp;"; ","")</f>
        <v/>
      </c>
      <c r="HA63" s="13" t="str">
        <f t="shared" ref="HA63" si="472">IF(EW63=TRUE,CS63&amp;"; ","")</f>
        <v/>
      </c>
      <c r="HB63" s="13" t="str">
        <f t="shared" ref="HB63" si="473">IF(EX63=TRUE,CT63&amp;"; ","")</f>
        <v/>
      </c>
      <c r="HC63" s="13" t="str">
        <f t="shared" ref="HC63" si="474">IF(EY63=TRUE,CU63&amp;"; ","")</f>
        <v/>
      </c>
      <c r="HD63" s="13" t="str">
        <f t="shared" ref="HD63" si="475">IF(EZ63=TRUE,CV63&amp;"; ","")</f>
        <v/>
      </c>
      <c r="HE63" s="13" t="str">
        <f t="shared" ref="HE63" si="476">IF(FA63=TRUE,CW63&amp;"; ","")</f>
        <v/>
      </c>
      <c r="HF63" s="13" t="str">
        <f t="shared" ref="HF63" si="477">IF(FB63=TRUE,CX63&amp;"; ","")</f>
        <v/>
      </c>
      <c r="HG63" s="13" t="str">
        <f t="shared" ref="HG63" si="478">IF(FC63=TRUE,CY63&amp;"; ","")</f>
        <v/>
      </c>
      <c r="HH63" s="13" t="str">
        <f t="shared" ref="HH63" si="479">IF(FD63=TRUE,CZ63&amp;"; ","")</f>
        <v/>
      </c>
      <c r="HJ63" s="114" t="str">
        <f t="shared" ref="HJ63" si="480">IFERROR(LEFT(FF63&amp;FG63&amp;FH63&amp;FI63&amp;FJ63&amp;FK63&amp;FL63&amp;FM63&amp;FN63&amp;FO63&amp;FP63&amp;FQ63&amp;FR63&amp;FS63&amp;FT63&amp;FU63&amp;FV63&amp;FW63&amp;FX63&amp;FY63&amp;FZ63&amp;GA63&amp;GB63&amp;GC63&amp;GD63&amp;GE63&amp;GF63&amp;GG63&amp;GH63&amp;GI63&amp;GJ63&amp;GK63&amp;GL63&amp;GM63&amp;GN63&amp;GO63&amp;GP63&amp;GQ63&amp;GR63&amp;GS63&amp;GT63&amp;GU63&amp;GV63&amp;GW63&amp;GX63&amp;GY63&amp;GZ63&amp;HA63&amp;HB63&amp;HC63&amp;HD63&amp;HE63&amp;HF63&amp;HG63&amp;HH63,LEN(FF63&amp;FG63&amp;FH63&amp;FI63&amp;FJ63&amp;FK63&amp;FL63&amp;FM63&amp;FN63&amp;FO63&amp;FP63&amp;FQ63&amp;FR63&amp;FS63&amp;FT63&amp;FU63&amp;FV63&amp;FW63&amp;FX63&amp;FY63&amp;FZ63&amp;GA63&amp;GB63&amp;GC63&amp;GD63&amp;GE63&amp;GF63&amp;GG63&amp;GH63&amp;GI63&amp;GJ63&amp;GK63&amp;GL63&amp;GM63&amp;GN63&amp;GO63&amp;GP63&amp;GQ63&amp;GR63&amp;GS63&amp;GT63&amp;GU63&amp;GV63&amp;GW63&amp;GX63&amp;GY63&amp;GZ63&amp;HA63&amp;HB63&amp;HC63&amp;HD63&amp;HE63&amp;HF63&amp;HG63&amp;HH63)-2),"")</f>
        <v/>
      </c>
    </row>
    <row r="64" spans="3:218" s="119" customFormat="1" ht="45" customHeight="1">
      <c r="C64" s="122">
        <f t="shared" si="81"/>
        <v>13</v>
      </c>
      <c r="D64" s="163" t="s">
        <v>251</v>
      </c>
      <c r="E64" s="195" t="s">
        <v>252</v>
      </c>
      <c r="F64" s="196"/>
      <c r="G64" s="197"/>
      <c r="H64" s="74" t="s">
        <v>173</v>
      </c>
      <c r="I64" s="190"/>
      <c r="J64" s="191"/>
      <c r="K64" s="43"/>
      <c r="L64" s="67"/>
      <c r="M64" s="65"/>
      <c r="N64" s="65"/>
      <c r="O64" s="66"/>
      <c r="Q64" s="52"/>
      <c r="R64" s="52"/>
      <c r="S64" s="52"/>
      <c r="T64" s="52"/>
      <c r="U64" s="52"/>
      <c r="V64" s="52"/>
      <c r="W64" s="52"/>
      <c r="X64" s="52"/>
      <c r="Y64" s="52"/>
      <c r="Z64" s="52"/>
      <c r="AA64" s="52"/>
      <c r="AB64" s="52"/>
      <c r="AC64" s="52"/>
      <c r="AD64" s="52"/>
      <c r="AE64" s="52"/>
      <c r="AF64" s="52"/>
      <c r="AG64" s="52"/>
      <c r="AH64" s="52"/>
      <c r="AI64" s="52"/>
      <c r="AJ64" s="52"/>
      <c r="AK64" s="52"/>
      <c r="AL64" s="52"/>
      <c r="AM64" s="52"/>
      <c r="AN64" s="52"/>
      <c r="AO64" s="52"/>
      <c r="AP64" s="52"/>
      <c r="AQ64" s="52"/>
      <c r="AR64" s="52"/>
      <c r="AS64" s="52"/>
      <c r="AT64" s="52"/>
      <c r="AU64" s="52"/>
      <c r="AV64" s="52"/>
      <c r="AX64" s="13"/>
      <c r="AY64" s="13"/>
      <c r="AZ64" s="13"/>
      <c r="BA64" s="13"/>
      <c r="BB64" s="13"/>
      <c r="BC64" s="13"/>
      <c r="BD64" s="13"/>
      <c r="BE64" s="13"/>
      <c r="BF64" s="13"/>
      <c r="BG64" s="13"/>
      <c r="BH64" s="13"/>
      <c r="BI64" s="13"/>
      <c r="BJ64" s="13"/>
      <c r="BK64" s="13"/>
      <c r="BL64" s="13"/>
      <c r="BM64" s="13"/>
      <c r="BN64" s="13"/>
      <c r="BO64" s="13"/>
      <c r="BP64" s="13"/>
      <c r="BQ64" s="13"/>
      <c r="BR64" s="13"/>
      <c r="BS64" s="13"/>
      <c r="BT64" s="13"/>
      <c r="BU64" s="13"/>
      <c r="BV64" s="13"/>
      <c r="BW64" s="13"/>
      <c r="BX64" s="13"/>
      <c r="BY64" s="13"/>
      <c r="BZ64" s="13"/>
      <c r="CA64" s="13"/>
      <c r="CB64" s="13"/>
      <c r="CC64" s="13"/>
      <c r="CD64" s="13"/>
      <c r="CE64" s="13"/>
      <c r="CF64" s="13"/>
      <c r="CG64" s="13"/>
      <c r="CH64" s="13"/>
      <c r="CI64" s="13"/>
      <c r="CJ64" s="13"/>
      <c r="CK64" s="13"/>
      <c r="CL64" s="13"/>
      <c r="CM64" s="13"/>
      <c r="CN64" s="13"/>
      <c r="CO64" s="13"/>
      <c r="CP64" s="13"/>
      <c r="CQ64" s="13"/>
      <c r="CR64" s="13"/>
      <c r="CS64" s="13"/>
      <c r="CT64" s="13"/>
      <c r="CU64" s="13"/>
      <c r="CV64" s="13"/>
      <c r="CW64" s="13"/>
      <c r="CX64" s="13"/>
      <c r="CY64" s="13"/>
      <c r="CZ64" s="13"/>
      <c r="DA64" s="112" t="e">
        <f t="shared" ref="DA64" si="481">MATCH(TRUE,DB64:FD64,0)</f>
        <v>#N/A</v>
      </c>
      <c r="DB64" s="13"/>
      <c r="DC64" s="13"/>
      <c r="DD64" s="13"/>
      <c r="DE64" s="13"/>
      <c r="DF64" s="13"/>
      <c r="DG64" s="13"/>
      <c r="DH64" s="13"/>
      <c r="DI64" s="13"/>
      <c r="DJ64" s="13"/>
      <c r="DK64" s="13"/>
      <c r="DL64" s="13"/>
      <c r="DM64" s="13"/>
      <c r="DN64" s="13"/>
      <c r="DO64" s="13"/>
      <c r="DP64" s="13"/>
      <c r="DQ64" s="13"/>
      <c r="DR64" s="13"/>
      <c r="DS64" s="13"/>
      <c r="DT64" s="13"/>
      <c r="DU64" s="13"/>
      <c r="DV64" s="13"/>
      <c r="DW64" s="13"/>
      <c r="DX64" s="13"/>
      <c r="DY64" s="13"/>
      <c r="DZ64" s="13"/>
      <c r="EA64" s="13"/>
      <c r="EB64" s="13"/>
      <c r="EC64" s="13"/>
      <c r="ED64" s="13"/>
      <c r="EE64" s="13"/>
      <c r="EF64" s="13"/>
      <c r="EG64" s="13"/>
      <c r="EH64" s="13"/>
      <c r="EI64" s="13"/>
      <c r="EJ64" s="13"/>
      <c r="EK64" s="13"/>
      <c r="EL64" s="13"/>
      <c r="EM64" s="13"/>
      <c r="EN64" s="13"/>
      <c r="EO64" s="13"/>
      <c r="EP64" s="13"/>
      <c r="EQ64" s="13"/>
      <c r="ER64" s="13"/>
      <c r="ES64" s="13"/>
      <c r="ET64" s="13"/>
      <c r="EU64" s="13"/>
      <c r="EV64" s="13"/>
      <c r="EW64" s="13"/>
      <c r="EX64" s="13"/>
      <c r="EY64" s="13"/>
      <c r="EZ64" s="13"/>
      <c r="FA64" s="13"/>
      <c r="FB64" s="13"/>
      <c r="FC64" s="13"/>
      <c r="FD64" s="13"/>
      <c r="FF64" s="13" t="str">
        <f t="shared" ref="FF64" si="482">IF(DB64=TRUE,AX64&amp;"; ","")</f>
        <v/>
      </c>
      <c r="FG64" s="13" t="str">
        <f t="shared" ref="FG64" si="483">IF(DC64=TRUE,AY64&amp;"; ","")</f>
        <v/>
      </c>
      <c r="FH64" s="13" t="str">
        <f t="shared" ref="FH64" si="484">IF(DD64=TRUE,AZ64&amp;"; ","")</f>
        <v/>
      </c>
      <c r="FI64" s="13" t="str">
        <f t="shared" ref="FI64" si="485">IF(DE64=TRUE,BA64&amp;"; ","")</f>
        <v/>
      </c>
      <c r="FJ64" s="13" t="str">
        <f t="shared" ref="FJ64" si="486">IF(DF64=TRUE,BB64&amp;"; ","")</f>
        <v/>
      </c>
      <c r="FK64" s="13" t="str">
        <f t="shared" ref="FK64" si="487">IF(DG64=TRUE,BC64&amp;"; ","")</f>
        <v/>
      </c>
      <c r="FL64" s="13" t="str">
        <f t="shared" ref="FL64" si="488">IF(DH64=TRUE,BD64&amp;"; ","")</f>
        <v/>
      </c>
      <c r="FM64" s="13" t="str">
        <f t="shared" ref="FM64" si="489">IF(DI64=TRUE,BE64&amp;"; ","")</f>
        <v/>
      </c>
      <c r="FN64" s="13" t="str">
        <f t="shared" ref="FN64" si="490">IF(DJ64=TRUE,BF64&amp;"; ","")</f>
        <v/>
      </c>
      <c r="FO64" s="13" t="str">
        <f t="shared" ref="FO64" si="491">IF(DK64=TRUE,BG64&amp;"; ","")</f>
        <v/>
      </c>
      <c r="FP64" s="13" t="str">
        <f t="shared" ref="FP64" si="492">IF(DL64=TRUE,BH64&amp;"; ","")</f>
        <v/>
      </c>
      <c r="FQ64" s="13" t="str">
        <f t="shared" ref="FQ64" si="493">IF(DM64=TRUE,BI64&amp;"; ","")</f>
        <v/>
      </c>
      <c r="FR64" s="13" t="str">
        <f t="shared" ref="FR64" si="494">IF(DN64=TRUE,BJ64&amp;"; ","")</f>
        <v/>
      </c>
      <c r="FS64" s="13" t="str">
        <f t="shared" ref="FS64" si="495">IF(DO64=TRUE,BK64&amp;"; ","")</f>
        <v/>
      </c>
      <c r="FT64" s="13" t="str">
        <f t="shared" ref="FT64" si="496">IF(DP64=TRUE,BL64&amp;"; ","")</f>
        <v/>
      </c>
      <c r="FU64" s="13" t="str">
        <f t="shared" ref="FU64" si="497">IF(DQ64=TRUE,BM64&amp;"; ","")</f>
        <v/>
      </c>
      <c r="FV64" s="13" t="str">
        <f t="shared" ref="FV64" si="498">IF(DR64=TRUE,BN64&amp;"; ","")</f>
        <v/>
      </c>
      <c r="FW64" s="13" t="str">
        <f t="shared" ref="FW64" si="499">IF(DS64=TRUE,BO64&amp;"; ","")</f>
        <v/>
      </c>
      <c r="FX64" s="13" t="str">
        <f t="shared" ref="FX64" si="500">IF(DT64=TRUE,BP64&amp;"; ","")</f>
        <v/>
      </c>
      <c r="FY64" s="13" t="str">
        <f t="shared" ref="FY64" si="501">IF(DU64=TRUE,BQ64&amp;"; ","")</f>
        <v/>
      </c>
      <c r="FZ64" s="13" t="str">
        <f t="shared" ref="FZ64" si="502">IF(DV64=TRUE,BR64&amp;"; ","")</f>
        <v/>
      </c>
      <c r="GA64" s="13" t="str">
        <f t="shared" ref="GA64" si="503">IF(DW64=TRUE,BS64&amp;"; ","")</f>
        <v/>
      </c>
      <c r="GB64" s="13" t="str">
        <f t="shared" ref="GB64" si="504">IF(DX64=TRUE,BT64&amp;"; ","")</f>
        <v/>
      </c>
      <c r="GC64" s="13" t="str">
        <f t="shared" ref="GC64" si="505">IF(DY64=TRUE,BU64&amp;"; ","")</f>
        <v/>
      </c>
      <c r="GD64" s="13" t="str">
        <f t="shared" ref="GD64" si="506">IF(DZ64=TRUE,BV64&amp;"; ","")</f>
        <v/>
      </c>
      <c r="GE64" s="13" t="str">
        <f t="shared" ref="GE64" si="507">IF(EA64=TRUE,BW64&amp;"; ","")</f>
        <v/>
      </c>
      <c r="GF64" s="13" t="str">
        <f t="shared" ref="GF64" si="508">IF(EB64=TRUE,BX64&amp;"; ","")</f>
        <v/>
      </c>
      <c r="GG64" s="13" t="str">
        <f t="shared" ref="GG64" si="509">IF(EC64=TRUE,BY64&amp;"; ","")</f>
        <v/>
      </c>
      <c r="GH64" s="13" t="str">
        <f t="shared" ref="GH64" si="510">IF(ED64=TRUE,BZ64&amp;"; ","")</f>
        <v/>
      </c>
      <c r="GI64" s="13" t="str">
        <f t="shared" ref="GI64" si="511">IF(EE64=TRUE,CA64&amp;"; ","")</f>
        <v/>
      </c>
      <c r="GJ64" s="13" t="str">
        <f t="shared" ref="GJ64" si="512">IF(EF64=TRUE,CB64&amp;"; ","")</f>
        <v/>
      </c>
      <c r="GK64" s="13" t="str">
        <f t="shared" ref="GK64" si="513">IF(EG64=TRUE,CC64&amp;"; ","")</f>
        <v/>
      </c>
      <c r="GL64" s="13" t="str">
        <f t="shared" ref="GL64" si="514">IF(EH64=TRUE,CD64&amp;"; ","")</f>
        <v/>
      </c>
      <c r="GM64" s="13" t="str">
        <f t="shared" ref="GM64" si="515">IF(EI64=TRUE,CE64&amp;"; ","")</f>
        <v/>
      </c>
      <c r="GN64" s="13" t="str">
        <f t="shared" ref="GN64" si="516">IF(EJ64=TRUE,CF64&amp;"; ","")</f>
        <v/>
      </c>
      <c r="GO64" s="13" t="str">
        <f t="shared" ref="GO64" si="517">IF(EK64=TRUE,CG64&amp;"; ","")</f>
        <v/>
      </c>
      <c r="GP64" s="13" t="str">
        <f t="shared" ref="GP64" si="518">IF(EL64=TRUE,CH64&amp;"; ","")</f>
        <v/>
      </c>
      <c r="GQ64" s="13" t="str">
        <f t="shared" ref="GQ64" si="519">IF(EM64=TRUE,CI64&amp;"; ","")</f>
        <v/>
      </c>
      <c r="GR64" s="13" t="str">
        <f t="shared" ref="GR64" si="520">IF(EN64=TRUE,CJ64&amp;"; ","")</f>
        <v/>
      </c>
      <c r="GS64" s="13" t="str">
        <f t="shared" ref="GS64" si="521">IF(EO64=TRUE,CK64&amp;"; ","")</f>
        <v/>
      </c>
      <c r="GT64" s="13" t="str">
        <f t="shared" ref="GT64" si="522">IF(EP64=TRUE,CL64&amp;"; ","")</f>
        <v/>
      </c>
      <c r="GU64" s="13" t="str">
        <f t="shared" ref="GU64" si="523">IF(EQ64=TRUE,CM64&amp;"; ","")</f>
        <v/>
      </c>
      <c r="GV64" s="13" t="str">
        <f t="shared" ref="GV64" si="524">IF(ER64=TRUE,CN64&amp;"; ","")</f>
        <v/>
      </c>
      <c r="GW64" s="13" t="str">
        <f t="shared" ref="GW64" si="525">IF(ES64=TRUE,CO64&amp;"; ","")</f>
        <v/>
      </c>
      <c r="GX64" s="13" t="str">
        <f t="shared" ref="GX64" si="526">IF(ET64=TRUE,CP64&amp;"; ","")</f>
        <v/>
      </c>
      <c r="GY64" s="13" t="str">
        <f t="shared" ref="GY64" si="527">IF(EU64=TRUE,CQ64&amp;"; ","")</f>
        <v/>
      </c>
      <c r="GZ64" s="13" t="str">
        <f t="shared" ref="GZ64" si="528">IF(EV64=TRUE,CR64&amp;"; ","")</f>
        <v/>
      </c>
      <c r="HA64" s="13" t="str">
        <f t="shared" ref="HA64" si="529">IF(EW64=TRUE,CS64&amp;"; ","")</f>
        <v/>
      </c>
      <c r="HB64" s="13" t="str">
        <f t="shared" ref="HB64" si="530">IF(EX64=TRUE,CT64&amp;"; ","")</f>
        <v/>
      </c>
      <c r="HC64" s="13" t="str">
        <f t="shared" ref="HC64" si="531">IF(EY64=TRUE,CU64&amp;"; ","")</f>
        <v/>
      </c>
      <c r="HD64" s="13" t="str">
        <f t="shared" ref="HD64" si="532">IF(EZ64=TRUE,CV64&amp;"; ","")</f>
        <v/>
      </c>
      <c r="HE64" s="13" t="str">
        <f t="shared" ref="HE64" si="533">IF(FA64=TRUE,CW64&amp;"; ","")</f>
        <v/>
      </c>
      <c r="HF64" s="13" t="str">
        <f t="shared" ref="HF64" si="534">IF(FB64=TRUE,CX64&amp;"; ","")</f>
        <v/>
      </c>
      <c r="HG64" s="13" t="str">
        <f t="shared" ref="HG64" si="535">IF(FC64=TRUE,CY64&amp;"; ","")</f>
        <v/>
      </c>
      <c r="HH64" s="13" t="str">
        <f t="shared" ref="HH64" si="536">IF(FD64=TRUE,CZ64&amp;"; ","")</f>
        <v/>
      </c>
      <c r="HJ64" s="114" t="str">
        <f t="shared" ref="HJ64" si="537">IFERROR(LEFT(FF64&amp;FG64&amp;FH64&amp;FI64&amp;FJ64&amp;FK64&amp;FL64&amp;FM64&amp;FN64&amp;FO64&amp;FP64&amp;FQ64&amp;FR64&amp;FS64&amp;FT64&amp;FU64&amp;FV64&amp;FW64&amp;FX64&amp;FY64&amp;FZ64&amp;GA64&amp;GB64&amp;GC64&amp;GD64&amp;GE64&amp;GF64&amp;GG64&amp;GH64&amp;GI64&amp;GJ64&amp;GK64&amp;GL64&amp;GM64&amp;GN64&amp;GO64&amp;GP64&amp;GQ64&amp;GR64&amp;GS64&amp;GT64&amp;GU64&amp;GV64&amp;GW64&amp;GX64&amp;GY64&amp;GZ64&amp;HA64&amp;HB64&amp;HC64&amp;HD64&amp;HE64&amp;HF64&amp;HG64&amp;HH64,LEN(FF64&amp;FG64&amp;FH64&amp;FI64&amp;FJ64&amp;FK64&amp;FL64&amp;FM64&amp;FN64&amp;FO64&amp;FP64&amp;FQ64&amp;FR64&amp;FS64&amp;FT64&amp;FU64&amp;FV64&amp;FW64&amp;FX64&amp;FY64&amp;FZ64&amp;GA64&amp;GB64&amp;GC64&amp;GD64&amp;GE64&amp;GF64&amp;GG64&amp;GH64&amp;GI64&amp;GJ64&amp;GK64&amp;GL64&amp;GM64&amp;GN64&amp;GO64&amp;GP64&amp;GQ64&amp;GR64&amp;GS64&amp;GT64&amp;GU64&amp;GV64&amp;GW64&amp;GX64&amp;GY64&amp;GZ64&amp;HA64&amp;HB64&amp;HC64&amp;HD64&amp;HE64&amp;HF64&amp;HG64&amp;HH64)-2),"")</f>
        <v/>
      </c>
    </row>
    <row r="65" spans="3:218" ht="20.100000000000001" customHeight="1">
      <c r="F65" s="12"/>
      <c r="G65" s="12"/>
      <c r="K65"/>
    </row>
    <row r="66" spans="3:218" s="52" customFormat="1" ht="30" customHeight="1">
      <c r="C66" s="57"/>
      <c r="D66" s="129" t="s">
        <v>85</v>
      </c>
      <c r="E66" s="129"/>
      <c r="F66" s="129"/>
      <c r="G66" s="129"/>
      <c r="H66" s="129"/>
      <c r="I66" s="129"/>
      <c r="J66" s="129"/>
      <c r="K66" s="12"/>
      <c r="Q66"/>
      <c r="R66"/>
      <c r="S66"/>
      <c r="T66"/>
      <c r="U66"/>
      <c r="V66"/>
      <c r="W66"/>
      <c r="X66"/>
      <c r="Y66"/>
      <c r="Z66"/>
      <c r="AA66"/>
      <c r="AB66"/>
      <c r="AC66"/>
      <c r="AD66"/>
      <c r="AE66"/>
      <c r="AF66"/>
      <c r="AG66"/>
      <c r="AH66"/>
      <c r="AI66"/>
      <c r="AJ66"/>
      <c r="AK66"/>
      <c r="AL66"/>
      <c r="AM66"/>
      <c r="AN66"/>
      <c r="AO66"/>
      <c r="AP66"/>
      <c r="AQ66"/>
      <c r="AR66"/>
      <c r="AS66"/>
      <c r="AT66"/>
      <c r="AU66"/>
      <c r="DA66" s="59"/>
    </row>
    <row r="67" spans="3:218" s="52" customFormat="1" ht="30" customHeight="1">
      <c r="C67" s="57"/>
      <c r="D67" s="70" t="s">
        <v>78</v>
      </c>
      <c r="E67" s="192" t="s">
        <v>137</v>
      </c>
      <c r="F67" s="194"/>
      <c r="G67" s="193"/>
      <c r="H67" s="72" t="s">
        <v>82</v>
      </c>
      <c r="I67" s="192" t="s">
        <v>83</v>
      </c>
      <c r="J67" s="193"/>
      <c r="K67" s="12"/>
      <c r="L67" s="73" t="s">
        <v>38</v>
      </c>
      <c r="M67" s="60"/>
      <c r="N67" s="60"/>
      <c r="O67" s="60"/>
      <c r="Q67"/>
      <c r="R67"/>
      <c r="S67"/>
      <c r="T67"/>
      <c r="U67"/>
      <c r="V67"/>
      <c r="W67"/>
      <c r="X67"/>
      <c r="Y67"/>
      <c r="Z67"/>
      <c r="AA67"/>
      <c r="AB67"/>
      <c r="AC67"/>
      <c r="AD67"/>
      <c r="AE67"/>
      <c r="AF67"/>
      <c r="AG67"/>
      <c r="AH67"/>
      <c r="AI67"/>
      <c r="AJ67"/>
      <c r="AK67"/>
      <c r="AL67"/>
      <c r="AM67"/>
      <c r="AN67"/>
      <c r="AO67"/>
      <c r="AP67"/>
      <c r="AQ67"/>
      <c r="AR67"/>
      <c r="AS67"/>
      <c r="AT67"/>
      <c r="AU67"/>
      <c r="AX67" s="73" t="s">
        <v>88</v>
      </c>
      <c r="AY67" s="62"/>
      <c r="AZ67" s="62"/>
      <c r="BA67" s="62"/>
      <c r="BB67" s="62"/>
      <c r="BC67" s="62"/>
      <c r="BD67" s="62"/>
      <c r="BE67" s="62"/>
      <c r="BF67" s="62"/>
      <c r="BG67" s="62"/>
      <c r="BH67" s="62"/>
      <c r="BI67" s="62"/>
      <c r="BJ67" s="62"/>
      <c r="BK67" s="62"/>
      <c r="BL67" s="62"/>
      <c r="BM67" s="62"/>
      <c r="BN67" s="62"/>
      <c r="BO67" s="62"/>
      <c r="BP67" s="62"/>
      <c r="BQ67" s="62"/>
      <c r="BR67" s="62"/>
      <c r="BS67" s="62"/>
      <c r="BT67" s="62"/>
      <c r="BU67" s="62"/>
      <c r="BV67" s="62"/>
      <c r="BW67" s="62"/>
      <c r="BX67" s="62"/>
      <c r="BY67" s="62"/>
      <c r="BZ67" s="62"/>
      <c r="CA67" s="62"/>
      <c r="CB67" s="62"/>
      <c r="CC67" s="62"/>
      <c r="CD67" s="62"/>
      <c r="CE67" s="62"/>
      <c r="CF67" s="62"/>
      <c r="CG67" s="62"/>
      <c r="CH67" s="62"/>
      <c r="CI67" s="62"/>
      <c r="CJ67" s="62"/>
      <c r="CK67" s="62"/>
      <c r="CL67" s="62"/>
      <c r="CM67" s="62"/>
      <c r="CN67" s="62"/>
      <c r="CO67" s="62"/>
      <c r="CP67" s="62"/>
      <c r="CQ67" s="62"/>
      <c r="CR67" s="62"/>
      <c r="CS67" s="62"/>
      <c r="CT67" s="62"/>
      <c r="CU67" s="62"/>
      <c r="CV67" s="62"/>
      <c r="CW67" s="62"/>
      <c r="CX67" s="62"/>
      <c r="CY67" s="62"/>
      <c r="CZ67" s="62"/>
      <c r="DA67" s="112" t="s">
        <v>124</v>
      </c>
      <c r="DB67" s="79" t="s">
        <v>87</v>
      </c>
      <c r="DC67" s="63"/>
      <c r="DD67" s="63"/>
      <c r="DE67" s="63"/>
      <c r="DF67" s="63"/>
      <c r="DG67" s="63"/>
      <c r="DH67" s="63"/>
      <c r="DI67" s="63"/>
      <c r="DJ67" s="63"/>
      <c r="DK67" s="63"/>
      <c r="DL67" s="63"/>
      <c r="DM67" s="63"/>
      <c r="DN67" s="63"/>
      <c r="DO67" s="63"/>
      <c r="DP67" s="63"/>
      <c r="DQ67" s="63"/>
      <c r="DR67" s="63"/>
      <c r="DS67" s="63"/>
      <c r="DT67" s="63"/>
      <c r="DU67" s="63"/>
      <c r="DV67" s="63"/>
      <c r="DW67" s="63"/>
      <c r="DX67" s="63"/>
      <c r="DY67" s="63"/>
      <c r="DZ67" s="63"/>
      <c r="EA67" s="63"/>
      <c r="EB67" s="63"/>
      <c r="EC67" s="63"/>
      <c r="ED67" s="63"/>
      <c r="EE67" s="63"/>
      <c r="EF67" s="63"/>
      <c r="EG67" s="63"/>
      <c r="EH67" s="63"/>
      <c r="EI67" s="63"/>
      <c r="EJ67" s="63"/>
      <c r="EK67" s="63"/>
      <c r="EL67" s="63"/>
      <c r="EM67" s="63"/>
      <c r="EN67" s="63"/>
      <c r="EO67" s="63"/>
      <c r="EP67" s="63"/>
      <c r="EQ67" s="63"/>
      <c r="ER67" s="63"/>
      <c r="ES67" s="63"/>
      <c r="ET67" s="63"/>
      <c r="EU67" s="63"/>
      <c r="EV67" s="63"/>
      <c r="EW67" s="63"/>
      <c r="EX67" s="63"/>
      <c r="EY67" s="63"/>
      <c r="EZ67" s="63"/>
      <c r="FA67" s="63"/>
      <c r="FB67" s="63"/>
      <c r="FC67" s="63"/>
      <c r="FD67" s="64"/>
      <c r="FF67" s="113" t="s">
        <v>126</v>
      </c>
      <c r="FG67" s="116"/>
      <c r="FH67" s="116"/>
      <c r="FI67" s="116"/>
      <c r="FJ67" s="116"/>
      <c r="FK67" s="116"/>
      <c r="FL67" s="116"/>
      <c r="FM67" s="116"/>
      <c r="FN67" s="116"/>
      <c r="FO67" s="116"/>
      <c r="FP67" s="116"/>
      <c r="FQ67" s="116"/>
      <c r="FR67" s="116"/>
      <c r="FS67" s="116"/>
      <c r="FT67" s="116"/>
      <c r="FU67" s="116"/>
      <c r="FV67" s="116"/>
      <c r="FW67" s="116"/>
      <c r="FX67" s="116"/>
      <c r="FY67" s="116"/>
      <c r="FZ67" s="116"/>
      <c r="GA67" s="116"/>
      <c r="GB67" s="116"/>
      <c r="GC67" s="116"/>
      <c r="GD67" s="116"/>
      <c r="GE67" s="116"/>
      <c r="GF67" s="116"/>
      <c r="GG67" s="116"/>
      <c r="GH67" s="116"/>
      <c r="GI67" s="116"/>
      <c r="GJ67" s="116"/>
      <c r="GK67" s="116"/>
      <c r="GL67" s="116"/>
      <c r="GM67" s="116"/>
      <c r="GN67" s="116"/>
      <c r="GO67" s="116"/>
      <c r="GP67" s="116"/>
      <c r="GQ67" s="116"/>
      <c r="GR67" s="116"/>
      <c r="GS67" s="116"/>
      <c r="GT67" s="116"/>
      <c r="GU67" s="116"/>
      <c r="GV67" s="116"/>
      <c r="GW67" s="116"/>
      <c r="GX67" s="116"/>
      <c r="GY67" s="116"/>
      <c r="GZ67" s="116"/>
      <c r="HA67" s="116"/>
      <c r="HB67" s="116"/>
      <c r="HC67" s="116"/>
      <c r="HD67" s="116"/>
      <c r="HE67" s="116"/>
      <c r="HF67" s="116"/>
      <c r="HG67" s="116"/>
      <c r="HH67" s="117"/>
      <c r="HJ67" s="115" t="s">
        <v>125</v>
      </c>
    </row>
    <row r="68" spans="3:218" s="119" customFormat="1" ht="45" customHeight="1">
      <c r="C68" s="118">
        <v>1</v>
      </c>
      <c r="D68" s="198" t="s">
        <v>143</v>
      </c>
      <c r="E68" s="195" t="s">
        <v>253</v>
      </c>
      <c r="F68" s="196"/>
      <c r="G68" s="197"/>
      <c r="H68" s="74" t="s">
        <v>173</v>
      </c>
      <c r="I68" s="190"/>
      <c r="J68" s="191"/>
      <c r="K68" s="43"/>
      <c r="L68" s="67"/>
      <c r="M68" s="65"/>
      <c r="N68" s="65"/>
      <c r="O68" s="66"/>
      <c r="Q68" s="52"/>
      <c r="R68" s="52"/>
      <c r="S68" s="52"/>
      <c r="T68" s="52"/>
      <c r="U68" s="52"/>
      <c r="V68" s="52"/>
      <c r="W68" s="52"/>
      <c r="X68" s="52"/>
      <c r="Y68" s="52"/>
      <c r="Z68" s="52"/>
      <c r="AA68" s="52"/>
      <c r="AB68" s="52"/>
      <c r="AC68" s="52"/>
      <c r="AD68" s="52"/>
      <c r="AE68" s="52"/>
      <c r="AF68" s="52"/>
      <c r="AG68" s="52"/>
      <c r="AH68" s="52"/>
      <c r="AI68" s="52"/>
      <c r="AJ68" s="52"/>
      <c r="AK68" s="52"/>
      <c r="AL68" s="52"/>
      <c r="AM68" s="52"/>
      <c r="AN68" s="52"/>
      <c r="AO68" s="52"/>
      <c r="AP68" s="52"/>
      <c r="AQ68" s="52"/>
      <c r="AR68" s="52"/>
      <c r="AS68" s="52"/>
      <c r="AT68" s="52"/>
      <c r="AU68" s="52"/>
      <c r="AV68" s="52"/>
      <c r="AX68" s="13"/>
      <c r="AY68" s="13"/>
      <c r="AZ68" s="13"/>
      <c r="BA68" s="13"/>
      <c r="BB68" s="13"/>
      <c r="BC68" s="13"/>
      <c r="BD68" s="13"/>
      <c r="BE68" s="13"/>
      <c r="BF68" s="13"/>
      <c r="BG68" s="13"/>
      <c r="BH68" s="13"/>
      <c r="BI68" s="13"/>
      <c r="BJ68" s="13"/>
      <c r="BK68" s="13"/>
      <c r="BL68" s="13"/>
      <c r="BM68" s="13"/>
      <c r="BN68" s="13"/>
      <c r="BO68" s="13"/>
      <c r="BP68" s="13"/>
      <c r="BQ68" s="13"/>
      <c r="BR68" s="13"/>
      <c r="BS68" s="13"/>
      <c r="BT68" s="13"/>
      <c r="BU68" s="13"/>
      <c r="BV68" s="13"/>
      <c r="BW68" s="13"/>
      <c r="BX68" s="13"/>
      <c r="BY68" s="13"/>
      <c r="BZ68" s="13"/>
      <c r="CA68" s="13"/>
      <c r="CB68" s="13"/>
      <c r="CC68" s="13"/>
      <c r="CD68" s="13"/>
      <c r="CE68" s="13"/>
      <c r="CF68" s="13"/>
      <c r="CG68" s="13"/>
      <c r="CH68" s="13"/>
      <c r="CI68" s="13"/>
      <c r="CJ68" s="13"/>
      <c r="CK68" s="13"/>
      <c r="CL68" s="13"/>
      <c r="CM68" s="13"/>
      <c r="CN68" s="13"/>
      <c r="CO68" s="13"/>
      <c r="CP68" s="13"/>
      <c r="CQ68" s="13"/>
      <c r="CR68" s="13"/>
      <c r="CS68" s="13"/>
      <c r="CT68" s="13"/>
      <c r="CU68" s="13"/>
      <c r="CV68" s="13"/>
      <c r="CW68" s="13"/>
      <c r="CX68" s="13"/>
      <c r="CY68" s="13"/>
      <c r="CZ68" s="13"/>
      <c r="DA68" s="112" t="e">
        <f t="shared" ref="DA68:DA74" si="538">MATCH(TRUE,DB68:FD68,0)</f>
        <v>#N/A</v>
      </c>
      <c r="DB68" s="13"/>
      <c r="DC68" s="13"/>
      <c r="DD68" s="13"/>
      <c r="DE68" s="13"/>
      <c r="DF68" s="13"/>
      <c r="DG68" s="13"/>
      <c r="DH68" s="13"/>
      <c r="DI68" s="13"/>
      <c r="DJ68" s="13"/>
      <c r="DK68" s="13"/>
      <c r="DL68" s="13"/>
      <c r="DM68" s="13"/>
      <c r="DN68" s="13"/>
      <c r="DO68" s="13"/>
      <c r="DP68" s="13"/>
      <c r="DQ68" s="13"/>
      <c r="DR68" s="13"/>
      <c r="DS68" s="13"/>
      <c r="DT68" s="13"/>
      <c r="DU68" s="13"/>
      <c r="DV68" s="13"/>
      <c r="DW68" s="13"/>
      <c r="DX68" s="13"/>
      <c r="DY68" s="13"/>
      <c r="DZ68" s="13"/>
      <c r="EA68" s="13"/>
      <c r="EB68" s="13"/>
      <c r="EC68" s="13"/>
      <c r="ED68" s="13"/>
      <c r="EE68" s="13"/>
      <c r="EF68" s="13"/>
      <c r="EG68" s="13"/>
      <c r="EH68" s="13"/>
      <c r="EI68" s="13"/>
      <c r="EJ68" s="13"/>
      <c r="EK68" s="13"/>
      <c r="EL68" s="13"/>
      <c r="EM68" s="13"/>
      <c r="EN68" s="13"/>
      <c r="EO68" s="13"/>
      <c r="EP68" s="13"/>
      <c r="EQ68" s="13"/>
      <c r="ER68" s="13"/>
      <c r="ES68" s="13"/>
      <c r="ET68" s="13"/>
      <c r="EU68" s="13"/>
      <c r="EV68" s="13"/>
      <c r="EW68" s="13"/>
      <c r="EX68" s="13"/>
      <c r="EY68" s="13"/>
      <c r="EZ68" s="13"/>
      <c r="FA68" s="13"/>
      <c r="FB68" s="13"/>
      <c r="FC68" s="13"/>
      <c r="FD68" s="13"/>
      <c r="FF68" s="13" t="str">
        <f t="shared" ref="FF68:FF74" si="539">IF(DB68=TRUE,AX68&amp;"; ","")</f>
        <v/>
      </c>
      <c r="FG68" s="13" t="str">
        <f t="shared" ref="FG68:FG74" si="540">IF(DC68=TRUE,AY68&amp;"; ","")</f>
        <v/>
      </c>
      <c r="FH68" s="13" t="str">
        <f t="shared" ref="FH68:FH74" si="541">IF(DD68=TRUE,AZ68&amp;"; ","")</f>
        <v/>
      </c>
      <c r="FI68" s="13" t="str">
        <f t="shared" ref="FI68:FI74" si="542">IF(DE68=TRUE,BA68&amp;"; ","")</f>
        <v/>
      </c>
      <c r="FJ68" s="13" t="str">
        <f t="shared" ref="FJ68:FJ74" si="543">IF(DF68=TRUE,BB68&amp;"; ","")</f>
        <v/>
      </c>
      <c r="FK68" s="13" t="str">
        <f t="shared" ref="FK68:FK74" si="544">IF(DG68=TRUE,BC68&amp;"; ","")</f>
        <v/>
      </c>
      <c r="FL68" s="13" t="str">
        <f t="shared" ref="FL68:FL74" si="545">IF(DH68=TRUE,BD68&amp;"; ","")</f>
        <v/>
      </c>
      <c r="FM68" s="13" t="str">
        <f t="shared" ref="FM68:FM74" si="546">IF(DI68=TRUE,BE68&amp;"; ","")</f>
        <v/>
      </c>
      <c r="FN68" s="13" t="str">
        <f t="shared" ref="FN68:FN74" si="547">IF(DJ68=TRUE,BF68&amp;"; ","")</f>
        <v/>
      </c>
      <c r="FO68" s="13" t="str">
        <f t="shared" ref="FO68:FO74" si="548">IF(DK68=TRUE,BG68&amp;"; ","")</f>
        <v/>
      </c>
      <c r="FP68" s="13" t="str">
        <f t="shared" ref="FP68:FP74" si="549">IF(DL68=TRUE,BH68&amp;"; ","")</f>
        <v/>
      </c>
      <c r="FQ68" s="13" t="str">
        <f t="shared" ref="FQ68:FQ74" si="550">IF(DM68=TRUE,BI68&amp;"; ","")</f>
        <v/>
      </c>
      <c r="FR68" s="13" t="str">
        <f t="shared" ref="FR68:FR74" si="551">IF(DN68=TRUE,BJ68&amp;"; ","")</f>
        <v/>
      </c>
      <c r="FS68" s="13" t="str">
        <f t="shared" ref="FS68:FS74" si="552">IF(DO68=TRUE,BK68&amp;"; ","")</f>
        <v/>
      </c>
      <c r="FT68" s="13" t="str">
        <f t="shared" ref="FT68:FT74" si="553">IF(DP68=TRUE,BL68&amp;"; ","")</f>
        <v/>
      </c>
      <c r="FU68" s="13" t="str">
        <f t="shared" ref="FU68:FU74" si="554">IF(DQ68=TRUE,BM68&amp;"; ","")</f>
        <v/>
      </c>
      <c r="FV68" s="13" t="str">
        <f t="shared" ref="FV68:FV74" si="555">IF(DR68=TRUE,BN68&amp;"; ","")</f>
        <v/>
      </c>
      <c r="FW68" s="13" t="str">
        <f t="shared" ref="FW68:FW74" si="556">IF(DS68=TRUE,BO68&amp;"; ","")</f>
        <v/>
      </c>
      <c r="FX68" s="13" t="str">
        <f t="shared" ref="FX68:FX74" si="557">IF(DT68=TRUE,BP68&amp;"; ","")</f>
        <v/>
      </c>
      <c r="FY68" s="13" t="str">
        <f t="shared" ref="FY68:FY74" si="558">IF(DU68=TRUE,BQ68&amp;"; ","")</f>
        <v/>
      </c>
      <c r="FZ68" s="13" t="str">
        <f t="shared" ref="FZ68:FZ74" si="559">IF(DV68=TRUE,BR68&amp;"; ","")</f>
        <v/>
      </c>
      <c r="GA68" s="13" t="str">
        <f t="shared" ref="GA68:GA74" si="560">IF(DW68=TRUE,BS68&amp;"; ","")</f>
        <v/>
      </c>
      <c r="GB68" s="13" t="str">
        <f t="shared" ref="GB68:GB74" si="561">IF(DX68=TRUE,BT68&amp;"; ","")</f>
        <v/>
      </c>
      <c r="GC68" s="13" t="str">
        <f t="shared" ref="GC68:GC74" si="562">IF(DY68=TRUE,BU68&amp;"; ","")</f>
        <v/>
      </c>
      <c r="GD68" s="13" t="str">
        <f t="shared" ref="GD68:GD74" si="563">IF(DZ68=TRUE,BV68&amp;"; ","")</f>
        <v/>
      </c>
      <c r="GE68" s="13" t="str">
        <f t="shared" ref="GE68:GE74" si="564">IF(EA68=TRUE,BW68&amp;"; ","")</f>
        <v/>
      </c>
      <c r="GF68" s="13" t="str">
        <f t="shared" ref="GF68:GF74" si="565">IF(EB68=TRUE,BX68&amp;"; ","")</f>
        <v/>
      </c>
      <c r="GG68" s="13" t="str">
        <f t="shared" ref="GG68:GG74" si="566">IF(EC68=TRUE,BY68&amp;"; ","")</f>
        <v/>
      </c>
      <c r="GH68" s="13" t="str">
        <f t="shared" ref="GH68:GH74" si="567">IF(ED68=TRUE,BZ68&amp;"; ","")</f>
        <v/>
      </c>
      <c r="GI68" s="13" t="str">
        <f t="shared" ref="GI68:GI74" si="568">IF(EE68=TRUE,CA68&amp;"; ","")</f>
        <v/>
      </c>
      <c r="GJ68" s="13" t="str">
        <f t="shared" ref="GJ68:GJ74" si="569">IF(EF68=TRUE,CB68&amp;"; ","")</f>
        <v/>
      </c>
      <c r="GK68" s="13" t="str">
        <f t="shared" ref="GK68:GK74" si="570">IF(EG68=TRUE,CC68&amp;"; ","")</f>
        <v/>
      </c>
      <c r="GL68" s="13" t="str">
        <f t="shared" ref="GL68:GL74" si="571">IF(EH68=TRUE,CD68&amp;"; ","")</f>
        <v/>
      </c>
      <c r="GM68" s="13" t="str">
        <f t="shared" ref="GM68:GM74" si="572">IF(EI68=TRUE,CE68&amp;"; ","")</f>
        <v/>
      </c>
      <c r="GN68" s="13" t="str">
        <f t="shared" ref="GN68:GN74" si="573">IF(EJ68=TRUE,CF68&amp;"; ","")</f>
        <v/>
      </c>
      <c r="GO68" s="13" t="str">
        <f t="shared" ref="GO68:GO74" si="574">IF(EK68=TRUE,CG68&amp;"; ","")</f>
        <v/>
      </c>
      <c r="GP68" s="13" t="str">
        <f t="shared" ref="GP68:GP74" si="575">IF(EL68=TRUE,CH68&amp;"; ","")</f>
        <v/>
      </c>
      <c r="GQ68" s="13" t="str">
        <f t="shared" ref="GQ68:GQ74" si="576">IF(EM68=TRUE,CI68&amp;"; ","")</f>
        <v/>
      </c>
      <c r="GR68" s="13" t="str">
        <f t="shared" ref="GR68:GR74" si="577">IF(EN68=TRUE,CJ68&amp;"; ","")</f>
        <v/>
      </c>
      <c r="GS68" s="13" t="str">
        <f t="shared" ref="GS68:GS74" si="578">IF(EO68=TRUE,CK68&amp;"; ","")</f>
        <v/>
      </c>
      <c r="GT68" s="13" t="str">
        <f t="shared" ref="GT68:GT74" si="579">IF(EP68=TRUE,CL68&amp;"; ","")</f>
        <v/>
      </c>
      <c r="GU68" s="13" t="str">
        <f t="shared" ref="GU68:GU74" si="580">IF(EQ68=TRUE,CM68&amp;"; ","")</f>
        <v/>
      </c>
      <c r="GV68" s="13" t="str">
        <f t="shared" ref="GV68:GV74" si="581">IF(ER68=TRUE,CN68&amp;"; ","")</f>
        <v/>
      </c>
      <c r="GW68" s="13" t="str">
        <f t="shared" ref="GW68:GW74" si="582">IF(ES68=TRUE,CO68&amp;"; ","")</f>
        <v/>
      </c>
      <c r="GX68" s="13" t="str">
        <f t="shared" ref="GX68:GX74" si="583">IF(ET68=TRUE,CP68&amp;"; ","")</f>
        <v/>
      </c>
      <c r="GY68" s="13" t="str">
        <f t="shared" ref="GY68:GY74" si="584">IF(EU68=TRUE,CQ68&amp;"; ","")</f>
        <v/>
      </c>
      <c r="GZ68" s="13" t="str">
        <f t="shared" ref="GZ68:GZ74" si="585">IF(EV68=TRUE,CR68&amp;"; ","")</f>
        <v/>
      </c>
      <c r="HA68" s="13" t="str">
        <f t="shared" ref="HA68:HA74" si="586">IF(EW68=TRUE,CS68&amp;"; ","")</f>
        <v/>
      </c>
      <c r="HB68" s="13" t="str">
        <f t="shared" ref="HB68:HB74" si="587">IF(EX68=TRUE,CT68&amp;"; ","")</f>
        <v/>
      </c>
      <c r="HC68" s="13" t="str">
        <f t="shared" ref="HC68:HC74" si="588">IF(EY68=TRUE,CU68&amp;"; ","")</f>
        <v/>
      </c>
      <c r="HD68" s="13" t="str">
        <f t="shared" ref="HD68:HD74" si="589">IF(EZ68=TRUE,CV68&amp;"; ","")</f>
        <v/>
      </c>
      <c r="HE68" s="13" t="str">
        <f t="shared" ref="HE68:HE74" si="590">IF(FA68=TRUE,CW68&amp;"; ","")</f>
        <v/>
      </c>
      <c r="HF68" s="13" t="str">
        <f t="shared" ref="HF68:HF74" si="591">IF(FB68=TRUE,CX68&amp;"; ","")</f>
        <v/>
      </c>
      <c r="HG68" s="13" t="str">
        <f t="shared" ref="HG68:HG74" si="592">IF(FC68=TRUE,CY68&amp;"; ","")</f>
        <v/>
      </c>
      <c r="HH68" s="13" t="str">
        <f t="shared" ref="HH68:HH74" si="593">IF(FD68=TRUE,CZ68&amp;"; ","")</f>
        <v/>
      </c>
      <c r="HJ68" s="114" t="str">
        <f t="shared" ref="HJ68:HJ74" si="594">IFERROR(LEFT(FF68&amp;FG68&amp;FH68&amp;FI68&amp;FJ68&amp;FK68&amp;FL68&amp;FM68&amp;FN68&amp;FO68&amp;FP68&amp;FQ68&amp;FR68&amp;FS68&amp;FT68&amp;FU68&amp;FV68&amp;FW68&amp;FX68&amp;FY68&amp;FZ68&amp;GA68&amp;GB68&amp;GC68&amp;GD68&amp;GE68&amp;GF68&amp;GG68&amp;GH68&amp;GI68&amp;GJ68&amp;GK68&amp;GL68&amp;GM68&amp;GN68&amp;GO68&amp;GP68&amp;GQ68&amp;GR68&amp;GS68&amp;GT68&amp;GU68&amp;GV68&amp;GW68&amp;GX68&amp;GY68&amp;GZ68&amp;HA68&amp;HB68&amp;HC68&amp;HD68&amp;HE68&amp;HF68&amp;HG68&amp;HH68,LEN(FF68&amp;FG68&amp;FH68&amp;FI68&amp;FJ68&amp;FK68&amp;FL68&amp;FM68&amp;FN68&amp;FO68&amp;FP68&amp;FQ68&amp;FR68&amp;FS68&amp;FT68&amp;FU68&amp;FV68&amp;FW68&amp;FX68&amp;FY68&amp;FZ68&amp;GA68&amp;GB68&amp;GC68&amp;GD68&amp;GE68&amp;GF68&amp;GG68&amp;GH68&amp;GI68&amp;GJ68&amp;GK68&amp;GL68&amp;GM68&amp;GN68&amp;GO68&amp;GP68&amp;GQ68&amp;GR68&amp;GS68&amp;GT68&amp;GU68&amp;GV68&amp;GW68&amp;GX68&amp;GY68&amp;GZ68&amp;HA68&amp;HB68&amp;HC68&amp;HD68&amp;HE68&amp;HF68&amp;HG68&amp;HH68)-2),"")</f>
        <v/>
      </c>
    </row>
    <row r="69" spans="3:218" s="119" customFormat="1" ht="45" customHeight="1">
      <c r="C69" s="121">
        <f t="shared" ref="C69:C74" si="595">C68+1</f>
        <v>2</v>
      </c>
      <c r="D69" s="199"/>
      <c r="E69" s="195" t="s">
        <v>254</v>
      </c>
      <c r="F69" s="196"/>
      <c r="G69" s="197"/>
      <c r="H69" s="74" t="s">
        <v>173</v>
      </c>
      <c r="I69" s="190"/>
      <c r="J69" s="191"/>
      <c r="K69" s="43"/>
      <c r="L69" s="67"/>
      <c r="M69" s="65"/>
      <c r="N69" s="65"/>
      <c r="O69" s="66"/>
      <c r="Q69" s="52"/>
      <c r="R69" s="52"/>
      <c r="S69" s="52"/>
      <c r="T69" s="52"/>
      <c r="U69" s="52"/>
      <c r="V69" s="52"/>
      <c r="W69" s="52"/>
      <c r="X69" s="52"/>
      <c r="Y69" s="52"/>
      <c r="Z69" s="52"/>
      <c r="AA69" s="52"/>
      <c r="AB69" s="52"/>
      <c r="AC69" s="52"/>
      <c r="AD69" s="52"/>
      <c r="AE69" s="52"/>
      <c r="AF69" s="52"/>
      <c r="AG69" s="52"/>
      <c r="AH69" s="52"/>
      <c r="AI69" s="52"/>
      <c r="AJ69" s="52"/>
      <c r="AK69" s="52"/>
      <c r="AL69" s="52"/>
      <c r="AM69" s="52"/>
      <c r="AN69" s="52"/>
      <c r="AO69" s="52"/>
      <c r="AP69" s="52"/>
      <c r="AQ69" s="52"/>
      <c r="AR69" s="52"/>
      <c r="AS69" s="52"/>
      <c r="AT69" s="52"/>
      <c r="AU69" s="52"/>
      <c r="AV69" s="52"/>
      <c r="AX69" s="13"/>
      <c r="AY69" s="13"/>
      <c r="AZ69" s="13"/>
      <c r="BA69" s="13"/>
      <c r="BB69" s="13"/>
      <c r="BC69" s="13"/>
      <c r="BD69" s="13"/>
      <c r="BE69" s="13"/>
      <c r="BF69" s="13"/>
      <c r="BG69" s="13"/>
      <c r="BH69" s="13"/>
      <c r="BI69" s="13"/>
      <c r="BJ69" s="13"/>
      <c r="BK69" s="13"/>
      <c r="BL69" s="13"/>
      <c r="BM69" s="13"/>
      <c r="BN69" s="13"/>
      <c r="BO69" s="13"/>
      <c r="BP69" s="13"/>
      <c r="BQ69" s="13"/>
      <c r="BR69" s="13"/>
      <c r="BS69" s="13"/>
      <c r="BT69" s="13"/>
      <c r="BU69" s="13"/>
      <c r="BV69" s="13"/>
      <c r="BW69" s="13"/>
      <c r="BX69" s="13"/>
      <c r="BY69" s="13"/>
      <c r="BZ69" s="13"/>
      <c r="CA69" s="13"/>
      <c r="CB69" s="13"/>
      <c r="CC69" s="13"/>
      <c r="CD69" s="13"/>
      <c r="CE69" s="13"/>
      <c r="CF69" s="13"/>
      <c r="CG69" s="13"/>
      <c r="CH69" s="13"/>
      <c r="CI69" s="13"/>
      <c r="CJ69" s="13"/>
      <c r="CK69" s="13"/>
      <c r="CL69" s="13"/>
      <c r="CM69" s="13"/>
      <c r="CN69" s="13"/>
      <c r="CO69" s="13"/>
      <c r="CP69" s="13"/>
      <c r="CQ69" s="13"/>
      <c r="CR69" s="13"/>
      <c r="CS69" s="13"/>
      <c r="CT69" s="13"/>
      <c r="CU69" s="13"/>
      <c r="CV69" s="13"/>
      <c r="CW69" s="13"/>
      <c r="CX69" s="13"/>
      <c r="CY69" s="13"/>
      <c r="CZ69" s="13"/>
      <c r="DA69" s="112" t="e">
        <f t="shared" si="538"/>
        <v>#N/A</v>
      </c>
      <c r="DB69" s="13"/>
      <c r="DC69" s="13"/>
      <c r="DD69" s="13"/>
      <c r="DE69" s="13"/>
      <c r="DF69" s="13"/>
      <c r="DG69" s="13"/>
      <c r="DH69" s="13"/>
      <c r="DI69" s="13"/>
      <c r="DJ69" s="13"/>
      <c r="DK69" s="13"/>
      <c r="DL69" s="13"/>
      <c r="DM69" s="13"/>
      <c r="DN69" s="13"/>
      <c r="DO69" s="13"/>
      <c r="DP69" s="13"/>
      <c r="DQ69" s="13"/>
      <c r="DR69" s="13"/>
      <c r="DS69" s="13"/>
      <c r="DT69" s="13"/>
      <c r="DU69" s="13"/>
      <c r="DV69" s="13"/>
      <c r="DW69" s="13"/>
      <c r="DX69" s="13"/>
      <c r="DY69" s="13"/>
      <c r="DZ69" s="13"/>
      <c r="EA69" s="13"/>
      <c r="EB69" s="13"/>
      <c r="EC69" s="13"/>
      <c r="ED69" s="13"/>
      <c r="EE69" s="13"/>
      <c r="EF69" s="13"/>
      <c r="EG69" s="13"/>
      <c r="EH69" s="13"/>
      <c r="EI69" s="13"/>
      <c r="EJ69" s="13"/>
      <c r="EK69" s="13"/>
      <c r="EL69" s="13"/>
      <c r="EM69" s="13"/>
      <c r="EN69" s="13"/>
      <c r="EO69" s="13"/>
      <c r="EP69" s="13"/>
      <c r="EQ69" s="13"/>
      <c r="ER69" s="13"/>
      <c r="ES69" s="13"/>
      <c r="ET69" s="13"/>
      <c r="EU69" s="13"/>
      <c r="EV69" s="13"/>
      <c r="EW69" s="13"/>
      <c r="EX69" s="13"/>
      <c r="EY69" s="13"/>
      <c r="EZ69" s="13"/>
      <c r="FA69" s="13"/>
      <c r="FB69" s="13"/>
      <c r="FC69" s="13"/>
      <c r="FD69" s="13"/>
      <c r="FF69" s="13" t="str">
        <f t="shared" si="539"/>
        <v/>
      </c>
      <c r="FG69" s="13" t="str">
        <f t="shared" si="540"/>
        <v/>
      </c>
      <c r="FH69" s="13" t="str">
        <f t="shared" si="541"/>
        <v/>
      </c>
      <c r="FI69" s="13" t="str">
        <f t="shared" si="542"/>
        <v/>
      </c>
      <c r="FJ69" s="13" t="str">
        <f t="shared" si="543"/>
        <v/>
      </c>
      <c r="FK69" s="13" t="str">
        <f t="shared" si="544"/>
        <v/>
      </c>
      <c r="FL69" s="13" t="str">
        <f t="shared" si="545"/>
        <v/>
      </c>
      <c r="FM69" s="13" t="str">
        <f t="shared" si="546"/>
        <v/>
      </c>
      <c r="FN69" s="13" t="str">
        <f t="shared" si="547"/>
        <v/>
      </c>
      <c r="FO69" s="13" t="str">
        <f t="shared" si="548"/>
        <v/>
      </c>
      <c r="FP69" s="13" t="str">
        <f t="shared" si="549"/>
        <v/>
      </c>
      <c r="FQ69" s="13" t="str">
        <f t="shared" si="550"/>
        <v/>
      </c>
      <c r="FR69" s="13" t="str">
        <f t="shared" si="551"/>
        <v/>
      </c>
      <c r="FS69" s="13" t="str">
        <f t="shared" si="552"/>
        <v/>
      </c>
      <c r="FT69" s="13" t="str">
        <f t="shared" si="553"/>
        <v/>
      </c>
      <c r="FU69" s="13" t="str">
        <f t="shared" si="554"/>
        <v/>
      </c>
      <c r="FV69" s="13" t="str">
        <f t="shared" si="555"/>
        <v/>
      </c>
      <c r="FW69" s="13" t="str">
        <f t="shared" si="556"/>
        <v/>
      </c>
      <c r="FX69" s="13" t="str">
        <f t="shared" si="557"/>
        <v/>
      </c>
      <c r="FY69" s="13" t="str">
        <f t="shared" si="558"/>
        <v/>
      </c>
      <c r="FZ69" s="13" t="str">
        <f t="shared" si="559"/>
        <v/>
      </c>
      <c r="GA69" s="13" t="str">
        <f t="shared" si="560"/>
        <v/>
      </c>
      <c r="GB69" s="13" t="str">
        <f t="shared" si="561"/>
        <v/>
      </c>
      <c r="GC69" s="13" t="str">
        <f t="shared" si="562"/>
        <v/>
      </c>
      <c r="GD69" s="13" t="str">
        <f t="shared" si="563"/>
        <v/>
      </c>
      <c r="GE69" s="13" t="str">
        <f t="shared" si="564"/>
        <v/>
      </c>
      <c r="GF69" s="13" t="str">
        <f t="shared" si="565"/>
        <v/>
      </c>
      <c r="GG69" s="13" t="str">
        <f t="shared" si="566"/>
        <v/>
      </c>
      <c r="GH69" s="13" t="str">
        <f t="shared" si="567"/>
        <v/>
      </c>
      <c r="GI69" s="13" t="str">
        <f t="shared" si="568"/>
        <v/>
      </c>
      <c r="GJ69" s="13" t="str">
        <f t="shared" si="569"/>
        <v/>
      </c>
      <c r="GK69" s="13" t="str">
        <f t="shared" si="570"/>
        <v/>
      </c>
      <c r="GL69" s="13" t="str">
        <f t="shared" si="571"/>
        <v/>
      </c>
      <c r="GM69" s="13" t="str">
        <f t="shared" si="572"/>
        <v/>
      </c>
      <c r="GN69" s="13" t="str">
        <f t="shared" si="573"/>
        <v/>
      </c>
      <c r="GO69" s="13" t="str">
        <f t="shared" si="574"/>
        <v/>
      </c>
      <c r="GP69" s="13" t="str">
        <f t="shared" si="575"/>
        <v/>
      </c>
      <c r="GQ69" s="13" t="str">
        <f t="shared" si="576"/>
        <v/>
      </c>
      <c r="GR69" s="13" t="str">
        <f t="shared" si="577"/>
        <v/>
      </c>
      <c r="GS69" s="13" t="str">
        <f t="shared" si="578"/>
        <v/>
      </c>
      <c r="GT69" s="13" t="str">
        <f t="shared" si="579"/>
        <v/>
      </c>
      <c r="GU69" s="13" t="str">
        <f t="shared" si="580"/>
        <v/>
      </c>
      <c r="GV69" s="13" t="str">
        <f t="shared" si="581"/>
        <v/>
      </c>
      <c r="GW69" s="13" t="str">
        <f t="shared" si="582"/>
        <v/>
      </c>
      <c r="GX69" s="13" t="str">
        <f t="shared" si="583"/>
        <v/>
      </c>
      <c r="GY69" s="13" t="str">
        <f t="shared" si="584"/>
        <v/>
      </c>
      <c r="GZ69" s="13" t="str">
        <f t="shared" si="585"/>
        <v/>
      </c>
      <c r="HA69" s="13" t="str">
        <f t="shared" si="586"/>
        <v/>
      </c>
      <c r="HB69" s="13" t="str">
        <f t="shared" si="587"/>
        <v/>
      </c>
      <c r="HC69" s="13" t="str">
        <f t="shared" si="588"/>
        <v/>
      </c>
      <c r="HD69" s="13" t="str">
        <f t="shared" si="589"/>
        <v/>
      </c>
      <c r="HE69" s="13" t="str">
        <f t="shared" si="590"/>
        <v/>
      </c>
      <c r="HF69" s="13" t="str">
        <f t="shared" si="591"/>
        <v/>
      </c>
      <c r="HG69" s="13" t="str">
        <f t="shared" si="592"/>
        <v/>
      </c>
      <c r="HH69" s="13" t="str">
        <f t="shared" si="593"/>
        <v/>
      </c>
      <c r="HJ69" s="114" t="str">
        <f t="shared" si="594"/>
        <v/>
      </c>
    </row>
    <row r="70" spans="3:218" s="119" customFormat="1" ht="45" customHeight="1">
      <c r="C70" s="121">
        <f t="shared" si="595"/>
        <v>3</v>
      </c>
      <c r="D70" s="199"/>
      <c r="E70" s="195" t="s">
        <v>255</v>
      </c>
      <c r="F70" s="196"/>
      <c r="G70" s="197"/>
      <c r="H70" s="74" t="s">
        <v>173</v>
      </c>
      <c r="I70" s="190"/>
      <c r="J70" s="191"/>
      <c r="K70" s="43"/>
      <c r="L70" s="67"/>
      <c r="M70" s="65"/>
      <c r="N70" s="65"/>
      <c r="O70" s="66"/>
      <c r="Q70" s="52"/>
      <c r="R70" s="52"/>
      <c r="S70" s="52"/>
      <c r="T70" s="52"/>
      <c r="U70" s="52"/>
      <c r="V70" s="52"/>
      <c r="W70" s="52"/>
      <c r="X70" s="52"/>
      <c r="Y70" s="52"/>
      <c r="Z70" s="52"/>
      <c r="AA70" s="52"/>
      <c r="AB70" s="52"/>
      <c r="AC70" s="52"/>
      <c r="AD70" s="52"/>
      <c r="AE70" s="52"/>
      <c r="AF70" s="52"/>
      <c r="AG70" s="52"/>
      <c r="AH70" s="52"/>
      <c r="AI70" s="52"/>
      <c r="AJ70" s="52"/>
      <c r="AK70" s="52"/>
      <c r="AL70" s="52"/>
      <c r="AM70" s="52"/>
      <c r="AN70" s="52"/>
      <c r="AO70" s="52"/>
      <c r="AP70" s="52"/>
      <c r="AQ70" s="52"/>
      <c r="AR70" s="52"/>
      <c r="AS70" s="52"/>
      <c r="AT70" s="52"/>
      <c r="AU70" s="52"/>
      <c r="AV70" s="52"/>
      <c r="AX70" s="13"/>
      <c r="AY70" s="13"/>
      <c r="AZ70" s="13"/>
      <c r="BA70" s="13"/>
      <c r="BB70" s="13"/>
      <c r="BC70" s="13"/>
      <c r="BD70" s="13"/>
      <c r="BE70" s="13"/>
      <c r="BF70" s="13"/>
      <c r="BG70" s="13"/>
      <c r="BH70" s="13"/>
      <c r="BI70" s="13"/>
      <c r="BJ70" s="13"/>
      <c r="BK70" s="13"/>
      <c r="BL70" s="13"/>
      <c r="BM70" s="13"/>
      <c r="BN70" s="13"/>
      <c r="BO70" s="13"/>
      <c r="BP70" s="13"/>
      <c r="BQ70" s="13"/>
      <c r="BR70" s="13"/>
      <c r="BS70" s="13"/>
      <c r="BT70" s="13"/>
      <c r="BU70" s="13"/>
      <c r="BV70" s="13"/>
      <c r="BW70" s="13"/>
      <c r="BX70" s="13"/>
      <c r="BY70" s="13"/>
      <c r="BZ70" s="13"/>
      <c r="CA70" s="13"/>
      <c r="CB70" s="13"/>
      <c r="CC70" s="13"/>
      <c r="CD70" s="13"/>
      <c r="CE70" s="13"/>
      <c r="CF70" s="13"/>
      <c r="CG70" s="13"/>
      <c r="CH70" s="13"/>
      <c r="CI70" s="13"/>
      <c r="CJ70" s="13"/>
      <c r="CK70" s="13"/>
      <c r="CL70" s="13"/>
      <c r="CM70" s="13"/>
      <c r="CN70" s="13"/>
      <c r="CO70" s="13"/>
      <c r="CP70" s="13"/>
      <c r="CQ70" s="13"/>
      <c r="CR70" s="13"/>
      <c r="CS70" s="13"/>
      <c r="CT70" s="13"/>
      <c r="CU70" s="13"/>
      <c r="CV70" s="13"/>
      <c r="CW70" s="13"/>
      <c r="CX70" s="13"/>
      <c r="CY70" s="13"/>
      <c r="CZ70" s="13"/>
      <c r="DA70" s="112" t="e">
        <f t="shared" si="538"/>
        <v>#N/A</v>
      </c>
      <c r="DB70" s="13"/>
      <c r="DC70" s="13"/>
      <c r="DD70" s="13"/>
      <c r="DE70" s="13"/>
      <c r="DF70" s="13"/>
      <c r="DG70" s="13"/>
      <c r="DH70" s="13"/>
      <c r="DI70" s="13"/>
      <c r="DJ70" s="13"/>
      <c r="DK70" s="13"/>
      <c r="DL70" s="13"/>
      <c r="DM70" s="13"/>
      <c r="DN70" s="13"/>
      <c r="DO70" s="13"/>
      <c r="DP70" s="13"/>
      <c r="DQ70" s="13"/>
      <c r="DR70" s="13"/>
      <c r="DS70" s="13"/>
      <c r="DT70" s="13"/>
      <c r="DU70" s="13"/>
      <c r="DV70" s="13"/>
      <c r="DW70" s="13"/>
      <c r="DX70" s="13"/>
      <c r="DY70" s="13"/>
      <c r="DZ70" s="13"/>
      <c r="EA70" s="13"/>
      <c r="EB70" s="13"/>
      <c r="EC70" s="13"/>
      <c r="ED70" s="13"/>
      <c r="EE70" s="13"/>
      <c r="EF70" s="13"/>
      <c r="EG70" s="13"/>
      <c r="EH70" s="13"/>
      <c r="EI70" s="13"/>
      <c r="EJ70" s="13"/>
      <c r="EK70" s="13"/>
      <c r="EL70" s="13"/>
      <c r="EM70" s="13"/>
      <c r="EN70" s="13"/>
      <c r="EO70" s="13"/>
      <c r="EP70" s="13"/>
      <c r="EQ70" s="13"/>
      <c r="ER70" s="13"/>
      <c r="ES70" s="13"/>
      <c r="ET70" s="13"/>
      <c r="EU70" s="13"/>
      <c r="EV70" s="13"/>
      <c r="EW70" s="13"/>
      <c r="EX70" s="13"/>
      <c r="EY70" s="13"/>
      <c r="EZ70" s="13"/>
      <c r="FA70" s="13"/>
      <c r="FB70" s="13"/>
      <c r="FC70" s="13"/>
      <c r="FD70" s="13"/>
      <c r="FF70" s="13" t="str">
        <f t="shared" si="539"/>
        <v/>
      </c>
      <c r="FG70" s="13" t="str">
        <f t="shared" si="540"/>
        <v/>
      </c>
      <c r="FH70" s="13" t="str">
        <f t="shared" si="541"/>
        <v/>
      </c>
      <c r="FI70" s="13" t="str">
        <f t="shared" si="542"/>
        <v/>
      </c>
      <c r="FJ70" s="13" t="str">
        <f t="shared" si="543"/>
        <v/>
      </c>
      <c r="FK70" s="13" t="str">
        <f t="shared" si="544"/>
        <v/>
      </c>
      <c r="FL70" s="13" t="str">
        <f t="shared" si="545"/>
        <v/>
      </c>
      <c r="FM70" s="13" t="str">
        <f t="shared" si="546"/>
        <v/>
      </c>
      <c r="FN70" s="13" t="str">
        <f t="shared" si="547"/>
        <v/>
      </c>
      <c r="FO70" s="13" t="str">
        <f t="shared" si="548"/>
        <v/>
      </c>
      <c r="FP70" s="13" t="str">
        <f t="shared" si="549"/>
        <v/>
      </c>
      <c r="FQ70" s="13" t="str">
        <f t="shared" si="550"/>
        <v/>
      </c>
      <c r="FR70" s="13" t="str">
        <f t="shared" si="551"/>
        <v/>
      </c>
      <c r="FS70" s="13" t="str">
        <f t="shared" si="552"/>
        <v/>
      </c>
      <c r="FT70" s="13" t="str">
        <f t="shared" si="553"/>
        <v/>
      </c>
      <c r="FU70" s="13" t="str">
        <f t="shared" si="554"/>
        <v/>
      </c>
      <c r="FV70" s="13" t="str">
        <f t="shared" si="555"/>
        <v/>
      </c>
      <c r="FW70" s="13" t="str">
        <f t="shared" si="556"/>
        <v/>
      </c>
      <c r="FX70" s="13" t="str">
        <f t="shared" si="557"/>
        <v/>
      </c>
      <c r="FY70" s="13" t="str">
        <f t="shared" si="558"/>
        <v/>
      </c>
      <c r="FZ70" s="13" t="str">
        <f t="shared" si="559"/>
        <v/>
      </c>
      <c r="GA70" s="13" t="str">
        <f t="shared" si="560"/>
        <v/>
      </c>
      <c r="GB70" s="13" t="str">
        <f t="shared" si="561"/>
        <v/>
      </c>
      <c r="GC70" s="13" t="str">
        <f t="shared" si="562"/>
        <v/>
      </c>
      <c r="GD70" s="13" t="str">
        <f t="shared" si="563"/>
        <v/>
      </c>
      <c r="GE70" s="13" t="str">
        <f t="shared" si="564"/>
        <v/>
      </c>
      <c r="GF70" s="13" t="str">
        <f t="shared" si="565"/>
        <v/>
      </c>
      <c r="GG70" s="13" t="str">
        <f t="shared" si="566"/>
        <v/>
      </c>
      <c r="GH70" s="13" t="str">
        <f t="shared" si="567"/>
        <v/>
      </c>
      <c r="GI70" s="13" t="str">
        <f t="shared" si="568"/>
        <v/>
      </c>
      <c r="GJ70" s="13" t="str">
        <f t="shared" si="569"/>
        <v/>
      </c>
      <c r="GK70" s="13" t="str">
        <f t="shared" si="570"/>
        <v/>
      </c>
      <c r="GL70" s="13" t="str">
        <f t="shared" si="571"/>
        <v/>
      </c>
      <c r="GM70" s="13" t="str">
        <f t="shared" si="572"/>
        <v/>
      </c>
      <c r="GN70" s="13" t="str">
        <f t="shared" si="573"/>
        <v/>
      </c>
      <c r="GO70" s="13" t="str">
        <f t="shared" si="574"/>
        <v/>
      </c>
      <c r="GP70" s="13" t="str">
        <f t="shared" si="575"/>
        <v/>
      </c>
      <c r="GQ70" s="13" t="str">
        <f t="shared" si="576"/>
        <v/>
      </c>
      <c r="GR70" s="13" t="str">
        <f t="shared" si="577"/>
        <v/>
      </c>
      <c r="GS70" s="13" t="str">
        <f t="shared" si="578"/>
        <v/>
      </c>
      <c r="GT70" s="13" t="str">
        <f t="shared" si="579"/>
        <v/>
      </c>
      <c r="GU70" s="13" t="str">
        <f t="shared" si="580"/>
        <v/>
      </c>
      <c r="GV70" s="13" t="str">
        <f t="shared" si="581"/>
        <v/>
      </c>
      <c r="GW70" s="13" t="str">
        <f t="shared" si="582"/>
        <v/>
      </c>
      <c r="GX70" s="13" t="str">
        <f t="shared" si="583"/>
        <v/>
      </c>
      <c r="GY70" s="13" t="str">
        <f t="shared" si="584"/>
        <v/>
      </c>
      <c r="GZ70" s="13" t="str">
        <f t="shared" si="585"/>
        <v/>
      </c>
      <c r="HA70" s="13" t="str">
        <f t="shared" si="586"/>
        <v/>
      </c>
      <c r="HB70" s="13" t="str">
        <f t="shared" si="587"/>
        <v/>
      </c>
      <c r="HC70" s="13" t="str">
        <f t="shared" si="588"/>
        <v/>
      </c>
      <c r="HD70" s="13" t="str">
        <f t="shared" si="589"/>
        <v/>
      </c>
      <c r="HE70" s="13" t="str">
        <f t="shared" si="590"/>
        <v/>
      </c>
      <c r="HF70" s="13" t="str">
        <f t="shared" si="591"/>
        <v/>
      </c>
      <c r="HG70" s="13" t="str">
        <f t="shared" si="592"/>
        <v/>
      </c>
      <c r="HH70" s="13" t="str">
        <f t="shared" si="593"/>
        <v/>
      </c>
      <c r="HJ70" s="114" t="str">
        <f t="shared" si="594"/>
        <v/>
      </c>
    </row>
    <row r="71" spans="3:218" s="119" customFormat="1" ht="45" customHeight="1">
      <c r="C71" s="122">
        <f t="shared" si="595"/>
        <v>4</v>
      </c>
      <c r="D71" s="200"/>
      <c r="E71" s="195" t="s">
        <v>256</v>
      </c>
      <c r="F71" s="196"/>
      <c r="G71" s="197"/>
      <c r="H71" s="74" t="s">
        <v>173</v>
      </c>
      <c r="I71" s="190"/>
      <c r="J71" s="191"/>
      <c r="K71" s="43"/>
      <c r="L71" s="67"/>
      <c r="M71" s="65"/>
      <c r="N71" s="65"/>
      <c r="O71" s="66"/>
      <c r="Q71" s="52"/>
      <c r="R71" s="52"/>
      <c r="S71" s="52"/>
      <c r="T71" s="52"/>
      <c r="U71" s="52"/>
      <c r="V71" s="52"/>
      <c r="W71" s="52"/>
      <c r="X71" s="52"/>
      <c r="Y71" s="52"/>
      <c r="Z71" s="52"/>
      <c r="AA71" s="52"/>
      <c r="AB71" s="52"/>
      <c r="AC71" s="52"/>
      <c r="AD71" s="52"/>
      <c r="AE71" s="52"/>
      <c r="AF71" s="52"/>
      <c r="AG71" s="52"/>
      <c r="AH71" s="52"/>
      <c r="AI71" s="52"/>
      <c r="AJ71" s="52"/>
      <c r="AK71" s="52"/>
      <c r="AL71" s="52"/>
      <c r="AM71" s="52"/>
      <c r="AN71" s="52"/>
      <c r="AO71" s="52"/>
      <c r="AP71" s="52"/>
      <c r="AQ71" s="52"/>
      <c r="AR71" s="52"/>
      <c r="AS71" s="52"/>
      <c r="AT71" s="52"/>
      <c r="AU71" s="52"/>
      <c r="AV71" s="52"/>
      <c r="AX71" s="13"/>
      <c r="AY71" s="13"/>
      <c r="AZ71" s="13"/>
      <c r="BA71" s="13"/>
      <c r="BB71" s="13"/>
      <c r="BC71" s="13"/>
      <c r="BD71" s="13"/>
      <c r="BE71" s="13"/>
      <c r="BF71" s="13"/>
      <c r="BG71" s="13"/>
      <c r="BH71" s="13"/>
      <c r="BI71" s="13"/>
      <c r="BJ71" s="13"/>
      <c r="BK71" s="13"/>
      <c r="BL71" s="13"/>
      <c r="BM71" s="13"/>
      <c r="BN71" s="13"/>
      <c r="BO71" s="13"/>
      <c r="BP71" s="13"/>
      <c r="BQ71" s="13"/>
      <c r="BR71" s="13"/>
      <c r="BS71" s="13"/>
      <c r="BT71" s="13"/>
      <c r="BU71" s="13"/>
      <c r="BV71" s="13"/>
      <c r="BW71" s="13"/>
      <c r="BX71" s="13"/>
      <c r="BY71" s="13"/>
      <c r="BZ71" s="13"/>
      <c r="CA71" s="13"/>
      <c r="CB71" s="13"/>
      <c r="CC71" s="13"/>
      <c r="CD71" s="13"/>
      <c r="CE71" s="13"/>
      <c r="CF71" s="13"/>
      <c r="CG71" s="13"/>
      <c r="CH71" s="13"/>
      <c r="CI71" s="13"/>
      <c r="CJ71" s="13"/>
      <c r="CK71" s="13"/>
      <c r="CL71" s="13"/>
      <c r="CM71" s="13"/>
      <c r="CN71" s="13"/>
      <c r="CO71" s="13"/>
      <c r="CP71" s="13"/>
      <c r="CQ71" s="13"/>
      <c r="CR71" s="13"/>
      <c r="CS71" s="13"/>
      <c r="CT71" s="13"/>
      <c r="CU71" s="13"/>
      <c r="CV71" s="13"/>
      <c r="CW71" s="13"/>
      <c r="CX71" s="13"/>
      <c r="CY71" s="13"/>
      <c r="CZ71" s="13"/>
      <c r="DA71" s="112" t="e">
        <f t="shared" si="538"/>
        <v>#N/A</v>
      </c>
      <c r="DB71" s="13"/>
      <c r="DC71" s="13"/>
      <c r="DD71" s="13"/>
      <c r="DE71" s="13"/>
      <c r="DF71" s="13"/>
      <c r="DG71" s="13"/>
      <c r="DH71" s="13"/>
      <c r="DI71" s="13"/>
      <c r="DJ71" s="13"/>
      <c r="DK71" s="13"/>
      <c r="DL71" s="13"/>
      <c r="DM71" s="13"/>
      <c r="DN71" s="13"/>
      <c r="DO71" s="13"/>
      <c r="DP71" s="13"/>
      <c r="DQ71" s="13"/>
      <c r="DR71" s="13"/>
      <c r="DS71" s="13"/>
      <c r="DT71" s="13"/>
      <c r="DU71" s="13"/>
      <c r="DV71" s="13"/>
      <c r="DW71" s="13"/>
      <c r="DX71" s="13"/>
      <c r="DY71" s="13"/>
      <c r="DZ71" s="13"/>
      <c r="EA71" s="13"/>
      <c r="EB71" s="13"/>
      <c r="EC71" s="13"/>
      <c r="ED71" s="13"/>
      <c r="EE71" s="13"/>
      <c r="EF71" s="13"/>
      <c r="EG71" s="13"/>
      <c r="EH71" s="13"/>
      <c r="EI71" s="13"/>
      <c r="EJ71" s="13"/>
      <c r="EK71" s="13"/>
      <c r="EL71" s="13"/>
      <c r="EM71" s="13"/>
      <c r="EN71" s="13"/>
      <c r="EO71" s="13"/>
      <c r="EP71" s="13"/>
      <c r="EQ71" s="13"/>
      <c r="ER71" s="13"/>
      <c r="ES71" s="13"/>
      <c r="ET71" s="13"/>
      <c r="EU71" s="13"/>
      <c r="EV71" s="13"/>
      <c r="EW71" s="13"/>
      <c r="EX71" s="13"/>
      <c r="EY71" s="13"/>
      <c r="EZ71" s="13"/>
      <c r="FA71" s="13"/>
      <c r="FB71" s="13"/>
      <c r="FC71" s="13"/>
      <c r="FD71" s="13"/>
      <c r="FF71" s="13" t="str">
        <f t="shared" si="539"/>
        <v/>
      </c>
      <c r="FG71" s="13" t="str">
        <f t="shared" si="540"/>
        <v/>
      </c>
      <c r="FH71" s="13" t="str">
        <f t="shared" si="541"/>
        <v/>
      </c>
      <c r="FI71" s="13" t="str">
        <f t="shared" si="542"/>
        <v/>
      </c>
      <c r="FJ71" s="13" t="str">
        <f t="shared" si="543"/>
        <v/>
      </c>
      <c r="FK71" s="13" t="str">
        <f t="shared" si="544"/>
        <v/>
      </c>
      <c r="FL71" s="13" t="str">
        <f t="shared" si="545"/>
        <v/>
      </c>
      <c r="FM71" s="13" t="str">
        <f t="shared" si="546"/>
        <v/>
      </c>
      <c r="FN71" s="13" t="str">
        <f t="shared" si="547"/>
        <v/>
      </c>
      <c r="FO71" s="13" t="str">
        <f t="shared" si="548"/>
        <v/>
      </c>
      <c r="FP71" s="13" t="str">
        <f t="shared" si="549"/>
        <v/>
      </c>
      <c r="FQ71" s="13" t="str">
        <f t="shared" si="550"/>
        <v/>
      </c>
      <c r="FR71" s="13" t="str">
        <f t="shared" si="551"/>
        <v/>
      </c>
      <c r="FS71" s="13" t="str">
        <f t="shared" si="552"/>
        <v/>
      </c>
      <c r="FT71" s="13" t="str">
        <f t="shared" si="553"/>
        <v/>
      </c>
      <c r="FU71" s="13" t="str">
        <f t="shared" si="554"/>
        <v/>
      </c>
      <c r="FV71" s="13" t="str">
        <f t="shared" si="555"/>
        <v/>
      </c>
      <c r="FW71" s="13" t="str">
        <f t="shared" si="556"/>
        <v/>
      </c>
      <c r="FX71" s="13" t="str">
        <f t="shared" si="557"/>
        <v/>
      </c>
      <c r="FY71" s="13" t="str">
        <f t="shared" si="558"/>
        <v/>
      </c>
      <c r="FZ71" s="13" t="str">
        <f t="shared" si="559"/>
        <v/>
      </c>
      <c r="GA71" s="13" t="str">
        <f t="shared" si="560"/>
        <v/>
      </c>
      <c r="GB71" s="13" t="str">
        <f t="shared" si="561"/>
        <v/>
      </c>
      <c r="GC71" s="13" t="str">
        <f t="shared" si="562"/>
        <v/>
      </c>
      <c r="GD71" s="13" t="str">
        <f t="shared" si="563"/>
        <v/>
      </c>
      <c r="GE71" s="13" t="str">
        <f t="shared" si="564"/>
        <v/>
      </c>
      <c r="GF71" s="13" t="str">
        <f t="shared" si="565"/>
        <v/>
      </c>
      <c r="GG71" s="13" t="str">
        <f t="shared" si="566"/>
        <v/>
      </c>
      <c r="GH71" s="13" t="str">
        <f t="shared" si="567"/>
        <v/>
      </c>
      <c r="GI71" s="13" t="str">
        <f t="shared" si="568"/>
        <v/>
      </c>
      <c r="GJ71" s="13" t="str">
        <f t="shared" si="569"/>
        <v/>
      </c>
      <c r="GK71" s="13" t="str">
        <f t="shared" si="570"/>
        <v/>
      </c>
      <c r="GL71" s="13" t="str">
        <f t="shared" si="571"/>
        <v/>
      </c>
      <c r="GM71" s="13" t="str">
        <f t="shared" si="572"/>
        <v/>
      </c>
      <c r="GN71" s="13" t="str">
        <f t="shared" si="573"/>
        <v/>
      </c>
      <c r="GO71" s="13" t="str">
        <f t="shared" si="574"/>
        <v/>
      </c>
      <c r="GP71" s="13" t="str">
        <f t="shared" si="575"/>
        <v/>
      </c>
      <c r="GQ71" s="13" t="str">
        <f t="shared" si="576"/>
        <v/>
      </c>
      <c r="GR71" s="13" t="str">
        <f t="shared" si="577"/>
        <v/>
      </c>
      <c r="GS71" s="13" t="str">
        <f t="shared" si="578"/>
        <v/>
      </c>
      <c r="GT71" s="13" t="str">
        <f t="shared" si="579"/>
        <v/>
      </c>
      <c r="GU71" s="13" t="str">
        <f t="shared" si="580"/>
        <v/>
      </c>
      <c r="GV71" s="13" t="str">
        <f t="shared" si="581"/>
        <v/>
      </c>
      <c r="GW71" s="13" t="str">
        <f t="shared" si="582"/>
        <v/>
      </c>
      <c r="GX71" s="13" t="str">
        <f t="shared" si="583"/>
        <v/>
      </c>
      <c r="GY71" s="13" t="str">
        <f t="shared" si="584"/>
        <v/>
      </c>
      <c r="GZ71" s="13" t="str">
        <f t="shared" si="585"/>
        <v/>
      </c>
      <c r="HA71" s="13" t="str">
        <f t="shared" si="586"/>
        <v/>
      </c>
      <c r="HB71" s="13" t="str">
        <f t="shared" si="587"/>
        <v/>
      </c>
      <c r="HC71" s="13" t="str">
        <f t="shared" si="588"/>
        <v/>
      </c>
      <c r="HD71" s="13" t="str">
        <f t="shared" si="589"/>
        <v/>
      </c>
      <c r="HE71" s="13" t="str">
        <f t="shared" si="590"/>
        <v/>
      </c>
      <c r="HF71" s="13" t="str">
        <f t="shared" si="591"/>
        <v/>
      </c>
      <c r="HG71" s="13" t="str">
        <f t="shared" si="592"/>
        <v/>
      </c>
      <c r="HH71" s="13" t="str">
        <f t="shared" si="593"/>
        <v/>
      </c>
      <c r="HJ71" s="114" t="str">
        <f t="shared" si="594"/>
        <v/>
      </c>
    </row>
    <row r="72" spans="3:218" s="119" customFormat="1" ht="45" customHeight="1">
      <c r="C72" s="118">
        <f t="shared" si="595"/>
        <v>5</v>
      </c>
      <c r="D72" s="198" t="s">
        <v>257</v>
      </c>
      <c r="E72" s="195" t="s">
        <v>144</v>
      </c>
      <c r="F72" s="196"/>
      <c r="G72" s="197"/>
      <c r="H72" s="74" t="s">
        <v>173</v>
      </c>
      <c r="I72" s="190"/>
      <c r="J72" s="191"/>
      <c r="K72" s="43"/>
      <c r="L72" s="67"/>
      <c r="M72" s="65"/>
      <c r="N72" s="65"/>
      <c r="O72" s="66"/>
      <c r="Q72" s="52"/>
      <c r="R72" s="52"/>
      <c r="S72" s="52"/>
      <c r="T72" s="52"/>
      <c r="U72" s="52"/>
      <c r="V72" s="52"/>
      <c r="W72" s="52"/>
      <c r="X72" s="52"/>
      <c r="Y72" s="52"/>
      <c r="Z72" s="52"/>
      <c r="AA72" s="52"/>
      <c r="AB72" s="52"/>
      <c r="AC72" s="52"/>
      <c r="AD72" s="52"/>
      <c r="AE72" s="52"/>
      <c r="AF72" s="52"/>
      <c r="AG72" s="52"/>
      <c r="AH72" s="52"/>
      <c r="AI72" s="52"/>
      <c r="AJ72" s="52"/>
      <c r="AK72" s="52"/>
      <c r="AL72" s="52"/>
      <c r="AM72" s="52"/>
      <c r="AN72" s="52"/>
      <c r="AO72" s="52"/>
      <c r="AP72" s="52"/>
      <c r="AQ72" s="52"/>
      <c r="AR72" s="52"/>
      <c r="AS72" s="52"/>
      <c r="AT72" s="52"/>
      <c r="AU72" s="52"/>
      <c r="AV72" s="52"/>
      <c r="AX72" s="13"/>
      <c r="AY72" s="13"/>
      <c r="AZ72" s="13"/>
      <c r="BA72" s="13"/>
      <c r="BB72" s="13"/>
      <c r="BC72" s="13"/>
      <c r="BD72" s="13"/>
      <c r="BE72" s="13"/>
      <c r="BF72" s="13"/>
      <c r="BG72" s="13"/>
      <c r="BH72" s="13"/>
      <c r="BI72" s="13"/>
      <c r="BJ72" s="13"/>
      <c r="BK72" s="13"/>
      <c r="BL72" s="13"/>
      <c r="BM72" s="13"/>
      <c r="BN72" s="13"/>
      <c r="BO72" s="13"/>
      <c r="BP72" s="13"/>
      <c r="BQ72" s="13"/>
      <c r="BR72" s="13"/>
      <c r="BS72" s="13"/>
      <c r="BT72" s="13"/>
      <c r="BU72" s="13"/>
      <c r="BV72" s="13"/>
      <c r="BW72" s="13"/>
      <c r="BX72" s="13"/>
      <c r="BY72" s="13"/>
      <c r="BZ72" s="13"/>
      <c r="CA72" s="13"/>
      <c r="CB72" s="13"/>
      <c r="CC72" s="13"/>
      <c r="CD72" s="13"/>
      <c r="CE72" s="13"/>
      <c r="CF72" s="13"/>
      <c r="CG72" s="13"/>
      <c r="CH72" s="13"/>
      <c r="CI72" s="13"/>
      <c r="CJ72" s="13"/>
      <c r="CK72" s="13"/>
      <c r="CL72" s="13"/>
      <c r="CM72" s="13"/>
      <c r="CN72" s="13"/>
      <c r="CO72" s="13"/>
      <c r="CP72" s="13"/>
      <c r="CQ72" s="13"/>
      <c r="CR72" s="13"/>
      <c r="CS72" s="13"/>
      <c r="CT72" s="13"/>
      <c r="CU72" s="13"/>
      <c r="CV72" s="13"/>
      <c r="CW72" s="13"/>
      <c r="CX72" s="13"/>
      <c r="CY72" s="13"/>
      <c r="CZ72" s="13"/>
      <c r="DA72" s="112" t="e">
        <f t="shared" si="538"/>
        <v>#N/A</v>
      </c>
      <c r="DB72" s="13"/>
      <c r="DC72" s="13"/>
      <c r="DD72" s="13"/>
      <c r="DE72" s="13"/>
      <c r="DF72" s="13"/>
      <c r="DG72" s="13"/>
      <c r="DH72" s="13"/>
      <c r="DI72" s="13"/>
      <c r="DJ72" s="13"/>
      <c r="DK72" s="13"/>
      <c r="DL72" s="13"/>
      <c r="DM72" s="13"/>
      <c r="DN72" s="13"/>
      <c r="DO72" s="13"/>
      <c r="DP72" s="13"/>
      <c r="DQ72" s="13"/>
      <c r="DR72" s="13"/>
      <c r="DS72" s="13"/>
      <c r="DT72" s="13"/>
      <c r="DU72" s="13"/>
      <c r="DV72" s="13"/>
      <c r="DW72" s="13"/>
      <c r="DX72" s="13"/>
      <c r="DY72" s="13"/>
      <c r="DZ72" s="13"/>
      <c r="EA72" s="13"/>
      <c r="EB72" s="13"/>
      <c r="EC72" s="13"/>
      <c r="ED72" s="13"/>
      <c r="EE72" s="13"/>
      <c r="EF72" s="13"/>
      <c r="EG72" s="13"/>
      <c r="EH72" s="13"/>
      <c r="EI72" s="13"/>
      <c r="EJ72" s="13"/>
      <c r="EK72" s="13"/>
      <c r="EL72" s="13"/>
      <c r="EM72" s="13"/>
      <c r="EN72" s="13"/>
      <c r="EO72" s="13"/>
      <c r="EP72" s="13"/>
      <c r="EQ72" s="13"/>
      <c r="ER72" s="13"/>
      <c r="ES72" s="13"/>
      <c r="ET72" s="13"/>
      <c r="EU72" s="13"/>
      <c r="EV72" s="13"/>
      <c r="EW72" s="13"/>
      <c r="EX72" s="13"/>
      <c r="EY72" s="13"/>
      <c r="EZ72" s="13"/>
      <c r="FA72" s="13"/>
      <c r="FB72" s="13"/>
      <c r="FC72" s="13"/>
      <c r="FD72" s="13"/>
      <c r="FF72" s="13" t="str">
        <f t="shared" si="539"/>
        <v/>
      </c>
      <c r="FG72" s="13" t="str">
        <f t="shared" si="540"/>
        <v/>
      </c>
      <c r="FH72" s="13" t="str">
        <f t="shared" si="541"/>
        <v/>
      </c>
      <c r="FI72" s="13" t="str">
        <f t="shared" si="542"/>
        <v/>
      </c>
      <c r="FJ72" s="13" t="str">
        <f t="shared" si="543"/>
        <v/>
      </c>
      <c r="FK72" s="13" t="str">
        <f t="shared" si="544"/>
        <v/>
      </c>
      <c r="FL72" s="13" t="str">
        <f t="shared" si="545"/>
        <v/>
      </c>
      <c r="FM72" s="13" t="str">
        <f t="shared" si="546"/>
        <v/>
      </c>
      <c r="FN72" s="13" t="str">
        <f t="shared" si="547"/>
        <v/>
      </c>
      <c r="FO72" s="13" t="str">
        <f t="shared" si="548"/>
        <v/>
      </c>
      <c r="FP72" s="13" t="str">
        <f t="shared" si="549"/>
        <v/>
      </c>
      <c r="FQ72" s="13" t="str">
        <f t="shared" si="550"/>
        <v/>
      </c>
      <c r="FR72" s="13" t="str">
        <f t="shared" si="551"/>
        <v/>
      </c>
      <c r="FS72" s="13" t="str">
        <f t="shared" si="552"/>
        <v/>
      </c>
      <c r="FT72" s="13" t="str">
        <f t="shared" si="553"/>
        <v/>
      </c>
      <c r="FU72" s="13" t="str">
        <f t="shared" si="554"/>
        <v/>
      </c>
      <c r="FV72" s="13" t="str">
        <f t="shared" si="555"/>
        <v/>
      </c>
      <c r="FW72" s="13" t="str">
        <f t="shared" si="556"/>
        <v/>
      </c>
      <c r="FX72" s="13" t="str">
        <f t="shared" si="557"/>
        <v/>
      </c>
      <c r="FY72" s="13" t="str">
        <f t="shared" si="558"/>
        <v/>
      </c>
      <c r="FZ72" s="13" t="str">
        <f t="shared" si="559"/>
        <v/>
      </c>
      <c r="GA72" s="13" t="str">
        <f t="shared" si="560"/>
        <v/>
      </c>
      <c r="GB72" s="13" t="str">
        <f t="shared" si="561"/>
        <v/>
      </c>
      <c r="GC72" s="13" t="str">
        <f t="shared" si="562"/>
        <v/>
      </c>
      <c r="GD72" s="13" t="str">
        <f t="shared" si="563"/>
        <v/>
      </c>
      <c r="GE72" s="13" t="str">
        <f t="shared" si="564"/>
        <v/>
      </c>
      <c r="GF72" s="13" t="str">
        <f t="shared" si="565"/>
        <v/>
      </c>
      <c r="GG72" s="13" t="str">
        <f t="shared" si="566"/>
        <v/>
      </c>
      <c r="GH72" s="13" t="str">
        <f t="shared" si="567"/>
        <v/>
      </c>
      <c r="GI72" s="13" t="str">
        <f t="shared" si="568"/>
        <v/>
      </c>
      <c r="GJ72" s="13" t="str">
        <f t="shared" si="569"/>
        <v/>
      </c>
      <c r="GK72" s="13" t="str">
        <f t="shared" si="570"/>
        <v/>
      </c>
      <c r="GL72" s="13" t="str">
        <f t="shared" si="571"/>
        <v/>
      </c>
      <c r="GM72" s="13" t="str">
        <f t="shared" si="572"/>
        <v/>
      </c>
      <c r="GN72" s="13" t="str">
        <f t="shared" si="573"/>
        <v/>
      </c>
      <c r="GO72" s="13" t="str">
        <f t="shared" si="574"/>
        <v/>
      </c>
      <c r="GP72" s="13" t="str">
        <f t="shared" si="575"/>
        <v/>
      </c>
      <c r="GQ72" s="13" t="str">
        <f t="shared" si="576"/>
        <v/>
      </c>
      <c r="GR72" s="13" t="str">
        <f t="shared" si="577"/>
        <v/>
      </c>
      <c r="GS72" s="13" t="str">
        <f t="shared" si="578"/>
        <v/>
      </c>
      <c r="GT72" s="13" t="str">
        <f t="shared" si="579"/>
        <v/>
      </c>
      <c r="GU72" s="13" t="str">
        <f t="shared" si="580"/>
        <v/>
      </c>
      <c r="GV72" s="13" t="str">
        <f t="shared" si="581"/>
        <v/>
      </c>
      <c r="GW72" s="13" t="str">
        <f t="shared" si="582"/>
        <v/>
      </c>
      <c r="GX72" s="13" t="str">
        <f t="shared" si="583"/>
        <v/>
      </c>
      <c r="GY72" s="13" t="str">
        <f t="shared" si="584"/>
        <v/>
      </c>
      <c r="GZ72" s="13" t="str">
        <f t="shared" si="585"/>
        <v/>
      </c>
      <c r="HA72" s="13" t="str">
        <f t="shared" si="586"/>
        <v/>
      </c>
      <c r="HB72" s="13" t="str">
        <f t="shared" si="587"/>
        <v/>
      </c>
      <c r="HC72" s="13" t="str">
        <f t="shared" si="588"/>
        <v/>
      </c>
      <c r="HD72" s="13" t="str">
        <f t="shared" si="589"/>
        <v/>
      </c>
      <c r="HE72" s="13" t="str">
        <f t="shared" si="590"/>
        <v/>
      </c>
      <c r="HF72" s="13" t="str">
        <f t="shared" si="591"/>
        <v/>
      </c>
      <c r="HG72" s="13" t="str">
        <f t="shared" si="592"/>
        <v/>
      </c>
      <c r="HH72" s="13" t="str">
        <f t="shared" si="593"/>
        <v/>
      </c>
      <c r="HJ72" s="114" t="str">
        <f t="shared" si="594"/>
        <v/>
      </c>
    </row>
    <row r="73" spans="3:218" s="119" customFormat="1" ht="45" customHeight="1">
      <c r="C73" s="122">
        <f t="shared" si="595"/>
        <v>6</v>
      </c>
      <c r="D73" s="200"/>
      <c r="E73" s="195" t="s">
        <v>171</v>
      </c>
      <c r="F73" s="196"/>
      <c r="G73" s="197"/>
      <c r="H73" s="74" t="s">
        <v>173</v>
      </c>
      <c r="I73" s="190"/>
      <c r="J73" s="191"/>
      <c r="K73" s="43"/>
      <c r="L73" s="67"/>
      <c r="M73" s="65"/>
      <c r="N73" s="65"/>
      <c r="O73" s="66"/>
      <c r="Q73" s="52"/>
      <c r="R73" s="52"/>
      <c r="S73" s="52"/>
      <c r="T73" s="52"/>
      <c r="U73" s="52"/>
      <c r="V73" s="52"/>
      <c r="W73" s="52"/>
      <c r="X73" s="52"/>
      <c r="Y73" s="52"/>
      <c r="Z73" s="52"/>
      <c r="AA73" s="52"/>
      <c r="AB73" s="52"/>
      <c r="AC73" s="52"/>
      <c r="AD73" s="52"/>
      <c r="AE73" s="52"/>
      <c r="AF73" s="52"/>
      <c r="AG73" s="52"/>
      <c r="AH73" s="52"/>
      <c r="AI73" s="52"/>
      <c r="AJ73" s="52"/>
      <c r="AK73" s="52"/>
      <c r="AL73" s="52"/>
      <c r="AM73" s="52"/>
      <c r="AN73" s="52"/>
      <c r="AO73" s="52"/>
      <c r="AP73" s="52"/>
      <c r="AQ73" s="52"/>
      <c r="AR73" s="52"/>
      <c r="AS73" s="52"/>
      <c r="AT73" s="52"/>
      <c r="AU73" s="52"/>
      <c r="AV73" s="52"/>
      <c r="AX73" s="13"/>
      <c r="AY73" s="13"/>
      <c r="AZ73" s="13"/>
      <c r="BA73" s="13"/>
      <c r="BB73" s="13"/>
      <c r="BC73" s="13"/>
      <c r="BD73" s="13"/>
      <c r="BE73" s="13"/>
      <c r="BF73" s="13"/>
      <c r="BG73" s="13"/>
      <c r="BH73" s="13"/>
      <c r="BI73" s="13"/>
      <c r="BJ73" s="13"/>
      <c r="BK73" s="13"/>
      <c r="BL73" s="13"/>
      <c r="BM73" s="13"/>
      <c r="BN73" s="13"/>
      <c r="BO73" s="13"/>
      <c r="BP73" s="13"/>
      <c r="BQ73" s="13"/>
      <c r="BR73" s="13"/>
      <c r="BS73" s="13"/>
      <c r="BT73" s="13"/>
      <c r="BU73" s="13"/>
      <c r="BV73" s="13"/>
      <c r="BW73" s="13"/>
      <c r="BX73" s="13"/>
      <c r="BY73" s="13"/>
      <c r="BZ73" s="13"/>
      <c r="CA73" s="13"/>
      <c r="CB73" s="13"/>
      <c r="CC73" s="13"/>
      <c r="CD73" s="13"/>
      <c r="CE73" s="13"/>
      <c r="CF73" s="13"/>
      <c r="CG73" s="13"/>
      <c r="CH73" s="13"/>
      <c r="CI73" s="13"/>
      <c r="CJ73" s="13"/>
      <c r="CK73" s="13"/>
      <c r="CL73" s="13"/>
      <c r="CM73" s="13"/>
      <c r="CN73" s="13"/>
      <c r="CO73" s="13"/>
      <c r="CP73" s="13"/>
      <c r="CQ73" s="13"/>
      <c r="CR73" s="13"/>
      <c r="CS73" s="13"/>
      <c r="CT73" s="13"/>
      <c r="CU73" s="13"/>
      <c r="CV73" s="13"/>
      <c r="CW73" s="13"/>
      <c r="CX73" s="13"/>
      <c r="CY73" s="13"/>
      <c r="CZ73" s="13"/>
      <c r="DA73" s="112" t="e">
        <f t="shared" si="538"/>
        <v>#N/A</v>
      </c>
      <c r="DB73" s="13"/>
      <c r="DC73" s="13"/>
      <c r="DD73" s="13"/>
      <c r="DE73" s="13"/>
      <c r="DF73" s="13"/>
      <c r="DG73" s="13"/>
      <c r="DH73" s="13"/>
      <c r="DI73" s="13"/>
      <c r="DJ73" s="13"/>
      <c r="DK73" s="13"/>
      <c r="DL73" s="13"/>
      <c r="DM73" s="13"/>
      <c r="DN73" s="13"/>
      <c r="DO73" s="13"/>
      <c r="DP73" s="13"/>
      <c r="DQ73" s="13"/>
      <c r="DR73" s="13"/>
      <c r="DS73" s="13"/>
      <c r="DT73" s="13"/>
      <c r="DU73" s="13"/>
      <c r="DV73" s="13"/>
      <c r="DW73" s="13"/>
      <c r="DX73" s="13"/>
      <c r="DY73" s="13"/>
      <c r="DZ73" s="13"/>
      <c r="EA73" s="13"/>
      <c r="EB73" s="13"/>
      <c r="EC73" s="13"/>
      <c r="ED73" s="13"/>
      <c r="EE73" s="13"/>
      <c r="EF73" s="13"/>
      <c r="EG73" s="13"/>
      <c r="EH73" s="13"/>
      <c r="EI73" s="13"/>
      <c r="EJ73" s="13"/>
      <c r="EK73" s="13"/>
      <c r="EL73" s="13"/>
      <c r="EM73" s="13"/>
      <c r="EN73" s="13"/>
      <c r="EO73" s="13"/>
      <c r="EP73" s="13"/>
      <c r="EQ73" s="13"/>
      <c r="ER73" s="13"/>
      <c r="ES73" s="13"/>
      <c r="ET73" s="13"/>
      <c r="EU73" s="13"/>
      <c r="EV73" s="13"/>
      <c r="EW73" s="13"/>
      <c r="EX73" s="13"/>
      <c r="EY73" s="13"/>
      <c r="EZ73" s="13"/>
      <c r="FA73" s="13"/>
      <c r="FB73" s="13"/>
      <c r="FC73" s="13"/>
      <c r="FD73" s="13"/>
      <c r="FF73" s="13" t="str">
        <f t="shared" si="539"/>
        <v/>
      </c>
      <c r="FG73" s="13" t="str">
        <f t="shared" si="540"/>
        <v/>
      </c>
      <c r="FH73" s="13" t="str">
        <f t="shared" si="541"/>
        <v/>
      </c>
      <c r="FI73" s="13" t="str">
        <f t="shared" si="542"/>
        <v/>
      </c>
      <c r="FJ73" s="13" t="str">
        <f t="shared" si="543"/>
        <v/>
      </c>
      <c r="FK73" s="13" t="str">
        <f t="shared" si="544"/>
        <v/>
      </c>
      <c r="FL73" s="13" t="str">
        <f t="shared" si="545"/>
        <v/>
      </c>
      <c r="FM73" s="13" t="str">
        <f t="shared" si="546"/>
        <v/>
      </c>
      <c r="FN73" s="13" t="str">
        <f t="shared" si="547"/>
        <v/>
      </c>
      <c r="FO73" s="13" t="str">
        <f t="shared" si="548"/>
        <v/>
      </c>
      <c r="FP73" s="13" t="str">
        <f t="shared" si="549"/>
        <v/>
      </c>
      <c r="FQ73" s="13" t="str">
        <f t="shared" si="550"/>
        <v/>
      </c>
      <c r="FR73" s="13" t="str">
        <f t="shared" si="551"/>
        <v/>
      </c>
      <c r="FS73" s="13" t="str">
        <f t="shared" si="552"/>
        <v/>
      </c>
      <c r="FT73" s="13" t="str">
        <f t="shared" si="553"/>
        <v/>
      </c>
      <c r="FU73" s="13" t="str">
        <f t="shared" si="554"/>
        <v/>
      </c>
      <c r="FV73" s="13" t="str">
        <f t="shared" si="555"/>
        <v/>
      </c>
      <c r="FW73" s="13" t="str">
        <f t="shared" si="556"/>
        <v/>
      </c>
      <c r="FX73" s="13" t="str">
        <f t="shared" si="557"/>
        <v/>
      </c>
      <c r="FY73" s="13" t="str">
        <f t="shared" si="558"/>
        <v/>
      </c>
      <c r="FZ73" s="13" t="str">
        <f t="shared" si="559"/>
        <v/>
      </c>
      <c r="GA73" s="13" t="str">
        <f t="shared" si="560"/>
        <v/>
      </c>
      <c r="GB73" s="13" t="str">
        <f t="shared" si="561"/>
        <v/>
      </c>
      <c r="GC73" s="13" t="str">
        <f t="shared" si="562"/>
        <v/>
      </c>
      <c r="GD73" s="13" t="str">
        <f t="shared" si="563"/>
        <v/>
      </c>
      <c r="GE73" s="13" t="str">
        <f t="shared" si="564"/>
        <v/>
      </c>
      <c r="GF73" s="13" t="str">
        <f t="shared" si="565"/>
        <v/>
      </c>
      <c r="GG73" s="13" t="str">
        <f t="shared" si="566"/>
        <v/>
      </c>
      <c r="GH73" s="13" t="str">
        <f t="shared" si="567"/>
        <v/>
      </c>
      <c r="GI73" s="13" t="str">
        <f t="shared" si="568"/>
        <v/>
      </c>
      <c r="GJ73" s="13" t="str">
        <f t="shared" si="569"/>
        <v/>
      </c>
      <c r="GK73" s="13" t="str">
        <f t="shared" si="570"/>
        <v/>
      </c>
      <c r="GL73" s="13" t="str">
        <f t="shared" si="571"/>
        <v/>
      </c>
      <c r="GM73" s="13" t="str">
        <f t="shared" si="572"/>
        <v/>
      </c>
      <c r="GN73" s="13" t="str">
        <f t="shared" si="573"/>
        <v/>
      </c>
      <c r="GO73" s="13" t="str">
        <f t="shared" si="574"/>
        <v/>
      </c>
      <c r="GP73" s="13" t="str">
        <f t="shared" si="575"/>
        <v/>
      </c>
      <c r="GQ73" s="13" t="str">
        <f t="shared" si="576"/>
        <v/>
      </c>
      <c r="GR73" s="13" t="str">
        <f t="shared" si="577"/>
        <v/>
      </c>
      <c r="GS73" s="13" t="str">
        <f t="shared" si="578"/>
        <v/>
      </c>
      <c r="GT73" s="13" t="str">
        <f t="shared" si="579"/>
        <v/>
      </c>
      <c r="GU73" s="13" t="str">
        <f t="shared" si="580"/>
        <v/>
      </c>
      <c r="GV73" s="13" t="str">
        <f t="shared" si="581"/>
        <v/>
      </c>
      <c r="GW73" s="13" t="str">
        <f t="shared" si="582"/>
        <v/>
      </c>
      <c r="GX73" s="13" t="str">
        <f t="shared" si="583"/>
        <v/>
      </c>
      <c r="GY73" s="13" t="str">
        <f t="shared" si="584"/>
        <v/>
      </c>
      <c r="GZ73" s="13" t="str">
        <f t="shared" si="585"/>
        <v/>
      </c>
      <c r="HA73" s="13" t="str">
        <f t="shared" si="586"/>
        <v/>
      </c>
      <c r="HB73" s="13" t="str">
        <f t="shared" si="587"/>
        <v/>
      </c>
      <c r="HC73" s="13" t="str">
        <f t="shared" si="588"/>
        <v/>
      </c>
      <c r="HD73" s="13" t="str">
        <f t="shared" si="589"/>
        <v/>
      </c>
      <c r="HE73" s="13" t="str">
        <f t="shared" si="590"/>
        <v/>
      </c>
      <c r="HF73" s="13" t="str">
        <f t="shared" si="591"/>
        <v/>
      </c>
      <c r="HG73" s="13" t="str">
        <f t="shared" si="592"/>
        <v/>
      </c>
      <c r="HH73" s="13" t="str">
        <f t="shared" si="593"/>
        <v/>
      </c>
      <c r="HJ73" s="114" t="str">
        <f t="shared" si="594"/>
        <v/>
      </c>
    </row>
    <row r="74" spans="3:218" s="119" customFormat="1" ht="45" customHeight="1">
      <c r="C74" s="122">
        <f t="shared" si="595"/>
        <v>7</v>
      </c>
      <c r="D74" s="163" t="s">
        <v>251</v>
      </c>
      <c r="E74" s="195" t="s">
        <v>258</v>
      </c>
      <c r="F74" s="196"/>
      <c r="G74" s="197"/>
      <c r="H74" s="74" t="s">
        <v>173</v>
      </c>
      <c r="I74" s="190"/>
      <c r="J74" s="191"/>
      <c r="K74" s="43"/>
      <c r="L74" s="67"/>
      <c r="M74" s="65"/>
      <c r="N74" s="65"/>
      <c r="O74" s="66"/>
      <c r="Q74" s="52"/>
      <c r="R74" s="52"/>
      <c r="S74" s="52"/>
      <c r="T74" s="52"/>
      <c r="U74" s="52"/>
      <c r="V74" s="52"/>
      <c r="W74" s="52"/>
      <c r="X74" s="52"/>
      <c r="Y74" s="52"/>
      <c r="Z74" s="52"/>
      <c r="AA74" s="52"/>
      <c r="AB74" s="52"/>
      <c r="AC74" s="52"/>
      <c r="AD74" s="52"/>
      <c r="AE74" s="52"/>
      <c r="AF74" s="52"/>
      <c r="AG74" s="52"/>
      <c r="AH74" s="52"/>
      <c r="AI74" s="52"/>
      <c r="AJ74" s="52"/>
      <c r="AK74" s="52"/>
      <c r="AL74" s="52"/>
      <c r="AM74" s="52"/>
      <c r="AN74" s="52"/>
      <c r="AO74" s="52"/>
      <c r="AP74" s="52"/>
      <c r="AQ74" s="52"/>
      <c r="AR74" s="52"/>
      <c r="AS74" s="52"/>
      <c r="AT74" s="52"/>
      <c r="AU74" s="52"/>
      <c r="AV74" s="52"/>
      <c r="AX74" s="13"/>
      <c r="AY74" s="13"/>
      <c r="AZ74" s="13"/>
      <c r="BA74" s="13"/>
      <c r="BB74" s="13"/>
      <c r="BC74" s="13"/>
      <c r="BD74" s="13"/>
      <c r="BE74" s="13"/>
      <c r="BF74" s="13"/>
      <c r="BG74" s="13"/>
      <c r="BH74" s="13"/>
      <c r="BI74" s="13"/>
      <c r="BJ74" s="13"/>
      <c r="BK74" s="13"/>
      <c r="BL74" s="13"/>
      <c r="BM74" s="13"/>
      <c r="BN74" s="13"/>
      <c r="BO74" s="13"/>
      <c r="BP74" s="13"/>
      <c r="BQ74" s="13"/>
      <c r="BR74" s="13"/>
      <c r="BS74" s="13"/>
      <c r="BT74" s="13"/>
      <c r="BU74" s="13"/>
      <c r="BV74" s="13"/>
      <c r="BW74" s="13"/>
      <c r="BX74" s="13"/>
      <c r="BY74" s="13"/>
      <c r="BZ74" s="13"/>
      <c r="CA74" s="13"/>
      <c r="CB74" s="13"/>
      <c r="CC74" s="13"/>
      <c r="CD74" s="13"/>
      <c r="CE74" s="13"/>
      <c r="CF74" s="13"/>
      <c r="CG74" s="13"/>
      <c r="CH74" s="13"/>
      <c r="CI74" s="13"/>
      <c r="CJ74" s="13"/>
      <c r="CK74" s="13"/>
      <c r="CL74" s="13"/>
      <c r="CM74" s="13"/>
      <c r="CN74" s="13"/>
      <c r="CO74" s="13"/>
      <c r="CP74" s="13"/>
      <c r="CQ74" s="13"/>
      <c r="CR74" s="13"/>
      <c r="CS74" s="13"/>
      <c r="CT74" s="13"/>
      <c r="CU74" s="13"/>
      <c r="CV74" s="13"/>
      <c r="CW74" s="13"/>
      <c r="CX74" s="13"/>
      <c r="CY74" s="13"/>
      <c r="CZ74" s="13"/>
      <c r="DA74" s="112" t="e">
        <f t="shared" si="538"/>
        <v>#N/A</v>
      </c>
      <c r="DB74" s="13"/>
      <c r="DC74" s="13"/>
      <c r="DD74" s="13"/>
      <c r="DE74" s="13"/>
      <c r="DF74" s="13"/>
      <c r="DG74" s="13"/>
      <c r="DH74" s="13"/>
      <c r="DI74" s="13"/>
      <c r="DJ74" s="13"/>
      <c r="DK74" s="13"/>
      <c r="DL74" s="13"/>
      <c r="DM74" s="13"/>
      <c r="DN74" s="13"/>
      <c r="DO74" s="13"/>
      <c r="DP74" s="13"/>
      <c r="DQ74" s="13"/>
      <c r="DR74" s="13"/>
      <c r="DS74" s="13"/>
      <c r="DT74" s="13"/>
      <c r="DU74" s="13"/>
      <c r="DV74" s="13"/>
      <c r="DW74" s="13"/>
      <c r="DX74" s="13"/>
      <c r="DY74" s="13"/>
      <c r="DZ74" s="13"/>
      <c r="EA74" s="13"/>
      <c r="EB74" s="13"/>
      <c r="EC74" s="13"/>
      <c r="ED74" s="13"/>
      <c r="EE74" s="13"/>
      <c r="EF74" s="13"/>
      <c r="EG74" s="13"/>
      <c r="EH74" s="13"/>
      <c r="EI74" s="13"/>
      <c r="EJ74" s="13"/>
      <c r="EK74" s="13"/>
      <c r="EL74" s="13"/>
      <c r="EM74" s="13"/>
      <c r="EN74" s="13"/>
      <c r="EO74" s="13"/>
      <c r="EP74" s="13"/>
      <c r="EQ74" s="13"/>
      <c r="ER74" s="13"/>
      <c r="ES74" s="13"/>
      <c r="ET74" s="13"/>
      <c r="EU74" s="13"/>
      <c r="EV74" s="13"/>
      <c r="EW74" s="13"/>
      <c r="EX74" s="13"/>
      <c r="EY74" s="13"/>
      <c r="EZ74" s="13"/>
      <c r="FA74" s="13"/>
      <c r="FB74" s="13"/>
      <c r="FC74" s="13"/>
      <c r="FD74" s="13"/>
      <c r="FF74" s="13" t="str">
        <f t="shared" si="539"/>
        <v/>
      </c>
      <c r="FG74" s="13" t="str">
        <f t="shared" si="540"/>
        <v/>
      </c>
      <c r="FH74" s="13" t="str">
        <f t="shared" si="541"/>
        <v/>
      </c>
      <c r="FI74" s="13" t="str">
        <f t="shared" si="542"/>
        <v/>
      </c>
      <c r="FJ74" s="13" t="str">
        <f t="shared" si="543"/>
        <v/>
      </c>
      <c r="FK74" s="13" t="str">
        <f t="shared" si="544"/>
        <v/>
      </c>
      <c r="FL74" s="13" t="str">
        <f t="shared" si="545"/>
        <v/>
      </c>
      <c r="FM74" s="13" t="str">
        <f t="shared" si="546"/>
        <v/>
      </c>
      <c r="FN74" s="13" t="str">
        <f t="shared" si="547"/>
        <v/>
      </c>
      <c r="FO74" s="13" t="str">
        <f t="shared" si="548"/>
        <v/>
      </c>
      <c r="FP74" s="13" t="str">
        <f t="shared" si="549"/>
        <v/>
      </c>
      <c r="FQ74" s="13" t="str">
        <f t="shared" si="550"/>
        <v/>
      </c>
      <c r="FR74" s="13" t="str">
        <f t="shared" si="551"/>
        <v/>
      </c>
      <c r="FS74" s="13" t="str">
        <f t="shared" si="552"/>
        <v/>
      </c>
      <c r="FT74" s="13" t="str">
        <f t="shared" si="553"/>
        <v/>
      </c>
      <c r="FU74" s="13" t="str">
        <f t="shared" si="554"/>
        <v/>
      </c>
      <c r="FV74" s="13" t="str">
        <f t="shared" si="555"/>
        <v/>
      </c>
      <c r="FW74" s="13" t="str">
        <f t="shared" si="556"/>
        <v/>
      </c>
      <c r="FX74" s="13" t="str">
        <f t="shared" si="557"/>
        <v/>
      </c>
      <c r="FY74" s="13" t="str">
        <f t="shared" si="558"/>
        <v/>
      </c>
      <c r="FZ74" s="13" t="str">
        <f t="shared" si="559"/>
        <v/>
      </c>
      <c r="GA74" s="13" t="str">
        <f t="shared" si="560"/>
        <v/>
      </c>
      <c r="GB74" s="13" t="str">
        <f t="shared" si="561"/>
        <v/>
      </c>
      <c r="GC74" s="13" t="str">
        <f t="shared" si="562"/>
        <v/>
      </c>
      <c r="GD74" s="13" t="str">
        <f t="shared" si="563"/>
        <v/>
      </c>
      <c r="GE74" s="13" t="str">
        <f t="shared" si="564"/>
        <v/>
      </c>
      <c r="GF74" s="13" t="str">
        <f t="shared" si="565"/>
        <v/>
      </c>
      <c r="GG74" s="13" t="str">
        <f t="shared" si="566"/>
        <v/>
      </c>
      <c r="GH74" s="13" t="str">
        <f t="shared" si="567"/>
        <v/>
      </c>
      <c r="GI74" s="13" t="str">
        <f t="shared" si="568"/>
        <v/>
      </c>
      <c r="GJ74" s="13" t="str">
        <f t="shared" si="569"/>
        <v/>
      </c>
      <c r="GK74" s="13" t="str">
        <f t="shared" si="570"/>
        <v/>
      </c>
      <c r="GL74" s="13" t="str">
        <f t="shared" si="571"/>
        <v/>
      </c>
      <c r="GM74" s="13" t="str">
        <f t="shared" si="572"/>
        <v/>
      </c>
      <c r="GN74" s="13" t="str">
        <f t="shared" si="573"/>
        <v/>
      </c>
      <c r="GO74" s="13" t="str">
        <f t="shared" si="574"/>
        <v/>
      </c>
      <c r="GP74" s="13" t="str">
        <f t="shared" si="575"/>
        <v/>
      </c>
      <c r="GQ74" s="13" t="str">
        <f t="shared" si="576"/>
        <v/>
      </c>
      <c r="GR74" s="13" t="str">
        <f t="shared" si="577"/>
        <v/>
      </c>
      <c r="GS74" s="13" t="str">
        <f t="shared" si="578"/>
        <v/>
      </c>
      <c r="GT74" s="13" t="str">
        <f t="shared" si="579"/>
        <v/>
      </c>
      <c r="GU74" s="13" t="str">
        <f t="shared" si="580"/>
        <v/>
      </c>
      <c r="GV74" s="13" t="str">
        <f t="shared" si="581"/>
        <v/>
      </c>
      <c r="GW74" s="13" t="str">
        <f t="shared" si="582"/>
        <v/>
      </c>
      <c r="GX74" s="13" t="str">
        <f t="shared" si="583"/>
        <v/>
      </c>
      <c r="GY74" s="13" t="str">
        <f t="shared" si="584"/>
        <v/>
      </c>
      <c r="GZ74" s="13" t="str">
        <f t="shared" si="585"/>
        <v/>
      </c>
      <c r="HA74" s="13" t="str">
        <f t="shared" si="586"/>
        <v/>
      </c>
      <c r="HB74" s="13" t="str">
        <f t="shared" si="587"/>
        <v/>
      </c>
      <c r="HC74" s="13" t="str">
        <f t="shared" si="588"/>
        <v/>
      </c>
      <c r="HD74" s="13" t="str">
        <f t="shared" si="589"/>
        <v/>
      </c>
      <c r="HE74" s="13" t="str">
        <f t="shared" si="590"/>
        <v/>
      </c>
      <c r="HF74" s="13" t="str">
        <f t="shared" si="591"/>
        <v/>
      </c>
      <c r="HG74" s="13" t="str">
        <f t="shared" si="592"/>
        <v/>
      </c>
      <c r="HH74" s="13" t="str">
        <f t="shared" si="593"/>
        <v/>
      </c>
      <c r="HJ74" s="114" t="str">
        <f t="shared" si="594"/>
        <v/>
      </c>
    </row>
    <row r="75" spans="3:218" ht="20.100000000000001" customHeight="1">
      <c r="F75" s="12"/>
      <c r="G75" s="12"/>
      <c r="K75"/>
    </row>
    <row r="76" spans="3:218" s="52" customFormat="1" ht="30" customHeight="1">
      <c r="C76" s="57"/>
      <c r="D76" s="129" t="s">
        <v>145</v>
      </c>
      <c r="E76" s="129"/>
      <c r="F76" s="129"/>
      <c r="G76" s="129"/>
      <c r="H76" s="129"/>
      <c r="I76" s="129"/>
      <c r="J76" s="129"/>
      <c r="K76" s="12"/>
      <c r="Q76"/>
      <c r="R76"/>
      <c r="S76"/>
      <c r="T76"/>
      <c r="U76"/>
      <c r="V76"/>
      <c r="W76"/>
      <c r="X76"/>
      <c r="Y76"/>
      <c r="Z76"/>
      <c r="AA76"/>
      <c r="AB76"/>
      <c r="AC76"/>
      <c r="AD76"/>
      <c r="AE76"/>
      <c r="AF76"/>
      <c r="AG76"/>
      <c r="AH76"/>
      <c r="AI76"/>
      <c r="AJ76"/>
      <c r="AK76"/>
      <c r="AL76"/>
      <c r="AM76"/>
      <c r="AN76"/>
      <c r="AO76"/>
      <c r="AP76"/>
      <c r="AQ76"/>
      <c r="AR76"/>
      <c r="AS76"/>
      <c r="AT76"/>
      <c r="AU76"/>
      <c r="DA76" s="59"/>
    </row>
    <row r="77" spans="3:218" s="52" customFormat="1" ht="30" customHeight="1">
      <c r="C77" s="57"/>
      <c r="D77" s="70" t="s">
        <v>78</v>
      </c>
      <c r="E77" s="192" t="s">
        <v>137</v>
      </c>
      <c r="F77" s="194"/>
      <c r="G77" s="193"/>
      <c r="H77" s="72" t="s">
        <v>82</v>
      </c>
      <c r="I77" s="192" t="s">
        <v>83</v>
      </c>
      <c r="J77" s="193"/>
      <c r="K77" s="12"/>
      <c r="L77" s="73" t="s">
        <v>38</v>
      </c>
      <c r="M77" s="60"/>
      <c r="N77" s="60"/>
      <c r="O77" s="60"/>
      <c r="Q77"/>
      <c r="R77"/>
      <c r="S77"/>
      <c r="T77"/>
      <c r="U77"/>
      <c r="V77"/>
      <c r="W77"/>
      <c r="X77"/>
      <c r="Y77"/>
      <c r="Z77"/>
      <c r="AA77"/>
      <c r="AB77"/>
      <c r="AC77"/>
      <c r="AD77"/>
      <c r="AE77"/>
      <c r="AF77"/>
      <c r="AG77"/>
      <c r="AH77"/>
      <c r="AI77"/>
      <c r="AJ77"/>
      <c r="AK77"/>
      <c r="AL77"/>
      <c r="AM77"/>
      <c r="AN77"/>
      <c r="AO77"/>
      <c r="AP77"/>
      <c r="AQ77"/>
      <c r="AR77"/>
      <c r="AS77"/>
      <c r="AT77"/>
      <c r="AU77"/>
      <c r="AX77" s="73" t="s">
        <v>88</v>
      </c>
      <c r="AY77" s="62"/>
      <c r="AZ77" s="62"/>
      <c r="BA77" s="62"/>
      <c r="BB77" s="62"/>
      <c r="BC77" s="62"/>
      <c r="BD77" s="62"/>
      <c r="BE77" s="62"/>
      <c r="BF77" s="62"/>
      <c r="BG77" s="62"/>
      <c r="BH77" s="62"/>
      <c r="BI77" s="62"/>
      <c r="BJ77" s="62"/>
      <c r="BK77" s="62"/>
      <c r="BL77" s="62"/>
      <c r="BM77" s="62"/>
      <c r="BN77" s="62"/>
      <c r="BO77" s="62"/>
      <c r="BP77" s="62"/>
      <c r="BQ77" s="62"/>
      <c r="BR77" s="62"/>
      <c r="BS77" s="62"/>
      <c r="BT77" s="62"/>
      <c r="BU77" s="62"/>
      <c r="BV77" s="62"/>
      <c r="BW77" s="62"/>
      <c r="BX77" s="62"/>
      <c r="BY77" s="62"/>
      <c r="BZ77" s="62"/>
      <c r="CA77" s="62"/>
      <c r="CB77" s="62"/>
      <c r="CC77" s="62"/>
      <c r="CD77" s="62"/>
      <c r="CE77" s="62"/>
      <c r="CF77" s="62"/>
      <c r="CG77" s="62"/>
      <c r="CH77" s="62"/>
      <c r="CI77" s="62"/>
      <c r="CJ77" s="62"/>
      <c r="CK77" s="62"/>
      <c r="CL77" s="62"/>
      <c r="CM77" s="62"/>
      <c r="CN77" s="62"/>
      <c r="CO77" s="62"/>
      <c r="CP77" s="62"/>
      <c r="CQ77" s="62"/>
      <c r="CR77" s="62"/>
      <c r="CS77" s="62"/>
      <c r="CT77" s="62"/>
      <c r="CU77" s="62"/>
      <c r="CV77" s="62"/>
      <c r="CW77" s="62"/>
      <c r="CX77" s="62"/>
      <c r="CY77" s="62"/>
      <c r="CZ77" s="62"/>
      <c r="DA77" s="112" t="s">
        <v>124</v>
      </c>
      <c r="DB77" s="79" t="s">
        <v>87</v>
      </c>
      <c r="DC77" s="63"/>
      <c r="DD77" s="63"/>
      <c r="DE77" s="63"/>
      <c r="DF77" s="63"/>
      <c r="DG77" s="63"/>
      <c r="DH77" s="63"/>
      <c r="DI77" s="63"/>
      <c r="DJ77" s="63"/>
      <c r="DK77" s="63"/>
      <c r="DL77" s="63"/>
      <c r="DM77" s="63"/>
      <c r="DN77" s="63"/>
      <c r="DO77" s="63"/>
      <c r="DP77" s="63"/>
      <c r="DQ77" s="63"/>
      <c r="DR77" s="63"/>
      <c r="DS77" s="63"/>
      <c r="DT77" s="63"/>
      <c r="DU77" s="63"/>
      <c r="DV77" s="63"/>
      <c r="DW77" s="63"/>
      <c r="DX77" s="63"/>
      <c r="DY77" s="63"/>
      <c r="DZ77" s="63"/>
      <c r="EA77" s="63"/>
      <c r="EB77" s="63"/>
      <c r="EC77" s="63"/>
      <c r="ED77" s="63"/>
      <c r="EE77" s="63"/>
      <c r="EF77" s="63"/>
      <c r="EG77" s="63"/>
      <c r="EH77" s="63"/>
      <c r="EI77" s="63"/>
      <c r="EJ77" s="63"/>
      <c r="EK77" s="63"/>
      <c r="EL77" s="63"/>
      <c r="EM77" s="63"/>
      <c r="EN77" s="63"/>
      <c r="EO77" s="63"/>
      <c r="EP77" s="63"/>
      <c r="EQ77" s="63"/>
      <c r="ER77" s="63"/>
      <c r="ES77" s="63"/>
      <c r="ET77" s="63"/>
      <c r="EU77" s="63"/>
      <c r="EV77" s="63"/>
      <c r="EW77" s="63"/>
      <c r="EX77" s="63"/>
      <c r="EY77" s="63"/>
      <c r="EZ77" s="63"/>
      <c r="FA77" s="63"/>
      <c r="FB77" s="63"/>
      <c r="FC77" s="63"/>
      <c r="FD77" s="64"/>
      <c r="FF77" s="113" t="s">
        <v>126</v>
      </c>
      <c r="FG77" s="116"/>
      <c r="FH77" s="116"/>
      <c r="FI77" s="116"/>
      <c r="FJ77" s="116"/>
      <c r="FK77" s="116"/>
      <c r="FL77" s="116"/>
      <c r="FM77" s="116"/>
      <c r="FN77" s="116"/>
      <c r="FO77" s="116"/>
      <c r="FP77" s="116"/>
      <c r="FQ77" s="116"/>
      <c r="FR77" s="116"/>
      <c r="FS77" s="116"/>
      <c r="FT77" s="116"/>
      <c r="FU77" s="116"/>
      <c r="FV77" s="116"/>
      <c r="FW77" s="116"/>
      <c r="FX77" s="116"/>
      <c r="FY77" s="116"/>
      <c r="FZ77" s="116"/>
      <c r="GA77" s="116"/>
      <c r="GB77" s="116"/>
      <c r="GC77" s="116"/>
      <c r="GD77" s="116"/>
      <c r="GE77" s="116"/>
      <c r="GF77" s="116"/>
      <c r="GG77" s="116"/>
      <c r="GH77" s="116"/>
      <c r="GI77" s="116"/>
      <c r="GJ77" s="116"/>
      <c r="GK77" s="116"/>
      <c r="GL77" s="116"/>
      <c r="GM77" s="116"/>
      <c r="GN77" s="116"/>
      <c r="GO77" s="116"/>
      <c r="GP77" s="116"/>
      <c r="GQ77" s="116"/>
      <c r="GR77" s="116"/>
      <c r="GS77" s="116"/>
      <c r="GT77" s="116"/>
      <c r="GU77" s="116"/>
      <c r="GV77" s="116"/>
      <c r="GW77" s="116"/>
      <c r="GX77" s="116"/>
      <c r="GY77" s="116"/>
      <c r="GZ77" s="116"/>
      <c r="HA77" s="116"/>
      <c r="HB77" s="116"/>
      <c r="HC77" s="116"/>
      <c r="HD77" s="116"/>
      <c r="HE77" s="116"/>
      <c r="HF77" s="116"/>
      <c r="HG77" s="116"/>
      <c r="HH77" s="117"/>
      <c r="HJ77" s="115" t="s">
        <v>125</v>
      </c>
    </row>
    <row r="78" spans="3:218" s="119" customFormat="1" ht="54.95" customHeight="1">
      <c r="C78" s="118">
        <v>1</v>
      </c>
      <c r="D78" s="160" t="s">
        <v>259</v>
      </c>
      <c r="E78" s="195" t="s">
        <v>260</v>
      </c>
      <c r="F78" s="196"/>
      <c r="G78" s="197"/>
      <c r="H78" s="74" t="s">
        <v>173</v>
      </c>
      <c r="I78" s="190"/>
      <c r="J78" s="191"/>
      <c r="K78" s="43"/>
      <c r="L78" s="67"/>
      <c r="M78" s="65"/>
      <c r="N78" s="65"/>
      <c r="O78" s="66"/>
      <c r="Q78" s="52"/>
      <c r="R78" s="52"/>
      <c r="S78" s="52"/>
      <c r="T78" s="52"/>
      <c r="U78" s="52"/>
      <c r="V78" s="52"/>
      <c r="W78" s="52"/>
      <c r="X78" s="52"/>
      <c r="Y78" s="52"/>
      <c r="Z78" s="52"/>
      <c r="AA78" s="52"/>
      <c r="AB78" s="52"/>
      <c r="AC78" s="52"/>
      <c r="AD78" s="52"/>
      <c r="AE78" s="52"/>
      <c r="AF78" s="52"/>
      <c r="AG78" s="52"/>
      <c r="AH78" s="52"/>
      <c r="AI78" s="52"/>
      <c r="AJ78" s="52"/>
      <c r="AK78" s="52"/>
      <c r="AL78" s="52"/>
      <c r="AM78" s="52"/>
      <c r="AN78" s="52"/>
      <c r="AO78" s="52"/>
      <c r="AP78" s="52"/>
      <c r="AQ78" s="52"/>
      <c r="AR78" s="52"/>
      <c r="AS78" s="52"/>
      <c r="AT78" s="52"/>
      <c r="AU78" s="52"/>
      <c r="AV78" s="52"/>
      <c r="AX78" s="13"/>
      <c r="AY78" s="13"/>
      <c r="AZ78" s="13"/>
      <c r="BA78" s="13"/>
      <c r="BB78" s="13"/>
      <c r="BC78" s="13"/>
      <c r="BD78" s="13"/>
      <c r="BE78" s="13"/>
      <c r="BF78" s="13"/>
      <c r="BG78" s="13"/>
      <c r="BH78" s="13"/>
      <c r="BI78" s="13"/>
      <c r="BJ78" s="13"/>
      <c r="BK78" s="13"/>
      <c r="BL78" s="13"/>
      <c r="BM78" s="13"/>
      <c r="BN78" s="13"/>
      <c r="BO78" s="13"/>
      <c r="BP78" s="13"/>
      <c r="BQ78" s="13"/>
      <c r="BR78" s="13"/>
      <c r="BS78" s="13"/>
      <c r="BT78" s="13"/>
      <c r="BU78" s="13"/>
      <c r="BV78" s="13"/>
      <c r="BW78" s="13"/>
      <c r="BX78" s="13"/>
      <c r="BY78" s="13"/>
      <c r="BZ78" s="13"/>
      <c r="CA78" s="13"/>
      <c r="CB78" s="13"/>
      <c r="CC78" s="13"/>
      <c r="CD78" s="13"/>
      <c r="CE78" s="13"/>
      <c r="CF78" s="13"/>
      <c r="CG78" s="13"/>
      <c r="CH78" s="13"/>
      <c r="CI78" s="13"/>
      <c r="CJ78" s="13"/>
      <c r="CK78" s="13"/>
      <c r="CL78" s="13"/>
      <c r="CM78" s="13"/>
      <c r="CN78" s="13"/>
      <c r="CO78" s="13"/>
      <c r="CP78" s="13"/>
      <c r="CQ78" s="13"/>
      <c r="CR78" s="13"/>
      <c r="CS78" s="13"/>
      <c r="CT78" s="13"/>
      <c r="CU78" s="13"/>
      <c r="CV78" s="13"/>
      <c r="CW78" s="13"/>
      <c r="CX78" s="13"/>
      <c r="CY78" s="13"/>
      <c r="CZ78" s="13"/>
      <c r="DA78" s="112" t="e">
        <f t="shared" ref="DA78:DA85" si="596">MATCH(TRUE,DB78:FD78,0)</f>
        <v>#N/A</v>
      </c>
      <c r="DB78" s="13"/>
      <c r="DC78" s="13"/>
      <c r="DD78" s="13"/>
      <c r="DE78" s="13"/>
      <c r="DF78" s="13"/>
      <c r="DG78" s="13"/>
      <c r="DH78" s="13"/>
      <c r="DI78" s="13"/>
      <c r="DJ78" s="13"/>
      <c r="DK78" s="13"/>
      <c r="DL78" s="13"/>
      <c r="DM78" s="13"/>
      <c r="DN78" s="13"/>
      <c r="DO78" s="13"/>
      <c r="DP78" s="13"/>
      <c r="DQ78" s="13"/>
      <c r="DR78" s="13"/>
      <c r="DS78" s="13"/>
      <c r="DT78" s="13"/>
      <c r="DU78" s="13"/>
      <c r="DV78" s="13"/>
      <c r="DW78" s="13"/>
      <c r="DX78" s="13"/>
      <c r="DY78" s="13"/>
      <c r="DZ78" s="13"/>
      <c r="EA78" s="13"/>
      <c r="EB78" s="13"/>
      <c r="EC78" s="13"/>
      <c r="ED78" s="13"/>
      <c r="EE78" s="13"/>
      <c r="EF78" s="13"/>
      <c r="EG78" s="13"/>
      <c r="EH78" s="13"/>
      <c r="EI78" s="13"/>
      <c r="EJ78" s="13"/>
      <c r="EK78" s="13"/>
      <c r="EL78" s="13"/>
      <c r="EM78" s="13"/>
      <c r="EN78" s="13"/>
      <c r="EO78" s="13"/>
      <c r="EP78" s="13"/>
      <c r="EQ78" s="13"/>
      <c r="ER78" s="13"/>
      <c r="ES78" s="13"/>
      <c r="ET78" s="13"/>
      <c r="EU78" s="13"/>
      <c r="EV78" s="13"/>
      <c r="EW78" s="13"/>
      <c r="EX78" s="13"/>
      <c r="EY78" s="13"/>
      <c r="EZ78" s="13"/>
      <c r="FA78" s="13"/>
      <c r="FB78" s="13"/>
      <c r="FC78" s="13"/>
      <c r="FD78" s="13"/>
      <c r="FF78" s="13" t="str">
        <f t="shared" ref="FF78:FF85" si="597">IF(DB78=TRUE,AX78&amp;"; ","")</f>
        <v/>
      </c>
      <c r="FG78" s="13" t="str">
        <f t="shared" ref="FG78:FG85" si="598">IF(DC78=TRUE,AY78&amp;"; ","")</f>
        <v/>
      </c>
      <c r="FH78" s="13" t="str">
        <f t="shared" ref="FH78:FH85" si="599">IF(DD78=TRUE,AZ78&amp;"; ","")</f>
        <v/>
      </c>
      <c r="FI78" s="13" t="str">
        <f t="shared" ref="FI78:FI85" si="600">IF(DE78=TRUE,BA78&amp;"; ","")</f>
        <v/>
      </c>
      <c r="FJ78" s="13" t="str">
        <f t="shared" ref="FJ78:FJ85" si="601">IF(DF78=TRUE,BB78&amp;"; ","")</f>
        <v/>
      </c>
      <c r="FK78" s="13" t="str">
        <f t="shared" ref="FK78:FK85" si="602">IF(DG78=TRUE,BC78&amp;"; ","")</f>
        <v/>
      </c>
      <c r="FL78" s="13" t="str">
        <f t="shared" ref="FL78:FL85" si="603">IF(DH78=TRUE,BD78&amp;"; ","")</f>
        <v/>
      </c>
      <c r="FM78" s="13" t="str">
        <f t="shared" ref="FM78:FM85" si="604">IF(DI78=TRUE,BE78&amp;"; ","")</f>
        <v/>
      </c>
      <c r="FN78" s="13" t="str">
        <f t="shared" ref="FN78:FN85" si="605">IF(DJ78=TRUE,BF78&amp;"; ","")</f>
        <v/>
      </c>
      <c r="FO78" s="13" t="str">
        <f t="shared" ref="FO78:FO85" si="606">IF(DK78=TRUE,BG78&amp;"; ","")</f>
        <v/>
      </c>
      <c r="FP78" s="13" t="str">
        <f t="shared" ref="FP78:FP85" si="607">IF(DL78=TRUE,BH78&amp;"; ","")</f>
        <v/>
      </c>
      <c r="FQ78" s="13" t="str">
        <f t="shared" ref="FQ78:FQ85" si="608">IF(DM78=TRUE,BI78&amp;"; ","")</f>
        <v/>
      </c>
      <c r="FR78" s="13" t="str">
        <f t="shared" ref="FR78:FR85" si="609">IF(DN78=TRUE,BJ78&amp;"; ","")</f>
        <v/>
      </c>
      <c r="FS78" s="13" t="str">
        <f t="shared" ref="FS78:FS85" si="610">IF(DO78=TRUE,BK78&amp;"; ","")</f>
        <v/>
      </c>
      <c r="FT78" s="13" t="str">
        <f t="shared" ref="FT78:FT85" si="611">IF(DP78=TRUE,BL78&amp;"; ","")</f>
        <v/>
      </c>
      <c r="FU78" s="13" t="str">
        <f t="shared" ref="FU78:FU85" si="612">IF(DQ78=TRUE,BM78&amp;"; ","")</f>
        <v/>
      </c>
      <c r="FV78" s="13" t="str">
        <f t="shared" ref="FV78:FV85" si="613">IF(DR78=TRUE,BN78&amp;"; ","")</f>
        <v/>
      </c>
      <c r="FW78" s="13" t="str">
        <f t="shared" ref="FW78:FW85" si="614">IF(DS78=TRUE,BO78&amp;"; ","")</f>
        <v/>
      </c>
      <c r="FX78" s="13" t="str">
        <f t="shared" ref="FX78:FX85" si="615">IF(DT78=TRUE,BP78&amp;"; ","")</f>
        <v/>
      </c>
      <c r="FY78" s="13" t="str">
        <f t="shared" ref="FY78:FY85" si="616">IF(DU78=TRUE,BQ78&amp;"; ","")</f>
        <v/>
      </c>
      <c r="FZ78" s="13" t="str">
        <f t="shared" ref="FZ78:FZ85" si="617">IF(DV78=TRUE,BR78&amp;"; ","")</f>
        <v/>
      </c>
      <c r="GA78" s="13" t="str">
        <f t="shared" ref="GA78:GA85" si="618">IF(DW78=TRUE,BS78&amp;"; ","")</f>
        <v/>
      </c>
      <c r="GB78" s="13" t="str">
        <f t="shared" ref="GB78:GB85" si="619">IF(DX78=TRUE,BT78&amp;"; ","")</f>
        <v/>
      </c>
      <c r="GC78" s="13" t="str">
        <f t="shared" ref="GC78:GC85" si="620">IF(DY78=TRUE,BU78&amp;"; ","")</f>
        <v/>
      </c>
      <c r="GD78" s="13" t="str">
        <f t="shared" ref="GD78:GD85" si="621">IF(DZ78=TRUE,BV78&amp;"; ","")</f>
        <v/>
      </c>
      <c r="GE78" s="13" t="str">
        <f t="shared" ref="GE78:GE85" si="622">IF(EA78=TRUE,BW78&amp;"; ","")</f>
        <v/>
      </c>
      <c r="GF78" s="13" t="str">
        <f t="shared" ref="GF78:GF85" si="623">IF(EB78=TRUE,BX78&amp;"; ","")</f>
        <v/>
      </c>
      <c r="GG78" s="13" t="str">
        <f t="shared" ref="GG78:GG85" si="624">IF(EC78=TRUE,BY78&amp;"; ","")</f>
        <v/>
      </c>
      <c r="GH78" s="13" t="str">
        <f t="shared" ref="GH78:GH85" si="625">IF(ED78=TRUE,BZ78&amp;"; ","")</f>
        <v/>
      </c>
      <c r="GI78" s="13" t="str">
        <f t="shared" ref="GI78:GI85" si="626">IF(EE78=TRUE,CA78&amp;"; ","")</f>
        <v/>
      </c>
      <c r="GJ78" s="13" t="str">
        <f t="shared" ref="GJ78:GJ85" si="627">IF(EF78=TRUE,CB78&amp;"; ","")</f>
        <v/>
      </c>
      <c r="GK78" s="13" t="str">
        <f t="shared" ref="GK78:GK85" si="628">IF(EG78=TRUE,CC78&amp;"; ","")</f>
        <v/>
      </c>
      <c r="GL78" s="13" t="str">
        <f t="shared" ref="GL78:GL85" si="629">IF(EH78=TRUE,CD78&amp;"; ","")</f>
        <v/>
      </c>
      <c r="GM78" s="13" t="str">
        <f t="shared" ref="GM78:GM85" si="630">IF(EI78=TRUE,CE78&amp;"; ","")</f>
        <v/>
      </c>
      <c r="GN78" s="13" t="str">
        <f t="shared" ref="GN78:GN85" si="631">IF(EJ78=TRUE,CF78&amp;"; ","")</f>
        <v/>
      </c>
      <c r="GO78" s="13" t="str">
        <f t="shared" ref="GO78:GO85" si="632">IF(EK78=TRUE,CG78&amp;"; ","")</f>
        <v/>
      </c>
      <c r="GP78" s="13" t="str">
        <f t="shared" ref="GP78:GP85" si="633">IF(EL78=TRUE,CH78&amp;"; ","")</f>
        <v/>
      </c>
      <c r="GQ78" s="13" t="str">
        <f t="shared" ref="GQ78:GQ85" si="634">IF(EM78=TRUE,CI78&amp;"; ","")</f>
        <v/>
      </c>
      <c r="GR78" s="13" t="str">
        <f t="shared" ref="GR78:GR85" si="635">IF(EN78=TRUE,CJ78&amp;"; ","")</f>
        <v/>
      </c>
      <c r="GS78" s="13" t="str">
        <f t="shared" ref="GS78:GS85" si="636">IF(EO78=TRUE,CK78&amp;"; ","")</f>
        <v/>
      </c>
      <c r="GT78" s="13" t="str">
        <f t="shared" ref="GT78:GT85" si="637">IF(EP78=TRUE,CL78&amp;"; ","")</f>
        <v/>
      </c>
      <c r="GU78" s="13" t="str">
        <f t="shared" ref="GU78:GU85" si="638">IF(EQ78=TRUE,CM78&amp;"; ","")</f>
        <v/>
      </c>
      <c r="GV78" s="13" t="str">
        <f t="shared" ref="GV78:GV85" si="639">IF(ER78=TRUE,CN78&amp;"; ","")</f>
        <v/>
      </c>
      <c r="GW78" s="13" t="str">
        <f t="shared" ref="GW78:GW85" si="640">IF(ES78=TRUE,CO78&amp;"; ","")</f>
        <v/>
      </c>
      <c r="GX78" s="13" t="str">
        <f t="shared" ref="GX78:GX85" si="641">IF(ET78=TRUE,CP78&amp;"; ","")</f>
        <v/>
      </c>
      <c r="GY78" s="13" t="str">
        <f t="shared" ref="GY78:GY85" si="642">IF(EU78=TRUE,CQ78&amp;"; ","")</f>
        <v/>
      </c>
      <c r="GZ78" s="13" t="str">
        <f t="shared" ref="GZ78:GZ85" si="643">IF(EV78=TRUE,CR78&amp;"; ","")</f>
        <v/>
      </c>
      <c r="HA78" s="13" t="str">
        <f t="shared" ref="HA78:HA85" si="644">IF(EW78=TRUE,CS78&amp;"; ","")</f>
        <v/>
      </c>
      <c r="HB78" s="13" t="str">
        <f t="shared" ref="HB78:HB85" si="645">IF(EX78=TRUE,CT78&amp;"; ","")</f>
        <v/>
      </c>
      <c r="HC78" s="13" t="str">
        <f t="shared" ref="HC78:HC85" si="646">IF(EY78=TRUE,CU78&amp;"; ","")</f>
        <v/>
      </c>
      <c r="HD78" s="13" t="str">
        <f t="shared" ref="HD78:HD85" si="647">IF(EZ78=TRUE,CV78&amp;"; ","")</f>
        <v/>
      </c>
      <c r="HE78" s="13" t="str">
        <f t="shared" ref="HE78:HE85" si="648">IF(FA78=TRUE,CW78&amp;"; ","")</f>
        <v/>
      </c>
      <c r="HF78" s="13" t="str">
        <f t="shared" ref="HF78:HF85" si="649">IF(FB78=TRUE,CX78&amp;"; ","")</f>
        <v/>
      </c>
      <c r="HG78" s="13" t="str">
        <f t="shared" ref="HG78:HG85" si="650">IF(FC78=TRUE,CY78&amp;"; ","")</f>
        <v/>
      </c>
      <c r="HH78" s="13" t="str">
        <f t="shared" ref="HH78:HH85" si="651">IF(FD78=TRUE,CZ78&amp;"; ","")</f>
        <v/>
      </c>
      <c r="HJ78" s="114" t="str">
        <f t="shared" ref="HJ78:HJ85" si="652">IFERROR(LEFT(FF78&amp;FG78&amp;FH78&amp;FI78&amp;FJ78&amp;FK78&amp;FL78&amp;FM78&amp;FN78&amp;FO78&amp;FP78&amp;FQ78&amp;FR78&amp;FS78&amp;FT78&amp;FU78&amp;FV78&amp;FW78&amp;FX78&amp;FY78&amp;FZ78&amp;GA78&amp;GB78&amp;GC78&amp;GD78&amp;GE78&amp;GF78&amp;GG78&amp;GH78&amp;GI78&amp;GJ78&amp;GK78&amp;GL78&amp;GM78&amp;GN78&amp;GO78&amp;GP78&amp;GQ78&amp;GR78&amp;GS78&amp;GT78&amp;GU78&amp;GV78&amp;GW78&amp;GX78&amp;GY78&amp;GZ78&amp;HA78&amp;HB78&amp;HC78&amp;HD78&amp;HE78&amp;HF78&amp;HG78&amp;HH78,LEN(FF78&amp;FG78&amp;FH78&amp;FI78&amp;FJ78&amp;FK78&amp;FL78&amp;FM78&amp;FN78&amp;FO78&amp;FP78&amp;FQ78&amp;FR78&amp;FS78&amp;FT78&amp;FU78&amp;FV78&amp;FW78&amp;FX78&amp;FY78&amp;FZ78&amp;GA78&amp;GB78&amp;GC78&amp;GD78&amp;GE78&amp;GF78&amp;GG78&amp;GH78&amp;GI78&amp;GJ78&amp;GK78&amp;GL78&amp;GM78&amp;GN78&amp;GO78&amp;GP78&amp;GQ78&amp;GR78&amp;GS78&amp;GT78&amp;GU78&amp;GV78&amp;GW78&amp;GX78&amp;GY78&amp;GZ78&amp;HA78&amp;HB78&amp;HC78&amp;HD78&amp;HE78&amp;HF78&amp;HG78&amp;HH78)-2),"")</f>
        <v/>
      </c>
    </row>
    <row r="79" spans="3:218" s="119" customFormat="1" ht="45" customHeight="1">
      <c r="C79" s="121">
        <f t="shared" ref="C79:C85" si="653">C78+1</f>
        <v>2</v>
      </c>
      <c r="D79" s="161"/>
      <c r="E79" s="195" t="s">
        <v>261</v>
      </c>
      <c r="F79" s="196"/>
      <c r="G79" s="197"/>
      <c r="H79" s="74" t="s">
        <v>173</v>
      </c>
      <c r="I79" s="190"/>
      <c r="J79" s="191"/>
      <c r="K79" s="43"/>
      <c r="L79" s="67"/>
      <c r="M79" s="65"/>
      <c r="N79" s="65"/>
      <c r="O79" s="66"/>
      <c r="Q79" s="52"/>
      <c r="R79" s="52"/>
      <c r="S79" s="52"/>
      <c r="T79" s="52"/>
      <c r="U79" s="52"/>
      <c r="V79" s="52"/>
      <c r="W79" s="52"/>
      <c r="X79" s="52"/>
      <c r="Y79" s="52"/>
      <c r="Z79" s="52"/>
      <c r="AA79" s="52"/>
      <c r="AB79" s="52"/>
      <c r="AC79" s="52"/>
      <c r="AD79" s="52"/>
      <c r="AE79" s="52"/>
      <c r="AF79" s="52"/>
      <c r="AG79" s="52"/>
      <c r="AH79" s="52"/>
      <c r="AI79" s="52"/>
      <c r="AJ79" s="52"/>
      <c r="AK79" s="52"/>
      <c r="AL79" s="52"/>
      <c r="AM79" s="52"/>
      <c r="AN79" s="52"/>
      <c r="AO79" s="52"/>
      <c r="AP79" s="52"/>
      <c r="AQ79" s="52"/>
      <c r="AR79" s="52"/>
      <c r="AS79" s="52"/>
      <c r="AT79" s="52"/>
      <c r="AU79" s="52"/>
      <c r="AV79" s="52"/>
      <c r="AX79" s="13"/>
      <c r="AY79" s="13"/>
      <c r="AZ79" s="13"/>
      <c r="BA79" s="13"/>
      <c r="BB79" s="13"/>
      <c r="BC79" s="13"/>
      <c r="BD79" s="13"/>
      <c r="BE79" s="13"/>
      <c r="BF79" s="13"/>
      <c r="BG79" s="13"/>
      <c r="BH79" s="13"/>
      <c r="BI79" s="13"/>
      <c r="BJ79" s="13"/>
      <c r="BK79" s="13"/>
      <c r="BL79" s="13"/>
      <c r="BM79" s="13"/>
      <c r="BN79" s="13"/>
      <c r="BO79" s="13"/>
      <c r="BP79" s="13"/>
      <c r="BQ79" s="13"/>
      <c r="BR79" s="13"/>
      <c r="BS79" s="13"/>
      <c r="BT79" s="13"/>
      <c r="BU79" s="13"/>
      <c r="BV79" s="13"/>
      <c r="BW79" s="13"/>
      <c r="BX79" s="13"/>
      <c r="BY79" s="13"/>
      <c r="BZ79" s="13"/>
      <c r="CA79" s="13"/>
      <c r="CB79" s="13"/>
      <c r="CC79" s="13"/>
      <c r="CD79" s="13"/>
      <c r="CE79" s="13"/>
      <c r="CF79" s="13"/>
      <c r="CG79" s="13"/>
      <c r="CH79" s="13"/>
      <c r="CI79" s="13"/>
      <c r="CJ79" s="13"/>
      <c r="CK79" s="13"/>
      <c r="CL79" s="13"/>
      <c r="CM79" s="13"/>
      <c r="CN79" s="13"/>
      <c r="CO79" s="13"/>
      <c r="CP79" s="13"/>
      <c r="CQ79" s="13"/>
      <c r="CR79" s="13"/>
      <c r="CS79" s="13"/>
      <c r="CT79" s="13"/>
      <c r="CU79" s="13"/>
      <c r="CV79" s="13"/>
      <c r="CW79" s="13"/>
      <c r="CX79" s="13"/>
      <c r="CY79" s="13"/>
      <c r="CZ79" s="13"/>
      <c r="DA79" s="112" t="e">
        <f t="shared" si="596"/>
        <v>#N/A</v>
      </c>
      <c r="DB79" s="13"/>
      <c r="DC79" s="13"/>
      <c r="DD79" s="13"/>
      <c r="DE79" s="13"/>
      <c r="DF79" s="13"/>
      <c r="DG79" s="13"/>
      <c r="DH79" s="13"/>
      <c r="DI79" s="13"/>
      <c r="DJ79" s="13"/>
      <c r="DK79" s="13"/>
      <c r="DL79" s="13"/>
      <c r="DM79" s="13"/>
      <c r="DN79" s="13"/>
      <c r="DO79" s="13"/>
      <c r="DP79" s="13"/>
      <c r="DQ79" s="13"/>
      <c r="DR79" s="13"/>
      <c r="DS79" s="13"/>
      <c r="DT79" s="13"/>
      <c r="DU79" s="13"/>
      <c r="DV79" s="13"/>
      <c r="DW79" s="13"/>
      <c r="DX79" s="13"/>
      <c r="DY79" s="13"/>
      <c r="DZ79" s="13"/>
      <c r="EA79" s="13"/>
      <c r="EB79" s="13"/>
      <c r="EC79" s="13"/>
      <c r="ED79" s="13"/>
      <c r="EE79" s="13"/>
      <c r="EF79" s="13"/>
      <c r="EG79" s="13"/>
      <c r="EH79" s="13"/>
      <c r="EI79" s="13"/>
      <c r="EJ79" s="13"/>
      <c r="EK79" s="13"/>
      <c r="EL79" s="13"/>
      <c r="EM79" s="13"/>
      <c r="EN79" s="13"/>
      <c r="EO79" s="13"/>
      <c r="EP79" s="13"/>
      <c r="EQ79" s="13"/>
      <c r="ER79" s="13"/>
      <c r="ES79" s="13"/>
      <c r="ET79" s="13"/>
      <c r="EU79" s="13"/>
      <c r="EV79" s="13"/>
      <c r="EW79" s="13"/>
      <c r="EX79" s="13"/>
      <c r="EY79" s="13"/>
      <c r="EZ79" s="13"/>
      <c r="FA79" s="13"/>
      <c r="FB79" s="13"/>
      <c r="FC79" s="13"/>
      <c r="FD79" s="13"/>
      <c r="FF79" s="13" t="str">
        <f t="shared" si="597"/>
        <v/>
      </c>
      <c r="FG79" s="13" t="str">
        <f t="shared" si="598"/>
        <v/>
      </c>
      <c r="FH79" s="13" t="str">
        <f t="shared" si="599"/>
        <v/>
      </c>
      <c r="FI79" s="13" t="str">
        <f t="shared" si="600"/>
        <v/>
      </c>
      <c r="FJ79" s="13" t="str">
        <f t="shared" si="601"/>
        <v/>
      </c>
      <c r="FK79" s="13" t="str">
        <f t="shared" si="602"/>
        <v/>
      </c>
      <c r="FL79" s="13" t="str">
        <f t="shared" si="603"/>
        <v/>
      </c>
      <c r="FM79" s="13" t="str">
        <f t="shared" si="604"/>
        <v/>
      </c>
      <c r="FN79" s="13" t="str">
        <f t="shared" si="605"/>
        <v/>
      </c>
      <c r="FO79" s="13" t="str">
        <f t="shared" si="606"/>
        <v/>
      </c>
      <c r="FP79" s="13" t="str">
        <f t="shared" si="607"/>
        <v/>
      </c>
      <c r="FQ79" s="13" t="str">
        <f t="shared" si="608"/>
        <v/>
      </c>
      <c r="FR79" s="13" t="str">
        <f t="shared" si="609"/>
        <v/>
      </c>
      <c r="FS79" s="13" t="str">
        <f t="shared" si="610"/>
        <v/>
      </c>
      <c r="FT79" s="13" t="str">
        <f t="shared" si="611"/>
        <v/>
      </c>
      <c r="FU79" s="13" t="str">
        <f t="shared" si="612"/>
        <v/>
      </c>
      <c r="FV79" s="13" t="str">
        <f t="shared" si="613"/>
        <v/>
      </c>
      <c r="FW79" s="13" t="str">
        <f t="shared" si="614"/>
        <v/>
      </c>
      <c r="FX79" s="13" t="str">
        <f t="shared" si="615"/>
        <v/>
      </c>
      <c r="FY79" s="13" t="str">
        <f t="shared" si="616"/>
        <v/>
      </c>
      <c r="FZ79" s="13" t="str">
        <f t="shared" si="617"/>
        <v/>
      </c>
      <c r="GA79" s="13" t="str">
        <f t="shared" si="618"/>
        <v/>
      </c>
      <c r="GB79" s="13" t="str">
        <f t="shared" si="619"/>
        <v/>
      </c>
      <c r="GC79" s="13" t="str">
        <f t="shared" si="620"/>
        <v/>
      </c>
      <c r="GD79" s="13" t="str">
        <f t="shared" si="621"/>
        <v/>
      </c>
      <c r="GE79" s="13" t="str">
        <f t="shared" si="622"/>
        <v/>
      </c>
      <c r="GF79" s="13" t="str">
        <f t="shared" si="623"/>
        <v/>
      </c>
      <c r="GG79" s="13" t="str">
        <f t="shared" si="624"/>
        <v/>
      </c>
      <c r="GH79" s="13" t="str">
        <f t="shared" si="625"/>
        <v/>
      </c>
      <c r="GI79" s="13" t="str">
        <f t="shared" si="626"/>
        <v/>
      </c>
      <c r="GJ79" s="13" t="str">
        <f t="shared" si="627"/>
        <v/>
      </c>
      <c r="GK79" s="13" t="str">
        <f t="shared" si="628"/>
        <v/>
      </c>
      <c r="GL79" s="13" t="str">
        <f t="shared" si="629"/>
        <v/>
      </c>
      <c r="GM79" s="13" t="str">
        <f t="shared" si="630"/>
        <v/>
      </c>
      <c r="GN79" s="13" t="str">
        <f t="shared" si="631"/>
        <v/>
      </c>
      <c r="GO79" s="13" t="str">
        <f t="shared" si="632"/>
        <v/>
      </c>
      <c r="GP79" s="13" t="str">
        <f t="shared" si="633"/>
        <v/>
      </c>
      <c r="GQ79" s="13" t="str">
        <f t="shared" si="634"/>
        <v/>
      </c>
      <c r="GR79" s="13" t="str">
        <f t="shared" si="635"/>
        <v/>
      </c>
      <c r="GS79" s="13" t="str">
        <f t="shared" si="636"/>
        <v/>
      </c>
      <c r="GT79" s="13" t="str">
        <f t="shared" si="637"/>
        <v/>
      </c>
      <c r="GU79" s="13" t="str">
        <f t="shared" si="638"/>
        <v/>
      </c>
      <c r="GV79" s="13" t="str">
        <f t="shared" si="639"/>
        <v/>
      </c>
      <c r="GW79" s="13" t="str">
        <f t="shared" si="640"/>
        <v/>
      </c>
      <c r="GX79" s="13" t="str">
        <f t="shared" si="641"/>
        <v/>
      </c>
      <c r="GY79" s="13" t="str">
        <f t="shared" si="642"/>
        <v/>
      </c>
      <c r="GZ79" s="13" t="str">
        <f t="shared" si="643"/>
        <v/>
      </c>
      <c r="HA79" s="13" t="str">
        <f t="shared" si="644"/>
        <v/>
      </c>
      <c r="HB79" s="13" t="str">
        <f t="shared" si="645"/>
        <v/>
      </c>
      <c r="HC79" s="13" t="str">
        <f t="shared" si="646"/>
        <v/>
      </c>
      <c r="HD79" s="13" t="str">
        <f t="shared" si="647"/>
        <v/>
      </c>
      <c r="HE79" s="13" t="str">
        <f t="shared" si="648"/>
        <v/>
      </c>
      <c r="HF79" s="13" t="str">
        <f t="shared" si="649"/>
        <v/>
      </c>
      <c r="HG79" s="13" t="str">
        <f t="shared" si="650"/>
        <v/>
      </c>
      <c r="HH79" s="13" t="str">
        <f t="shared" si="651"/>
        <v/>
      </c>
      <c r="HJ79" s="114" t="str">
        <f t="shared" si="652"/>
        <v/>
      </c>
    </row>
    <row r="80" spans="3:218" s="119" customFormat="1" ht="45" customHeight="1">
      <c r="C80" s="121">
        <f t="shared" si="653"/>
        <v>3</v>
      </c>
      <c r="D80" s="161"/>
      <c r="E80" s="195" t="s">
        <v>262</v>
      </c>
      <c r="F80" s="196"/>
      <c r="G80" s="197"/>
      <c r="H80" s="74" t="s">
        <v>173</v>
      </c>
      <c r="I80" s="190"/>
      <c r="J80" s="191"/>
      <c r="K80" s="43"/>
      <c r="L80" s="67"/>
      <c r="M80" s="65"/>
      <c r="N80" s="65"/>
      <c r="O80" s="66"/>
      <c r="Q80" s="52"/>
      <c r="R80" s="52"/>
      <c r="S80" s="52"/>
      <c r="T80" s="52"/>
      <c r="U80" s="52"/>
      <c r="V80" s="52"/>
      <c r="W80" s="52"/>
      <c r="X80" s="52"/>
      <c r="Y80" s="52"/>
      <c r="Z80" s="52"/>
      <c r="AA80" s="52"/>
      <c r="AB80" s="52"/>
      <c r="AC80" s="52"/>
      <c r="AD80" s="52"/>
      <c r="AE80" s="52"/>
      <c r="AF80" s="52"/>
      <c r="AG80" s="52"/>
      <c r="AH80" s="52"/>
      <c r="AI80" s="52"/>
      <c r="AJ80" s="52"/>
      <c r="AK80" s="52"/>
      <c r="AL80" s="52"/>
      <c r="AM80" s="52"/>
      <c r="AN80" s="52"/>
      <c r="AO80" s="52"/>
      <c r="AP80" s="52"/>
      <c r="AQ80" s="52"/>
      <c r="AR80" s="52"/>
      <c r="AS80" s="52"/>
      <c r="AT80" s="52"/>
      <c r="AU80" s="52"/>
      <c r="AV80" s="52"/>
      <c r="AX80" s="13"/>
      <c r="AY80" s="13"/>
      <c r="AZ80" s="13"/>
      <c r="BA80" s="13"/>
      <c r="BB80" s="13"/>
      <c r="BC80" s="13"/>
      <c r="BD80" s="13"/>
      <c r="BE80" s="13"/>
      <c r="BF80" s="13"/>
      <c r="BG80" s="13"/>
      <c r="BH80" s="13"/>
      <c r="BI80" s="13"/>
      <c r="BJ80" s="13"/>
      <c r="BK80" s="13"/>
      <c r="BL80" s="13"/>
      <c r="BM80" s="13"/>
      <c r="BN80" s="13"/>
      <c r="BO80" s="13"/>
      <c r="BP80" s="13"/>
      <c r="BQ80" s="13"/>
      <c r="BR80" s="13"/>
      <c r="BS80" s="13"/>
      <c r="BT80" s="13"/>
      <c r="BU80" s="13"/>
      <c r="BV80" s="13"/>
      <c r="BW80" s="13"/>
      <c r="BX80" s="13"/>
      <c r="BY80" s="13"/>
      <c r="BZ80" s="13"/>
      <c r="CA80" s="13"/>
      <c r="CB80" s="13"/>
      <c r="CC80" s="13"/>
      <c r="CD80" s="13"/>
      <c r="CE80" s="13"/>
      <c r="CF80" s="13"/>
      <c r="CG80" s="13"/>
      <c r="CH80" s="13"/>
      <c r="CI80" s="13"/>
      <c r="CJ80" s="13"/>
      <c r="CK80" s="13"/>
      <c r="CL80" s="13"/>
      <c r="CM80" s="13"/>
      <c r="CN80" s="13"/>
      <c r="CO80" s="13"/>
      <c r="CP80" s="13"/>
      <c r="CQ80" s="13"/>
      <c r="CR80" s="13"/>
      <c r="CS80" s="13"/>
      <c r="CT80" s="13"/>
      <c r="CU80" s="13"/>
      <c r="CV80" s="13"/>
      <c r="CW80" s="13"/>
      <c r="CX80" s="13"/>
      <c r="CY80" s="13"/>
      <c r="CZ80" s="13"/>
      <c r="DA80" s="112" t="e">
        <f t="shared" si="596"/>
        <v>#N/A</v>
      </c>
      <c r="DB80" s="13"/>
      <c r="DC80" s="13"/>
      <c r="DD80" s="13"/>
      <c r="DE80" s="13"/>
      <c r="DF80" s="13"/>
      <c r="DG80" s="13"/>
      <c r="DH80" s="13"/>
      <c r="DI80" s="13"/>
      <c r="DJ80" s="13"/>
      <c r="DK80" s="13"/>
      <c r="DL80" s="13"/>
      <c r="DM80" s="13"/>
      <c r="DN80" s="13"/>
      <c r="DO80" s="13"/>
      <c r="DP80" s="13"/>
      <c r="DQ80" s="13"/>
      <c r="DR80" s="13"/>
      <c r="DS80" s="13"/>
      <c r="DT80" s="13"/>
      <c r="DU80" s="13"/>
      <c r="DV80" s="13"/>
      <c r="DW80" s="13"/>
      <c r="DX80" s="13"/>
      <c r="DY80" s="13"/>
      <c r="DZ80" s="13"/>
      <c r="EA80" s="13"/>
      <c r="EB80" s="13"/>
      <c r="EC80" s="13"/>
      <c r="ED80" s="13"/>
      <c r="EE80" s="13"/>
      <c r="EF80" s="13"/>
      <c r="EG80" s="13"/>
      <c r="EH80" s="13"/>
      <c r="EI80" s="13"/>
      <c r="EJ80" s="13"/>
      <c r="EK80" s="13"/>
      <c r="EL80" s="13"/>
      <c r="EM80" s="13"/>
      <c r="EN80" s="13"/>
      <c r="EO80" s="13"/>
      <c r="EP80" s="13"/>
      <c r="EQ80" s="13"/>
      <c r="ER80" s="13"/>
      <c r="ES80" s="13"/>
      <c r="ET80" s="13"/>
      <c r="EU80" s="13"/>
      <c r="EV80" s="13"/>
      <c r="EW80" s="13"/>
      <c r="EX80" s="13"/>
      <c r="EY80" s="13"/>
      <c r="EZ80" s="13"/>
      <c r="FA80" s="13"/>
      <c r="FB80" s="13"/>
      <c r="FC80" s="13"/>
      <c r="FD80" s="13"/>
      <c r="FF80" s="13" t="str">
        <f t="shared" si="597"/>
        <v/>
      </c>
      <c r="FG80" s="13" t="str">
        <f t="shared" si="598"/>
        <v/>
      </c>
      <c r="FH80" s="13" t="str">
        <f t="shared" si="599"/>
        <v/>
      </c>
      <c r="FI80" s="13" t="str">
        <f t="shared" si="600"/>
        <v/>
      </c>
      <c r="FJ80" s="13" t="str">
        <f t="shared" si="601"/>
        <v/>
      </c>
      <c r="FK80" s="13" t="str">
        <f t="shared" si="602"/>
        <v/>
      </c>
      <c r="FL80" s="13" t="str">
        <f t="shared" si="603"/>
        <v/>
      </c>
      <c r="FM80" s="13" t="str">
        <f t="shared" si="604"/>
        <v/>
      </c>
      <c r="FN80" s="13" t="str">
        <f t="shared" si="605"/>
        <v/>
      </c>
      <c r="FO80" s="13" t="str">
        <f t="shared" si="606"/>
        <v/>
      </c>
      <c r="FP80" s="13" t="str">
        <f t="shared" si="607"/>
        <v/>
      </c>
      <c r="FQ80" s="13" t="str">
        <f t="shared" si="608"/>
        <v/>
      </c>
      <c r="FR80" s="13" t="str">
        <f t="shared" si="609"/>
        <v/>
      </c>
      <c r="FS80" s="13" t="str">
        <f t="shared" si="610"/>
        <v/>
      </c>
      <c r="FT80" s="13" t="str">
        <f t="shared" si="611"/>
        <v/>
      </c>
      <c r="FU80" s="13" t="str">
        <f t="shared" si="612"/>
        <v/>
      </c>
      <c r="FV80" s="13" t="str">
        <f t="shared" si="613"/>
        <v/>
      </c>
      <c r="FW80" s="13" t="str">
        <f t="shared" si="614"/>
        <v/>
      </c>
      <c r="FX80" s="13" t="str">
        <f t="shared" si="615"/>
        <v/>
      </c>
      <c r="FY80" s="13" t="str">
        <f t="shared" si="616"/>
        <v/>
      </c>
      <c r="FZ80" s="13" t="str">
        <f t="shared" si="617"/>
        <v/>
      </c>
      <c r="GA80" s="13" t="str">
        <f t="shared" si="618"/>
        <v/>
      </c>
      <c r="GB80" s="13" t="str">
        <f t="shared" si="619"/>
        <v/>
      </c>
      <c r="GC80" s="13" t="str">
        <f t="shared" si="620"/>
        <v/>
      </c>
      <c r="GD80" s="13" t="str">
        <f t="shared" si="621"/>
        <v/>
      </c>
      <c r="GE80" s="13" t="str">
        <f t="shared" si="622"/>
        <v/>
      </c>
      <c r="GF80" s="13" t="str">
        <f t="shared" si="623"/>
        <v/>
      </c>
      <c r="GG80" s="13" t="str">
        <f t="shared" si="624"/>
        <v/>
      </c>
      <c r="GH80" s="13" t="str">
        <f t="shared" si="625"/>
        <v/>
      </c>
      <c r="GI80" s="13" t="str">
        <f t="shared" si="626"/>
        <v/>
      </c>
      <c r="GJ80" s="13" t="str">
        <f t="shared" si="627"/>
        <v/>
      </c>
      <c r="GK80" s="13" t="str">
        <f t="shared" si="628"/>
        <v/>
      </c>
      <c r="GL80" s="13" t="str">
        <f t="shared" si="629"/>
        <v/>
      </c>
      <c r="GM80" s="13" t="str">
        <f t="shared" si="630"/>
        <v/>
      </c>
      <c r="GN80" s="13" t="str">
        <f t="shared" si="631"/>
        <v/>
      </c>
      <c r="GO80" s="13" t="str">
        <f t="shared" si="632"/>
        <v/>
      </c>
      <c r="GP80" s="13" t="str">
        <f t="shared" si="633"/>
        <v/>
      </c>
      <c r="GQ80" s="13" t="str">
        <f t="shared" si="634"/>
        <v/>
      </c>
      <c r="GR80" s="13" t="str">
        <f t="shared" si="635"/>
        <v/>
      </c>
      <c r="GS80" s="13" t="str">
        <f t="shared" si="636"/>
        <v/>
      </c>
      <c r="GT80" s="13" t="str">
        <f t="shared" si="637"/>
        <v/>
      </c>
      <c r="GU80" s="13" t="str">
        <f t="shared" si="638"/>
        <v/>
      </c>
      <c r="GV80" s="13" t="str">
        <f t="shared" si="639"/>
        <v/>
      </c>
      <c r="GW80" s="13" t="str">
        <f t="shared" si="640"/>
        <v/>
      </c>
      <c r="GX80" s="13" t="str">
        <f t="shared" si="641"/>
        <v/>
      </c>
      <c r="GY80" s="13" t="str">
        <f t="shared" si="642"/>
        <v/>
      </c>
      <c r="GZ80" s="13" t="str">
        <f t="shared" si="643"/>
        <v/>
      </c>
      <c r="HA80" s="13" t="str">
        <f t="shared" si="644"/>
        <v/>
      </c>
      <c r="HB80" s="13" t="str">
        <f t="shared" si="645"/>
        <v/>
      </c>
      <c r="HC80" s="13" t="str">
        <f t="shared" si="646"/>
        <v/>
      </c>
      <c r="HD80" s="13" t="str">
        <f t="shared" si="647"/>
        <v/>
      </c>
      <c r="HE80" s="13" t="str">
        <f t="shared" si="648"/>
        <v/>
      </c>
      <c r="HF80" s="13" t="str">
        <f t="shared" si="649"/>
        <v/>
      </c>
      <c r="HG80" s="13" t="str">
        <f t="shared" si="650"/>
        <v/>
      </c>
      <c r="HH80" s="13" t="str">
        <f t="shared" si="651"/>
        <v/>
      </c>
      <c r="HJ80" s="114" t="str">
        <f t="shared" si="652"/>
        <v/>
      </c>
    </row>
    <row r="81" spans="3:218" s="119" customFormat="1" ht="45" customHeight="1">
      <c r="C81" s="118">
        <f t="shared" si="653"/>
        <v>4</v>
      </c>
      <c r="D81" s="160" t="s">
        <v>263</v>
      </c>
      <c r="E81" s="195" t="s">
        <v>264</v>
      </c>
      <c r="F81" s="196"/>
      <c r="G81" s="197"/>
      <c r="H81" s="74" t="s">
        <v>173</v>
      </c>
      <c r="I81" s="190"/>
      <c r="J81" s="191"/>
      <c r="K81" s="43"/>
      <c r="L81" s="67"/>
      <c r="M81" s="65"/>
      <c r="N81" s="65"/>
      <c r="O81" s="66"/>
      <c r="Q81" s="52"/>
      <c r="R81" s="52"/>
      <c r="S81" s="52"/>
      <c r="T81" s="52"/>
      <c r="U81" s="52"/>
      <c r="V81" s="52"/>
      <c r="W81" s="52"/>
      <c r="X81" s="52"/>
      <c r="Y81" s="52"/>
      <c r="Z81" s="52"/>
      <c r="AA81" s="52"/>
      <c r="AB81" s="52"/>
      <c r="AC81" s="52"/>
      <c r="AD81" s="52"/>
      <c r="AE81" s="52"/>
      <c r="AF81" s="52"/>
      <c r="AG81" s="52"/>
      <c r="AH81" s="52"/>
      <c r="AI81" s="52"/>
      <c r="AJ81" s="52"/>
      <c r="AK81" s="52"/>
      <c r="AL81" s="52"/>
      <c r="AM81" s="52"/>
      <c r="AN81" s="52"/>
      <c r="AO81" s="52"/>
      <c r="AP81" s="52"/>
      <c r="AQ81" s="52"/>
      <c r="AR81" s="52"/>
      <c r="AS81" s="52"/>
      <c r="AT81" s="52"/>
      <c r="AU81" s="52"/>
      <c r="AV81" s="52"/>
      <c r="AX81" s="13"/>
      <c r="AY81" s="13"/>
      <c r="AZ81" s="13"/>
      <c r="BA81" s="13"/>
      <c r="BB81" s="13"/>
      <c r="BC81" s="13"/>
      <c r="BD81" s="13"/>
      <c r="BE81" s="13"/>
      <c r="BF81" s="13"/>
      <c r="BG81" s="13"/>
      <c r="BH81" s="13"/>
      <c r="BI81" s="13"/>
      <c r="BJ81" s="13"/>
      <c r="BK81" s="13"/>
      <c r="BL81" s="13"/>
      <c r="BM81" s="13"/>
      <c r="BN81" s="13"/>
      <c r="BO81" s="13"/>
      <c r="BP81" s="13"/>
      <c r="BQ81" s="13"/>
      <c r="BR81" s="13"/>
      <c r="BS81" s="13"/>
      <c r="BT81" s="13"/>
      <c r="BU81" s="13"/>
      <c r="BV81" s="13"/>
      <c r="BW81" s="13"/>
      <c r="BX81" s="13"/>
      <c r="BY81" s="13"/>
      <c r="BZ81" s="13"/>
      <c r="CA81" s="13"/>
      <c r="CB81" s="13"/>
      <c r="CC81" s="13"/>
      <c r="CD81" s="13"/>
      <c r="CE81" s="13"/>
      <c r="CF81" s="13"/>
      <c r="CG81" s="13"/>
      <c r="CH81" s="13"/>
      <c r="CI81" s="13"/>
      <c r="CJ81" s="13"/>
      <c r="CK81" s="13"/>
      <c r="CL81" s="13"/>
      <c r="CM81" s="13"/>
      <c r="CN81" s="13"/>
      <c r="CO81" s="13"/>
      <c r="CP81" s="13"/>
      <c r="CQ81" s="13"/>
      <c r="CR81" s="13"/>
      <c r="CS81" s="13"/>
      <c r="CT81" s="13"/>
      <c r="CU81" s="13"/>
      <c r="CV81" s="13"/>
      <c r="CW81" s="13"/>
      <c r="CX81" s="13"/>
      <c r="CY81" s="13"/>
      <c r="CZ81" s="13"/>
      <c r="DA81" s="112" t="e">
        <f t="shared" si="596"/>
        <v>#N/A</v>
      </c>
      <c r="DB81" s="13"/>
      <c r="DC81" s="13"/>
      <c r="DD81" s="13"/>
      <c r="DE81" s="13"/>
      <c r="DF81" s="13"/>
      <c r="DG81" s="13"/>
      <c r="DH81" s="13"/>
      <c r="DI81" s="13"/>
      <c r="DJ81" s="13"/>
      <c r="DK81" s="13"/>
      <c r="DL81" s="13"/>
      <c r="DM81" s="13"/>
      <c r="DN81" s="13"/>
      <c r="DO81" s="13"/>
      <c r="DP81" s="13"/>
      <c r="DQ81" s="13"/>
      <c r="DR81" s="13"/>
      <c r="DS81" s="13"/>
      <c r="DT81" s="13"/>
      <c r="DU81" s="13"/>
      <c r="DV81" s="13"/>
      <c r="DW81" s="13"/>
      <c r="DX81" s="13"/>
      <c r="DY81" s="13"/>
      <c r="DZ81" s="13"/>
      <c r="EA81" s="13"/>
      <c r="EB81" s="13"/>
      <c r="EC81" s="13"/>
      <c r="ED81" s="13"/>
      <c r="EE81" s="13"/>
      <c r="EF81" s="13"/>
      <c r="EG81" s="13"/>
      <c r="EH81" s="13"/>
      <c r="EI81" s="13"/>
      <c r="EJ81" s="13"/>
      <c r="EK81" s="13"/>
      <c r="EL81" s="13"/>
      <c r="EM81" s="13"/>
      <c r="EN81" s="13"/>
      <c r="EO81" s="13"/>
      <c r="EP81" s="13"/>
      <c r="EQ81" s="13"/>
      <c r="ER81" s="13"/>
      <c r="ES81" s="13"/>
      <c r="ET81" s="13"/>
      <c r="EU81" s="13"/>
      <c r="EV81" s="13"/>
      <c r="EW81" s="13"/>
      <c r="EX81" s="13"/>
      <c r="EY81" s="13"/>
      <c r="EZ81" s="13"/>
      <c r="FA81" s="13"/>
      <c r="FB81" s="13"/>
      <c r="FC81" s="13"/>
      <c r="FD81" s="13"/>
      <c r="FF81" s="13" t="str">
        <f t="shared" si="597"/>
        <v/>
      </c>
      <c r="FG81" s="13" t="str">
        <f t="shared" si="598"/>
        <v/>
      </c>
      <c r="FH81" s="13" t="str">
        <f t="shared" si="599"/>
        <v/>
      </c>
      <c r="FI81" s="13" t="str">
        <f t="shared" si="600"/>
        <v/>
      </c>
      <c r="FJ81" s="13" t="str">
        <f t="shared" si="601"/>
        <v/>
      </c>
      <c r="FK81" s="13" t="str">
        <f t="shared" si="602"/>
        <v/>
      </c>
      <c r="FL81" s="13" t="str">
        <f t="shared" si="603"/>
        <v/>
      </c>
      <c r="FM81" s="13" t="str">
        <f t="shared" si="604"/>
        <v/>
      </c>
      <c r="FN81" s="13" t="str">
        <f t="shared" si="605"/>
        <v/>
      </c>
      <c r="FO81" s="13" t="str">
        <f t="shared" si="606"/>
        <v/>
      </c>
      <c r="FP81" s="13" t="str">
        <f t="shared" si="607"/>
        <v/>
      </c>
      <c r="FQ81" s="13" t="str">
        <f t="shared" si="608"/>
        <v/>
      </c>
      <c r="FR81" s="13" t="str">
        <f t="shared" si="609"/>
        <v/>
      </c>
      <c r="FS81" s="13" t="str">
        <f t="shared" si="610"/>
        <v/>
      </c>
      <c r="FT81" s="13" t="str">
        <f t="shared" si="611"/>
        <v/>
      </c>
      <c r="FU81" s="13" t="str">
        <f t="shared" si="612"/>
        <v/>
      </c>
      <c r="FV81" s="13" t="str">
        <f t="shared" si="613"/>
        <v/>
      </c>
      <c r="FW81" s="13" t="str">
        <f t="shared" si="614"/>
        <v/>
      </c>
      <c r="FX81" s="13" t="str">
        <f t="shared" si="615"/>
        <v/>
      </c>
      <c r="FY81" s="13" t="str">
        <f t="shared" si="616"/>
        <v/>
      </c>
      <c r="FZ81" s="13" t="str">
        <f t="shared" si="617"/>
        <v/>
      </c>
      <c r="GA81" s="13" t="str">
        <f t="shared" si="618"/>
        <v/>
      </c>
      <c r="GB81" s="13" t="str">
        <f t="shared" si="619"/>
        <v/>
      </c>
      <c r="GC81" s="13" t="str">
        <f t="shared" si="620"/>
        <v/>
      </c>
      <c r="GD81" s="13" t="str">
        <f t="shared" si="621"/>
        <v/>
      </c>
      <c r="GE81" s="13" t="str">
        <f t="shared" si="622"/>
        <v/>
      </c>
      <c r="GF81" s="13" t="str">
        <f t="shared" si="623"/>
        <v/>
      </c>
      <c r="GG81" s="13" t="str">
        <f t="shared" si="624"/>
        <v/>
      </c>
      <c r="GH81" s="13" t="str">
        <f t="shared" si="625"/>
        <v/>
      </c>
      <c r="GI81" s="13" t="str">
        <f t="shared" si="626"/>
        <v/>
      </c>
      <c r="GJ81" s="13" t="str">
        <f t="shared" si="627"/>
        <v/>
      </c>
      <c r="GK81" s="13" t="str">
        <f t="shared" si="628"/>
        <v/>
      </c>
      <c r="GL81" s="13" t="str">
        <f t="shared" si="629"/>
        <v/>
      </c>
      <c r="GM81" s="13" t="str">
        <f t="shared" si="630"/>
        <v/>
      </c>
      <c r="GN81" s="13" t="str">
        <f t="shared" si="631"/>
        <v/>
      </c>
      <c r="GO81" s="13" t="str">
        <f t="shared" si="632"/>
        <v/>
      </c>
      <c r="GP81" s="13" t="str">
        <f t="shared" si="633"/>
        <v/>
      </c>
      <c r="GQ81" s="13" t="str">
        <f t="shared" si="634"/>
        <v/>
      </c>
      <c r="GR81" s="13" t="str">
        <f t="shared" si="635"/>
        <v/>
      </c>
      <c r="GS81" s="13" t="str">
        <f t="shared" si="636"/>
        <v/>
      </c>
      <c r="GT81" s="13" t="str">
        <f t="shared" si="637"/>
        <v/>
      </c>
      <c r="GU81" s="13" t="str">
        <f t="shared" si="638"/>
        <v/>
      </c>
      <c r="GV81" s="13" t="str">
        <f t="shared" si="639"/>
        <v/>
      </c>
      <c r="GW81" s="13" t="str">
        <f t="shared" si="640"/>
        <v/>
      </c>
      <c r="GX81" s="13" t="str">
        <f t="shared" si="641"/>
        <v/>
      </c>
      <c r="GY81" s="13" t="str">
        <f t="shared" si="642"/>
        <v/>
      </c>
      <c r="GZ81" s="13" t="str">
        <f t="shared" si="643"/>
        <v/>
      </c>
      <c r="HA81" s="13" t="str">
        <f t="shared" si="644"/>
        <v/>
      </c>
      <c r="HB81" s="13" t="str">
        <f t="shared" si="645"/>
        <v/>
      </c>
      <c r="HC81" s="13" t="str">
        <f t="shared" si="646"/>
        <v/>
      </c>
      <c r="HD81" s="13" t="str">
        <f t="shared" si="647"/>
        <v/>
      </c>
      <c r="HE81" s="13" t="str">
        <f t="shared" si="648"/>
        <v/>
      </c>
      <c r="HF81" s="13" t="str">
        <f t="shared" si="649"/>
        <v/>
      </c>
      <c r="HG81" s="13" t="str">
        <f t="shared" si="650"/>
        <v/>
      </c>
      <c r="HH81" s="13" t="str">
        <f t="shared" si="651"/>
        <v/>
      </c>
      <c r="HJ81" s="114" t="str">
        <f t="shared" si="652"/>
        <v/>
      </c>
    </row>
    <row r="82" spans="3:218" s="119" customFormat="1" ht="45" customHeight="1">
      <c r="C82" s="121">
        <f t="shared" si="653"/>
        <v>5</v>
      </c>
      <c r="D82" s="161"/>
      <c r="E82" s="195" t="s">
        <v>265</v>
      </c>
      <c r="F82" s="196"/>
      <c r="G82" s="197"/>
      <c r="H82" s="74" t="s">
        <v>173</v>
      </c>
      <c r="I82" s="190"/>
      <c r="J82" s="191"/>
      <c r="K82" s="43"/>
      <c r="L82" s="67"/>
      <c r="M82" s="65"/>
      <c r="N82" s="65"/>
      <c r="O82" s="66"/>
      <c r="Q82" s="52"/>
      <c r="R82" s="52"/>
      <c r="S82" s="52"/>
      <c r="T82" s="52"/>
      <c r="U82" s="52"/>
      <c r="V82" s="52"/>
      <c r="W82" s="52"/>
      <c r="X82" s="52"/>
      <c r="Y82" s="52"/>
      <c r="Z82" s="52"/>
      <c r="AA82" s="52"/>
      <c r="AB82" s="52"/>
      <c r="AC82" s="52"/>
      <c r="AD82" s="52"/>
      <c r="AE82" s="52"/>
      <c r="AF82" s="52"/>
      <c r="AG82" s="52"/>
      <c r="AH82" s="52"/>
      <c r="AI82" s="52"/>
      <c r="AJ82" s="52"/>
      <c r="AK82" s="52"/>
      <c r="AL82" s="52"/>
      <c r="AM82" s="52"/>
      <c r="AN82" s="52"/>
      <c r="AO82" s="52"/>
      <c r="AP82" s="52"/>
      <c r="AQ82" s="52"/>
      <c r="AR82" s="52"/>
      <c r="AS82" s="52"/>
      <c r="AT82" s="52"/>
      <c r="AU82" s="52"/>
      <c r="AV82" s="52"/>
      <c r="AX82" s="13"/>
      <c r="AY82" s="13"/>
      <c r="AZ82" s="13"/>
      <c r="BA82" s="13"/>
      <c r="BB82" s="13"/>
      <c r="BC82" s="13"/>
      <c r="BD82" s="13"/>
      <c r="BE82" s="13"/>
      <c r="BF82" s="13"/>
      <c r="BG82" s="13"/>
      <c r="BH82" s="13"/>
      <c r="BI82" s="13"/>
      <c r="BJ82" s="13"/>
      <c r="BK82" s="13"/>
      <c r="BL82" s="13"/>
      <c r="BM82" s="13"/>
      <c r="BN82" s="13"/>
      <c r="BO82" s="13"/>
      <c r="BP82" s="13"/>
      <c r="BQ82" s="13"/>
      <c r="BR82" s="13"/>
      <c r="BS82" s="13"/>
      <c r="BT82" s="13"/>
      <c r="BU82" s="13"/>
      <c r="BV82" s="13"/>
      <c r="BW82" s="13"/>
      <c r="BX82" s="13"/>
      <c r="BY82" s="13"/>
      <c r="BZ82" s="13"/>
      <c r="CA82" s="13"/>
      <c r="CB82" s="13"/>
      <c r="CC82" s="13"/>
      <c r="CD82" s="13"/>
      <c r="CE82" s="13"/>
      <c r="CF82" s="13"/>
      <c r="CG82" s="13"/>
      <c r="CH82" s="13"/>
      <c r="CI82" s="13"/>
      <c r="CJ82" s="13"/>
      <c r="CK82" s="13"/>
      <c r="CL82" s="13"/>
      <c r="CM82" s="13"/>
      <c r="CN82" s="13"/>
      <c r="CO82" s="13"/>
      <c r="CP82" s="13"/>
      <c r="CQ82" s="13"/>
      <c r="CR82" s="13"/>
      <c r="CS82" s="13"/>
      <c r="CT82" s="13"/>
      <c r="CU82" s="13"/>
      <c r="CV82" s="13"/>
      <c r="CW82" s="13"/>
      <c r="CX82" s="13"/>
      <c r="CY82" s="13"/>
      <c r="CZ82" s="13"/>
      <c r="DA82" s="112" t="e">
        <f t="shared" si="596"/>
        <v>#N/A</v>
      </c>
      <c r="DB82" s="13"/>
      <c r="DC82" s="13"/>
      <c r="DD82" s="13"/>
      <c r="DE82" s="13"/>
      <c r="DF82" s="13"/>
      <c r="DG82" s="13"/>
      <c r="DH82" s="13"/>
      <c r="DI82" s="13"/>
      <c r="DJ82" s="13"/>
      <c r="DK82" s="13"/>
      <c r="DL82" s="13"/>
      <c r="DM82" s="13"/>
      <c r="DN82" s="13"/>
      <c r="DO82" s="13"/>
      <c r="DP82" s="13"/>
      <c r="DQ82" s="13"/>
      <c r="DR82" s="13"/>
      <c r="DS82" s="13"/>
      <c r="DT82" s="13"/>
      <c r="DU82" s="13"/>
      <c r="DV82" s="13"/>
      <c r="DW82" s="13"/>
      <c r="DX82" s="13"/>
      <c r="DY82" s="13"/>
      <c r="DZ82" s="13"/>
      <c r="EA82" s="13"/>
      <c r="EB82" s="13"/>
      <c r="EC82" s="13"/>
      <c r="ED82" s="13"/>
      <c r="EE82" s="13"/>
      <c r="EF82" s="13"/>
      <c r="EG82" s="13"/>
      <c r="EH82" s="13"/>
      <c r="EI82" s="13"/>
      <c r="EJ82" s="13"/>
      <c r="EK82" s="13"/>
      <c r="EL82" s="13"/>
      <c r="EM82" s="13"/>
      <c r="EN82" s="13"/>
      <c r="EO82" s="13"/>
      <c r="EP82" s="13"/>
      <c r="EQ82" s="13"/>
      <c r="ER82" s="13"/>
      <c r="ES82" s="13"/>
      <c r="ET82" s="13"/>
      <c r="EU82" s="13"/>
      <c r="EV82" s="13"/>
      <c r="EW82" s="13"/>
      <c r="EX82" s="13"/>
      <c r="EY82" s="13"/>
      <c r="EZ82" s="13"/>
      <c r="FA82" s="13"/>
      <c r="FB82" s="13"/>
      <c r="FC82" s="13"/>
      <c r="FD82" s="13"/>
      <c r="FF82" s="13" t="str">
        <f t="shared" si="597"/>
        <v/>
      </c>
      <c r="FG82" s="13" t="str">
        <f t="shared" si="598"/>
        <v/>
      </c>
      <c r="FH82" s="13" t="str">
        <f t="shared" si="599"/>
        <v/>
      </c>
      <c r="FI82" s="13" t="str">
        <f t="shared" si="600"/>
        <v/>
      </c>
      <c r="FJ82" s="13" t="str">
        <f t="shared" si="601"/>
        <v/>
      </c>
      <c r="FK82" s="13" t="str">
        <f t="shared" si="602"/>
        <v/>
      </c>
      <c r="FL82" s="13" t="str">
        <f t="shared" si="603"/>
        <v/>
      </c>
      <c r="FM82" s="13" t="str">
        <f t="shared" si="604"/>
        <v/>
      </c>
      <c r="FN82" s="13" t="str">
        <f t="shared" si="605"/>
        <v/>
      </c>
      <c r="FO82" s="13" t="str">
        <f t="shared" si="606"/>
        <v/>
      </c>
      <c r="FP82" s="13" t="str">
        <f t="shared" si="607"/>
        <v/>
      </c>
      <c r="FQ82" s="13" t="str">
        <f t="shared" si="608"/>
        <v/>
      </c>
      <c r="FR82" s="13" t="str">
        <f t="shared" si="609"/>
        <v/>
      </c>
      <c r="FS82" s="13" t="str">
        <f t="shared" si="610"/>
        <v/>
      </c>
      <c r="FT82" s="13" t="str">
        <f t="shared" si="611"/>
        <v/>
      </c>
      <c r="FU82" s="13" t="str">
        <f t="shared" si="612"/>
        <v/>
      </c>
      <c r="FV82" s="13" t="str">
        <f t="shared" si="613"/>
        <v/>
      </c>
      <c r="FW82" s="13" t="str">
        <f t="shared" si="614"/>
        <v/>
      </c>
      <c r="FX82" s="13" t="str">
        <f t="shared" si="615"/>
        <v/>
      </c>
      <c r="FY82" s="13" t="str">
        <f t="shared" si="616"/>
        <v/>
      </c>
      <c r="FZ82" s="13" t="str">
        <f t="shared" si="617"/>
        <v/>
      </c>
      <c r="GA82" s="13" t="str">
        <f t="shared" si="618"/>
        <v/>
      </c>
      <c r="GB82" s="13" t="str">
        <f t="shared" si="619"/>
        <v/>
      </c>
      <c r="GC82" s="13" t="str">
        <f t="shared" si="620"/>
        <v/>
      </c>
      <c r="GD82" s="13" t="str">
        <f t="shared" si="621"/>
        <v/>
      </c>
      <c r="GE82" s="13" t="str">
        <f t="shared" si="622"/>
        <v/>
      </c>
      <c r="GF82" s="13" t="str">
        <f t="shared" si="623"/>
        <v/>
      </c>
      <c r="GG82" s="13" t="str">
        <f t="shared" si="624"/>
        <v/>
      </c>
      <c r="GH82" s="13" t="str">
        <f t="shared" si="625"/>
        <v/>
      </c>
      <c r="GI82" s="13" t="str">
        <f t="shared" si="626"/>
        <v/>
      </c>
      <c r="GJ82" s="13" t="str">
        <f t="shared" si="627"/>
        <v/>
      </c>
      <c r="GK82" s="13" t="str">
        <f t="shared" si="628"/>
        <v/>
      </c>
      <c r="GL82" s="13" t="str">
        <f t="shared" si="629"/>
        <v/>
      </c>
      <c r="GM82" s="13" t="str">
        <f t="shared" si="630"/>
        <v/>
      </c>
      <c r="GN82" s="13" t="str">
        <f t="shared" si="631"/>
        <v/>
      </c>
      <c r="GO82" s="13" t="str">
        <f t="shared" si="632"/>
        <v/>
      </c>
      <c r="GP82" s="13" t="str">
        <f t="shared" si="633"/>
        <v/>
      </c>
      <c r="GQ82" s="13" t="str">
        <f t="shared" si="634"/>
        <v/>
      </c>
      <c r="GR82" s="13" t="str">
        <f t="shared" si="635"/>
        <v/>
      </c>
      <c r="GS82" s="13" t="str">
        <f t="shared" si="636"/>
        <v/>
      </c>
      <c r="GT82" s="13" t="str">
        <f t="shared" si="637"/>
        <v/>
      </c>
      <c r="GU82" s="13" t="str">
        <f t="shared" si="638"/>
        <v/>
      </c>
      <c r="GV82" s="13" t="str">
        <f t="shared" si="639"/>
        <v/>
      </c>
      <c r="GW82" s="13" t="str">
        <f t="shared" si="640"/>
        <v/>
      </c>
      <c r="GX82" s="13" t="str">
        <f t="shared" si="641"/>
        <v/>
      </c>
      <c r="GY82" s="13" t="str">
        <f t="shared" si="642"/>
        <v/>
      </c>
      <c r="GZ82" s="13" t="str">
        <f t="shared" si="643"/>
        <v/>
      </c>
      <c r="HA82" s="13" t="str">
        <f t="shared" si="644"/>
        <v/>
      </c>
      <c r="HB82" s="13" t="str">
        <f t="shared" si="645"/>
        <v/>
      </c>
      <c r="HC82" s="13" t="str">
        <f t="shared" si="646"/>
        <v/>
      </c>
      <c r="HD82" s="13" t="str">
        <f t="shared" si="647"/>
        <v/>
      </c>
      <c r="HE82" s="13" t="str">
        <f t="shared" si="648"/>
        <v/>
      </c>
      <c r="HF82" s="13" t="str">
        <f t="shared" si="649"/>
        <v/>
      </c>
      <c r="HG82" s="13" t="str">
        <f t="shared" si="650"/>
        <v/>
      </c>
      <c r="HH82" s="13" t="str">
        <f t="shared" si="651"/>
        <v/>
      </c>
      <c r="HJ82" s="114" t="str">
        <f t="shared" si="652"/>
        <v/>
      </c>
    </row>
    <row r="83" spans="3:218" s="119" customFormat="1" ht="54.95" customHeight="1">
      <c r="C83" s="121">
        <f t="shared" si="653"/>
        <v>6</v>
      </c>
      <c r="D83" s="161"/>
      <c r="E83" s="195" t="s">
        <v>266</v>
      </c>
      <c r="F83" s="196"/>
      <c r="G83" s="197"/>
      <c r="H83" s="74" t="s">
        <v>173</v>
      </c>
      <c r="I83" s="190"/>
      <c r="J83" s="191"/>
      <c r="K83" s="43"/>
      <c r="L83" s="67"/>
      <c r="M83" s="65"/>
      <c r="N83" s="65"/>
      <c r="O83" s="66"/>
      <c r="Q83" s="52"/>
      <c r="R83" s="52"/>
      <c r="S83" s="52"/>
      <c r="T83" s="52"/>
      <c r="U83" s="52"/>
      <c r="V83" s="52"/>
      <c r="W83" s="52"/>
      <c r="X83" s="52"/>
      <c r="Y83" s="52"/>
      <c r="Z83" s="52"/>
      <c r="AA83" s="52"/>
      <c r="AB83" s="52"/>
      <c r="AC83" s="52"/>
      <c r="AD83" s="52"/>
      <c r="AE83" s="52"/>
      <c r="AF83" s="52"/>
      <c r="AG83" s="52"/>
      <c r="AH83" s="52"/>
      <c r="AI83" s="52"/>
      <c r="AJ83" s="52"/>
      <c r="AK83" s="52"/>
      <c r="AL83" s="52"/>
      <c r="AM83" s="52"/>
      <c r="AN83" s="52"/>
      <c r="AO83" s="52"/>
      <c r="AP83" s="52"/>
      <c r="AQ83" s="52"/>
      <c r="AR83" s="52"/>
      <c r="AS83" s="52"/>
      <c r="AT83" s="52"/>
      <c r="AU83" s="52"/>
      <c r="AV83" s="52"/>
      <c r="AX83" s="13"/>
      <c r="AY83" s="13"/>
      <c r="AZ83" s="13"/>
      <c r="BA83" s="13"/>
      <c r="BB83" s="13"/>
      <c r="BC83" s="13"/>
      <c r="BD83" s="13"/>
      <c r="BE83" s="13"/>
      <c r="BF83" s="13"/>
      <c r="BG83" s="13"/>
      <c r="BH83" s="13"/>
      <c r="BI83" s="13"/>
      <c r="BJ83" s="13"/>
      <c r="BK83" s="13"/>
      <c r="BL83" s="13"/>
      <c r="BM83" s="13"/>
      <c r="BN83" s="13"/>
      <c r="BO83" s="13"/>
      <c r="BP83" s="13"/>
      <c r="BQ83" s="13"/>
      <c r="BR83" s="13"/>
      <c r="BS83" s="13"/>
      <c r="BT83" s="13"/>
      <c r="BU83" s="13"/>
      <c r="BV83" s="13"/>
      <c r="BW83" s="13"/>
      <c r="BX83" s="13"/>
      <c r="BY83" s="13"/>
      <c r="BZ83" s="13"/>
      <c r="CA83" s="13"/>
      <c r="CB83" s="13"/>
      <c r="CC83" s="13"/>
      <c r="CD83" s="13"/>
      <c r="CE83" s="13"/>
      <c r="CF83" s="13"/>
      <c r="CG83" s="13"/>
      <c r="CH83" s="13"/>
      <c r="CI83" s="13"/>
      <c r="CJ83" s="13"/>
      <c r="CK83" s="13"/>
      <c r="CL83" s="13"/>
      <c r="CM83" s="13"/>
      <c r="CN83" s="13"/>
      <c r="CO83" s="13"/>
      <c r="CP83" s="13"/>
      <c r="CQ83" s="13"/>
      <c r="CR83" s="13"/>
      <c r="CS83" s="13"/>
      <c r="CT83" s="13"/>
      <c r="CU83" s="13"/>
      <c r="CV83" s="13"/>
      <c r="CW83" s="13"/>
      <c r="CX83" s="13"/>
      <c r="CY83" s="13"/>
      <c r="CZ83" s="13"/>
      <c r="DA83" s="112" t="e">
        <f t="shared" si="596"/>
        <v>#N/A</v>
      </c>
      <c r="DB83" s="13"/>
      <c r="DC83" s="13"/>
      <c r="DD83" s="13"/>
      <c r="DE83" s="13"/>
      <c r="DF83" s="13"/>
      <c r="DG83" s="13"/>
      <c r="DH83" s="13"/>
      <c r="DI83" s="13"/>
      <c r="DJ83" s="13"/>
      <c r="DK83" s="13"/>
      <c r="DL83" s="13"/>
      <c r="DM83" s="13"/>
      <c r="DN83" s="13"/>
      <c r="DO83" s="13"/>
      <c r="DP83" s="13"/>
      <c r="DQ83" s="13"/>
      <c r="DR83" s="13"/>
      <c r="DS83" s="13"/>
      <c r="DT83" s="13"/>
      <c r="DU83" s="13"/>
      <c r="DV83" s="13"/>
      <c r="DW83" s="13"/>
      <c r="DX83" s="13"/>
      <c r="DY83" s="13"/>
      <c r="DZ83" s="13"/>
      <c r="EA83" s="13"/>
      <c r="EB83" s="13"/>
      <c r="EC83" s="13"/>
      <c r="ED83" s="13"/>
      <c r="EE83" s="13"/>
      <c r="EF83" s="13"/>
      <c r="EG83" s="13"/>
      <c r="EH83" s="13"/>
      <c r="EI83" s="13"/>
      <c r="EJ83" s="13"/>
      <c r="EK83" s="13"/>
      <c r="EL83" s="13"/>
      <c r="EM83" s="13"/>
      <c r="EN83" s="13"/>
      <c r="EO83" s="13"/>
      <c r="EP83" s="13"/>
      <c r="EQ83" s="13"/>
      <c r="ER83" s="13"/>
      <c r="ES83" s="13"/>
      <c r="ET83" s="13"/>
      <c r="EU83" s="13"/>
      <c r="EV83" s="13"/>
      <c r="EW83" s="13"/>
      <c r="EX83" s="13"/>
      <c r="EY83" s="13"/>
      <c r="EZ83" s="13"/>
      <c r="FA83" s="13"/>
      <c r="FB83" s="13"/>
      <c r="FC83" s="13"/>
      <c r="FD83" s="13"/>
      <c r="FF83" s="13" t="str">
        <f t="shared" si="597"/>
        <v/>
      </c>
      <c r="FG83" s="13" t="str">
        <f t="shared" si="598"/>
        <v/>
      </c>
      <c r="FH83" s="13" t="str">
        <f t="shared" si="599"/>
        <v/>
      </c>
      <c r="FI83" s="13" t="str">
        <f t="shared" si="600"/>
        <v/>
      </c>
      <c r="FJ83" s="13" t="str">
        <f t="shared" si="601"/>
        <v/>
      </c>
      <c r="FK83" s="13" t="str">
        <f t="shared" si="602"/>
        <v/>
      </c>
      <c r="FL83" s="13" t="str">
        <f t="shared" si="603"/>
        <v/>
      </c>
      <c r="FM83" s="13" t="str">
        <f t="shared" si="604"/>
        <v/>
      </c>
      <c r="FN83" s="13" t="str">
        <f t="shared" si="605"/>
        <v/>
      </c>
      <c r="FO83" s="13" t="str">
        <f t="shared" si="606"/>
        <v/>
      </c>
      <c r="FP83" s="13" t="str">
        <f t="shared" si="607"/>
        <v/>
      </c>
      <c r="FQ83" s="13" t="str">
        <f t="shared" si="608"/>
        <v/>
      </c>
      <c r="FR83" s="13" t="str">
        <f t="shared" si="609"/>
        <v/>
      </c>
      <c r="FS83" s="13" t="str">
        <f t="shared" si="610"/>
        <v/>
      </c>
      <c r="FT83" s="13" t="str">
        <f t="shared" si="611"/>
        <v/>
      </c>
      <c r="FU83" s="13" t="str">
        <f t="shared" si="612"/>
        <v/>
      </c>
      <c r="FV83" s="13" t="str">
        <f t="shared" si="613"/>
        <v/>
      </c>
      <c r="FW83" s="13" t="str">
        <f t="shared" si="614"/>
        <v/>
      </c>
      <c r="FX83" s="13" t="str">
        <f t="shared" si="615"/>
        <v/>
      </c>
      <c r="FY83" s="13" t="str">
        <f t="shared" si="616"/>
        <v/>
      </c>
      <c r="FZ83" s="13" t="str">
        <f t="shared" si="617"/>
        <v/>
      </c>
      <c r="GA83" s="13" t="str">
        <f t="shared" si="618"/>
        <v/>
      </c>
      <c r="GB83" s="13" t="str">
        <f t="shared" si="619"/>
        <v/>
      </c>
      <c r="GC83" s="13" t="str">
        <f t="shared" si="620"/>
        <v/>
      </c>
      <c r="GD83" s="13" t="str">
        <f t="shared" si="621"/>
        <v/>
      </c>
      <c r="GE83" s="13" t="str">
        <f t="shared" si="622"/>
        <v/>
      </c>
      <c r="GF83" s="13" t="str">
        <f t="shared" si="623"/>
        <v/>
      </c>
      <c r="GG83" s="13" t="str">
        <f t="shared" si="624"/>
        <v/>
      </c>
      <c r="GH83" s="13" t="str">
        <f t="shared" si="625"/>
        <v/>
      </c>
      <c r="GI83" s="13" t="str">
        <f t="shared" si="626"/>
        <v/>
      </c>
      <c r="GJ83" s="13" t="str">
        <f t="shared" si="627"/>
        <v/>
      </c>
      <c r="GK83" s="13" t="str">
        <f t="shared" si="628"/>
        <v/>
      </c>
      <c r="GL83" s="13" t="str">
        <f t="shared" si="629"/>
        <v/>
      </c>
      <c r="GM83" s="13" t="str">
        <f t="shared" si="630"/>
        <v/>
      </c>
      <c r="GN83" s="13" t="str">
        <f t="shared" si="631"/>
        <v/>
      </c>
      <c r="GO83" s="13" t="str">
        <f t="shared" si="632"/>
        <v/>
      </c>
      <c r="GP83" s="13" t="str">
        <f t="shared" si="633"/>
        <v/>
      </c>
      <c r="GQ83" s="13" t="str">
        <f t="shared" si="634"/>
        <v/>
      </c>
      <c r="GR83" s="13" t="str">
        <f t="shared" si="635"/>
        <v/>
      </c>
      <c r="GS83" s="13" t="str">
        <f t="shared" si="636"/>
        <v/>
      </c>
      <c r="GT83" s="13" t="str">
        <f t="shared" si="637"/>
        <v/>
      </c>
      <c r="GU83" s="13" t="str">
        <f t="shared" si="638"/>
        <v/>
      </c>
      <c r="GV83" s="13" t="str">
        <f t="shared" si="639"/>
        <v/>
      </c>
      <c r="GW83" s="13" t="str">
        <f t="shared" si="640"/>
        <v/>
      </c>
      <c r="GX83" s="13" t="str">
        <f t="shared" si="641"/>
        <v/>
      </c>
      <c r="GY83" s="13" t="str">
        <f t="shared" si="642"/>
        <v/>
      </c>
      <c r="GZ83" s="13" t="str">
        <f t="shared" si="643"/>
        <v/>
      </c>
      <c r="HA83" s="13" t="str">
        <f t="shared" si="644"/>
        <v/>
      </c>
      <c r="HB83" s="13" t="str">
        <f t="shared" si="645"/>
        <v/>
      </c>
      <c r="HC83" s="13" t="str">
        <f t="shared" si="646"/>
        <v/>
      </c>
      <c r="HD83" s="13" t="str">
        <f t="shared" si="647"/>
        <v/>
      </c>
      <c r="HE83" s="13" t="str">
        <f t="shared" si="648"/>
        <v/>
      </c>
      <c r="HF83" s="13" t="str">
        <f t="shared" si="649"/>
        <v/>
      </c>
      <c r="HG83" s="13" t="str">
        <f t="shared" si="650"/>
        <v/>
      </c>
      <c r="HH83" s="13" t="str">
        <f t="shared" si="651"/>
        <v/>
      </c>
      <c r="HJ83" s="114" t="str">
        <f t="shared" si="652"/>
        <v/>
      </c>
    </row>
    <row r="84" spans="3:218" s="119" customFormat="1" ht="54.95" customHeight="1">
      <c r="C84" s="121">
        <f t="shared" si="653"/>
        <v>7</v>
      </c>
      <c r="D84" s="161"/>
      <c r="E84" s="195" t="s">
        <v>267</v>
      </c>
      <c r="F84" s="196"/>
      <c r="G84" s="197"/>
      <c r="H84" s="74" t="s">
        <v>173</v>
      </c>
      <c r="I84" s="190"/>
      <c r="J84" s="191"/>
      <c r="K84" s="43"/>
      <c r="L84" s="67"/>
      <c r="M84" s="65"/>
      <c r="N84" s="65"/>
      <c r="O84" s="66"/>
      <c r="Q84" s="52"/>
      <c r="R84" s="52"/>
      <c r="S84" s="52"/>
      <c r="T84" s="52"/>
      <c r="U84" s="52"/>
      <c r="V84" s="52"/>
      <c r="W84" s="52"/>
      <c r="X84" s="52"/>
      <c r="Y84" s="52"/>
      <c r="Z84" s="52"/>
      <c r="AA84" s="52"/>
      <c r="AB84" s="52"/>
      <c r="AC84" s="52"/>
      <c r="AD84" s="52"/>
      <c r="AE84" s="52"/>
      <c r="AF84" s="52"/>
      <c r="AG84" s="52"/>
      <c r="AH84" s="52"/>
      <c r="AI84" s="52"/>
      <c r="AJ84" s="52"/>
      <c r="AK84" s="52"/>
      <c r="AL84" s="52"/>
      <c r="AM84" s="52"/>
      <c r="AN84" s="52"/>
      <c r="AO84" s="52"/>
      <c r="AP84" s="52"/>
      <c r="AQ84" s="52"/>
      <c r="AR84" s="52"/>
      <c r="AS84" s="52"/>
      <c r="AT84" s="52"/>
      <c r="AU84" s="52"/>
      <c r="AV84" s="52"/>
      <c r="AX84" s="13"/>
      <c r="AY84" s="13"/>
      <c r="AZ84" s="13"/>
      <c r="BA84" s="13"/>
      <c r="BB84" s="13"/>
      <c r="BC84" s="13"/>
      <c r="BD84" s="13"/>
      <c r="BE84" s="13"/>
      <c r="BF84" s="13"/>
      <c r="BG84" s="13"/>
      <c r="BH84" s="13"/>
      <c r="BI84" s="13"/>
      <c r="BJ84" s="13"/>
      <c r="BK84" s="13"/>
      <c r="BL84" s="13"/>
      <c r="BM84" s="13"/>
      <c r="BN84" s="13"/>
      <c r="BO84" s="13"/>
      <c r="BP84" s="13"/>
      <c r="BQ84" s="13"/>
      <c r="BR84" s="13"/>
      <c r="BS84" s="13"/>
      <c r="BT84" s="13"/>
      <c r="BU84" s="13"/>
      <c r="BV84" s="13"/>
      <c r="BW84" s="13"/>
      <c r="BX84" s="13"/>
      <c r="BY84" s="13"/>
      <c r="BZ84" s="13"/>
      <c r="CA84" s="13"/>
      <c r="CB84" s="13"/>
      <c r="CC84" s="13"/>
      <c r="CD84" s="13"/>
      <c r="CE84" s="13"/>
      <c r="CF84" s="13"/>
      <c r="CG84" s="13"/>
      <c r="CH84" s="13"/>
      <c r="CI84" s="13"/>
      <c r="CJ84" s="13"/>
      <c r="CK84" s="13"/>
      <c r="CL84" s="13"/>
      <c r="CM84" s="13"/>
      <c r="CN84" s="13"/>
      <c r="CO84" s="13"/>
      <c r="CP84" s="13"/>
      <c r="CQ84" s="13"/>
      <c r="CR84" s="13"/>
      <c r="CS84" s="13"/>
      <c r="CT84" s="13"/>
      <c r="CU84" s="13"/>
      <c r="CV84" s="13"/>
      <c r="CW84" s="13"/>
      <c r="CX84" s="13"/>
      <c r="CY84" s="13"/>
      <c r="CZ84" s="13"/>
      <c r="DA84" s="112" t="e">
        <f t="shared" si="596"/>
        <v>#N/A</v>
      </c>
      <c r="DB84" s="13"/>
      <c r="DC84" s="13"/>
      <c r="DD84" s="13"/>
      <c r="DE84" s="13"/>
      <c r="DF84" s="13"/>
      <c r="DG84" s="13"/>
      <c r="DH84" s="13"/>
      <c r="DI84" s="13"/>
      <c r="DJ84" s="13"/>
      <c r="DK84" s="13"/>
      <c r="DL84" s="13"/>
      <c r="DM84" s="13"/>
      <c r="DN84" s="13"/>
      <c r="DO84" s="13"/>
      <c r="DP84" s="13"/>
      <c r="DQ84" s="13"/>
      <c r="DR84" s="13"/>
      <c r="DS84" s="13"/>
      <c r="DT84" s="13"/>
      <c r="DU84" s="13"/>
      <c r="DV84" s="13"/>
      <c r="DW84" s="13"/>
      <c r="DX84" s="13"/>
      <c r="DY84" s="13"/>
      <c r="DZ84" s="13"/>
      <c r="EA84" s="13"/>
      <c r="EB84" s="13"/>
      <c r="EC84" s="13"/>
      <c r="ED84" s="13"/>
      <c r="EE84" s="13"/>
      <c r="EF84" s="13"/>
      <c r="EG84" s="13"/>
      <c r="EH84" s="13"/>
      <c r="EI84" s="13"/>
      <c r="EJ84" s="13"/>
      <c r="EK84" s="13"/>
      <c r="EL84" s="13"/>
      <c r="EM84" s="13"/>
      <c r="EN84" s="13"/>
      <c r="EO84" s="13"/>
      <c r="EP84" s="13"/>
      <c r="EQ84" s="13"/>
      <c r="ER84" s="13"/>
      <c r="ES84" s="13"/>
      <c r="ET84" s="13"/>
      <c r="EU84" s="13"/>
      <c r="EV84" s="13"/>
      <c r="EW84" s="13"/>
      <c r="EX84" s="13"/>
      <c r="EY84" s="13"/>
      <c r="EZ84" s="13"/>
      <c r="FA84" s="13"/>
      <c r="FB84" s="13"/>
      <c r="FC84" s="13"/>
      <c r="FD84" s="13"/>
      <c r="FF84" s="13" t="str">
        <f t="shared" si="597"/>
        <v/>
      </c>
      <c r="FG84" s="13" t="str">
        <f t="shared" si="598"/>
        <v/>
      </c>
      <c r="FH84" s="13" t="str">
        <f t="shared" si="599"/>
        <v/>
      </c>
      <c r="FI84" s="13" t="str">
        <f t="shared" si="600"/>
        <v/>
      </c>
      <c r="FJ84" s="13" t="str">
        <f t="shared" si="601"/>
        <v/>
      </c>
      <c r="FK84" s="13" t="str">
        <f t="shared" si="602"/>
        <v/>
      </c>
      <c r="FL84" s="13" t="str">
        <f t="shared" si="603"/>
        <v/>
      </c>
      <c r="FM84" s="13" t="str">
        <f t="shared" si="604"/>
        <v/>
      </c>
      <c r="FN84" s="13" t="str">
        <f t="shared" si="605"/>
        <v/>
      </c>
      <c r="FO84" s="13" t="str">
        <f t="shared" si="606"/>
        <v/>
      </c>
      <c r="FP84" s="13" t="str">
        <f t="shared" si="607"/>
        <v/>
      </c>
      <c r="FQ84" s="13" t="str">
        <f t="shared" si="608"/>
        <v/>
      </c>
      <c r="FR84" s="13" t="str">
        <f t="shared" si="609"/>
        <v/>
      </c>
      <c r="FS84" s="13" t="str">
        <f t="shared" si="610"/>
        <v/>
      </c>
      <c r="FT84" s="13" t="str">
        <f t="shared" si="611"/>
        <v/>
      </c>
      <c r="FU84" s="13" t="str">
        <f t="shared" si="612"/>
        <v/>
      </c>
      <c r="FV84" s="13" t="str">
        <f t="shared" si="613"/>
        <v/>
      </c>
      <c r="FW84" s="13" t="str">
        <f t="shared" si="614"/>
        <v/>
      </c>
      <c r="FX84" s="13" t="str">
        <f t="shared" si="615"/>
        <v/>
      </c>
      <c r="FY84" s="13" t="str">
        <f t="shared" si="616"/>
        <v/>
      </c>
      <c r="FZ84" s="13" t="str">
        <f t="shared" si="617"/>
        <v/>
      </c>
      <c r="GA84" s="13" t="str">
        <f t="shared" si="618"/>
        <v/>
      </c>
      <c r="GB84" s="13" t="str">
        <f t="shared" si="619"/>
        <v/>
      </c>
      <c r="GC84" s="13" t="str">
        <f t="shared" si="620"/>
        <v/>
      </c>
      <c r="GD84" s="13" t="str">
        <f t="shared" si="621"/>
        <v/>
      </c>
      <c r="GE84" s="13" t="str">
        <f t="shared" si="622"/>
        <v/>
      </c>
      <c r="GF84" s="13" t="str">
        <f t="shared" si="623"/>
        <v/>
      </c>
      <c r="GG84" s="13" t="str">
        <f t="shared" si="624"/>
        <v/>
      </c>
      <c r="GH84" s="13" t="str">
        <f t="shared" si="625"/>
        <v/>
      </c>
      <c r="GI84" s="13" t="str">
        <f t="shared" si="626"/>
        <v/>
      </c>
      <c r="GJ84" s="13" t="str">
        <f t="shared" si="627"/>
        <v/>
      </c>
      <c r="GK84" s="13" t="str">
        <f t="shared" si="628"/>
        <v/>
      </c>
      <c r="GL84" s="13" t="str">
        <f t="shared" si="629"/>
        <v/>
      </c>
      <c r="GM84" s="13" t="str">
        <f t="shared" si="630"/>
        <v/>
      </c>
      <c r="GN84" s="13" t="str">
        <f t="shared" si="631"/>
        <v/>
      </c>
      <c r="GO84" s="13" t="str">
        <f t="shared" si="632"/>
        <v/>
      </c>
      <c r="GP84" s="13" t="str">
        <f t="shared" si="633"/>
        <v/>
      </c>
      <c r="GQ84" s="13" t="str">
        <f t="shared" si="634"/>
        <v/>
      </c>
      <c r="GR84" s="13" t="str">
        <f t="shared" si="635"/>
        <v/>
      </c>
      <c r="GS84" s="13" t="str">
        <f t="shared" si="636"/>
        <v/>
      </c>
      <c r="GT84" s="13" t="str">
        <f t="shared" si="637"/>
        <v/>
      </c>
      <c r="GU84" s="13" t="str">
        <f t="shared" si="638"/>
        <v/>
      </c>
      <c r="GV84" s="13" t="str">
        <f t="shared" si="639"/>
        <v/>
      </c>
      <c r="GW84" s="13" t="str">
        <f t="shared" si="640"/>
        <v/>
      </c>
      <c r="GX84" s="13" t="str">
        <f t="shared" si="641"/>
        <v/>
      </c>
      <c r="GY84" s="13" t="str">
        <f t="shared" si="642"/>
        <v/>
      </c>
      <c r="GZ84" s="13" t="str">
        <f t="shared" si="643"/>
        <v/>
      </c>
      <c r="HA84" s="13" t="str">
        <f t="shared" si="644"/>
        <v/>
      </c>
      <c r="HB84" s="13" t="str">
        <f t="shared" si="645"/>
        <v/>
      </c>
      <c r="HC84" s="13" t="str">
        <f t="shared" si="646"/>
        <v/>
      </c>
      <c r="HD84" s="13" t="str">
        <f t="shared" si="647"/>
        <v/>
      </c>
      <c r="HE84" s="13" t="str">
        <f t="shared" si="648"/>
        <v/>
      </c>
      <c r="HF84" s="13" t="str">
        <f t="shared" si="649"/>
        <v/>
      </c>
      <c r="HG84" s="13" t="str">
        <f t="shared" si="650"/>
        <v/>
      </c>
      <c r="HH84" s="13" t="str">
        <f t="shared" si="651"/>
        <v/>
      </c>
      <c r="HJ84" s="114" t="str">
        <f t="shared" si="652"/>
        <v/>
      </c>
    </row>
    <row r="85" spans="3:218" s="119" customFormat="1" ht="45" customHeight="1">
      <c r="C85" s="122">
        <f t="shared" si="653"/>
        <v>8</v>
      </c>
      <c r="D85" s="162"/>
      <c r="E85" s="195" t="s">
        <v>268</v>
      </c>
      <c r="F85" s="196"/>
      <c r="G85" s="197"/>
      <c r="H85" s="74" t="s">
        <v>173</v>
      </c>
      <c r="I85" s="190"/>
      <c r="J85" s="191"/>
      <c r="K85" s="43"/>
      <c r="L85" s="67"/>
      <c r="M85" s="65"/>
      <c r="N85" s="65"/>
      <c r="O85" s="66"/>
      <c r="Q85" s="52"/>
      <c r="R85" s="52"/>
      <c r="S85" s="52"/>
      <c r="T85" s="52"/>
      <c r="U85" s="52"/>
      <c r="V85" s="52"/>
      <c r="W85" s="52"/>
      <c r="X85" s="52"/>
      <c r="Y85" s="52"/>
      <c r="Z85" s="52"/>
      <c r="AA85" s="52"/>
      <c r="AB85" s="52"/>
      <c r="AC85" s="52"/>
      <c r="AD85" s="52"/>
      <c r="AE85" s="52"/>
      <c r="AF85" s="52"/>
      <c r="AG85" s="52"/>
      <c r="AH85" s="52"/>
      <c r="AI85" s="52"/>
      <c r="AJ85" s="52"/>
      <c r="AK85" s="52"/>
      <c r="AL85" s="52"/>
      <c r="AM85" s="52"/>
      <c r="AN85" s="52"/>
      <c r="AO85" s="52"/>
      <c r="AP85" s="52"/>
      <c r="AQ85" s="52"/>
      <c r="AR85" s="52"/>
      <c r="AS85" s="52"/>
      <c r="AT85" s="52"/>
      <c r="AU85" s="52"/>
      <c r="AV85" s="52"/>
      <c r="AX85" s="13"/>
      <c r="AY85" s="13"/>
      <c r="AZ85" s="13"/>
      <c r="BA85" s="13"/>
      <c r="BB85" s="13"/>
      <c r="BC85" s="13"/>
      <c r="BD85" s="13"/>
      <c r="BE85" s="13"/>
      <c r="BF85" s="13"/>
      <c r="BG85" s="13"/>
      <c r="BH85" s="13"/>
      <c r="BI85" s="13"/>
      <c r="BJ85" s="13"/>
      <c r="BK85" s="13"/>
      <c r="BL85" s="13"/>
      <c r="BM85" s="13"/>
      <c r="BN85" s="13"/>
      <c r="BO85" s="13"/>
      <c r="BP85" s="13"/>
      <c r="BQ85" s="13"/>
      <c r="BR85" s="13"/>
      <c r="BS85" s="13"/>
      <c r="BT85" s="13"/>
      <c r="BU85" s="13"/>
      <c r="BV85" s="13"/>
      <c r="BW85" s="13"/>
      <c r="BX85" s="13"/>
      <c r="BY85" s="13"/>
      <c r="BZ85" s="13"/>
      <c r="CA85" s="13"/>
      <c r="CB85" s="13"/>
      <c r="CC85" s="13"/>
      <c r="CD85" s="13"/>
      <c r="CE85" s="13"/>
      <c r="CF85" s="13"/>
      <c r="CG85" s="13"/>
      <c r="CH85" s="13"/>
      <c r="CI85" s="13"/>
      <c r="CJ85" s="13"/>
      <c r="CK85" s="13"/>
      <c r="CL85" s="13"/>
      <c r="CM85" s="13"/>
      <c r="CN85" s="13"/>
      <c r="CO85" s="13"/>
      <c r="CP85" s="13"/>
      <c r="CQ85" s="13"/>
      <c r="CR85" s="13"/>
      <c r="CS85" s="13"/>
      <c r="CT85" s="13"/>
      <c r="CU85" s="13"/>
      <c r="CV85" s="13"/>
      <c r="CW85" s="13"/>
      <c r="CX85" s="13"/>
      <c r="CY85" s="13"/>
      <c r="CZ85" s="13"/>
      <c r="DA85" s="112" t="e">
        <f t="shared" si="596"/>
        <v>#N/A</v>
      </c>
      <c r="DB85" s="13"/>
      <c r="DC85" s="13"/>
      <c r="DD85" s="13"/>
      <c r="DE85" s="13"/>
      <c r="DF85" s="13"/>
      <c r="DG85" s="13"/>
      <c r="DH85" s="13"/>
      <c r="DI85" s="13"/>
      <c r="DJ85" s="13"/>
      <c r="DK85" s="13"/>
      <c r="DL85" s="13"/>
      <c r="DM85" s="13"/>
      <c r="DN85" s="13"/>
      <c r="DO85" s="13"/>
      <c r="DP85" s="13"/>
      <c r="DQ85" s="13"/>
      <c r="DR85" s="13"/>
      <c r="DS85" s="13"/>
      <c r="DT85" s="13"/>
      <c r="DU85" s="13"/>
      <c r="DV85" s="13"/>
      <c r="DW85" s="13"/>
      <c r="DX85" s="13"/>
      <c r="DY85" s="13"/>
      <c r="DZ85" s="13"/>
      <c r="EA85" s="13"/>
      <c r="EB85" s="13"/>
      <c r="EC85" s="13"/>
      <c r="ED85" s="13"/>
      <c r="EE85" s="13"/>
      <c r="EF85" s="13"/>
      <c r="EG85" s="13"/>
      <c r="EH85" s="13"/>
      <c r="EI85" s="13"/>
      <c r="EJ85" s="13"/>
      <c r="EK85" s="13"/>
      <c r="EL85" s="13"/>
      <c r="EM85" s="13"/>
      <c r="EN85" s="13"/>
      <c r="EO85" s="13"/>
      <c r="EP85" s="13"/>
      <c r="EQ85" s="13"/>
      <c r="ER85" s="13"/>
      <c r="ES85" s="13"/>
      <c r="ET85" s="13"/>
      <c r="EU85" s="13"/>
      <c r="EV85" s="13"/>
      <c r="EW85" s="13"/>
      <c r="EX85" s="13"/>
      <c r="EY85" s="13"/>
      <c r="EZ85" s="13"/>
      <c r="FA85" s="13"/>
      <c r="FB85" s="13"/>
      <c r="FC85" s="13"/>
      <c r="FD85" s="13"/>
      <c r="FF85" s="13" t="str">
        <f t="shared" si="597"/>
        <v/>
      </c>
      <c r="FG85" s="13" t="str">
        <f t="shared" si="598"/>
        <v/>
      </c>
      <c r="FH85" s="13" t="str">
        <f t="shared" si="599"/>
        <v/>
      </c>
      <c r="FI85" s="13" t="str">
        <f t="shared" si="600"/>
        <v/>
      </c>
      <c r="FJ85" s="13" t="str">
        <f t="shared" si="601"/>
        <v/>
      </c>
      <c r="FK85" s="13" t="str">
        <f t="shared" si="602"/>
        <v/>
      </c>
      <c r="FL85" s="13" t="str">
        <f t="shared" si="603"/>
        <v/>
      </c>
      <c r="FM85" s="13" t="str">
        <f t="shared" si="604"/>
        <v/>
      </c>
      <c r="FN85" s="13" t="str">
        <f t="shared" si="605"/>
        <v/>
      </c>
      <c r="FO85" s="13" t="str">
        <f t="shared" si="606"/>
        <v/>
      </c>
      <c r="FP85" s="13" t="str">
        <f t="shared" si="607"/>
        <v/>
      </c>
      <c r="FQ85" s="13" t="str">
        <f t="shared" si="608"/>
        <v/>
      </c>
      <c r="FR85" s="13" t="str">
        <f t="shared" si="609"/>
        <v/>
      </c>
      <c r="FS85" s="13" t="str">
        <f t="shared" si="610"/>
        <v/>
      </c>
      <c r="FT85" s="13" t="str">
        <f t="shared" si="611"/>
        <v/>
      </c>
      <c r="FU85" s="13" t="str">
        <f t="shared" si="612"/>
        <v/>
      </c>
      <c r="FV85" s="13" t="str">
        <f t="shared" si="613"/>
        <v/>
      </c>
      <c r="FW85" s="13" t="str">
        <f t="shared" si="614"/>
        <v/>
      </c>
      <c r="FX85" s="13" t="str">
        <f t="shared" si="615"/>
        <v/>
      </c>
      <c r="FY85" s="13" t="str">
        <f t="shared" si="616"/>
        <v/>
      </c>
      <c r="FZ85" s="13" t="str">
        <f t="shared" si="617"/>
        <v/>
      </c>
      <c r="GA85" s="13" t="str">
        <f t="shared" si="618"/>
        <v/>
      </c>
      <c r="GB85" s="13" t="str">
        <f t="shared" si="619"/>
        <v/>
      </c>
      <c r="GC85" s="13" t="str">
        <f t="shared" si="620"/>
        <v/>
      </c>
      <c r="GD85" s="13" t="str">
        <f t="shared" si="621"/>
        <v/>
      </c>
      <c r="GE85" s="13" t="str">
        <f t="shared" si="622"/>
        <v/>
      </c>
      <c r="GF85" s="13" t="str">
        <f t="shared" si="623"/>
        <v/>
      </c>
      <c r="GG85" s="13" t="str">
        <f t="shared" si="624"/>
        <v/>
      </c>
      <c r="GH85" s="13" t="str">
        <f t="shared" si="625"/>
        <v/>
      </c>
      <c r="GI85" s="13" t="str">
        <f t="shared" si="626"/>
        <v/>
      </c>
      <c r="GJ85" s="13" t="str">
        <f t="shared" si="627"/>
        <v/>
      </c>
      <c r="GK85" s="13" t="str">
        <f t="shared" si="628"/>
        <v/>
      </c>
      <c r="GL85" s="13" t="str">
        <f t="shared" si="629"/>
        <v/>
      </c>
      <c r="GM85" s="13" t="str">
        <f t="shared" si="630"/>
        <v/>
      </c>
      <c r="GN85" s="13" t="str">
        <f t="shared" si="631"/>
        <v/>
      </c>
      <c r="GO85" s="13" t="str">
        <f t="shared" si="632"/>
        <v/>
      </c>
      <c r="GP85" s="13" t="str">
        <f t="shared" si="633"/>
        <v/>
      </c>
      <c r="GQ85" s="13" t="str">
        <f t="shared" si="634"/>
        <v/>
      </c>
      <c r="GR85" s="13" t="str">
        <f t="shared" si="635"/>
        <v/>
      </c>
      <c r="GS85" s="13" t="str">
        <f t="shared" si="636"/>
        <v/>
      </c>
      <c r="GT85" s="13" t="str">
        <f t="shared" si="637"/>
        <v/>
      </c>
      <c r="GU85" s="13" t="str">
        <f t="shared" si="638"/>
        <v/>
      </c>
      <c r="GV85" s="13" t="str">
        <f t="shared" si="639"/>
        <v/>
      </c>
      <c r="GW85" s="13" t="str">
        <f t="shared" si="640"/>
        <v/>
      </c>
      <c r="GX85" s="13" t="str">
        <f t="shared" si="641"/>
        <v/>
      </c>
      <c r="GY85" s="13" t="str">
        <f t="shared" si="642"/>
        <v/>
      </c>
      <c r="GZ85" s="13" t="str">
        <f t="shared" si="643"/>
        <v/>
      </c>
      <c r="HA85" s="13" t="str">
        <f t="shared" si="644"/>
        <v/>
      </c>
      <c r="HB85" s="13" t="str">
        <f t="shared" si="645"/>
        <v/>
      </c>
      <c r="HC85" s="13" t="str">
        <f t="shared" si="646"/>
        <v/>
      </c>
      <c r="HD85" s="13" t="str">
        <f t="shared" si="647"/>
        <v/>
      </c>
      <c r="HE85" s="13" t="str">
        <f t="shared" si="648"/>
        <v/>
      </c>
      <c r="HF85" s="13" t="str">
        <f t="shared" si="649"/>
        <v/>
      </c>
      <c r="HG85" s="13" t="str">
        <f t="shared" si="650"/>
        <v/>
      </c>
      <c r="HH85" s="13" t="str">
        <f t="shared" si="651"/>
        <v/>
      </c>
      <c r="HJ85" s="114" t="str">
        <f t="shared" si="652"/>
        <v/>
      </c>
    </row>
    <row r="86" spans="3:218" ht="20.100000000000001" customHeight="1">
      <c r="F86" s="12"/>
      <c r="G86" s="12"/>
      <c r="K86"/>
    </row>
    <row r="87" spans="3:218" ht="20.100000000000001" customHeight="1">
      <c r="F87" s="12"/>
      <c r="G87" s="12"/>
      <c r="K87"/>
    </row>
    <row r="88" spans="3:218" s="52" customFormat="1" ht="20.100000000000001" customHeight="1" outlineLevel="1">
      <c r="C88" s="206" t="s">
        <v>61</v>
      </c>
      <c r="D88" s="207"/>
      <c r="E88" s="208"/>
      <c r="F88" s="12"/>
      <c r="G88" s="149"/>
      <c r="H88" s="150"/>
      <c r="I88" s="150"/>
      <c r="J88" s="150"/>
      <c r="Q88" s="204" t="s">
        <v>112</v>
      </c>
      <c r="R88" s="205"/>
      <c r="S88" s="205"/>
      <c r="T88" s="205"/>
      <c r="U88" s="205"/>
      <c r="V88" s="205"/>
      <c r="DA88" s="59"/>
    </row>
    <row r="89" spans="3:218" s="52" customFormat="1" ht="20.100000000000001" customHeight="1" outlineLevel="1">
      <c r="C89" s="233"/>
      <c r="D89" s="234"/>
      <c r="E89" s="235"/>
      <c r="F89" s="12"/>
      <c r="I89" s="54" t="s">
        <v>220</v>
      </c>
      <c r="J89" s="9" t="s">
        <v>584</v>
      </c>
      <c r="K89" s="180" t="str">
        <f>IF($J89="","",$J89&amp;",")</f>
        <v>Non-Adherence to Escalation Process,</v>
      </c>
      <c r="L89" s="75" t="str">
        <f>IF(OR(AND($J$13="MIXED",$J89=""),AND($J$13="NONE",$J89&lt;&gt;"")),"Please check IR tagging",IF(OR($J89=$J$13,COUNTIF($J$89:$J$93,$J89)&gt;1),"ALERT: Duplicate",""))</f>
        <v>Please check IR tagging</v>
      </c>
      <c r="Q89" s="5" t="s">
        <v>114</v>
      </c>
      <c r="R89" s="5" t="s">
        <v>115</v>
      </c>
      <c r="S89" s="5" t="s">
        <v>117</v>
      </c>
      <c r="T89" s="5" t="s">
        <v>118</v>
      </c>
      <c r="U89" s="5" t="s">
        <v>120</v>
      </c>
      <c r="DA89" s="59"/>
    </row>
    <row r="90" spans="3:218" s="52" customFormat="1" ht="20.100000000000001" customHeight="1" outlineLevel="1">
      <c r="C90" s="233"/>
      <c r="D90" s="234"/>
      <c r="E90" s="235"/>
      <c r="F90" s="12"/>
      <c r="I90" s="54" t="s">
        <v>221</v>
      </c>
      <c r="J90" s="9" t="s">
        <v>595</v>
      </c>
      <c r="K90" s="180" t="str">
        <f>IF(OR($J90="",$J90="NONE"),"",IF(OR($J91="",$J91="NONE"),$J90,$J90&amp;","))</f>
        <v>Inaccurate Documentation (Product Information)</v>
      </c>
      <c r="L90" s="75" t="str">
        <f>IF(OR(AND($J$13="MIXED",$J90=""),AND($J$13="NONE",$J90&lt;&gt;"")),"Please check IR tagging",IF(OR($J90=$J$13,COUNTIF($J$89:$J$93,$J90)&gt;1),"ALERT: Duplicate",""))</f>
        <v>Please check IR tagging</v>
      </c>
      <c r="Q90" s="5" t="b">
        <v>0</v>
      </c>
      <c r="R90" s="5" t="b">
        <v>0</v>
      </c>
      <c r="S90" s="5" t="b">
        <v>0</v>
      </c>
      <c r="T90" s="5" t="b">
        <v>0</v>
      </c>
      <c r="U90" s="5" t="b">
        <v>0</v>
      </c>
      <c r="DA90" s="59"/>
    </row>
    <row r="91" spans="3:218" s="52" customFormat="1" ht="20.100000000000001" customHeight="1" outlineLevel="1">
      <c r="C91" s="233"/>
      <c r="D91" s="234"/>
      <c r="E91" s="235"/>
      <c r="F91" s="12"/>
      <c r="I91" s="54" t="s">
        <v>222</v>
      </c>
      <c r="J91" s="9"/>
      <c r="K91" s="180" t="str">
        <f>IF(OR($J91="",$J91="NONE"),"",IF(OR($J92="",$J92="NONE"),$J91,$J91&amp;","))</f>
        <v/>
      </c>
      <c r="L91" s="75" t="str">
        <f>IF($J91="None","",IF(OR(AND($J$13="MIXED",$J91=""),AND($J$13="NONE",$J91&lt;&gt;"")),"Please check IR tagging",IF(OR($J91=$J$13,COUNTIF($J$89:$J$93,$J91)&gt;1),"ALERT: Duplicate","")))</f>
        <v/>
      </c>
      <c r="Q91" s="202" t="s">
        <v>113</v>
      </c>
      <c r="R91" s="203"/>
      <c r="S91" s="203"/>
      <c r="T91" s="203"/>
      <c r="U91" s="203"/>
      <c r="V91" s="203"/>
      <c r="DA91" s="59"/>
    </row>
    <row r="92" spans="3:218" s="52" customFormat="1" ht="20.100000000000001" customHeight="1" outlineLevel="1">
      <c r="C92" s="7"/>
      <c r="D92" s="7"/>
      <c r="E92" s="7"/>
      <c r="F92" s="12"/>
      <c r="I92" s="54" t="s">
        <v>223</v>
      </c>
      <c r="J92" s="9"/>
      <c r="K92" s="180" t="str">
        <f>IF(OR($J92="",$J92="NONE"),"",IF(OR($J93="",$J93="NONE"),$J92,$J92&amp;","))</f>
        <v/>
      </c>
      <c r="L92" s="75" t="str">
        <f t="shared" ref="L92:L93" si="654">IF($J92="None","",IF(OR(AND($J$13="MIXED",$J92=""),AND($J$13="NONE",$J92&lt;&gt;"")),"Please check IR tagging",IF(OR($J92=$J$13,COUNTIF($J$89:$J$93,$J92)&gt;1),"ALERT: Duplicate","")))</f>
        <v/>
      </c>
      <c r="Q92" s="4" t="s">
        <v>121</v>
      </c>
      <c r="R92" s="4" t="s">
        <v>115</v>
      </c>
      <c r="S92" s="4" t="s">
        <v>116</v>
      </c>
      <c r="T92" s="4" t="s">
        <v>122</v>
      </c>
      <c r="U92" s="4" t="s">
        <v>119</v>
      </c>
      <c r="V92" s="4" t="s">
        <v>120</v>
      </c>
      <c r="DA92" s="59"/>
    </row>
    <row r="93" spans="3:218" s="52" customFormat="1" ht="20.100000000000001" customHeight="1" outlineLevel="1">
      <c r="C93" s="206" t="s">
        <v>62</v>
      </c>
      <c r="D93" s="207"/>
      <c r="E93" s="208"/>
      <c r="F93" s="12"/>
      <c r="I93" s="54" t="s">
        <v>224</v>
      </c>
      <c r="J93" s="9"/>
      <c r="K93" s="180" t="str">
        <f>IF(OR($J93="",$J93="NONE"),"",$J93)</f>
        <v/>
      </c>
      <c r="L93" s="75" t="str">
        <f t="shared" si="654"/>
        <v/>
      </c>
      <c r="Q93" s="4" t="b">
        <v>0</v>
      </c>
      <c r="R93" s="4" t="b">
        <v>0</v>
      </c>
      <c r="S93" s="4" t="b">
        <v>0</v>
      </c>
      <c r="T93" s="4" t="b">
        <v>0</v>
      </c>
      <c r="U93" s="4" t="b">
        <v>0</v>
      </c>
      <c r="V93" s="4" t="b">
        <v>0</v>
      </c>
      <c r="DA93" s="59"/>
    </row>
    <row r="94" spans="3:218" s="52" customFormat="1" ht="20.100000000000001" customHeight="1" outlineLevel="1">
      <c r="C94" s="224"/>
      <c r="D94" s="225"/>
      <c r="E94" s="226"/>
      <c r="F94" s="12"/>
      <c r="J94" s="179" t="str">
        <f>IF($J$13="MIXED",K89&amp;K90&amp;K91&amp;K92&amp;K93,"")</f>
        <v/>
      </c>
      <c r="DA94" s="59"/>
    </row>
    <row r="95" spans="3:218" s="52" customFormat="1" ht="20.100000000000001" customHeight="1" outlineLevel="1">
      <c r="C95" s="227"/>
      <c r="D95" s="228"/>
      <c r="E95" s="229"/>
      <c r="F95" s="12"/>
      <c r="H95" s="77" t="s">
        <v>204</v>
      </c>
      <c r="I95" s="75"/>
      <c r="DA95" s="59"/>
    </row>
    <row r="96" spans="3:218" s="52" customFormat="1" ht="20.100000000000001" customHeight="1" outlineLevel="1">
      <c r="C96" s="230"/>
      <c r="D96" s="231"/>
      <c r="E96" s="232"/>
      <c r="F96" s="12"/>
      <c r="I96" s="80" t="s">
        <v>89</v>
      </c>
      <c r="J96" s="39" t="s">
        <v>665</v>
      </c>
      <c r="DA96" s="59"/>
    </row>
    <row r="97" spans="3:105" s="52" customFormat="1" ht="20.100000000000001" customHeight="1" outlineLevel="1">
      <c r="F97" s="12"/>
      <c r="I97" s="80" t="s">
        <v>205</v>
      </c>
      <c r="J97" s="39"/>
      <c r="DA97" s="59"/>
    </row>
    <row r="98" spans="3:105" s="52" customFormat="1" ht="19.5" customHeight="1">
      <c r="C98" s="50"/>
      <c r="D98" s="12"/>
      <c r="E98" s="12"/>
      <c r="F98" s="12"/>
      <c r="G98" s="12"/>
      <c r="H98" s="12"/>
      <c r="I98" s="12"/>
      <c r="J98" s="12"/>
      <c r="DA98" s="59"/>
    </row>
    <row r="99" spans="3:105" s="52" customFormat="1" ht="20.100000000000001" customHeight="1">
      <c r="C99" s="50"/>
      <c r="D99" s="32"/>
      <c r="E99" s="12"/>
      <c r="F99" s="12"/>
      <c r="G99" s="12"/>
      <c r="H99" s="12"/>
      <c r="I99" s="12"/>
      <c r="J99" s="12"/>
      <c r="DA99" s="59"/>
    </row>
    <row r="100" spans="3:105" s="52" customFormat="1" ht="20.100000000000001" customHeight="1" outlineLevel="1">
      <c r="C100" s="50"/>
      <c r="D100" s="75" t="s">
        <v>86</v>
      </c>
      <c r="E100" s="12"/>
      <c r="F100" s="12"/>
      <c r="DA100" s="59"/>
    </row>
    <row r="101" spans="3:105" s="52" customFormat="1" ht="20.100000000000001" customHeight="1" outlineLevel="1">
      <c r="C101" s="50"/>
      <c r="D101" s="75"/>
      <c r="E101" s="12"/>
      <c r="F101" s="12"/>
      <c r="G101" s="218" t="s">
        <v>225</v>
      </c>
      <c r="H101" s="219"/>
      <c r="I101" s="219"/>
      <c r="J101" s="220"/>
      <c r="DA101" s="59"/>
    </row>
    <row r="102" spans="3:105" s="52" customFormat="1" ht="20.100000000000001" customHeight="1" outlineLevel="1">
      <c r="C102" s="50"/>
      <c r="D102" s="75"/>
      <c r="E102" s="12"/>
      <c r="F102" s="12"/>
      <c r="G102" s="221" t="s">
        <v>227</v>
      </c>
      <c r="H102" s="222"/>
      <c r="I102" s="222"/>
      <c r="J102" s="223"/>
      <c r="DA102" s="59"/>
    </row>
    <row r="103" spans="3:105" s="52" customFormat="1" ht="20.100000000000001" customHeight="1" outlineLevel="1">
      <c r="C103" s="218" t="s">
        <v>29</v>
      </c>
      <c r="D103" s="219"/>
      <c r="E103" s="220"/>
      <c r="F103" s="12"/>
      <c r="G103" s="218" t="s">
        <v>226</v>
      </c>
      <c r="H103" s="219"/>
      <c r="I103" s="219"/>
      <c r="J103" s="220"/>
      <c r="DA103" s="59"/>
    </row>
    <row r="104" spans="3:105" s="119" customFormat="1" ht="20.100000000000001" customHeight="1" outlineLevel="1">
      <c r="C104" s="209"/>
      <c r="D104" s="210"/>
      <c r="E104" s="211"/>
      <c r="F104" s="43"/>
      <c r="G104" s="209"/>
      <c r="H104" s="210"/>
      <c r="I104" s="210"/>
      <c r="J104" s="211"/>
      <c r="DA104" s="112"/>
    </row>
    <row r="105" spans="3:105" s="119" customFormat="1" ht="20.100000000000001" customHeight="1" outlineLevel="1">
      <c r="C105" s="212"/>
      <c r="D105" s="213"/>
      <c r="E105" s="214"/>
      <c r="F105" s="43"/>
      <c r="G105" s="212"/>
      <c r="H105" s="213"/>
      <c r="I105" s="213"/>
      <c r="J105" s="214"/>
      <c r="DA105" s="112"/>
    </row>
    <row r="106" spans="3:105" s="119" customFormat="1" ht="20.100000000000001" customHeight="1" outlineLevel="1">
      <c r="C106" s="212"/>
      <c r="D106" s="213"/>
      <c r="E106" s="214"/>
      <c r="F106" s="43"/>
      <c r="G106" s="212"/>
      <c r="H106" s="213"/>
      <c r="I106" s="213"/>
      <c r="J106" s="214"/>
      <c r="DA106" s="112"/>
    </row>
    <row r="107" spans="3:105" s="119" customFormat="1" ht="20.100000000000001" customHeight="1" outlineLevel="1">
      <c r="C107" s="215"/>
      <c r="D107" s="216"/>
      <c r="E107" s="217"/>
      <c r="F107" s="43"/>
      <c r="G107" s="215"/>
      <c r="H107" s="216"/>
      <c r="I107" s="216"/>
      <c r="J107" s="217"/>
      <c r="DA107" s="112"/>
    </row>
    <row r="108" spans="3:105" s="52" customFormat="1" ht="20.100000000000001" customHeight="1" outlineLevel="1">
      <c r="C108" s="218" t="s">
        <v>30</v>
      </c>
      <c r="D108" s="219"/>
      <c r="E108" s="220"/>
      <c r="F108" s="12"/>
      <c r="G108" s="218" t="s">
        <v>148</v>
      </c>
      <c r="H108" s="219"/>
      <c r="I108" s="219"/>
      <c r="J108" s="220"/>
      <c r="DA108" s="59"/>
    </row>
    <row r="109" spans="3:105" s="119" customFormat="1" ht="20.100000000000001" customHeight="1" outlineLevel="1">
      <c r="C109" s="209"/>
      <c r="D109" s="210"/>
      <c r="E109" s="211"/>
      <c r="F109" s="43"/>
      <c r="G109" s="209"/>
      <c r="H109" s="210"/>
      <c r="I109" s="210"/>
      <c r="J109" s="211"/>
      <c r="DA109" s="112"/>
    </row>
    <row r="110" spans="3:105" s="119" customFormat="1" ht="20.100000000000001" customHeight="1" outlineLevel="1">
      <c r="C110" s="212"/>
      <c r="D110" s="213"/>
      <c r="E110" s="214"/>
      <c r="F110" s="43"/>
      <c r="G110" s="212"/>
      <c r="H110" s="213"/>
      <c r="I110" s="213"/>
      <c r="J110" s="214"/>
      <c r="DA110" s="112"/>
    </row>
    <row r="111" spans="3:105" s="119" customFormat="1" ht="20.100000000000001" customHeight="1" outlineLevel="1">
      <c r="C111" s="212"/>
      <c r="D111" s="213"/>
      <c r="E111" s="214"/>
      <c r="F111" s="43"/>
      <c r="G111" s="212"/>
      <c r="H111" s="213"/>
      <c r="I111" s="213"/>
      <c r="J111" s="214"/>
      <c r="K111" s="43"/>
      <c r="DA111" s="112"/>
    </row>
    <row r="112" spans="3:105" s="119" customFormat="1" ht="20.100000000000001" customHeight="1" outlineLevel="1">
      <c r="C112" s="215"/>
      <c r="D112" s="216"/>
      <c r="E112" s="217"/>
      <c r="F112" s="123"/>
      <c r="G112" s="215"/>
      <c r="H112" s="216"/>
      <c r="I112" s="216"/>
      <c r="J112" s="217"/>
      <c r="DA112" s="112"/>
    </row>
    <row r="113" spans="3:105" s="52" customFormat="1" ht="20.100000000000001" customHeight="1">
      <c r="C113" s="50"/>
      <c r="D113" s="32"/>
      <c r="E113" s="12"/>
      <c r="F113" s="12"/>
      <c r="G113" s="12"/>
      <c r="H113" s="12"/>
      <c r="I113" s="12"/>
      <c r="J113" s="12"/>
      <c r="DA113" s="59"/>
    </row>
    <row r="114" spans="3:105" ht="20.100000000000001" customHeight="1">
      <c r="K114"/>
    </row>
    <row r="115" spans="3:105" s="55" customFormat="1" ht="15" customHeight="1">
      <c r="DA115" s="59"/>
    </row>
    <row r="116" spans="3:105" s="55" customFormat="1" ht="15" customHeight="1">
      <c r="DA116" s="59"/>
    </row>
    <row r="117" spans="3:105" s="55" customFormat="1" ht="15" customHeight="1">
      <c r="DA117" s="59"/>
    </row>
    <row r="118" spans="3:105" s="55" customFormat="1" ht="15" customHeight="1">
      <c r="DA118" s="59"/>
    </row>
    <row r="119" spans="3:105" s="55" customFormat="1" ht="15" customHeight="1">
      <c r="DA119" s="59"/>
    </row>
    <row r="120" spans="3:105" s="55" customFormat="1" ht="15" customHeight="1">
      <c r="DA120" s="59"/>
    </row>
    <row r="121" spans="3:105" s="55" customFormat="1" ht="15" customHeight="1">
      <c r="DA121" s="59"/>
    </row>
    <row r="122" spans="3:105" s="55" customFormat="1" ht="15" customHeight="1">
      <c r="DA122" s="59"/>
    </row>
    <row r="123" spans="3:105" s="55" customFormat="1" ht="15" customHeight="1">
      <c r="DA123" s="59"/>
    </row>
    <row r="124" spans="3:105" s="55" customFormat="1" ht="15" customHeight="1">
      <c r="DA124" s="59"/>
    </row>
    <row r="125" spans="3:105" s="55" customFormat="1" ht="15" customHeight="1">
      <c r="DA125" s="59"/>
    </row>
    <row r="126" spans="3:105" s="55" customFormat="1" ht="15" customHeight="1">
      <c r="DA126" s="59"/>
    </row>
    <row r="127" spans="3:105" s="55" customFormat="1" ht="15" customHeight="1">
      <c r="DA127" s="59"/>
    </row>
    <row r="128" spans="3:105" s="55" customFormat="1" ht="15" customHeight="1">
      <c r="DA128" s="59"/>
    </row>
    <row r="129" spans="105:105" s="55" customFormat="1" ht="15" customHeight="1">
      <c r="DA129" s="59"/>
    </row>
    <row r="130" spans="105:105" s="55" customFormat="1" ht="15" customHeight="1">
      <c r="DA130" s="59"/>
    </row>
    <row r="131" spans="105:105" s="55" customFormat="1" ht="15" customHeight="1">
      <c r="DA131" s="59"/>
    </row>
    <row r="132" spans="105:105" s="55" customFormat="1" ht="15" customHeight="1">
      <c r="DA132" s="59"/>
    </row>
    <row r="133" spans="105:105" s="55" customFormat="1" ht="15" customHeight="1">
      <c r="DA133" s="59"/>
    </row>
    <row r="134" spans="105:105" s="55" customFormat="1" ht="15" customHeight="1">
      <c r="DA134" s="59"/>
    </row>
    <row r="135" spans="105:105" s="55" customFormat="1" ht="15" customHeight="1">
      <c r="DA135" s="59"/>
    </row>
    <row r="136" spans="105:105" s="55" customFormat="1" ht="15" customHeight="1">
      <c r="DA136" s="59"/>
    </row>
    <row r="137" spans="105:105" s="55" customFormat="1" ht="15" customHeight="1">
      <c r="DA137" s="59"/>
    </row>
    <row r="138" spans="105:105" s="55" customFormat="1" ht="15" customHeight="1">
      <c r="DA138" s="59"/>
    </row>
    <row r="139" spans="105:105" s="55" customFormat="1" ht="15" customHeight="1">
      <c r="DA139" s="59"/>
    </row>
    <row r="140" spans="105:105" s="55" customFormat="1" ht="15" customHeight="1">
      <c r="DA140" s="59"/>
    </row>
    <row r="141" spans="105:105" s="55" customFormat="1" ht="15" customHeight="1">
      <c r="DA141" s="59"/>
    </row>
    <row r="142" spans="105:105" s="55" customFormat="1" ht="15" customHeight="1">
      <c r="DA142" s="59"/>
    </row>
    <row r="143" spans="105:105" s="55" customFormat="1" ht="15" customHeight="1">
      <c r="DA143" s="59"/>
    </row>
    <row r="144" spans="105:105" s="55" customFormat="1" ht="15" customHeight="1">
      <c r="DA144" s="59"/>
    </row>
    <row r="145" spans="105:105" s="55" customFormat="1" ht="15" customHeight="1">
      <c r="DA145" s="59"/>
    </row>
    <row r="146" spans="105:105" s="55" customFormat="1" ht="15" customHeight="1">
      <c r="DA146" s="59"/>
    </row>
    <row r="147" spans="105:105" s="55" customFormat="1" ht="15" customHeight="1">
      <c r="DA147" s="59"/>
    </row>
    <row r="148" spans="105:105" s="55" customFormat="1" ht="15" customHeight="1">
      <c r="DA148" s="59"/>
    </row>
    <row r="149" spans="105:105" s="55" customFormat="1" ht="15" customHeight="1">
      <c r="DA149" s="59"/>
    </row>
    <row r="150" spans="105:105" s="55" customFormat="1" ht="15" customHeight="1">
      <c r="DA150" s="59"/>
    </row>
    <row r="151" spans="105:105" s="55" customFormat="1" ht="15" customHeight="1">
      <c r="DA151" s="59"/>
    </row>
    <row r="152" spans="105:105" s="55" customFormat="1" ht="15" customHeight="1">
      <c r="DA152" s="59"/>
    </row>
    <row r="153" spans="105:105" s="55" customFormat="1" ht="15" customHeight="1">
      <c r="DA153" s="59"/>
    </row>
    <row r="154" spans="105:105" s="55" customFormat="1" ht="15" customHeight="1">
      <c r="DA154" s="59"/>
    </row>
    <row r="155" spans="105:105" s="55" customFormat="1" ht="15" customHeight="1">
      <c r="DA155" s="59"/>
    </row>
    <row r="156" spans="105:105" s="55" customFormat="1" ht="15" customHeight="1">
      <c r="DA156" s="59"/>
    </row>
    <row r="157" spans="105:105" s="55" customFormat="1" ht="15" customHeight="1">
      <c r="DA157" s="59"/>
    </row>
    <row r="158" spans="105:105" s="55" customFormat="1" ht="15" customHeight="1">
      <c r="DA158" s="59"/>
    </row>
    <row r="159" spans="105:105" s="55" customFormat="1" ht="15" customHeight="1">
      <c r="DA159" s="59"/>
    </row>
    <row r="160" spans="105:105" s="55" customFormat="1" ht="15" customHeight="1">
      <c r="DA160" s="59"/>
    </row>
    <row r="161" spans="105:105" s="55" customFormat="1" ht="15" customHeight="1">
      <c r="DA161" s="59"/>
    </row>
    <row r="162" spans="105:105" s="55" customFormat="1" ht="15" customHeight="1">
      <c r="DA162" s="59"/>
    </row>
    <row r="163" spans="105:105" s="55" customFormat="1" ht="15" customHeight="1">
      <c r="DA163" s="59"/>
    </row>
    <row r="164" spans="105:105" s="55" customFormat="1" ht="15" customHeight="1">
      <c r="DA164" s="59"/>
    </row>
    <row r="165" spans="105:105" s="55" customFormat="1" ht="15" customHeight="1">
      <c r="DA165" s="59"/>
    </row>
    <row r="166" spans="105:105" s="55" customFormat="1" ht="15" customHeight="1">
      <c r="DA166" s="59"/>
    </row>
    <row r="167" spans="105:105" s="55" customFormat="1" ht="15" customHeight="1">
      <c r="DA167" s="59"/>
    </row>
    <row r="168" spans="105:105" s="55" customFormat="1" ht="15" customHeight="1">
      <c r="DA168" s="59"/>
    </row>
    <row r="169" spans="105:105" s="55" customFormat="1" ht="15" customHeight="1">
      <c r="DA169" s="59"/>
    </row>
    <row r="170" spans="105:105" s="55" customFormat="1" ht="15" customHeight="1">
      <c r="DA170" s="59"/>
    </row>
    <row r="171" spans="105:105" s="55" customFormat="1" ht="15" customHeight="1">
      <c r="DA171" s="59"/>
    </row>
    <row r="172" spans="105:105" s="55" customFormat="1" ht="15" customHeight="1">
      <c r="DA172" s="59"/>
    </row>
    <row r="173" spans="105:105" s="55" customFormat="1" ht="15" customHeight="1">
      <c r="DA173" s="59"/>
    </row>
    <row r="174" spans="105:105" s="55" customFormat="1" ht="15" customHeight="1">
      <c r="DA174" s="59"/>
    </row>
    <row r="175" spans="105:105" s="55" customFormat="1" ht="15" customHeight="1">
      <c r="DA175" s="59"/>
    </row>
    <row r="176" spans="105:105" s="55" customFormat="1" ht="15" customHeight="1">
      <c r="DA176" s="59"/>
    </row>
    <row r="177" spans="105:105" s="55" customFormat="1" ht="15" customHeight="1">
      <c r="DA177" s="59"/>
    </row>
    <row r="178" spans="105:105" s="55" customFormat="1" ht="15" customHeight="1">
      <c r="DA178" s="59"/>
    </row>
    <row r="179" spans="105:105" s="55" customFormat="1" ht="15" customHeight="1">
      <c r="DA179" s="59"/>
    </row>
    <row r="180" spans="105:105" s="55" customFormat="1" ht="15" customHeight="1">
      <c r="DA180" s="59"/>
    </row>
    <row r="181" spans="105:105" s="55" customFormat="1" ht="15" customHeight="1">
      <c r="DA181" s="59"/>
    </row>
    <row r="182" spans="105:105" s="55" customFormat="1" ht="15" customHeight="1">
      <c r="DA182" s="59"/>
    </row>
    <row r="183" spans="105:105" s="55" customFormat="1" ht="15" customHeight="1">
      <c r="DA183" s="59"/>
    </row>
    <row r="184" spans="105:105" s="55" customFormat="1" ht="15" customHeight="1">
      <c r="DA184" s="59"/>
    </row>
    <row r="185" spans="105:105" s="55" customFormat="1" ht="15" customHeight="1">
      <c r="DA185" s="59"/>
    </row>
    <row r="186" spans="105:105" s="55" customFormat="1" ht="15" customHeight="1">
      <c r="DA186" s="59"/>
    </row>
    <row r="187" spans="105:105" s="55" customFormat="1" ht="15" customHeight="1">
      <c r="DA187" s="59"/>
    </row>
    <row r="188" spans="105:105" s="55" customFormat="1" ht="15" customHeight="1">
      <c r="DA188" s="59"/>
    </row>
    <row r="189" spans="105:105" s="55" customFormat="1" ht="15" customHeight="1">
      <c r="DA189" s="59"/>
    </row>
    <row r="190" spans="105:105" s="55" customFormat="1" ht="15" customHeight="1">
      <c r="DA190" s="59"/>
    </row>
    <row r="191" spans="105:105" s="55" customFormat="1" ht="15" customHeight="1">
      <c r="DA191" s="59"/>
    </row>
    <row r="192" spans="105:105" s="55" customFormat="1" ht="15" customHeight="1">
      <c r="DA192" s="59"/>
    </row>
    <row r="193" spans="105:105" s="55" customFormat="1" ht="15" customHeight="1">
      <c r="DA193" s="59"/>
    </row>
    <row r="194" spans="105:105" s="55" customFormat="1" ht="15" customHeight="1">
      <c r="DA194" s="59"/>
    </row>
    <row r="195" spans="105:105" s="55" customFormat="1" ht="15" customHeight="1">
      <c r="DA195" s="59"/>
    </row>
    <row r="196" spans="105:105" s="55" customFormat="1" ht="15" customHeight="1">
      <c r="DA196" s="59"/>
    </row>
    <row r="197" spans="105:105" s="55" customFormat="1" ht="15" customHeight="1">
      <c r="DA197" s="59"/>
    </row>
    <row r="198" spans="105:105" s="55" customFormat="1" ht="15" customHeight="1">
      <c r="DA198" s="59"/>
    </row>
    <row r="199" spans="105:105" s="55" customFormat="1" ht="15" customHeight="1">
      <c r="DA199" s="59"/>
    </row>
    <row r="200" spans="105:105" s="55" customFormat="1" ht="15" customHeight="1">
      <c r="DA200" s="59"/>
    </row>
    <row r="201" spans="105:105" s="55" customFormat="1" ht="15" customHeight="1">
      <c r="DA201" s="59"/>
    </row>
    <row r="202" spans="105:105" s="55" customFormat="1" ht="15" customHeight="1">
      <c r="DA202" s="59"/>
    </row>
    <row r="203" spans="105:105" s="55" customFormat="1" ht="15" customHeight="1">
      <c r="DA203" s="59"/>
    </row>
    <row r="204" spans="105:105" s="55" customFormat="1" ht="15" customHeight="1">
      <c r="DA204" s="59"/>
    </row>
    <row r="205" spans="105:105" s="55" customFormat="1" ht="15" customHeight="1">
      <c r="DA205" s="59"/>
    </row>
    <row r="206" spans="105:105" s="55" customFormat="1" ht="15" customHeight="1">
      <c r="DA206" s="59"/>
    </row>
    <row r="207" spans="105:105" s="55" customFormat="1" ht="15" customHeight="1">
      <c r="DA207" s="59"/>
    </row>
    <row r="208" spans="105:105" s="55" customFormat="1" ht="15" customHeight="1">
      <c r="DA208" s="59"/>
    </row>
    <row r="209" spans="105:105" s="55" customFormat="1" ht="15" customHeight="1">
      <c r="DA209" s="59"/>
    </row>
    <row r="210" spans="105:105" s="55" customFormat="1" ht="15" customHeight="1">
      <c r="DA210" s="59"/>
    </row>
    <row r="211" spans="105:105" s="55" customFormat="1" ht="15" customHeight="1">
      <c r="DA211" s="59"/>
    </row>
    <row r="212" spans="105:105" s="55" customFormat="1" ht="15" customHeight="1">
      <c r="DA212" s="59"/>
    </row>
    <row r="213" spans="105:105" s="55" customFormat="1" ht="15" customHeight="1">
      <c r="DA213" s="59"/>
    </row>
    <row r="214" spans="105:105" s="55" customFormat="1" ht="15" customHeight="1">
      <c r="DA214" s="59"/>
    </row>
    <row r="215" spans="105:105" s="55" customFormat="1" ht="15" customHeight="1">
      <c r="DA215" s="59"/>
    </row>
    <row r="216" spans="105:105" s="55" customFormat="1" ht="15" customHeight="1">
      <c r="DA216" s="59"/>
    </row>
    <row r="217" spans="105:105" s="55" customFormat="1" ht="15" customHeight="1">
      <c r="DA217" s="59"/>
    </row>
    <row r="218" spans="105:105" s="55" customFormat="1" ht="15" customHeight="1">
      <c r="DA218" s="59"/>
    </row>
    <row r="219" spans="105:105" s="55" customFormat="1" ht="15" customHeight="1">
      <c r="DA219" s="59"/>
    </row>
    <row r="220" spans="105:105" s="55" customFormat="1" ht="15" customHeight="1">
      <c r="DA220" s="59"/>
    </row>
    <row r="221" spans="105:105" s="55" customFormat="1" ht="15" customHeight="1">
      <c r="DA221" s="59"/>
    </row>
    <row r="222" spans="105:105" s="55" customFormat="1" ht="15" customHeight="1">
      <c r="DA222" s="59"/>
    </row>
    <row r="223" spans="105:105" s="55" customFormat="1" ht="15" customHeight="1">
      <c r="DA223" s="59"/>
    </row>
    <row r="224" spans="105:105" s="55" customFormat="1" ht="15" customHeight="1">
      <c r="DA224" s="59"/>
    </row>
    <row r="225" spans="105:105" s="55" customFormat="1" ht="15" customHeight="1">
      <c r="DA225" s="59"/>
    </row>
    <row r="226" spans="105:105" s="55" customFormat="1" ht="15" customHeight="1">
      <c r="DA226" s="59"/>
    </row>
    <row r="227" spans="105:105" s="55" customFormat="1" ht="15" customHeight="1">
      <c r="DA227" s="59"/>
    </row>
    <row r="228" spans="105:105" s="55" customFormat="1" ht="15" customHeight="1">
      <c r="DA228" s="59"/>
    </row>
    <row r="229" spans="105:105" s="55" customFormat="1" ht="15" customHeight="1">
      <c r="DA229" s="59"/>
    </row>
    <row r="230" spans="105:105" s="55" customFormat="1" ht="15" customHeight="1">
      <c r="DA230" s="59"/>
    </row>
    <row r="231" spans="105:105" s="55" customFormat="1" ht="15" customHeight="1">
      <c r="DA231" s="59"/>
    </row>
    <row r="232" spans="105:105" s="55" customFormat="1" ht="15" customHeight="1">
      <c r="DA232" s="59"/>
    </row>
    <row r="233" spans="105:105" s="55" customFormat="1" ht="15" customHeight="1">
      <c r="DA233" s="59"/>
    </row>
    <row r="234" spans="105:105" s="55" customFormat="1" ht="15" customHeight="1">
      <c r="DA234" s="59"/>
    </row>
    <row r="235" spans="105:105" s="55" customFormat="1" ht="15" customHeight="1">
      <c r="DA235" s="59"/>
    </row>
    <row r="236" spans="105:105" s="55" customFormat="1" ht="15" customHeight="1">
      <c r="DA236" s="59"/>
    </row>
    <row r="237" spans="105:105" s="55" customFormat="1" ht="15" customHeight="1">
      <c r="DA237" s="59"/>
    </row>
    <row r="238" spans="105:105" s="55" customFormat="1" ht="15" customHeight="1">
      <c r="DA238" s="59"/>
    </row>
    <row r="239" spans="105:105" s="55" customFormat="1" ht="15" customHeight="1">
      <c r="DA239" s="59"/>
    </row>
    <row r="240" spans="105:105" s="55" customFormat="1" ht="15" customHeight="1">
      <c r="DA240" s="59"/>
    </row>
    <row r="241" spans="105:105" s="55" customFormat="1" ht="15" customHeight="1">
      <c r="DA241" s="59"/>
    </row>
    <row r="242" spans="105:105" s="55" customFormat="1" ht="15" customHeight="1">
      <c r="DA242" s="59"/>
    </row>
    <row r="243" spans="105:105" s="55" customFormat="1" ht="15" customHeight="1">
      <c r="DA243" s="59"/>
    </row>
    <row r="244" spans="105:105" s="55" customFormat="1" ht="15" customHeight="1">
      <c r="DA244" s="59"/>
    </row>
    <row r="245" spans="105:105" s="55" customFormat="1" ht="15" customHeight="1">
      <c r="DA245" s="59"/>
    </row>
    <row r="246" spans="105:105" s="55" customFormat="1" ht="15" customHeight="1">
      <c r="DA246" s="59"/>
    </row>
    <row r="247" spans="105:105" s="55" customFormat="1" ht="15" customHeight="1">
      <c r="DA247" s="59"/>
    </row>
    <row r="248" spans="105:105" s="55" customFormat="1" ht="15" customHeight="1">
      <c r="DA248" s="59"/>
    </row>
    <row r="249" spans="105:105" s="55" customFormat="1" ht="15" customHeight="1">
      <c r="DA249" s="59"/>
    </row>
    <row r="250" spans="105:105" s="55" customFormat="1" ht="15" customHeight="1">
      <c r="DA250" s="59"/>
    </row>
    <row r="251" spans="105:105" s="55" customFormat="1" ht="15" customHeight="1">
      <c r="DA251" s="59"/>
    </row>
    <row r="252" spans="105:105" s="55" customFormat="1" ht="15" customHeight="1">
      <c r="DA252" s="59"/>
    </row>
    <row r="253" spans="105:105" s="55" customFormat="1" ht="15" customHeight="1">
      <c r="DA253" s="59"/>
    </row>
    <row r="254" spans="105:105" s="55" customFormat="1" ht="15" customHeight="1">
      <c r="DA254" s="59"/>
    </row>
    <row r="255" spans="105:105" s="55" customFormat="1" ht="15" customHeight="1">
      <c r="DA255" s="59"/>
    </row>
    <row r="256" spans="105:105" s="55" customFormat="1" ht="15" customHeight="1">
      <c r="DA256" s="59"/>
    </row>
    <row r="257" spans="105:105" s="55" customFormat="1" ht="15" customHeight="1">
      <c r="DA257" s="59"/>
    </row>
    <row r="258" spans="105:105" s="55" customFormat="1" ht="15" customHeight="1">
      <c r="DA258" s="59"/>
    </row>
    <row r="259" spans="105:105" s="55" customFormat="1" ht="15" customHeight="1">
      <c r="DA259" s="59"/>
    </row>
    <row r="260" spans="105:105" s="55" customFormat="1" ht="15" customHeight="1">
      <c r="DA260" s="59"/>
    </row>
    <row r="261" spans="105:105" s="55" customFormat="1" ht="15" customHeight="1">
      <c r="DA261" s="59"/>
    </row>
    <row r="262" spans="105:105" s="55" customFormat="1" ht="15" customHeight="1">
      <c r="DA262" s="59"/>
    </row>
    <row r="263" spans="105:105" s="55" customFormat="1" ht="15" customHeight="1">
      <c r="DA263" s="59"/>
    </row>
    <row r="264" spans="105:105" s="55" customFormat="1" ht="15" customHeight="1">
      <c r="DA264" s="59"/>
    </row>
    <row r="265" spans="105:105" s="55" customFormat="1" ht="15" customHeight="1">
      <c r="DA265" s="59"/>
    </row>
    <row r="266" spans="105:105" s="55" customFormat="1" ht="15" customHeight="1">
      <c r="DA266" s="59"/>
    </row>
    <row r="267" spans="105:105" s="55" customFormat="1" ht="15" customHeight="1">
      <c r="DA267" s="59"/>
    </row>
    <row r="268" spans="105:105" s="55" customFormat="1" ht="15" customHeight="1">
      <c r="DA268" s="59"/>
    </row>
    <row r="269" spans="105:105" s="55" customFormat="1" ht="15" customHeight="1">
      <c r="DA269" s="59"/>
    </row>
    <row r="270" spans="105:105" s="55" customFormat="1" ht="15" customHeight="1">
      <c r="DA270" s="59"/>
    </row>
    <row r="271" spans="105:105" s="55" customFormat="1" ht="15" customHeight="1">
      <c r="DA271" s="59"/>
    </row>
    <row r="272" spans="105:105" s="55" customFormat="1" ht="15" customHeight="1">
      <c r="DA272" s="59"/>
    </row>
    <row r="273" spans="105:105" s="55" customFormat="1" ht="15" customHeight="1">
      <c r="DA273" s="59"/>
    </row>
    <row r="274" spans="105:105" s="55" customFormat="1" ht="15" customHeight="1">
      <c r="DA274" s="59"/>
    </row>
    <row r="275" spans="105:105" s="55" customFormat="1" ht="15" customHeight="1">
      <c r="DA275" s="59"/>
    </row>
    <row r="276" spans="105:105" s="55" customFormat="1" ht="15" customHeight="1">
      <c r="DA276" s="59"/>
    </row>
    <row r="277" spans="105:105" s="55" customFormat="1" ht="15" customHeight="1">
      <c r="DA277" s="59"/>
    </row>
    <row r="278" spans="105:105" s="55" customFormat="1" ht="15" customHeight="1">
      <c r="DA278" s="59"/>
    </row>
    <row r="279" spans="105:105" s="55" customFormat="1" ht="15" customHeight="1">
      <c r="DA279" s="59"/>
    </row>
    <row r="280" spans="105:105" s="55" customFormat="1" ht="15" customHeight="1">
      <c r="DA280" s="59"/>
    </row>
    <row r="281" spans="105:105" s="55" customFormat="1" ht="15" customHeight="1">
      <c r="DA281" s="59"/>
    </row>
    <row r="282" spans="105:105" s="55" customFormat="1" ht="15" customHeight="1">
      <c r="DA282" s="59"/>
    </row>
    <row r="283" spans="105:105" s="55" customFormat="1" ht="15" customHeight="1">
      <c r="DA283" s="59"/>
    </row>
    <row r="284" spans="105:105" s="55" customFormat="1" ht="15" customHeight="1">
      <c r="DA284" s="59"/>
    </row>
    <row r="285" spans="105:105" s="55" customFormat="1" ht="15" customHeight="1">
      <c r="DA285" s="59"/>
    </row>
    <row r="286" spans="105:105" s="55" customFormat="1" ht="15" customHeight="1">
      <c r="DA286" s="59"/>
    </row>
    <row r="287" spans="105:105" s="55" customFormat="1" ht="15" customHeight="1">
      <c r="DA287" s="59"/>
    </row>
    <row r="288" spans="105:105" s="55" customFormat="1" ht="15" customHeight="1">
      <c r="DA288" s="59"/>
    </row>
    <row r="289" spans="105:105" s="55" customFormat="1" ht="15" customHeight="1">
      <c r="DA289" s="59"/>
    </row>
    <row r="290" spans="105:105" s="55" customFormat="1" ht="15" customHeight="1">
      <c r="DA290" s="59"/>
    </row>
    <row r="291" spans="105:105" s="55" customFormat="1" ht="15" customHeight="1">
      <c r="DA291" s="59"/>
    </row>
    <row r="292" spans="105:105" s="55" customFormat="1" ht="15" customHeight="1">
      <c r="DA292" s="59"/>
    </row>
    <row r="293" spans="105:105" s="55" customFormat="1" ht="15" customHeight="1">
      <c r="DA293" s="59"/>
    </row>
    <row r="294" spans="105:105" s="55" customFormat="1" ht="15" customHeight="1">
      <c r="DA294" s="59"/>
    </row>
    <row r="295" spans="105:105" s="55" customFormat="1" ht="15" customHeight="1">
      <c r="DA295" s="59"/>
    </row>
    <row r="296" spans="105:105" s="55" customFormat="1" ht="15" customHeight="1">
      <c r="DA296" s="59"/>
    </row>
    <row r="297" spans="105:105" s="55" customFormat="1" ht="15" customHeight="1">
      <c r="DA297" s="59"/>
    </row>
    <row r="298" spans="105:105" s="55" customFormat="1" ht="15" customHeight="1">
      <c r="DA298" s="59"/>
    </row>
    <row r="299" spans="105:105" s="55" customFormat="1" ht="15" customHeight="1">
      <c r="DA299" s="59"/>
    </row>
    <row r="300" spans="105:105" s="55" customFormat="1" ht="15" customHeight="1">
      <c r="DA300" s="59"/>
    </row>
    <row r="301" spans="105:105" s="55" customFormat="1" ht="15" customHeight="1">
      <c r="DA301" s="59"/>
    </row>
    <row r="302" spans="105:105" s="55" customFormat="1" ht="15" customHeight="1">
      <c r="DA302" s="59"/>
    </row>
    <row r="303" spans="105:105" s="55" customFormat="1" ht="15" customHeight="1">
      <c r="DA303" s="59"/>
    </row>
    <row r="304" spans="105:105" s="55" customFormat="1" ht="15" customHeight="1">
      <c r="DA304" s="59"/>
    </row>
    <row r="305" spans="105:105" s="55" customFormat="1" ht="15" customHeight="1">
      <c r="DA305" s="59"/>
    </row>
    <row r="306" spans="105:105" s="55" customFormat="1" ht="15" customHeight="1">
      <c r="DA306" s="59"/>
    </row>
    <row r="307" spans="105:105" s="55" customFormat="1" ht="15" customHeight="1">
      <c r="DA307" s="59"/>
    </row>
    <row r="308" spans="105:105" s="55" customFormat="1" ht="15" customHeight="1">
      <c r="DA308" s="59"/>
    </row>
    <row r="309" spans="105:105" s="55" customFormat="1" ht="15" customHeight="1">
      <c r="DA309" s="59"/>
    </row>
    <row r="310" spans="105:105" s="55" customFormat="1" ht="15" customHeight="1">
      <c r="DA310" s="59"/>
    </row>
    <row r="311" spans="105:105" s="55" customFormat="1" ht="15" customHeight="1">
      <c r="DA311" s="59"/>
    </row>
    <row r="312" spans="105:105" s="55" customFormat="1" ht="15" customHeight="1">
      <c r="DA312" s="59"/>
    </row>
    <row r="313" spans="105:105" s="55" customFormat="1" ht="15" customHeight="1">
      <c r="DA313" s="59"/>
    </row>
    <row r="314" spans="105:105" s="55" customFormat="1" ht="15" customHeight="1">
      <c r="DA314" s="59"/>
    </row>
    <row r="315" spans="105:105" s="55" customFormat="1" ht="15" customHeight="1">
      <c r="DA315" s="59"/>
    </row>
    <row r="316" spans="105:105" s="55" customFormat="1" ht="15" customHeight="1">
      <c r="DA316" s="59"/>
    </row>
    <row r="317" spans="105:105" s="55" customFormat="1" ht="15" customHeight="1">
      <c r="DA317" s="59"/>
    </row>
    <row r="318" spans="105:105" s="55" customFormat="1" ht="15" customHeight="1">
      <c r="DA318" s="59"/>
    </row>
    <row r="319" spans="105:105" s="55" customFormat="1" ht="15" customHeight="1">
      <c r="DA319" s="59"/>
    </row>
    <row r="320" spans="105:105" s="55" customFormat="1" ht="15" customHeight="1">
      <c r="DA320" s="59"/>
    </row>
    <row r="321" spans="105:105" s="55" customFormat="1" ht="15" customHeight="1">
      <c r="DA321" s="59"/>
    </row>
    <row r="322" spans="105:105" s="55" customFormat="1" ht="15" customHeight="1">
      <c r="DA322" s="59"/>
    </row>
    <row r="323" spans="105:105" s="55" customFormat="1" ht="15" customHeight="1">
      <c r="DA323" s="59"/>
    </row>
    <row r="324" spans="105:105" s="55" customFormat="1" ht="15" customHeight="1">
      <c r="DA324" s="59"/>
    </row>
    <row r="325" spans="105:105" s="55" customFormat="1" ht="15" customHeight="1">
      <c r="DA325" s="59"/>
    </row>
    <row r="326" spans="105:105" s="55" customFormat="1" ht="15" customHeight="1">
      <c r="DA326" s="59"/>
    </row>
    <row r="327" spans="105:105" s="55" customFormat="1" ht="15" customHeight="1">
      <c r="DA327" s="59"/>
    </row>
    <row r="328" spans="105:105" s="55" customFormat="1" ht="15" customHeight="1">
      <c r="DA328" s="59"/>
    </row>
    <row r="329" spans="105:105" s="55" customFormat="1" ht="15" customHeight="1">
      <c r="DA329" s="59"/>
    </row>
    <row r="330" spans="105:105" s="55" customFormat="1" ht="15" customHeight="1">
      <c r="DA330" s="59"/>
    </row>
    <row r="331" spans="105:105" s="55" customFormat="1" ht="15" customHeight="1">
      <c r="DA331" s="59"/>
    </row>
    <row r="332" spans="105:105" s="55" customFormat="1" ht="15" customHeight="1">
      <c r="DA332" s="59"/>
    </row>
    <row r="333" spans="105:105" s="55" customFormat="1" ht="15" customHeight="1">
      <c r="DA333" s="59"/>
    </row>
    <row r="334" spans="105:105" s="55" customFormat="1" ht="15" customHeight="1">
      <c r="DA334" s="59"/>
    </row>
    <row r="335" spans="105:105" s="55" customFormat="1" ht="15" customHeight="1">
      <c r="DA335" s="59"/>
    </row>
    <row r="336" spans="105:105" s="55" customFormat="1" ht="15" customHeight="1">
      <c r="DA336" s="59"/>
    </row>
    <row r="337" spans="105:105" s="55" customFormat="1" ht="15" customHeight="1">
      <c r="DA337" s="59"/>
    </row>
    <row r="338" spans="105:105" s="55" customFormat="1" ht="15" customHeight="1">
      <c r="DA338" s="59"/>
    </row>
    <row r="339" spans="105:105" s="55" customFormat="1" ht="15" customHeight="1">
      <c r="DA339" s="59"/>
    </row>
    <row r="340" spans="105:105" s="55" customFormat="1" ht="15" customHeight="1">
      <c r="DA340" s="59"/>
    </row>
    <row r="341" spans="105:105" s="55" customFormat="1" ht="15" customHeight="1">
      <c r="DA341" s="59"/>
    </row>
    <row r="342" spans="105:105" s="55" customFormat="1" ht="15" customHeight="1">
      <c r="DA342" s="59"/>
    </row>
    <row r="343" spans="105:105" s="55" customFormat="1" ht="15" customHeight="1">
      <c r="DA343" s="59"/>
    </row>
    <row r="344" spans="105:105" s="55" customFormat="1" ht="15" customHeight="1">
      <c r="DA344" s="59"/>
    </row>
    <row r="345" spans="105:105" s="55" customFormat="1" ht="15" customHeight="1">
      <c r="DA345" s="59"/>
    </row>
    <row r="346" spans="105:105" s="55" customFormat="1" ht="15" customHeight="1">
      <c r="DA346" s="59"/>
    </row>
    <row r="347" spans="105:105" s="55" customFormat="1" ht="15" customHeight="1">
      <c r="DA347" s="59"/>
    </row>
    <row r="348" spans="105:105" s="55" customFormat="1" ht="15" customHeight="1">
      <c r="DA348" s="59"/>
    </row>
    <row r="349" spans="105:105" s="55" customFormat="1" ht="15" customHeight="1">
      <c r="DA349" s="59"/>
    </row>
    <row r="350" spans="105:105" s="55" customFormat="1" ht="15" customHeight="1">
      <c r="DA350" s="59"/>
    </row>
    <row r="351" spans="105:105" s="55" customFormat="1" ht="15" customHeight="1">
      <c r="DA351" s="59"/>
    </row>
    <row r="352" spans="105:105" s="55" customFormat="1" ht="15" customHeight="1">
      <c r="DA352" s="59"/>
    </row>
    <row r="353" spans="105:105" s="55" customFormat="1" ht="15" customHeight="1">
      <c r="DA353" s="59"/>
    </row>
    <row r="354" spans="105:105" s="55" customFormat="1" ht="15" customHeight="1">
      <c r="DA354" s="59"/>
    </row>
    <row r="355" spans="105:105" s="55" customFormat="1" ht="15" customHeight="1">
      <c r="DA355" s="59"/>
    </row>
    <row r="356" spans="105:105" s="55" customFormat="1" ht="15" customHeight="1">
      <c r="DA356" s="59"/>
    </row>
    <row r="357" spans="105:105" s="55" customFormat="1" ht="15" customHeight="1">
      <c r="DA357" s="59"/>
    </row>
    <row r="358" spans="105:105" s="55" customFormat="1" ht="15" customHeight="1">
      <c r="DA358" s="59"/>
    </row>
    <row r="359" spans="105:105" s="55" customFormat="1" ht="15" customHeight="1">
      <c r="DA359" s="59"/>
    </row>
    <row r="360" spans="105:105" s="55" customFormat="1" ht="15" customHeight="1">
      <c r="DA360" s="59"/>
    </row>
    <row r="361" spans="105:105" s="55" customFormat="1" ht="15" customHeight="1">
      <c r="DA361" s="59"/>
    </row>
    <row r="362" spans="105:105" s="55" customFormat="1" ht="15" customHeight="1">
      <c r="DA362" s="59"/>
    </row>
    <row r="363" spans="105:105" s="55" customFormat="1" ht="15" customHeight="1">
      <c r="DA363" s="59"/>
    </row>
    <row r="364" spans="105:105" s="55" customFormat="1" ht="15" customHeight="1">
      <c r="DA364" s="59"/>
    </row>
    <row r="365" spans="105:105" s="55" customFormat="1" ht="15" customHeight="1">
      <c r="DA365" s="59"/>
    </row>
    <row r="366" spans="105:105" s="55" customFormat="1" ht="15" customHeight="1">
      <c r="DA366" s="59"/>
    </row>
    <row r="367" spans="105:105" s="55" customFormat="1" ht="15" customHeight="1">
      <c r="DA367" s="59"/>
    </row>
    <row r="368" spans="105:105" s="55" customFormat="1" ht="15" customHeight="1">
      <c r="DA368" s="59"/>
    </row>
    <row r="369" spans="105:105" s="55" customFormat="1" ht="15" customHeight="1">
      <c r="DA369" s="59"/>
    </row>
    <row r="370" spans="105:105" s="55" customFormat="1" ht="15" customHeight="1">
      <c r="DA370" s="59"/>
    </row>
    <row r="371" spans="105:105" s="55" customFormat="1" ht="15" customHeight="1">
      <c r="DA371" s="59"/>
    </row>
    <row r="372" spans="105:105" s="55" customFormat="1" ht="15" customHeight="1">
      <c r="DA372" s="59"/>
    </row>
    <row r="373" spans="105:105" s="55" customFormat="1" ht="15" customHeight="1">
      <c r="DA373" s="59"/>
    </row>
    <row r="374" spans="105:105" s="55" customFormat="1" ht="15" customHeight="1">
      <c r="DA374" s="59"/>
    </row>
    <row r="375" spans="105:105" s="55" customFormat="1" ht="15" customHeight="1">
      <c r="DA375" s="59"/>
    </row>
    <row r="376" spans="105:105" s="55" customFormat="1" ht="15" customHeight="1">
      <c r="DA376" s="59"/>
    </row>
    <row r="377" spans="105:105" s="55" customFormat="1" ht="15" customHeight="1">
      <c r="DA377" s="59"/>
    </row>
    <row r="378" spans="105:105" s="55" customFormat="1" ht="15" customHeight="1">
      <c r="DA378" s="59"/>
    </row>
    <row r="379" spans="105:105" s="55" customFormat="1" ht="15" customHeight="1">
      <c r="DA379" s="59"/>
    </row>
    <row r="380" spans="105:105" s="55" customFormat="1" ht="15" customHeight="1">
      <c r="DA380" s="59"/>
    </row>
    <row r="381" spans="105:105" s="55" customFormat="1" ht="15" customHeight="1">
      <c r="DA381" s="59"/>
    </row>
    <row r="382" spans="105:105" s="55" customFormat="1" ht="15" customHeight="1">
      <c r="DA382" s="59"/>
    </row>
    <row r="383" spans="105:105" s="55" customFormat="1" ht="15" customHeight="1">
      <c r="DA383" s="59"/>
    </row>
    <row r="384" spans="105:105" s="55" customFormat="1" ht="15" customHeight="1">
      <c r="DA384" s="59"/>
    </row>
    <row r="385" spans="105:105" s="55" customFormat="1" ht="15" customHeight="1">
      <c r="DA385" s="59"/>
    </row>
    <row r="386" spans="105:105" s="55" customFormat="1" ht="15" customHeight="1">
      <c r="DA386" s="59"/>
    </row>
    <row r="387" spans="105:105" s="55" customFormat="1" ht="15" customHeight="1">
      <c r="DA387" s="59"/>
    </row>
    <row r="388" spans="105:105" s="55" customFormat="1" ht="15" customHeight="1">
      <c r="DA388" s="59"/>
    </row>
    <row r="389" spans="105:105" s="55" customFormat="1" ht="15" customHeight="1">
      <c r="DA389" s="59"/>
    </row>
    <row r="390" spans="105:105" s="55" customFormat="1" ht="15" customHeight="1">
      <c r="DA390" s="59"/>
    </row>
    <row r="391" spans="105:105" s="55" customFormat="1" ht="15" customHeight="1">
      <c r="DA391" s="59"/>
    </row>
    <row r="392" spans="105:105" s="55" customFormat="1" ht="15" customHeight="1">
      <c r="DA392" s="59"/>
    </row>
    <row r="393" spans="105:105" s="55" customFormat="1" ht="15" customHeight="1">
      <c r="DA393" s="59"/>
    </row>
    <row r="394" spans="105:105" s="55" customFormat="1" ht="15" customHeight="1">
      <c r="DA394" s="59"/>
    </row>
    <row r="395" spans="105:105" s="55" customFormat="1" ht="15" customHeight="1">
      <c r="DA395" s="59"/>
    </row>
    <row r="396" spans="105:105" s="55" customFormat="1" ht="15" customHeight="1">
      <c r="DA396" s="59"/>
    </row>
    <row r="397" spans="105:105" s="55" customFormat="1" ht="15" customHeight="1">
      <c r="DA397" s="59"/>
    </row>
    <row r="398" spans="105:105" s="55" customFormat="1" ht="15" customHeight="1">
      <c r="DA398" s="59"/>
    </row>
    <row r="399" spans="105:105" s="55" customFormat="1" ht="15" customHeight="1">
      <c r="DA399" s="59"/>
    </row>
    <row r="400" spans="105:105" s="55" customFormat="1" ht="15" customHeight="1">
      <c r="DA400" s="59"/>
    </row>
    <row r="401" spans="105:105" s="55" customFormat="1" ht="15" customHeight="1">
      <c r="DA401" s="59"/>
    </row>
    <row r="402" spans="105:105" s="55" customFormat="1" ht="15" customHeight="1">
      <c r="DA402" s="59"/>
    </row>
    <row r="403" spans="105:105" s="55" customFormat="1" ht="15" customHeight="1">
      <c r="DA403" s="59"/>
    </row>
    <row r="404" spans="105:105" s="55" customFormat="1" ht="15" customHeight="1">
      <c r="DA404" s="59"/>
    </row>
    <row r="405" spans="105:105" s="55" customFormat="1" ht="15" customHeight="1">
      <c r="DA405" s="59"/>
    </row>
    <row r="406" spans="105:105" s="55" customFormat="1" ht="15" customHeight="1">
      <c r="DA406" s="59"/>
    </row>
    <row r="407" spans="105:105" s="55" customFormat="1" ht="15" customHeight="1">
      <c r="DA407" s="59"/>
    </row>
    <row r="408" spans="105:105" s="55" customFormat="1" ht="15" customHeight="1">
      <c r="DA408" s="59"/>
    </row>
  </sheetData>
  <mergeCells count="111">
    <mergeCell ref="E85:G85"/>
    <mergeCell ref="I85:J85"/>
    <mergeCell ref="E80:G80"/>
    <mergeCell ref="I80:J80"/>
    <mergeCell ref="E81:G81"/>
    <mergeCell ref="I81:J81"/>
    <mergeCell ref="E82:G82"/>
    <mergeCell ref="I82:J82"/>
    <mergeCell ref="E79:G79"/>
    <mergeCell ref="I79:J79"/>
    <mergeCell ref="E73:G73"/>
    <mergeCell ref="I73:J73"/>
    <mergeCell ref="E74:G74"/>
    <mergeCell ref="I74:J74"/>
    <mergeCell ref="E83:G83"/>
    <mergeCell ref="I83:J83"/>
    <mergeCell ref="E84:G84"/>
    <mergeCell ref="I84:J84"/>
    <mergeCell ref="E69:G69"/>
    <mergeCell ref="I69:J69"/>
    <mergeCell ref="E70:G70"/>
    <mergeCell ref="I70:J70"/>
    <mergeCell ref="E71:G71"/>
    <mergeCell ref="I71:J71"/>
    <mergeCell ref="E72:G72"/>
    <mergeCell ref="I72:J72"/>
    <mergeCell ref="E78:G78"/>
    <mergeCell ref="I78:J78"/>
    <mergeCell ref="E52:G52"/>
    <mergeCell ref="E53:G53"/>
    <mergeCell ref="E54:G54"/>
    <mergeCell ref="D52:D53"/>
    <mergeCell ref="D54:D56"/>
    <mergeCell ref="C109:E112"/>
    <mergeCell ref="G109:J112"/>
    <mergeCell ref="C103:E103"/>
    <mergeCell ref="G103:J103"/>
    <mergeCell ref="G101:J101"/>
    <mergeCell ref="C94:E96"/>
    <mergeCell ref="C88:E88"/>
    <mergeCell ref="C89:E91"/>
    <mergeCell ref="D57:D59"/>
    <mergeCell ref="D60:D61"/>
    <mergeCell ref="D62:D63"/>
    <mergeCell ref="E55:G55"/>
    <mergeCell ref="I55:J55"/>
    <mergeCell ref="E56:G56"/>
    <mergeCell ref="I56:J56"/>
    <mergeCell ref="E57:G57"/>
    <mergeCell ref="I57:J57"/>
    <mergeCell ref="D68:D71"/>
    <mergeCell ref="D72:D73"/>
    <mergeCell ref="Q91:V91"/>
    <mergeCell ref="Q88:V88"/>
    <mergeCell ref="C93:E93"/>
    <mergeCell ref="C104:E107"/>
    <mergeCell ref="G104:J107"/>
    <mergeCell ref="C108:E108"/>
    <mergeCell ref="G108:J108"/>
    <mergeCell ref="G102:J102"/>
    <mergeCell ref="D36:D37"/>
    <mergeCell ref="I36:J36"/>
    <mergeCell ref="I37:J37"/>
    <mergeCell ref="I45:J45"/>
    <mergeCell ref="I38:J38"/>
    <mergeCell ref="I39:J39"/>
    <mergeCell ref="I40:J40"/>
    <mergeCell ref="I41:J41"/>
    <mergeCell ref="I42:J42"/>
    <mergeCell ref="I43:J43"/>
    <mergeCell ref="I44:J44"/>
    <mergeCell ref="E51:G51"/>
    <mergeCell ref="I47:J47"/>
    <mergeCell ref="I48:J48"/>
    <mergeCell ref="D38:D48"/>
    <mergeCell ref="I54:J54"/>
    <mergeCell ref="D28:D32"/>
    <mergeCell ref="I35:J35"/>
    <mergeCell ref="I32:J32"/>
    <mergeCell ref="D33:D34"/>
    <mergeCell ref="I33:J33"/>
    <mergeCell ref="I34:J34"/>
    <mergeCell ref="I27:J27"/>
    <mergeCell ref="I28:J28"/>
    <mergeCell ref="I29:J29"/>
    <mergeCell ref="I30:J30"/>
    <mergeCell ref="I31:J31"/>
    <mergeCell ref="I46:J46"/>
    <mergeCell ref="I51:J51"/>
    <mergeCell ref="I52:J52"/>
    <mergeCell ref="I53:J53"/>
    <mergeCell ref="I60:J60"/>
    <mergeCell ref="E77:G77"/>
    <mergeCell ref="I77:J77"/>
    <mergeCell ref="I59:J59"/>
    <mergeCell ref="E58:G58"/>
    <mergeCell ref="I58:J58"/>
    <mergeCell ref="E59:G59"/>
    <mergeCell ref="E60:G60"/>
    <mergeCell ref="E61:G61"/>
    <mergeCell ref="E62:G62"/>
    <mergeCell ref="E63:G63"/>
    <mergeCell ref="E64:G64"/>
    <mergeCell ref="E68:G68"/>
    <mergeCell ref="I68:J68"/>
    <mergeCell ref="E67:G67"/>
    <mergeCell ref="I67:J67"/>
    <mergeCell ref="I63:J63"/>
    <mergeCell ref="I64:J64"/>
    <mergeCell ref="I61:J61"/>
    <mergeCell ref="I62:J62"/>
  </mergeCells>
  <conditionalFormatting sqref="E7">
    <cfRule type="cellIs" dxfId="27" priority="184" operator="equal">
      <formula>"YES"</formula>
    </cfRule>
  </conditionalFormatting>
  <conditionalFormatting sqref="F32">
    <cfRule type="expression" dxfId="26" priority="67">
      <formula>$F32=0</formula>
    </cfRule>
  </conditionalFormatting>
  <conditionalFormatting sqref="F38:F48">
    <cfRule type="expression" dxfId="25" priority="80">
      <formula>$F38=0</formula>
    </cfRule>
  </conditionalFormatting>
  <conditionalFormatting sqref="G30:G37">
    <cfRule type="expression" dxfId="24" priority="66">
      <formula>$G30=0</formula>
    </cfRule>
  </conditionalFormatting>
  <conditionalFormatting sqref="G102:J102">
    <cfRule type="expression" dxfId="23" priority="78">
      <formula>$G$102="[ Indicate agent name/s ]"</formula>
    </cfRule>
  </conditionalFormatting>
  <conditionalFormatting sqref="H28:H37">
    <cfRule type="expression" dxfId="22" priority="68">
      <formula>$H28="N/A"</formula>
    </cfRule>
    <cfRule type="expression" dxfId="21" priority="69">
      <formula>$H28="NO"</formula>
    </cfRule>
  </conditionalFormatting>
  <conditionalFormatting sqref="H38:H48">
    <cfRule type="cellIs" dxfId="20" priority="79" operator="equal">
      <formula>"YES"</formula>
    </cfRule>
  </conditionalFormatting>
  <conditionalFormatting sqref="H52:H64 H68:H74 H78:H85">
    <cfRule type="expression" dxfId="19" priority="1">
      <formula>$H52="N/A"</formula>
    </cfRule>
    <cfRule type="expression" dxfId="18" priority="2">
      <formula>$H52="NO"</formula>
    </cfRule>
  </conditionalFormatting>
  <conditionalFormatting sqref="I89:I93">
    <cfRule type="expression" dxfId="17" priority="262">
      <formula>$J$13="NONE"</formula>
    </cfRule>
  </conditionalFormatting>
  <conditionalFormatting sqref="J4">
    <cfRule type="expression" dxfId="16" priority="277">
      <formula>OR($J$4&gt;$Y$9,$J$4=$Y$9)</formula>
    </cfRule>
    <cfRule type="expression" dxfId="15" priority="278">
      <formula>$J$4&lt;$Y$9</formula>
    </cfRule>
  </conditionalFormatting>
  <conditionalFormatting sqref="J6">
    <cfRule type="expression" dxfId="14" priority="159">
      <formula>$J$6=""</formula>
    </cfRule>
  </conditionalFormatting>
  <conditionalFormatting sqref="J7">
    <cfRule type="expression" dxfId="13" priority="157">
      <formula>#REF!=""</formula>
    </cfRule>
  </conditionalFormatting>
  <conditionalFormatting sqref="J13">
    <cfRule type="expression" dxfId="12" priority="3">
      <formula>$J$13="NONE"</formula>
    </cfRule>
  </conditionalFormatting>
  <conditionalFormatting sqref="J14">
    <cfRule type="expression" dxfId="11" priority="62">
      <formula>OR($J$4&gt;$Y$9,$J$4=$Y$9)</formula>
    </cfRule>
    <cfRule type="expression" dxfId="10" priority="63">
      <formula>$J$4&lt;$Y$9</formula>
    </cfRule>
  </conditionalFormatting>
  <conditionalFormatting sqref="J16">
    <cfRule type="expression" dxfId="9" priority="239">
      <formula>$J$16=""</formula>
    </cfRule>
  </conditionalFormatting>
  <conditionalFormatting sqref="J17">
    <cfRule type="expression" dxfId="8" priority="158">
      <formula>#REF!=""</formula>
    </cfRule>
  </conditionalFormatting>
  <conditionalFormatting sqref="J18">
    <cfRule type="cellIs" dxfId="7" priority="70" operator="equal">
      <formula>"YES"</formula>
    </cfRule>
  </conditionalFormatting>
  <conditionalFormatting sqref="J89:J93">
    <cfRule type="expression" dxfId="6" priority="261">
      <formula>$J$13="NONE"</formula>
    </cfRule>
  </conditionalFormatting>
  <conditionalFormatting sqref="L105:R105">
    <cfRule type="expression" dxfId="5" priority="209">
      <formula>#REF!="No"</formula>
    </cfRule>
    <cfRule type="expression" dxfId="4" priority="210">
      <formula>#REF!="No"</formula>
    </cfRule>
  </conditionalFormatting>
  <conditionalFormatting sqref="L106:R106 L110:R110">
    <cfRule type="expression" dxfId="3" priority="244">
      <formula>#REF!&lt;&gt;""</formula>
    </cfRule>
  </conditionalFormatting>
  <conditionalFormatting sqref="L107:R107">
    <cfRule type="expression" dxfId="2" priority="207">
      <formula>#REF!="Yes"</formula>
    </cfRule>
    <cfRule type="expression" dxfId="1" priority="208">
      <formula>#REF!="YES"</formula>
    </cfRule>
  </conditionalFormatting>
  <conditionalFormatting sqref="L109:R109">
    <cfRule type="expression" dxfId="0" priority="247">
      <formula>#REF!="TECH REFRESH"</formula>
    </cfRule>
  </conditionalFormatting>
  <dataValidations count="17">
    <dataValidation allowBlank="1" showInputMessage="1" showErrorMessage="1" prompt="Indicate reason why it's a CSAT, Neutral or DSAT for you" sqref="J97" xr:uid="{00000000-0002-0000-0000-000000000000}"/>
    <dataValidation type="list" allowBlank="1" showInputMessage="1" showErrorMessage="1" sqref="H78:H85 H68:H74 H52:H64 H28:H37" xr:uid="{00000000-0002-0000-0000-000001000000}">
      <formula1>"YES, NO, N/A"</formula1>
    </dataValidation>
    <dataValidation type="list" allowBlank="1" showInputMessage="1" showErrorMessage="1" sqref="H38:H48" xr:uid="{00000000-0002-0000-0000-000002000000}">
      <formula1>"YES, NO"</formula1>
    </dataValidation>
    <dataValidation type="list" allowBlank="1" showInputMessage="1" showErrorMessage="1" sqref="J96" xr:uid="{00000000-0002-0000-0000-000003000000}">
      <formula1>"CSAT, DSAT, Neutral"</formula1>
    </dataValidation>
    <dataValidation allowBlank="1" showInputMessage="1" showErrorMessage="1" prompt="Write model # and hw version in one word_x000a_e.g. WRT54GV1_x000a__x000a_Separate model #s with a comma (no space)_x000a_e.g. WRT54GV1,RE6500_x000a_" sqref="E12" xr:uid="{00000000-0002-0000-0000-000004000000}"/>
    <dataValidation type="list" allowBlank="1" showInputMessage="1" showErrorMessage="1" sqref="E14" xr:uid="{00000000-0002-0000-0000-000005000000}">
      <formula1>"Eligible, Not Eligible, Not Identified, N/A"</formula1>
    </dataValidation>
    <dataValidation type="list" allowBlank="1" showInputMessage="1" showErrorMessage="1" sqref="E13" xr:uid="{00000000-0002-0000-0000-000006000000}">
      <formula1>"30 days, 90 days, 1 year, 2 years, 3 years, 4 years, 5 years, Limited lifetime, Lifetime, Not Identified, N/A"</formula1>
    </dataValidation>
    <dataValidation type="list" allowBlank="1" showInputMessage="1" showErrorMessage="1" sqref="E11" xr:uid="{00000000-0002-0000-0000-000007000000}">
      <formula1>"ANZ, APEA, EMEA, LATAM, NA, Not Identified, Not Applicable"</formula1>
    </dataValidation>
    <dataValidation type="list" allowBlank="1" showInputMessage="1" showErrorMessage="1" sqref="E4" xr:uid="{00000000-0002-0000-0000-000008000000}">
      <formula1>"Linksys, Belkin, Belkin Networking, WEMO"</formula1>
    </dataValidation>
    <dataValidation type="list" allowBlank="1" showInputMessage="1" showErrorMessage="1" sqref="E7" xr:uid="{00000000-0002-0000-0000-000009000000}">
      <formula1>"Inbound, Outbound"</formula1>
    </dataValidation>
    <dataValidation type="list" allowBlank="1" showInputMessage="1" showErrorMessage="1" sqref="E8" xr:uid="{00000000-0002-0000-0000-00000A000000}">
      <formula1>"Customer Service, Tech Support, Tech Support &amp; Customer Service"</formula1>
    </dataValidation>
    <dataValidation allowBlank="1" showInputMessage="1" showErrorMessage="1" promptTitle="Indicate Customer Demographics" prompt="Separate with &quot;;&quot;_x000a_Examples:_x000a_1. Male; old; uses internet connection only; average tech level_x000a_2. Female; teenager; college student; needs internet access only; non-techie_x000a_3. Female; 30 years old; fond of video streaming; techie" sqref="K17" xr:uid="{00000000-0002-0000-0000-00000B000000}"/>
    <dataValidation type="list" allowBlank="1" showInputMessage="1" showErrorMessage="1" sqref="J8" xr:uid="{00000000-0002-0000-0000-00000C000000}">
      <formula1>"CX-CDO,CX-DVO"</formula1>
    </dataValidation>
    <dataValidation type="list" allowBlank="1" showInputMessage="1" showErrorMessage="1" sqref="E20:E22" xr:uid="{00000000-0002-0000-0000-00000D000000}">
      <formula1>"Yes, No, N/A"</formula1>
    </dataValidation>
    <dataValidation type="date" allowBlank="1" showInputMessage="1" showErrorMessage="1" sqref="J20 J5" xr:uid="{00000000-0002-0000-0000-00000E000000}">
      <formula1>43101</formula1>
      <formula2>47848</formula2>
    </dataValidation>
    <dataValidation type="time" allowBlank="1" showInputMessage="1" showErrorMessage="1" sqref="J21" xr:uid="{00000000-0002-0000-0000-00000F000000}">
      <formula1>0</formula1>
      <formula2>0.999988425925926</formula2>
    </dataValidation>
    <dataValidation type="time" allowBlank="1" showInputMessage="1" showErrorMessage="1" sqref="J22" xr:uid="{00000000-0002-0000-0000-000010000000}">
      <formula1>0.0000578703703703704</formula1>
      <formula2>0.333333333333333</formula2>
    </dataValidation>
  </dataValidations>
  <pageMargins left="0.7" right="0.7" top="0.75" bottom="0.75" header="0.3" footer="0.3"/>
  <pageSetup paperSize="9"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43034" r:id="rId4" name="Check Box 26">
              <controlPr defaultSize="0" autoFill="0" autoLine="0" autoPict="0" altText="Documented confidential information">
                <anchor moveWithCells="1" sizeWithCells="1">
                  <from>
                    <xdr:col>11</xdr:col>
                    <xdr:colOff>47625</xdr:colOff>
                    <xdr:row>28</xdr:row>
                    <xdr:rowOff>9525</xdr:rowOff>
                  </from>
                  <to>
                    <xdr:col>11</xdr:col>
                    <xdr:colOff>2009775</xdr:colOff>
                    <xdr:row>28</xdr:row>
                    <xdr:rowOff>190500</xdr:rowOff>
                  </to>
                </anchor>
              </controlPr>
            </control>
          </mc:Choice>
        </mc:AlternateContent>
        <mc:AlternateContent xmlns:mc="http://schemas.openxmlformats.org/markup-compatibility/2006">
          <mc:Choice Requires="x14">
            <control shapeId="43035" r:id="rId5" name="Check Box 27">
              <controlPr defaultSize="0" autoFill="0" autoLine="0" autoPict="0">
                <anchor moveWithCells="1" sizeWithCells="1">
                  <from>
                    <xdr:col>11</xdr:col>
                    <xdr:colOff>47625</xdr:colOff>
                    <xdr:row>28</xdr:row>
                    <xdr:rowOff>171450</xdr:rowOff>
                  </from>
                  <to>
                    <xdr:col>11</xdr:col>
                    <xdr:colOff>2009775</xdr:colOff>
                    <xdr:row>28</xdr:row>
                    <xdr:rowOff>352425</xdr:rowOff>
                  </to>
                </anchor>
              </controlPr>
            </control>
          </mc:Choice>
        </mc:AlternateContent>
        <mc:AlternateContent xmlns:mc="http://schemas.openxmlformats.org/markup-compatibility/2006">
          <mc:Choice Requires="x14">
            <control shapeId="43036" r:id="rId6" name="Check Box 28">
              <controlPr defaultSize="0" autoFill="0" autoLine="0" autoPict="0">
                <anchor moveWithCells="1" sizeWithCells="1">
                  <from>
                    <xdr:col>11</xdr:col>
                    <xdr:colOff>47625</xdr:colOff>
                    <xdr:row>28</xdr:row>
                    <xdr:rowOff>342900</xdr:rowOff>
                  </from>
                  <to>
                    <xdr:col>11</xdr:col>
                    <xdr:colOff>2009775</xdr:colOff>
                    <xdr:row>28</xdr:row>
                    <xdr:rowOff>523875</xdr:rowOff>
                  </to>
                </anchor>
              </controlPr>
            </control>
          </mc:Choice>
        </mc:AlternateContent>
        <mc:AlternateContent xmlns:mc="http://schemas.openxmlformats.org/markup-compatibility/2006">
          <mc:Choice Requires="x14">
            <control shapeId="43064" r:id="rId7" name="Check Box 56">
              <controlPr defaultSize="0" autoFill="0" autoLine="0" autoPict="0">
                <anchor moveWithCells="1" sizeWithCells="1">
                  <from>
                    <xdr:col>11</xdr:col>
                    <xdr:colOff>47625</xdr:colOff>
                    <xdr:row>29</xdr:row>
                    <xdr:rowOff>9525</xdr:rowOff>
                  </from>
                  <to>
                    <xdr:col>11</xdr:col>
                    <xdr:colOff>2009775</xdr:colOff>
                    <xdr:row>29</xdr:row>
                    <xdr:rowOff>190500</xdr:rowOff>
                  </to>
                </anchor>
              </controlPr>
            </control>
          </mc:Choice>
        </mc:AlternateContent>
        <mc:AlternateContent xmlns:mc="http://schemas.openxmlformats.org/markup-compatibility/2006">
          <mc:Choice Requires="x14">
            <control shapeId="43065" r:id="rId8" name="Check Box 57">
              <controlPr defaultSize="0" autoFill="0" autoLine="0" autoPict="0">
                <anchor moveWithCells="1" sizeWithCells="1">
                  <from>
                    <xdr:col>11</xdr:col>
                    <xdr:colOff>47625</xdr:colOff>
                    <xdr:row>29</xdr:row>
                    <xdr:rowOff>171450</xdr:rowOff>
                  </from>
                  <to>
                    <xdr:col>11</xdr:col>
                    <xdr:colOff>2009775</xdr:colOff>
                    <xdr:row>29</xdr:row>
                    <xdr:rowOff>352425</xdr:rowOff>
                  </to>
                </anchor>
              </controlPr>
            </control>
          </mc:Choice>
        </mc:AlternateContent>
        <mc:AlternateContent xmlns:mc="http://schemas.openxmlformats.org/markup-compatibility/2006">
          <mc:Choice Requires="x14">
            <control shapeId="43066" r:id="rId9" name="Check Box 58">
              <controlPr defaultSize="0" autoFill="0" autoLine="0" autoPict="0">
                <anchor moveWithCells="1" sizeWithCells="1">
                  <from>
                    <xdr:col>11</xdr:col>
                    <xdr:colOff>47625</xdr:colOff>
                    <xdr:row>29</xdr:row>
                    <xdr:rowOff>342900</xdr:rowOff>
                  </from>
                  <to>
                    <xdr:col>11</xdr:col>
                    <xdr:colOff>2009775</xdr:colOff>
                    <xdr:row>29</xdr:row>
                    <xdr:rowOff>523875</xdr:rowOff>
                  </to>
                </anchor>
              </controlPr>
            </control>
          </mc:Choice>
        </mc:AlternateContent>
        <mc:AlternateContent xmlns:mc="http://schemas.openxmlformats.org/markup-compatibility/2006">
          <mc:Choice Requires="x14">
            <control shapeId="43067" r:id="rId10" name="Check Box 59">
              <controlPr defaultSize="0" autoFill="0" autoLine="0" autoPict="0">
                <anchor moveWithCells="1" sizeWithCells="1">
                  <from>
                    <xdr:col>11</xdr:col>
                    <xdr:colOff>47625</xdr:colOff>
                    <xdr:row>29</xdr:row>
                    <xdr:rowOff>495300</xdr:rowOff>
                  </from>
                  <to>
                    <xdr:col>11</xdr:col>
                    <xdr:colOff>2009775</xdr:colOff>
                    <xdr:row>29</xdr:row>
                    <xdr:rowOff>676275</xdr:rowOff>
                  </to>
                </anchor>
              </controlPr>
            </control>
          </mc:Choice>
        </mc:AlternateContent>
        <mc:AlternateContent xmlns:mc="http://schemas.openxmlformats.org/markup-compatibility/2006">
          <mc:Choice Requires="x14">
            <control shapeId="43068" r:id="rId11" name="Check Box 60">
              <controlPr defaultSize="0" autoFill="0" autoLine="0" autoPict="0">
                <anchor moveWithCells="1" sizeWithCells="1">
                  <from>
                    <xdr:col>11</xdr:col>
                    <xdr:colOff>47625</xdr:colOff>
                    <xdr:row>29</xdr:row>
                    <xdr:rowOff>657225</xdr:rowOff>
                  </from>
                  <to>
                    <xdr:col>11</xdr:col>
                    <xdr:colOff>2009775</xdr:colOff>
                    <xdr:row>29</xdr:row>
                    <xdr:rowOff>838200</xdr:rowOff>
                  </to>
                </anchor>
              </controlPr>
            </control>
          </mc:Choice>
        </mc:AlternateContent>
        <mc:AlternateContent xmlns:mc="http://schemas.openxmlformats.org/markup-compatibility/2006">
          <mc:Choice Requires="x14">
            <control shapeId="43069" r:id="rId12" name="Check Box 61">
              <controlPr defaultSize="0" autoFill="0" autoLine="0" autoPict="0">
                <anchor moveWithCells="1" sizeWithCells="1">
                  <from>
                    <xdr:col>11</xdr:col>
                    <xdr:colOff>2514600</xdr:colOff>
                    <xdr:row>29</xdr:row>
                    <xdr:rowOff>9525</xdr:rowOff>
                  </from>
                  <to>
                    <xdr:col>12</xdr:col>
                    <xdr:colOff>762000</xdr:colOff>
                    <xdr:row>29</xdr:row>
                    <xdr:rowOff>190500</xdr:rowOff>
                  </to>
                </anchor>
              </controlPr>
            </control>
          </mc:Choice>
        </mc:AlternateContent>
        <mc:AlternateContent xmlns:mc="http://schemas.openxmlformats.org/markup-compatibility/2006">
          <mc:Choice Requires="x14">
            <control shapeId="43070" r:id="rId13" name="Check Box 62">
              <controlPr defaultSize="0" autoFill="0" autoLine="0" autoPict="0">
                <anchor moveWithCells="1" sizeWithCells="1">
                  <from>
                    <xdr:col>11</xdr:col>
                    <xdr:colOff>2514600</xdr:colOff>
                    <xdr:row>29</xdr:row>
                    <xdr:rowOff>171450</xdr:rowOff>
                  </from>
                  <to>
                    <xdr:col>12</xdr:col>
                    <xdr:colOff>762000</xdr:colOff>
                    <xdr:row>29</xdr:row>
                    <xdr:rowOff>352425</xdr:rowOff>
                  </to>
                </anchor>
              </controlPr>
            </control>
          </mc:Choice>
        </mc:AlternateContent>
        <mc:AlternateContent xmlns:mc="http://schemas.openxmlformats.org/markup-compatibility/2006">
          <mc:Choice Requires="x14">
            <control shapeId="43071" r:id="rId14" name="Check Box 63">
              <controlPr defaultSize="0" autoFill="0" autoLine="0" autoPict="0">
                <anchor moveWithCells="1" sizeWithCells="1">
                  <from>
                    <xdr:col>11</xdr:col>
                    <xdr:colOff>2514600</xdr:colOff>
                    <xdr:row>29</xdr:row>
                    <xdr:rowOff>342900</xdr:rowOff>
                  </from>
                  <to>
                    <xdr:col>12</xdr:col>
                    <xdr:colOff>762000</xdr:colOff>
                    <xdr:row>29</xdr:row>
                    <xdr:rowOff>523875</xdr:rowOff>
                  </to>
                </anchor>
              </controlPr>
            </control>
          </mc:Choice>
        </mc:AlternateContent>
        <mc:AlternateContent xmlns:mc="http://schemas.openxmlformats.org/markup-compatibility/2006">
          <mc:Choice Requires="x14">
            <control shapeId="43072" r:id="rId15" name="Check Box 64">
              <controlPr defaultSize="0" autoFill="0" autoLine="0" autoPict="0">
                <anchor moveWithCells="1" sizeWithCells="1">
                  <from>
                    <xdr:col>11</xdr:col>
                    <xdr:colOff>2514600</xdr:colOff>
                    <xdr:row>29</xdr:row>
                    <xdr:rowOff>495300</xdr:rowOff>
                  </from>
                  <to>
                    <xdr:col>12</xdr:col>
                    <xdr:colOff>762000</xdr:colOff>
                    <xdr:row>29</xdr:row>
                    <xdr:rowOff>676275</xdr:rowOff>
                  </to>
                </anchor>
              </controlPr>
            </control>
          </mc:Choice>
        </mc:AlternateContent>
        <mc:AlternateContent xmlns:mc="http://schemas.openxmlformats.org/markup-compatibility/2006">
          <mc:Choice Requires="x14">
            <control shapeId="43073" r:id="rId16" name="Check Box 65">
              <controlPr defaultSize="0" autoFill="0" autoLine="0" autoPict="0">
                <anchor moveWithCells="1" sizeWithCells="1">
                  <from>
                    <xdr:col>11</xdr:col>
                    <xdr:colOff>2514600</xdr:colOff>
                    <xdr:row>29</xdr:row>
                    <xdr:rowOff>657225</xdr:rowOff>
                  </from>
                  <to>
                    <xdr:col>12</xdr:col>
                    <xdr:colOff>762000</xdr:colOff>
                    <xdr:row>29</xdr:row>
                    <xdr:rowOff>838200</xdr:rowOff>
                  </to>
                </anchor>
              </controlPr>
            </control>
          </mc:Choice>
        </mc:AlternateContent>
        <mc:AlternateContent xmlns:mc="http://schemas.openxmlformats.org/markup-compatibility/2006">
          <mc:Choice Requires="x14">
            <control shapeId="43074" r:id="rId17" name="Check Box 66">
              <controlPr defaultSize="0" autoFill="0" autoLine="0" autoPict="0">
                <anchor moveWithCells="1" sizeWithCells="1">
                  <from>
                    <xdr:col>12</xdr:col>
                    <xdr:colOff>1771650</xdr:colOff>
                    <xdr:row>29</xdr:row>
                    <xdr:rowOff>9525</xdr:rowOff>
                  </from>
                  <to>
                    <xdr:col>13</xdr:col>
                    <xdr:colOff>19050</xdr:colOff>
                    <xdr:row>29</xdr:row>
                    <xdr:rowOff>190500</xdr:rowOff>
                  </to>
                </anchor>
              </controlPr>
            </control>
          </mc:Choice>
        </mc:AlternateContent>
        <mc:AlternateContent xmlns:mc="http://schemas.openxmlformats.org/markup-compatibility/2006">
          <mc:Choice Requires="x14">
            <control shapeId="43075" r:id="rId18" name="Check Box 67">
              <controlPr defaultSize="0" autoFill="0" autoLine="0" autoPict="0">
                <anchor moveWithCells="1" sizeWithCells="1">
                  <from>
                    <xdr:col>12</xdr:col>
                    <xdr:colOff>1771650</xdr:colOff>
                    <xdr:row>29</xdr:row>
                    <xdr:rowOff>171450</xdr:rowOff>
                  </from>
                  <to>
                    <xdr:col>13</xdr:col>
                    <xdr:colOff>19050</xdr:colOff>
                    <xdr:row>29</xdr:row>
                    <xdr:rowOff>352425</xdr:rowOff>
                  </to>
                </anchor>
              </controlPr>
            </control>
          </mc:Choice>
        </mc:AlternateContent>
        <mc:AlternateContent xmlns:mc="http://schemas.openxmlformats.org/markup-compatibility/2006">
          <mc:Choice Requires="x14">
            <control shapeId="43076" r:id="rId19" name="Check Box 68">
              <controlPr defaultSize="0" autoFill="0" autoLine="0" autoPict="0">
                <anchor moveWithCells="1" sizeWithCells="1">
                  <from>
                    <xdr:col>12</xdr:col>
                    <xdr:colOff>1771650</xdr:colOff>
                    <xdr:row>29</xdr:row>
                    <xdr:rowOff>342900</xdr:rowOff>
                  </from>
                  <to>
                    <xdr:col>13</xdr:col>
                    <xdr:colOff>19050</xdr:colOff>
                    <xdr:row>29</xdr:row>
                    <xdr:rowOff>523875</xdr:rowOff>
                  </to>
                </anchor>
              </controlPr>
            </control>
          </mc:Choice>
        </mc:AlternateContent>
        <mc:AlternateContent xmlns:mc="http://schemas.openxmlformats.org/markup-compatibility/2006">
          <mc:Choice Requires="x14">
            <control shapeId="43077" r:id="rId20" name="Check Box 69">
              <controlPr defaultSize="0" autoFill="0" autoLine="0" autoPict="0">
                <anchor moveWithCells="1" sizeWithCells="1">
                  <from>
                    <xdr:col>12</xdr:col>
                    <xdr:colOff>1771650</xdr:colOff>
                    <xdr:row>29</xdr:row>
                    <xdr:rowOff>495300</xdr:rowOff>
                  </from>
                  <to>
                    <xdr:col>13</xdr:col>
                    <xdr:colOff>19050</xdr:colOff>
                    <xdr:row>29</xdr:row>
                    <xdr:rowOff>676275</xdr:rowOff>
                  </to>
                </anchor>
              </controlPr>
            </control>
          </mc:Choice>
        </mc:AlternateContent>
        <mc:AlternateContent xmlns:mc="http://schemas.openxmlformats.org/markup-compatibility/2006">
          <mc:Choice Requires="x14">
            <control shapeId="43078" r:id="rId21" name="Check Box 70">
              <controlPr defaultSize="0" autoFill="0" autoLine="0" autoPict="0">
                <anchor moveWithCells="1" sizeWithCells="1">
                  <from>
                    <xdr:col>12</xdr:col>
                    <xdr:colOff>1771650</xdr:colOff>
                    <xdr:row>29</xdr:row>
                    <xdr:rowOff>657225</xdr:rowOff>
                  </from>
                  <to>
                    <xdr:col>13</xdr:col>
                    <xdr:colOff>19050</xdr:colOff>
                    <xdr:row>29</xdr:row>
                    <xdr:rowOff>838200</xdr:rowOff>
                  </to>
                </anchor>
              </controlPr>
            </control>
          </mc:Choice>
        </mc:AlternateContent>
        <mc:AlternateContent xmlns:mc="http://schemas.openxmlformats.org/markup-compatibility/2006">
          <mc:Choice Requires="x14">
            <control shapeId="43079" r:id="rId22" name="Check Box 71">
              <controlPr defaultSize="0" autoFill="0" autoLine="0" autoPict="0">
                <anchor moveWithCells="1" sizeWithCells="1">
                  <from>
                    <xdr:col>13</xdr:col>
                    <xdr:colOff>371475</xdr:colOff>
                    <xdr:row>29</xdr:row>
                    <xdr:rowOff>9525</xdr:rowOff>
                  </from>
                  <to>
                    <xdr:col>13</xdr:col>
                    <xdr:colOff>2333625</xdr:colOff>
                    <xdr:row>29</xdr:row>
                    <xdr:rowOff>190500</xdr:rowOff>
                  </to>
                </anchor>
              </controlPr>
            </control>
          </mc:Choice>
        </mc:AlternateContent>
        <mc:AlternateContent xmlns:mc="http://schemas.openxmlformats.org/markup-compatibility/2006">
          <mc:Choice Requires="x14">
            <control shapeId="43080" r:id="rId23" name="Check Box 72">
              <controlPr defaultSize="0" autoFill="0" autoLine="0" autoPict="0">
                <anchor moveWithCells="1" sizeWithCells="1">
                  <from>
                    <xdr:col>13</xdr:col>
                    <xdr:colOff>371475</xdr:colOff>
                    <xdr:row>29</xdr:row>
                    <xdr:rowOff>171450</xdr:rowOff>
                  </from>
                  <to>
                    <xdr:col>13</xdr:col>
                    <xdr:colOff>2333625</xdr:colOff>
                    <xdr:row>29</xdr:row>
                    <xdr:rowOff>352425</xdr:rowOff>
                  </to>
                </anchor>
              </controlPr>
            </control>
          </mc:Choice>
        </mc:AlternateContent>
        <mc:AlternateContent xmlns:mc="http://schemas.openxmlformats.org/markup-compatibility/2006">
          <mc:Choice Requires="x14">
            <control shapeId="43081" r:id="rId24" name="Check Box 73">
              <controlPr defaultSize="0" autoFill="0" autoLine="0" autoPict="0">
                <anchor moveWithCells="1" sizeWithCells="1">
                  <from>
                    <xdr:col>13</xdr:col>
                    <xdr:colOff>371475</xdr:colOff>
                    <xdr:row>29</xdr:row>
                    <xdr:rowOff>342900</xdr:rowOff>
                  </from>
                  <to>
                    <xdr:col>13</xdr:col>
                    <xdr:colOff>2333625</xdr:colOff>
                    <xdr:row>29</xdr:row>
                    <xdr:rowOff>523875</xdr:rowOff>
                  </to>
                </anchor>
              </controlPr>
            </control>
          </mc:Choice>
        </mc:AlternateContent>
        <mc:AlternateContent xmlns:mc="http://schemas.openxmlformats.org/markup-compatibility/2006">
          <mc:Choice Requires="x14">
            <control shapeId="43082" r:id="rId25" name="Check Box 74">
              <controlPr defaultSize="0" autoFill="0" autoLine="0" autoPict="0">
                <anchor moveWithCells="1" sizeWithCells="1">
                  <from>
                    <xdr:col>13</xdr:col>
                    <xdr:colOff>371475</xdr:colOff>
                    <xdr:row>29</xdr:row>
                    <xdr:rowOff>495300</xdr:rowOff>
                  </from>
                  <to>
                    <xdr:col>13</xdr:col>
                    <xdr:colOff>2333625</xdr:colOff>
                    <xdr:row>29</xdr:row>
                    <xdr:rowOff>676275</xdr:rowOff>
                  </to>
                </anchor>
              </controlPr>
            </control>
          </mc:Choice>
        </mc:AlternateContent>
        <mc:AlternateContent xmlns:mc="http://schemas.openxmlformats.org/markup-compatibility/2006">
          <mc:Choice Requires="x14">
            <control shapeId="43083" r:id="rId26" name="Check Box 75">
              <controlPr defaultSize="0" autoFill="0" autoLine="0" autoPict="0">
                <anchor moveWithCells="1" sizeWithCells="1">
                  <from>
                    <xdr:col>13</xdr:col>
                    <xdr:colOff>371475</xdr:colOff>
                    <xdr:row>29</xdr:row>
                    <xdr:rowOff>657225</xdr:rowOff>
                  </from>
                  <to>
                    <xdr:col>13</xdr:col>
                    <xdr:colOff>2333625</xdr:colOff>
                    <xdr:row>29</xdr:row>
                    <xdr:rowOff>838200</xdr:rowOff>
                  </to>
                </anchor>
              </controlPr>
            </control>
          </mc:Choice>
        </mc:AlternateContent>
        <mc:AlternateContent xmlns:mc="http://schemas.openxmlformats.org/markup-compatibility/2006">
          <mc:Choice Requires="x14">
            <control shapeId="43107" r:id="rId27" name="Check Box 99">
              <controlPr defaultSize="0" autoFill="0" autoLine="0" autoPict="0">
                <anchor moveWithCells="1" sizeWithCells="1">
                  <from>
                    <xdr:col>11</xdr:col>
                    <xdr:colOff>47625</xdr:colOff>
                    <xdr:row>30</xdr:row>
                    <xdr:rowOff>9525</xdr:rowOff>
                  </from>
                  <to>
                    <xdr:col>11</xdr:col>
                    <xdr:colOff>2009775</xdr:colOff>
                    <xdr:row>30</xdr:row>
                    <xdr:rowOff>190500</xdr:rowOff>
                  </to>
                </anchor>
              </controlPr>
            </control>
          </mc:Choice>
        </mc:AlternateContent>
        <mc:AlternateContent xmlns:mc="http://schemas.openxmlformats.org/markup-compatibility/2006">
          <mc:Choice Requires="x14">
            <control shapeId="43108" r:id="rId28" name="Check Box 100">
              <controlPr defaultSize="0" autoFill="0" autoLine="0" autoPict="0">
                <anchor moveWithCells="1" sizeWithCells="1">
                  <from>
                    <xdr:col>11</xdr:col>
                    <xdr:colOff>47625</xdr:colOff>
                    <xdr:row>30</xdr:row>
                    <xdr:rowOff>171450</xdr:rowOff>
                  </from>
                  <to>
                    <xdr:col>11</xdr:col>
                    <xdr:colOff>2009775</xdr:colOff>
                    <xdr:row>30</xdr:row>
                    <xdr:rowOff>352425</xdr:rowOff>
                  </to>
                </anchor>
              </controlPr>
            </control>
          </mc:Choice>
        </mc:AlternateContent>
        <mc:AlternateContent xmlns:mc="http://schemas.openxmlformats.org/markup-compatibility/2006">
          <mc:Choice Requires="x14">
            <control shapeId="43109" r:id="rId29" name="Check Box 101">
              <controlPr defaultSize="0" autoFill="0" autoLine="0" autoPict="0">
                <anchor moveWithCells="1" sizeWithCells="1">
                  <from>
                    <xdr:col>11</xdr:col>
                    <xdr:colOff>47625</xdr:colOff>
                    <xdr:row>30</xdr:row>
                    <xdr:rowOff>342900</xdr:rowOff>
                  </from>
                  <to>
                    <xdr:col>11</xdr:col>
                    <xdr:colOff>2009775</xdr:colOff>
                    <xdr:row>30</xdr:row>
                    <xdr:rowOff>523875</xdr:rowOff>
                  </to>
                </anchor>
              </controlPr>
            </control>
          </mc:Choice>
        </mc:AlternateContent>
        <mc:AlternateContent xmlns:mc="http://schemas.openxmlformats.org/markup-compatibility/2006">
          <mc:Choice Requires="x14">
            <control shapeId="43110" r:id="rId30" name="Check Box 102">
              <controlPr defaultSize="0" autoFill="0" autoLine="0" autoPict="0">
                <anchor moveWithCells="1" sizeWithCells="1">
                  <from>
                    <xdr:col>11</xdr:col>
                    <xdr:colOff>47625</xdr:colOff>
                    <xdr:row>30</xdr:row>
                    <xdr:rowOff>495300</xdr:rowOff>
                  </from>
                  <to>
                    <xdr:col>11</xdr:col>
                    <xdr:colOff>2009775</xdr:colOff>
                    <xdr:row>30</xdr:row>
                    <xdr:rowOff>676275</xdr:rowOff>
                  </to>
                </anchor>
              </controlPr>
            </control>
          </mc:Choice>
        </mc:AlternateContent>
        <mc:AlternateContent xmlns:mc="http://schemas.openxmlformats.org/markup-compatibility/2006">
          <mc:Choice Requires="x14">
            <control shapeId="43111" r:id="rId31" name="Check Box 103">
              <controlPr defaultSize="0" autoFill="0" autoLine="0" autoPict="0">
                <anchor moveWithCells="1" sizeWithCells="1">
                  <from>
                    <xdr:col>11</xdr:col>
                    <xdr:colOff>47625</xdr:colOff>
                    <xdr:row>30</xdr:row>
                    <xdr:rowOff>657225</xdr:rowOff>
                  </from>
                  <to>
                    <xdr:col>11</xdr:col>
                    <xdr:colOff>2009775</xdr:colOff>
                    <xdr:row>30</xdr:row>
                    <xdr:rowOff>838200</xdr:rowOff>
                  </to>
                </anchor>
              </controlPr>
            </control>
          </mc:Choice>
        </mc:AlternateContent>
        <mc:AlternateContent xmlns:mc="http://schemas.openxmlformats.org/markup-compatibility/2006">
          <mc:Choice Requires="x14">
            <control shapeId="43112" r:id="rId32" name="Check Box 104">
              <controlPr defaultSize="0" autoFill="0" autoLine="0" autoPict="0">
                <anchor moveWithCells="1" sizeWithCells="1">
                  <from>
                    <xdr:col>11</xdr:col>
                    <xdr:colOff>2514600</xdr:colOff>
                    <xdr:row>30</xdr:row>
                    <xdr:rowOff>9525</xdr:rowOff>
                  </from>
                  <to>
                    <xdr:col>12</xdr:col>
                    <xdr:colOff>762000</xdr:colOff>
                    <xdr:row>30</xdr:row>
                    <xdr:rowOff>190500</xdr:rowOff>
                  </to>
                </anchor>
              </controlPr>
            </control>
          </mc:Choice>
        </mc:AlternateContent>
        <mc:AlternateContent xmlns:mc="http://schemas.openxmlformats.org/markup-compatibility/2006">
          <mc:Choice Requires="x14">
            <control shapeId="43113" r:id="rId33" name="Check Box 105">
              <controlPr defaultSize="0" autoFill="0" autoLine="0" autoPict="0">
                <anchor moveWithCells="1" sizeWithCells="1">
                  <from>
                    <xdr:col>11</xdr:col>
                    <xdr:colOff>2514600</xdr:colOff>
                    <xdr:row>30</xdr:row>
                    <xdr:rowOff>171450</xdr:rowOff>
                  </from>
                  <to>
                    <xdr:col>12</xdr:col>
                    <xdr:colOff>762000</xdr:colOff>
                    <xdr:row>30</xdr:row>
                    <xdr:rowOff>352425</xdr:rowOff>
                  </to>
                </anchor>
              </controlPr>
            </control>
          </mc:Choice>
        </mc:AlternateContent>
        <mc:AlternateContent xmlns:mc="http://schemas.openxmlformats.org/markup-compatibility/2006">
          <mc:Choice Requires="x14">
            <control shapeId="43114" r:id="rId34" name="Check Box 106">
              <controlPr defaultSize="0" autoFill="0" autoLine="0" autoPict="0">
                <anchor moveWithCells="1" sizeWithCells="1">
                  <from>
                    <xdr:col>11</xdr:col>
                    <xdr:colOff>2514600</xdr:colOff>
                    <xdr:row>30</xdr:row>
                    <xdr:rowOff>342900</xdr:rowOff>
                  </from>
                  <to>
                    <xdr:col>12</xdr:col>
                    <xdr:colOff>762000</xdr:colOff>
                    <xdr:row>30</xdr:row>
                    <xdr:rowOff>523875</xdr:rowOff>
                  </to>
                </anchor>
              </controlPr>
            </control>
          </mc:Choice>
        </mc:AlternateContent>
        <mc:AlternateContent xmlns:mc="http://schemas.openxmlformats.org/markup-compatibility/2006">
          <mc:Choice Requires="x14">
            <control shapeId="43115" r:id="rId35" name="Check Box 107">
              <controlPr defaultSize="0" autoFill="0" autoLine="0" autoPict="0">
                <anchor moveWithCells="1" sizeWithCells="1">
                  <from>
                    <xdr:col>11</xdr:col>
                    <xdr:colOff>2514600</xdr:colOff>
                    <xdr:row>30</xdr:row>
                    <xdr:rowOff>495300</xdr:rowOff>
                  </from>
                  <to>
                    <xdr:col>12</xdr:col>
                    <xdr:colOff>762000</xdr:colOff>
                    <xdr:row>30</xdr:row>
                    <xdr:rowOff>676275</xdr:rowOff>
                  </to>
                </anchor>
              </controlPr>
            </control>
          </mc:Choice>
        </mc:AlternateContent>
        <mc:AlternateContent xmlns:mc="http://schemas.openxmlformats.org/markup-compatibility/2006">
          <mc:Choice Requires="x14">
            <control shapeId="43116" r:id="rId36" name="Check Box 108">
              <controlPr defaultSize="0" autoFill="0" autoLine="0" autoPict="0">
                <anchor moveWithCells="1" sizeWithCells="1">
                  <from>
                    <xdr:col>11</xdr:col>
                    <xdr:colOff>2514600</xdr:colOff>
                    <xdr:row>30</xdr:row>
                    <xdr:rowOff>657225</xdr:rowOff>
                  </from>
                  <to>
                    <xdr:col>12</xdr:col>
                    <xdr:colOff>762000</xdr:colOff>
                    <xdr:row>30</xdr:row>
                    <xdr:rowOff>838200</xdr:rowOff>
                  </to>
                </anchor>
              </controlPr>
            </control>
          </mc:Choice>
        </mc:AlternateContent>
        <mc:AlternateContent xmlns:mc="http://schemas.openxmlformats.org/markup-compatibility/2006">
          <mc:Choice Requires="x14">
            <control shapeId="43117" r:id="rId37" name="Check Box 109">
              <controlPr defaultSize="0" autoFill="0" autoLine="0" autoPict="0">
                <anchor moveWithCells="1" sizeWithCells="1">
                  <from>
                    <xdr:col>12</xdr:col>
                    <xdr:colOff>1771650</xdr:colOff>
                    <xdr:row>30</xdr:row>
                    <xdr:rowOff>9525</xdr:rowOff>
                  </from>
                  <to>
                    <xdr:col>13</xdr:col>
                    <xdr:colOff>19050</xdr:colOff>
                    <xdr:row>30</xdr:row>
                    <xdr:rowOff>190500</xdr:rowOff>
                  </to>
                </anchor>
              </controlPr>
            </control>
          </mc:Choice>
        </mc:AlternateContent>
        <mc:AlternateContent xmlns:mc="http://schemas.openxmlformats.org/markup-compatibility/2006">
          <mc:Choice Requires="x14">
            <control shapeId="43118" r:id="rId38" name="Check Box 110">
              <controlPr defaultSize="0" autoFill="0" autoLine="0" autoPict="0">
                <anchor moveWithCells="1" sizeWithCells="1">
                  <from>
                    <xdr:col>12</xdr:col>
                    <xdr:colOff>1771650</xdr:colOff>
                    <xdr:row>30</xdr:row>
                    <xdr:rowOff>171450</xdr:rowOff>
                  </from>
                  <to>
                    <xdr:col>13</xdr:col>
                    <xdr:colOff>19050</xdr:colOff>
                    <xdr:row>30</xdr:row>
                    <xdr:rowOff>352425</xdr:rowOff>
                  </to>
                </anchor>
              </controlPr>
            </control>
          </mc:Choice>
        </mc:AlternateContent>
        <mc:AlternateContent xmlns:mc="http://schemas.openxmlformats.org/markup-compatibility/2006">
          <mc:Choice Requires="x14">
            <control shapeId="43119" r:id="rId39" name="Check Box 111">
              <controlPr defaultSize="0" autoFill="0" autoLine="0" autoPict="0">
                <anchor moveWithCells="1" sizeWithCells="1">
                  <from>
                    <xdr:col>12</xdr:col>
                    <xdr:colOff>1771650</xdr:colOff>
                    <xdr:row>30</xdr:row>
                    <xdr:rowOff>342900</xdr:rowOff>
                  </from>
                  <to>
                    <xdr:col>13</xdr:col>
                    <xdr:colOff>19050</xdr:colOff>
                    <xdr:row>30</xdr:row>
                    <xdr:rowOff>523875</xdr:rowOff>
                  </to>
                </anchor>
              </controlPr>
            </control>
          </mc:Choice>
        </mc:AlternateContent>
        <mc:AlternateContent xmlns:mc="http://schemas.openxmlformats.org/markup-compatibility/2006">
          <mc:Choice Requires="x14">
            <control shapeId="43120" r:id="rId40" name="Check Box 112">
              <controlPr defaultSize="0" autoFill="0" autoLine="0" autoPict="0">
                <anchor moveWithCells="1" sizeWithCells="1">
                  <from>
                    <xdr:col>12</xdr:col>
                    <xdr:colOff>1771650</xdr:colOff>
                    <xdr:row>30</xdr:row>
                    <xdr:rowOff>495300</xdr:rowOff>
                  </from>
                  <to>
                    <xdr:col>13</xdr:col>
                    <xdr:colOff>19050</xdr:colOff>
                    <xdr:row>30</xdr:row>
                    <xdr:rowOff>676275</xdr:rowOff>
                  </to>
                </anchor>
              </controlPr>
            </control>
          </mc:Choice>
        </mc:AlternateContent>
        <mc:AlternateContent xmlns:mc="http://schemas.openxmlformats.org/markup-compatibility/2006">
          <mc:Choice Requires="x14">
            <control shapeId="43121" r:id="rId41" name="Check Box 113">
              <controlPr defaultSize="0" autoFill="0" autoLine="0" autoPict="0">
                <anchor moveWithCells="1" sizeWithCells="1">
                  <from>
                    <xdr:col>12</xdr:col>
                    <xdr:colOff>1771650</xdr:colOff>
                    <xdr:row>30</xdr:row>
                    <xdr:rowOff>657225</xdr:rowOff>
                  </from>
                  <to>
                    <xdr:col>13</xdr:col>
                    <xdr:colOff>19050</xdr:colOff>
                    <xdr:row>30</xdr:row>
                    <xdr:rowOff>838200</xdr:rowOff>
                  </to>
                </anchor>
              </controlPr>
            </control>
          </mc:Choice>
        </mc:AlternateContent>
        <mc:AlternateContent xmlns:mc="http://schemas.openxmlformats.org/markup-compatibility/2006">
          <mc:Choice Requires="x14">
            <control shapeId="43122" r:id="rId42" name="Check Box 114">
              <controlPr defaultSize="0" autoFill="0" autoLine="0" autoPict="0">
                <anchor moveWithCells="1" sizeWithCells="1">
                  <from>
                    <xdr:col>13</xdr:col>
                    <xdr:colOff>371475</xdr:colOff>
                    <xdr:row>30</xdr:row>
                    <xdr:rowOff>9525</xdr:rowOff>
                  </from>
                  <to>
                    <xdr:col>13</xdr:col>
                    <xdr:colOff>2333625</xdr:colOff>
                    <xdr:row>30</xdr:row>
                    <xdr:rowOff>190500</xdr:rowOff>
                  </to>
                </anchor>
              </controlPr>
            </control>
          </mc:Choice>
        </mc:AlternateContent>
        <mc:AlternateContent xmlns:mc="http://schemas.openxmlformats.org/markup-compatibility/2006">
          <mc:Choice Requires="x14">
            <control shapeId="43249" r:id="rId43" name="Check Box 241">
              <controlPr defaultSize="0" autoFill="0" autoLine="0" autoPict="0">
                <anchor moveWithCells="1" sizeWithCells="1">
                  <from>
                    <xdr:col>11</xdr:col>
                    <xdr:colOff>47625</xdr:colOff>
                    <xdr:row>32</xdr:row>
                    <xdr:rowOff>9525</xdr:rowOff>
                  </from>
                  <to>
                    <xdr:col>11</xdr:col>
                    <xdr:colOff>2009775</xdr:colOff>
                    <xdr:row>32</xdr:row>
                    <xdr:rowOff>190500</xdr:rowOff>
                  </to>
                </anchor>
              </controlPr>
            </control>
          </mc:Choice>
        </mc:AlternateContent>
        <mc:AlternateContent xmlns:mc="http://schemas.openxmlformats.org/markup-compatibility/2006">
          <mc:Choice Requires="x14">
            <control shapeId="43263" r:id="rId44" name="Check Box 255">
              <controlPr defaultSize="0" autoFill="0" autoLine="0" autoPict="0">
                <anchor moveWithCells="1" sizeWithCells="1">
                  <from>
                    <xdr:col>11</xdr:col>
                    <xdr:colOff>47625</xdr:colOff>
                    <xdr:row>33</xdr:row>
                    <xdr:rowOff>9525</xdr:rowOff>
                  </from>
                  <to>
                    <xdr:col>11</xdr:col>
                    <xdr:colOff>2009775</xdr:colOff>
                    <xdr:row>33</xdr:row>
                    <xdr:rowOff>190500</xdr:rowOff>
                  </to>
                </anchor>
              </controlPr>
            </control>
          </mc:Choice>
        </mc:AlternateContent>
        <mc:AlternateContent xmlns:mc="http://schemas.openxmlformats.org/markup-compatibility/2006">
          <mc:Choice Requires="x14">
            <control shapeId="43264" r:id="rId45" name="Check Box 256">
              <controlPr defaultSize="0" autoFill="0" autoLine="0" autoPict="0">
                <anchor moveWithCells="1" sizeWithCells="1">
                  <from>
                    <xdr:col>11</xdr:col>
                    <xdr:colOff>47625</xdr:colOff>
                    <xdr:row>33</xdr:row>
                    <xdr:rowOff>171450</xdr:rowOff>
                  </from>
                  <to>
                    <xdr:col>11</xdr:col>
                    <xdr:colOff>2009775</xdr:colOff>
                    <xdr:row>33</xdr:row>
                    <xdr:rowOff>352425</xdr:rowOff>
                  </to>
                </anchor>
              </controlPr>
            </control>
          </mc:Choice>
        </mc:AlternateContent>
        <mc:AlternateContent xmlns:mc="http://schemas.openxmlformats.org/markup-compatibility/2006">
          <mc:Choice Requires="x14">
            <control shapeId="43297" r:id="rId46" name="Check Box 289">
              <controlPr defaultSize="0" autoFill="0" autoLine="0" autoPict="0">
                <anchor moveWithCells="1" sizeWithCells="1">
                  <from>
                    <xdr:col>11</xdr:col>
                    <xdr:colOff>47625</xdr:colOff>
                    <xdr:row>34</xdr:row>
                    <xdr:rowOff>9525</xdr:rowOff>
                  </from>
                  <to>
                    <xdr:col>11</xdr:col>
                    <xdr:colOff>2009775</xdr:colOff>
                    <xdr:row>34</xdr:row>
                    <xdr:rowOff>190500</xdr:rowOff>
                  </to>
                </anchor>
              </controlPr>
            </control>
          </mc:Choice>
        </mc:AlternateContent>
        <mc:AlternateContent xmlns:mc="http://schemas.openxmlformats.org/markup-compatibility/2006">
          <mc:Choice Requires="x14">
            <control shapeId="43298" r:id="rId47" name="Check Box 290">
              <controlPr defaultSize="0" autoFill="0" autoLine="0" autoPict="0">
                <anchor moveWithCells="1" sizeWithCells="1">
                  <from>
                    <xdr:col>11</xdr:col>
                    <xdr:colOff>47625</xdr:colOff>
                    <xdr:row>34</xdr:row>
                    <xdr:rowOff>171450</xdr:rowOff>
                  </from>
                  <to>
                    <xdr:col>11</xdr:col>
                    <xdr:colOff>2009775</xdr:colOff>
                    <xdr:row>34</xdr:row>
                    <xdr:rowOff>352425</xdr:rowOff>
                  </to>
                </anchor>
              </controlPr>
            </control>
          </mc:Choice>
        </mc:AlternateContent>
        <mc:AlternateContent xmlns:mc="http://schemas.openxmlformats.org/markup-compatibility/2006">
          <mc:Choice Requires="x14">
            <control shapeId="43299" r:id="rId48" name="Check Box 291">
              <controlPr defaultSize="0" autoFill="0" autoLine="0" autoPict="0">
                <anchor moveWithCells="1" sizeWithCells="1">
                  <from>
                    <xdr:col>11</xdr:col>
                    <xdr:colOff>47625</xdr:colOff>
                    <xdr:row>34</xdr:row>
                    <xdr:rowOff>342900</xdr:rowOff>
                  </from>
                  <to>
                    <xdr:col>11</xdr:col>
                    <xdr:colOff>2009775</xdr:colOff>
                    <xdr:row>34</xdr:row>
                    <xdr:rowOff>523875</xdr:rowOff>
                  </to>
                </anchor>
              </controlPr>
            </control>
          </mc:Choice>
        </mc:AlternateContent>
        <mc:AlternateContent xmlns:mc="http://schemas.openxmlformats.org/markup-compatibility/2006">
          <mc:Choice Requires="x14">
            <control shapeId="43327" r:id="rId49" name="Check Box 319">
              <controlPr defaultSize="0" autoFill="0" autoLine="0" autoPict="0">
                <anchor moveWithCells="1" sizeWithCells="1">
                  <from>
                    <xdr:col>11</xdr:col>
                    <xdr:colOff>47625</xdr:colOff>
                    <xdr:row>35</xdr:row>
                    <xdr:rowOff>9525</xdr:rowOff>
                  </from>
                  <to>
                    <xdr:col>11</xdr:col>
                    <xdr:colOff>2009775</xdr:colOff>
                    <xdr:row>35</xdr:row>
                    <xdr:rowOff>190500</xdr:rowOff>
                  </to>
                </anchor>
              </controlPr>
            </control>
          </mc:Choice>
        </mc:AlternateContent>
        <mc:AlternateContent xmlns:mc="http://schemas.openxmlformats.org/markup-compatibility/2006">
          <mc:Choice Requires="x14">
            <control shapeId="43328" r:id="rId50" name="Check Box 320">
              <controlPr defaultSize="0" autoFill="0" autoLine="0" autoPict="0">
                <anchor moveWithCells="1" sizeWithCells="1">
                  <from>
                    <xdr:col>11</xdr:col>
                    <xdr:colOff>47625</xdr:colOff>
                    <xdr:row>35</xdr:row>
                    <xdr:rowOff>171450</xdr:rowOff>
                  </from>
                  <to>
                    <xdr:col>11</xdr:col>
                    <xdr:colOff>2009775</xdr:colOff>
                    <xdr:row>35</xdr:row>
                    <xdr:rowOff>352425</xdr:rowOff>
                  </to>
                </anchor>
              </controlPr>
            </control>
          </mc:Choice>
        </mc:AlternateContent>
        <mc:AlternateContent xmlns:mc="http://schemas.openxmlformats.org/markup-compatibility/2006">
          <mc:Choice Requires="x14">
            <control shapeId="43351" r:id="rId51" name="Check Box 343">
              <controlPr defaultSize="0" autoFill="0" autoLine="0" autoPict="0">
                <anchor moveWithCells="1" sizeWithCells="1">
                  <from>
                    <xdr:col>11</xdr:col>
                    <xdr:colOff>47625</xdr:colOff>
                    <xdr:row>36</xdr:row>
                    <xdr:rowOff>0</xdr:rowOff>
                  </from>
                  <to>
                    <xdr:col>11</xdr:col>
                    <xdr:colOff>3048000</xdr:colOff>
                    <xdr:row>36</xdr:row>
                    <xdr:rowOff>190500</xdr:rowOff>
                  </to>
                </anchor>
              </controlPr>
            </control>
          </mc:Choice>
        </mc:AlternateContent>
        <mc:AlternateContent xmlns:mc="http://schemas.openxmlformats.org/markup-compatibility/2006">
          <mc:Choice Requires="x14">
            <control shapeId="43352" r:id="rId52" name="Check Box 344">
              <controlPr defaultSize="0" autoFill="0" autoLine="0" autoPict="0">
                <anchor moveWithCells="1" sizeWithCells="1">
                  <from>
                    <xdr:col>11</xdr:col>
                    <xdr:colOff>47625</xdr:colOff>
                    <xdr:row>36</xdr:row>
                    <xdr:rowOff>180975</xdr:rowOff>
                  </from>
                  <to>
                    <xdr:col>11</xdr:col>
                    <xdr:colOff>2857500</xdr:colOff>
                    <xdr:row>36</xdr:row>
                    <xdr:rowOff>352425</xdr:rowOff>
                  </to>
                </anchor>
              </controlPr>
            </control>
          </mc:Choice>
        </mc:AlternateContent>
        <mc:AlternateContent xmlns:mc="http://schemas.openxmlformats.org/markup-compatibility/2006">
          <mc:Choice Requires="x14">
            <control shapeId="43353" r:id="rId53" name="Check Box 345">
              <controlPr defaultSize="0" autoFill="0" autoLine="0" autoPict="0">
                <anchor moveWithCells="1" sizeWithCells="1">
                  <from>
                    <xdr:col>11</xdr:col>
                    <xdr:colOff>47625</xdr:colOff>
                    <xdr:row>36</xdr:row>
                    <xdr:rowOff>342900</xdr:rowOff>
                  </from>
                  <to>
                    <xdr:col>12</xdr:col>
                    <xdr:colOff>0</xdr:colOff>
                    <xdr:row>36</xdr:row>
                    <xdr:rowOff>523875</xdr:rowOff>
                  </to>
                </anchor>
              </controlPr>
            </control>
          </mc:Choice>
        </mc:AlternateContent>
        <mc:AlternateContent xmlns:mc="http://schemas.openxmlformats.org/markup-compatibility/2006">
          <mc:Choice Requires="x14">
            <control shapeId="43354" r:id="rId54" name="Check Box 346">
              <controlPr defaultSize="0" autoFill="0" autoLine="0" autoPict="0">
                <anchor moveWithCells="1" sizeWithCells="1">
                  <from>
                    <xdr:col>11</xdr:col>
                    <xdr:colOff>47625</xdr:colOff>
                    <xdr:row>36</xdr:row>
                    <xdr:rowOff>514350</xdr:rowOff>
                  </from>
                  <to>
                    <xdr:col>12</xdr:col>
                    <xdr:colOff>19050</xdr:colOff>
                    <xdr:row>36</xdr:row>
                    <xdr:rowOff>676275</xdr:rowOff>
                  </to>
                </anchor>
              </controlPr>
            </control>
          </mc:Choice>
        </mc:AlternateContent>
        <mc:AlternateContent xmlns:mc="http://schemas.openxmlformats.org/markup-compatibility/2006">
          <mc:Choice Requires="x14">
            <control shapeId="43355" r:id="rId55" name="Check Box 347">
              <controlPr defaultSize="0" autoFill="0" autoLine="0" autoPict="0">
                <anchor moveWithCells="1" sizeWithCells="1">
                  <from>
                    <xdr:col>11</xdr:col>
                    <xdr:colOff>47625</xdr:colOff>
                    <xdr:row>36</xdr:row>
                    <xdr:rowOff>666750</xdr:rowOff>
                  </from>
                  <to>
                    <xdr:col>11</xdr:col>
                    <xdr:colOff>3552825</xdr:colOff>
                    <xdr:row>36</xdr:row>
                    <xdr:rowOff>838200</xdr:rowOff>
                  </to>
                </anchor>
              </controlPr>
            </control>
          </mc:Choice>
        </mc:AlternateContent>
        <mc:AlternateContent xmlns:mc="http://schemas.openxmlformats.org/markup-compatibility/2006">
          <mc:Choice Requires="x14">
            <control shapeId="43373" r:id="rId56" name="Check Box 365">
              <controlPr defaultSize="0" autoFill="0" autoLine="0" autoPict="0">
                <anchor moveWithCells="1" sizeWithCells="1">
                  <from>
                    <xdr:col>3</xdr:col>
                    <xdr:colOff>266700</xdr:colOff>
                    <xdr:row>86</xdr:row>
                    <xdr:rowOff>0</xdr:rowOff>
                  </from>
                  <to>
                    <xdr:col>3</xdr:col>
                    <xdr:colOff>495300</xdr:colOff>
                    <xdr:row>86</xdr:row>
                    <xdr:rowOff>0</xdr:rowOff>
                  </to>
                </anchor>
              </controlPr>
            </control>
          </mc:Choice>
        </mc:AlternateContent>
        <mc:AlternateContent xmlns:mc="http://schemas.openxmlformats.org/markup-compatibility/2006">
          <mc:Choice Requires="x14">
            <control shapeId="43374" r:id="rId57" name="Check Box 366">
              <controlPr defaultSize="0" autoFill="0" autoLine="0" autoPict="0">
                <anchor moveWithCells="1" sizeWithCells="1">
                  <from>
                    <xdr:col>3</xdr:col>
                    <xdr:colOff>266700</xdr:colOff>
                    <xdr:row>86</xdr:row>
                    <xdr:rowOff>0</xdr:rowOff>
                  </from>
                  <to>
                    <xdr:col>3</xdr:col>
                    <xdr:colOff>495300</xdr:colOff>
                    <xdr:row>86</xdr:row>
                    <xdr:rowOff>0</xdr:rowOff>
                  </to>
                </anchor>
              </controlPr>
            </control>
          </mc:Choice>
        </mc:AlternateContent>
        <mc:AlternateContent xmlns:mc="http://schemas.openxmlformats.org/markup-compatibility/2006">
          <mc:Choice Requires="x14">
            <control shapeId="43375" r:id="rId58" name="Check Box 367">
              <controlPr defaultSize="0" autoFill="0" autoLine="0" autoPict="0">
                <anchor moveWithCells="1" sizeWithCells="1">
                  <from>
                    <xdr:col>3</xdr:col>
                    <xdr:colOff>266700</xdr:colOff>
                    <xdr:row>86</xdr:row>
                    <xdr:rowOff>0</xdr:rowOff>
                  </from>
                  <to>
                    <xdr:col>3</xdr:col>
                    <xdr:colOff>495300</xdr:colOff>
                    <xdr:row>86</xdr:row>
                    <xdr:rowOff>0</xdr:rowOff>
                  </to>
                </anchor>
              </controlPr>
            </control>
          </mc:Choice>
        </mc:AlternateContent>
        <mc:AlternateContent xmlns:mc="http://schemas.openxmlformats.org/markup-compatibility/2006">
          <mc:Choice Requires="x14">
            <control shapeId="43376" r:id="rId59" name="Check Box 368">
              <controlPr defaultSize="0" autoFill="0" autoLine="0" autoPict="0">
                <anchor moveWithCells="1" sizeWithCells="1">
                  <from>
                    <xdr:col>3</xdr:col>
                    <xdr:colOff>266700</xdr:colOff>
                    <xdr:row>86</xdr:row>
                    <xdr:rowOff>0</xdr:rowOff>
                  </from>
                  <to>
                    <xdr:col>3</xdr:col>
                    <xdr:colOff>495300</xdr:colOff>
                    <xdr:row>86</xdr:row>
                    <xdr:rowOff>0</xdr:rowOff>
                  </to>
                </anchor>
              </controlPr>
            </control>
          </mc:Choice>
        </mc:AlternateContent>
        <mc:AlternateContent xmlns:mc="http://schemas.openxmlformats.org/markup-compatibility/2006">
          <mc:Choice Requires="x14">
            <control shapeId="43377" r:id="rId60" name="Check Box 369">
              <controlPr defaultSize="0" autoFill="0" autoLine="0" autoPict="0">
                <anchor moveWithCells="1" sizeWithCells="1">
                  <from>
                    <xdr:col>3</xdr:col>
                    <xdr:colOff>266700</xdr:colOff>
                    <xdr:row>86</xdr:row>
                    <xdr:rowOff>0</xdr:rowOff>
                  </from>
                  <to>
                    <xdr:col>3</xdr:col>
                    <xdr:colOff>495300</xdr:colOff>
                    <xdr:row>86</xdr:row>
                    <xdr:rowOff>0</xdr:rowOff>
                  </to>
                </anchor>
              </controlPr>
            </control>
          </mc:Choice>
        </mc:AlternateContent>
        <mc:AlternateContent xmlns:mc="http://schemas.openxmlformats.org/markup-compatibility/2006">
          <mc:Choice Requires="x14">
            <control shapeId="43378" r:id="rId61" name="Check Box 370">
              <controlPr defaultSize="0" autoFill="0" autoLine="0" autoPict="0">
                <anchor moveWithCells="1" sizeWithCells="1">
                  <from>
                    <xdr:col>3</xdr:col>
                    <xdr:colOff>266700</xdr:colOff>
                    <xdr:row>86</xdr:row>
                    <xdr:rowOff>0</xdr:rowOff>
                  </from>
                  <to>
                    <xdr:col>3</xdr:col>
                    <xdr:colOff>495300</xdr:colOff>
                    <xdr:row>86</xdr:row>
                    <xdr:rowOff>0</xdr:rowOff>
                  </to>
                </anchor>
              </controlPr>
            </control>
          </mc:Choice>
        </mc:AlternateContent>
        <mc:AlternateContent xmlns:mc="http://schemas.openxmlformats.org/markup-compatibility/2006">
          <mc:Choice Requires="x14">
            <control shapeId="43379" r:id="rId62" name="Check Box 371">
              <controlPr defaultSize="0" autoFill="0" autoLine="0" autoPict="0">
                <anchor moveWithCells="1" sizeWithCells="1">
                  <from>
                    <xdr:col>3</xdr:col>
                    <xdr:colOff>266700</xdr:colOff>
                    <xdr:row>86</xdr:row>
                    <xdr:rowOff>0</xdr:rowOff>
                  </from>
                  <to>
                    <xdr:col>3</xdr:col>
                    <xdr:colOff>495300</xdr:colOff>
                    <xdr:row>86</xdr:row>
                    <xdr:rowOff>0</xdr:rowOff>
                  </to>
                </anchor>
              </controlPr>
            </control>
          </mc:Choice>
        </mc:AlternateContent>
        <mc:AlternateContent xmlns:mc="http://schemas.openxmlformats.org/markup-compatibility/2006">
          <mc:Choice Requires="x14">
            <control shapeId="43380" r:id="rId63" name="Check Box 372">
              <controlPr defaultSize="0" autoFill="0" autoLine="0" autoPict="0">
                <anchor moveWithCells="1" sizeWithCells="1">
                  <from>
                    <xdr:col>3</xdr:col>
                    <xdr:colOff>266700</xdr:colOff>
                    <xdr:row>86</xdr:row>
                    <xdr:rowOff>0</xdr:rowOff>
                  </from>
                  <to>
                    <xdr:col>3</xdr:col>
                    <xdr:colOff>495300</xdr:colOff>
                    <xdr:row>86</xdr:row>
                    <xdr:rowOff>0</xdr:rowOff>
                  </to>
                </anchor>
              </controlPr>
            </control>
          </mc:Choice>
        </mc:AlternateContent>
        <mc:AlternateContent xmlns:mc="http://schemas.openxmlformats.org/markup-compatibility/2006">
          <mc:Choice Requires="x14">
            <control shapeId="43381" r:id="rId64" name="Check Box 373">
              <controlPr defaultSize="0" autoFill="0" autoLine="0" autoPict="0">
                <anchor moveWithCells="1" sizeWithCells="1">
                  <from>
                    <xdr:col>3</xdr:col>
                    <xdr:colOff>266700</xdr:colOff>
                    <xdr:row>86</xdr:row>
                    <xdr:rowOff>0</xdr:rowOff>
                  </from>
                  <to>
                    <xdr:col>3</xdr:col>
                    <xdr:colOff>495300</xdr:colOff>
                    <xdr:row>86</xdr:row>
                    <xdr:rowOff>0</xdr:rowOff>
                  </to>
                </anchor>
              </controlPr>
            </control>
          </mc:Choice>
        </mc:AlternateContent>
        <mc:AlternateContent xmlns:mc="http://schemas.openxmlformats.org/markup-compatibility/2006">
          <mc:Choice Requires="x14">
            <control shapeId="43382" r:id="rId65" name="Check Box 374">
              <controlPr defaultSize="0" autoFill="0" autoLine="0" autoPict="0">
                <anchor moveWithCells="1" sizeWithCells="1">
                  <from>
                    <xdr:col>3</xdr:col>
                    <xdr:colOff>152400</xdr:colOff>
                    <xdr:row>88</xdr:row>
                    <xdr:rowOff>47625</xdr:rowOff>
                  </from>
                  <to>
                    <xdr:col>4</xdr:col>
                    <xdr:colOff>733425</xdr:colOff>
                    <xdr:row>88</xdr:row>
                    <xdr:rowOff>228600</xdr:rowOff>
                  </to>
                </anchor>
              </controlPr>
            </control>
          </mc:Choice>
        </mc:AlternateContent>
        <mc:AlternateContent xmlns:mc="http://schemas.openxmlformats.org/markup-compatibility/2006">
          <mc:Choice Requires="x14">
            <control shapeId="43383" r:id="rId66" name="Check Box 375">
              <controlPr defaultSize="0" autoFill="0" autoLine="0" autoPict="0">
                <anchor moveWithCells="1" sizeWithCells="1">
                  <from>
                    <xdr:col>3</xdr:col>
                    <xdr:colOff>152400</xdr:colOff>
                    <xdr:row>88</xdr:row>
                    <xdr:rowOff>247650</xdr:rowOff>
                  </from>
                  <to>
                    <xdr:col>4</xdr:col>
                    <xdr:colOff>733425</xdr:colOff>
                    <xdr:row>89</xdr:row>
                    <xdr:rowOff>180975</xdr:rowOff>
                  </to>
                </anchor>
              </controlPr>
            </control>
          </mc:Choice>
        </mc:AlternateContent>
        <mc:AlternateContent xmlns:mc="http://schemas.openxmlformats.org/markup-compatibility/2006">
          <mc:Choice Requires="x14">
            <control shapeId="43385" r:id="rId67" name="Check Box 377">
              <controlPr defaultSize="0" autoFill="0" autoLine="0" autoPict="0">
                <anchor moveWithCells="1" sizeWithCells="1">
                  <from>
                    <xdr:col>3</xdr:col>
                    <xdr:colOff>152400</xdr:colOff>
                    <xdr:row>89</xdr:row>
                    <xdr:rowOff>209550</xdr:rowOff>
                  </from>
                  <to>
                    <xdr:col>4</xdr:col>
                    <xdr:colOff>733425</xdr:colOff>
                    <xdr:row>90</xdr:row>
                    <xdr:rowOff>142875</xdr:rowOff>
                  </to>
                </anchor>
              </controlPr>
            </control>
          </mc:Choice>
        </mc:AlternateContent>
        <mc:AlternateContent xmlns:mc="http://schemas.openxmlformats.org/markup-compatibility/2006">
          <mc:Choice Requires="x14">
            <control shapeId="43386" r:id="rId68" name="Check Box 378">
              <controlPr defaultSize="0" autoFill="0" autoLine="0" autoPict="0">
                <anchor moveWithCells="1" sizeWithCells="1">
                  <from>
                    <xdr:col>4</xdr:col>
                    <xdr:colOff>923925</xdr:colOff>
                    <xdr:row>88</xdr:row>
                    <xdr:rowOff>47625</xdr:rowOff>
                  </from>
                  <to>
                    <xdr:col>4</xdr:col>
                    <xdr:colOff>2886075</xdr:colOff>
                    <xdr:row>88</xdr:row>
                    <xdr:rowOff>228600</xdr:rowOff>
                  </to>
                </anchor>
              </controlPr>
            </control>
          </mc:Choice>
        </mc:AlternateContent>
        <mc:AlternateContent xmlns:mc="http://schemas.openxmlformats.org/markup-compatibility/2006">
          <mc:Choice Requires="x14">
            <control shapeId="43389" r:id="rId69" name="Check Box 381">
              <controlPr defaultSize="0" autoFill="0" autoLine="0" autoPict="0">
                <anchor moveWithCells="1" sizeWithCells="1">
                  <from>
                    <xdr:col>3</xdr:col>
                    <xdr:colOff>152400</xdr:colOff>
                    <xdr:row>93</xdr:row>
                    <xdr:rowOff>66675</xdr:rowOff>
                  </from>
                  <to>
                    <xdr:col>4</xdr:col>
                    <xdr:colOff>733425</xdr:colOff>
                    <xdr:row>93</xdr:row>
                    <xdr:rowOff>247650</xdr:rowOff>
                  </to>
                </anchor>
              </controlPr>
            </control>
          </mc:Choice>
        </mc:AlternateContent>
        <mc:AlternateContent xmlns:mc="http://schemas.openxmlformats.org/markup-compatibility/2006">
          <mc:Choice Requires="x14">
            <control shapeId="43390" r:id="rId70" name="Check Box 382">
              <controlPr defaultSize="0" autoFill="0" autoLine="0" autoPict="0">
                <anchor moveWithCells="1" sizeWithCells="1">
                  <from>
                    <xdr:col>3</xdr:col>
                    <xdr:colOff>152400</xdr:colOff>
                    <xdr:row>94</xdr:row>
                    <xdr:rowOff>28575</xdr:rowOff>
                  </from>
                  <to>
                    <xdr:col>4</xdr:col>
                    <xdr:colOff>733425</xdr:colOff>
                    <xdr:row>94</xdr:row>
                    <xdr:rowOff>209550</xdr:rowOff>
                  </to>
                </anchor>
              </controlPr>
            </control>
          </mc:Choice>
        </mc:AlternateContent>
        <mc:AlternateContent xmlns:mc="http://schemas.openxmlformats.org/markup-compatibility/2006">
          <mc:Choice Requires="x14">
            <control shapeId="43391" r:id="rId71" name="Check Box 383">
              <controlPr defaultSize="0" autoFill="0" autoLine="0" autoPict="0">
                <anchor moveWithCells="1" sizeWithCells="1">
                  <from>
                    <xdr:col>3</xdr:col>
                    <xdr:colOff>152400</xdr:colOff>
                    <xdr:row>94</xdr:row>
                    <xdr:rowOff>228600</xdr:rowOff>
                  </from>
                  <to>
                    <xdr:col>4</xdr:col>
                    <xdr:colOff>733425</xdr:colOff>
                    <xdr:row>95</xdr:row>
                    <xdr:rowOff>161925</xdr:rowOff>
                  </to>
                </anchor>
              </controlPr>
            </control>
          </mc:Choice>
        </mc:AlternateContent>
        <mc:AlternateContent xmlns:mc="http://schemas.openxmlformats.org/markup-compatibility/2006">
          <mc:Choice Requires="x14">
            <control shapeId="43392" r:id="rId72" name="Check Box 384">
              <controlPr defaultSize="0" autoFill="0" autoLine="0" autoPict="0">
                <anchor moveWithCells="1" sizeWithCells="1">
                  <from>
                    <xdr:col>4</xdr:col>
                    <xdr:colOff>923925</xdr:colOff>
                    <xdr:row>93</xdr:row>
                    <xdr:rowOff>76200</xdr:rowOff>
                  </from>
                  <to>
                    <xdr:col>4</xdr:col>
                    <xdr:colOff>2886075</xdr:colOff>
                    <xdr:row>94</xdr:row>
                    <xdr:rowOff>9525</xdr:rowOff>
                  </to>
                </anchor>
              </controlPr>
            </control>
          </mc:Choice>
        </mc:AlternateContent>
        <mc:AlternateContent xmlns:mc="http://schemas.openxmlformats.org/markup-compatibility/2006">
          <mc:Choice Requires="x14">
            <control shapeId="43393" r:id="rId73" name="Check Box 385">
              <controlPr defaultSize="0" autoFill="0" autoLine="0" autoPict="0">
                <anchor moveWithCells="1" sizeWithCells="1">
                  <from>
                    <xdr:col>4</xdr:col>
                    <xdr:colOff>923925</xdr:colOff>
                    <xdr:row>94</xdr:row>
                    <xdr:rowOff>38100</xdr:rowOff>
                  </from>
                  <to>
                    <xdr:col>4</xdr:col>
                    <xdr:colOff>2886075</xdr:colOff>
                    <xdr:row>94</xdr:row>
                    <xdr:rowOff>219075</xdr:rowOff>
                  </to>
                </anchor>
              </controlPr>
            </control>
          </mc:Choice>
        </mc:AlternateContent>
        <mc:AlternateContent xmlns:mc="http://schemas.openxmlformats.org/markup-compatibility/2006">
          <mc:Choice Requires="x14">
            <control shapeId="43394" r:id="rId74" name="Check Box 386">
              <controlPr defaultSize="0" autoFill="0" autoLine="0" autoPict="0">
                <anchor moveWithCells="1" sizeWithCells="1">
                  <from>
                    <xdr:col>4</xdr:col>
                    <xdr:colOff>923925</xdr:colOff>
                    <xdr:row>94</xdr:row>
                    <xdr:rowOff>238125</xdr:rowOff>
                  </from>
                  <to>
                    <xdr:col>4</xdr:col>
                    <xdr:colOff>2886075</xdr:colOff>
                    <xdr:row>95</xdr:row>
                    <xdr:rowOff>171450</xdr:rowOff>
                  </to>
                </anchor>
              </controlPr>
            </control>
          </mc:Choice>
        </mc:AlternateContent>
        <mc:AlternateContent xmlns:mc="http://schemas.openxmlformats.org/markup-compatibility/2006">
          <mc:Choice Requires="x14">
            <control shapeId="49207" r:id="rId75" name="Check Box 1079">
              <controlPr defaultSize="0" autoFill="0" autoLine="0" autoPict="0">
                <anchor moveWithCells="1" sizeWithCells="1">
                  <from>
                    <xdr:col>4</xdr:col>
                    <xdr:colOff>923925</xdr:colOff>
                    <xdr:row>88</xdr:row>
                    <xdr:rowOff>247650</xdr:rowOff>
                  </from>
                  <to>
                    <xdr:col>4</xdr:col>
                    <xdr:colOff>2886075</xdr:colOff>
                    <xdr:row>89</xdr:row>
                    <xdr:rowOff>180975</xdr:rowOff>
                  </to>
                </anchor>
              </controlPr>
            </control>
          </mc:Choice>
        </mc:AlternateContent>
        <mc:AlternateContent xmlns:mc="http://schemas.openxmlformats.org/markup-compatibility/2006">
          <mc:Choice Requires="x14">
            <control shapeId="49244" r:id="rId76" name="Check Box 1116">
              <controlPr defaultSize="0" autoFill="0" autoLine="0" autoPict="0">
                <anchor moveWithCells="1" sizeWithCells="1">
                  <from>
                    <xdr:col>11</xdr:col>
                    <xdr:colOff>47625</xdr:colOff>
                    <xdr:row>36</xdr:row>
                    <xdr:rowOff>800100</xdr:rowOff>
                  </from>
                  <to>
                    <xdr:col>11</xdr:col>
                    <xdr:colOff>3686175</xdr:colOff>
                    <xdr:row>36</xdr:row>
                    <xdr:rowOff>990600</xdr:rowOff>
                  </to>
                </anchor>
              </controlPr>
            </control>
          </mc:Choice>
        </mc:AlternateContent>
        <mc:AlternateContent xmlns:mc="http://schemas.openxmlformats.org/markup-compatibility/2006">
          <mc:Choice Requires="x14">
            <control shapeId="49245" r:id="rId77" name="Check Box 1117">
              <controlPr defaultSize="0" autoFill="0" autoLine="0" autoPict="0">
                <anchor moveWithCells="1" sizeWithCells="1">
                  <from>
                    <xdr:col>11</xdr:col>
                    <xdr:colOff>47625</xdr:colOff>
                    <xdr:row>36</xdr:row>
                    <xdr:rowOff>952500</xdr:rowOff>
                  </from>
                  <to>
                    <xdr:col>11</xdr:col>
                    <xdr:colOff>3638550</xdr:colOff>
                    <xdr:row>36</xdr:row>
                    <xdr:rowOff>1143000</xdr:rowOff>
                  </to>
                </anchor>
              </controlPr>
            </control>
          </mc:Choice>
        </mc:AlternateContent>
        <mc:AlternateContent xmlns:mc="http://schemas.openxmlformats.org/markup-compatibility/2006">
          <mc:Choice Requires="x14">
            <control shapeId="49246" r:id="rId78" name="Check Box 1118">
              <controlPr defaultSize="0" autoFill="0" autoLine="0" autoPict="0">
                <anchor moveWithCells="1" sizeWithCells="1">
                  <from>
                    <xdr:col>11</xdr:col>
                    <xdr:colOff>47625</xdr:colOff>
                    <xdr:row>36</xdr:row>
                    <xdr:rowOff>1123950</xdr:rowOff>
                  </from>
                  <to>
                    <xdr:col>11</xdr:col>
                    <xdr:colOff>3514725</xdr:colOff>
                    <xdr:row>36</xdr:row>
                    <xdr:rowOff>1295400</xdr:rowOff>
                  </to>
                </anchor>
              </controlPr>
            </control>
          </mc:Choice>
        </mc:AlternateContent>
        <mc:AlternateContent xmlns:mc="http://schemas.openxmlformats.org/markup-compatibility/2006">
          <mc:Choice Requires="x14">
            <control shapeId="49247" r:id="rId79" name="Check Box 1119">
              <controlPr defaultSize="0" autoFill="0" autoLine="0" autoPict="0">
                <anchor moveWithCells="1" sizeWithCells="1">
                  <from>
                    <xdr:col>11</xdr:col>
                    <xdr:colOff>47625</xdr:colOff>
                    <xdr:row>36</xdr:row>
                    <xdr:rowOff>1276350</xdr:rowOff>
                  </from>
                  <to>
                    <xdr:col>12</xdr:col>
                    <xdr:colOff>28575</xdr:colOff>
                    <xdr:row>36</xdr:row>
                    <xdr:rowOff>1447800</xdr:rowOff>
                  </to>
                </anchor>
              </controlPr>
            </control>
          </mc:Choice>
        </mc:AlternateContent>
        <mc:AlternateContent xmlns:mc="http://schemas.openxmlformats.org/markup-compatibility/2006">
          <mc:Choice Requires="x14">
            <control shapeId="49248" r:id="rId80" name="Check Box 1120">
              <controlPr defaultSize="0" autoFill="0" autoLine="0" autoPict="0">
                <anchor moveWithCells="1" sizeWithCells="1">
                  <from>
                    <xdr:col>11</xdr:col>
                    <xdr:colOff>47625</xdr:colOff>
                    <xdr:row>36</xdr:row>
                    <xdr:rowOff>1438275</xdr:rowOff>
                  </from>
                  <to>
                    <xdr:col>12</xdr:col>
                    <xdr:colOff>9525</xdr:colOff>
                    <xdr:row>36</xdr:row>
                    <xdr:rowOff>1600200</xdr:rowOff>
                  </to>
                </anchor>
              </controlPr>
            </control>
          </mc:Choice>
        </mc:AlternateContent>
        <mc:AlternateContent xmlns:mc="http://schemas.openxmlformats.org/markup-compatibility/2006">
          <mc:Choice Requires="x14">
            <control shapeId="49249" r:id="rId81" name="Check Box 1121">
              <controlPr defaultSize="0" autoFill="0" autoLine="0" autoPict="0">
                <anchor moveWithCells="1" sizeWithCells="1">
                  <from>
                    <xdr:col>12</xdr:col>
                    <xdr:colOff>47625</xdr:colOff>
                    <xdr:row>36</xdr:row>
                    <xdr:rowOff>0</xdr:rowOff>
                  </from>
                  <to>
                    <xdr:col>12</xdr:col>
                    <xdr:colOff>3048000</xdr:colOff>
                    <xdr:row>36</xdr:row>
                    <xdr:rowOff>190500</xdr:rowOff>
                  </to>
                </anchor>
              </controlPr>
            </control>
          </mc:Choice>
        </mc:AlternateContent>
        <mc:AlternateContent xmlns:mc="http://schemas.openxmlformats.org/markup-compatibility/2006">
          <mc:Choice Requires="x14">
            <control shapeId="49250" r:id="rId82" name="Check Box 1122">
              <controlPr defaultSize="0" autoFill="0" autoLine="0" autoPict="0">
                <anchor moveWithCells="1" sizeWithCells="1">
                  <from>
                    <xdr:col>12</xdr:col>
                    <xdr:colOff>47625</xdr:colOff>
                    <xdr:row>36</xdr:row>
                    <xdr:rowOff>180975</xdr:rowOff>
                  </from>
                  <to>
                    <xdr:col>12</xdr:col>
                    <xdr:colOff>2857500</xdr:colOff>
                    <xdr:row>36</xdr:row>
                    <xdr:rowOff>352425</xdr:rowOff>
                  </to>
                </anchor>
              </controlPr>
            </control>
          </mc:Choice>
        </mc:AlternateContent>
        <mc:AlternateContent xmlns:mc="http://schemas.openxmlformats.org/markup-compatibility/2006">
          <mc:Choice Requires="x14">
            <control shapeId="49251" r:id="rId83" name="Check Box 1123">
              <controlPr defaultSize="0" autoFill="0" autoLine="0" autoPict="0">
                <anchor moveWithCells="1" sizeWithCells="1">
                  <from>
                    <xdr:col>12</xdr:col>
                    <xdr:colOff>47625</xdr:colOff>
                    <xdr:row>36</xdr:row>
                    <xdr:rowOff>342900</xdr:rowOff>
                  </from>
                  <to>
                    <xdr:col>13</xdr:col>
                    <xdr:colOff>0</xdr:colOff>
                    <xdr:row>36</xdr:row>
                    <xdr:rowOff>523875</xdr:rowOff>
                  </to>
                </anchor>
              </controlPr>
            </control>
          </mc:Choice>
        </mc:AlternateContent>
        <mc:AlternateContent xmlns:mc="http://schemas.openxmlformats.org/markup-compatibility/2006">
          <mc:Choice Requires="x14">
            <control shapeId="49252" r:id="rId84" name="Check Box 1124">
              <controlPr defaultSize="0" autoFill="0" autoLine="0" autoPict="0">
                <anchor moveWithCells="1" sizeWithCells="1">
                  <from>
                    <xdr:col>12</xdr:col>
                    <xdr:colOff>47625</xdr:colOff>
                    <xdr:row>36</xdr:row>
                    <xdr:rowOff>514350</xdr:rowOff>
                  </from>
                  <to>
                    <xdr:col>13</xdr:col>
                    <xdr:colOff>19050</xdr:colOff>
                    <xdr:row>36</xdr:row>
                    <xdr:rowOff>676275</xdr:rowOff>
                  </to>
                </anchor>
              </controlPr>
            </control>
          </mc:Choice>
        </mc:AlternateContent>
        <mc:AlternateContent xmlns:mc="http://schemas.openxmlformats.org/markup-compatibility/2006">
          <mc:Choice Requires="x14">
            <control shapeId="49253" r:id="rId85" name="Check Box 1125">
              <controlPr defaultSize="0" autoFill="0" autoLine="0" autoPict="0">
                <anchor moveWithCells="1" sizeWithCells="1">
                  <from>
                    <xdr:col>12</xdr:col>
                    <xdr:colOff>47625</xdr:colOff>
                    <xdr:row>36</xdr:row>
                    <xdr:rowOff>666750</xdr:rowOff>
                  </from>
                  <to>
                    <xdr:col>12</xdr:col>
                    <xdr:colOff>3552825</xdr:colOff>
                    <xdr:row>36</xdr:row>
                    <xdr:rowOff>838200</xdr:rowOff>
                  </to>
                </anchor>
              </controlPr>
            </control>
          </mc:Choice>
        </mc:AlternateContent>
        <mc:AlternateContent xmlns:mc="http://schemas.openxmlformats.org/markup-compatibility/2006">
          <mc:Choice Requires="x14">
            <control shapeId="49254" r:id="rId86" name="Check Box 1126">
              <controlPr defaultSize="0" autoFill="0" autoLine="0" autoPict="0">
                <anchor moveWithCells="1" sizeWithCells="1">
                  <from>
                    <xdr:col>12</xdr:col>
                    <xdr:colOff>47625</xdr:colOff>
                    <xdr:row>36</xdr:row>
                    <xdr:rowOff>800100</xdr:rowOff>
                  </from>
                  <to>
                    <xdr:col>12</xdr:col>
                    <xdr:colOff>3686175</xdr:colOff>
                    <xdr:row>36</xdr:row>
                    <xdr:rowOff>990600</xdr:rowOff>
                  </to>
                </anchor>
              </controlPr>
            </control>
          </mc:Choice>
        </mc:AlternateContent>
        <mc:AlternateContent xmlns:mc="http://schemas.openxmlformats.org/markup-compatibility/2006">
          <mc:Choice Requires="x14">
            <control shapeId="49255" r:id="rId87" name="Check Box 1127">
              <controlPr defaultSize="0" autoFill="0" autoLine="0" autoPict="0">
                <anchor moveWithCells="1" sizeWithCells="1">
                  <from>
                    <xdr:col>12</xdr:col>
                    <xdr:colOff>47625</xdr:colOff>
                    <xdr:row>36</xdr:row>
                    <xdr:rowOff>952500</xdr:rowOff>
                  </from>
                  <to>
                    <xdr:col>12</xdr:col>
                    <xdr:colOff>3638550</xdr:colOff>
                    <xdr:row>36</xdr:row>
                    <xdr:rowOff>1143000</xdr:rowOff>
                  </to>
                </anchor>
              </controlPr>
            </control>
          </mc:Choice>
        </mc:AlternateContent>
        <mc:AlternateContent xmlns:mc="http://schemas.openxmlformats.org/markup-compatibility/2006">
          <mc:Choice Requires="x14">
            <control shapeId="49256" r:id="rId88" name="Check Box 1128">
              <controlPr defaultSize="0" autoFill="0" autoLine="0" autoPict="0">
                <anchor moveWithCells="1" sizeWithCells="1">
                  <from>
                    <xdr:col>12</xdr:col>
                    <xdr:colOff>47625</xdr:colOff>
                    <xdr:row>36</xdr:row>
                    <xdr:rowOff>1123950</xdr:rowOff>
                  </from>
                  <to>
                    <xdr:col>12</xdr:col>
                    <xdr:colOff>3514725</xdr:colOff>
                    <xdr:row>36</xdr:row>
                    <xdr:rowOff>1295400</xdr:rowOff>
                  </to>
                </anchor>
              </controlPr>
            </control>
          </mc:Choice>
        </mc:AlternateContent>
        <mc:AlternateContent xmlns:mc="http://schemas.openxmlformats.org/markup-compatibility/2006">
          <mc:Choice Requires="x14">
            <control shapeId="49257" r:id="rId89" name="Check Box 1129">
              <controlPr defaultSize="0" autoFill="0" autoLine="0" autoPict="0">
                <anchor moveWithCells="1" sizeWithCells="1">
                  <from>
                    <xdr:col>12</xdr:col>
                    <xdr:colOff>47625</xdr:colOff>
                    <xdr:row>36</xdr:row>
                    <xdr:rowOff>1276350</xdr:rowOff>
                  </from>
                  <to>
                    <xdr:col>13</xdr:col>
                    <xdr:colOff>28575</xdr:colOff>
                    <xdr:row>36</xdr:row>
                    <xdr:rowOff>1447800</xdr:rowOff>
                  </to>
                </anchor>
              </controlPr>
            </control>
          </mc:Choice>
        </mc:AlternateContent>
        <mc:AlternateContent xmlns:mc="http://schemas.openxmlformats.org/markup-compatibility/2006">
          <mc:Choice Requires="x14">
            <control shapeId="49258" r:id="rId90" name="Check Box 1130">
              <controlPr defaultSize="0" autoFill="0" autoLine="0" autoPict="0">
                <anchor moveWithCells="1" sizeWithCells="1">
                  <from>
                    <xdr:col>12</xdr:col>
                    <xdr:colOff>47625</xdr:colOff>
                    <xdr:row>36</xdr:row>
                    <xdr:rowOff>1438275</xdr:rowOff>
                  </from>
                  <to>
                    <xdr:col>13</xdr:col>
                    <xdr:colOff>9525</xdr:colOff>
                    <xdr:row>36</xdr:row>
                    <xdr:rowOff>1600200</xdr:rowOff>
                  </to>
                </anchor>
              </controlPr>
            </control>
          </mc:Choice>
        </mc:AlternateContent>
        <mc:AlternateContent xmlns:mc="http://schemas.openxmlformats.org/markup-compatibility/2006">
          <mc:Choice Requires="x14">
            <control shapeId="49259" r:id="rId91" name="Check Box 1131">
              <controlPr defaultSize="0" autoFill="0" autoLine="0" autoPict="0">
                <anchor moveWithCells="1" sizeWithCells="1">
                  <from>
                    <xdr:col>13</xdr:col>
                    <xdr:colOff>47625</xdr:colOff>
                    <xdr:row>36</xdr:row>
                    <xdr:rowOff>0</xdr:rowOff>
                  </from>
                  <to>
                    <xdr:col>13</xdr:col>
                    <xdr:colOff>3048000</xdr:colOff>
                    <xdr:row>36</xdr:row>
                    <xdr:rowOff>190500</xdr:rowOff>
                  </to>
                </anchor>
              </controlPr>
            </control>
          </mc:Choice>
        </mc:AlternateContent>
        <mc:AlternateContent xmlns:mc="http://schemas.openxmlformats.org/markup-compatibility/2006">
          <mc:Choice Requires="x14">
            <control shapeId="49260" r:id="rId92" name="Check Box 1132">
              <controlPr defaultSize="0" autoFill="0" autoLine="0" autoPict="0">
                <anchor moveWithCells="1" sizeWithCells="1">
                  <from>
                    <xdr:col>13</xdr:col>
                    <xdr:colOff>47625</xdr:colOff>
                    <xdr:row>36</xdr:row>
                    <xdr:rowOff>180975</xdr:rowOff>
                  </from>
                  <to>
                    <xdr:col>13</xdr:col>
                    <xdr:colOff>2857500</xdr:colOff>
                    <xdr:row>36</xdr:row>
                    <xdr:rowOff>352425</xdr:rowOff>
                  </to>
                </anchor>
              </controlPr>
            </control>
          </mc:Choice>
        </mc:AlternateContent>
        <mc:AlternateContent xmlns:mc="http://schemas.openxmlformats.org/markup-compatibility/2006">
          <mc:Choice Requires="x14">
            <control shapeId="49261" r:id="rId93" name="Check Box 1133">
              <controlPr defaultSize="0" autoFill="0" autoLine="0" autoPict="0">
                <anchor moveWithCells="1" sizeWithCells="1">
                  <from>
                    <xdr:col>13</xdr:col>
                    <xdr:colOff>47625</xdr:colOff>
                    <xdr:row>36</xdr:row>
                    <xdr:rowOff>342900</xdr:rowOff>
                  </from>
                  <to>
                    <xdr:col>14</xdr:col>
                    <xdr:colOff>0</xdr:colOff>
                    <xdr:row>36</xdr:row>
                    <xdr:rowOff>523875</xdr:rowOff>
                  </to>
                </anchor>
              </controlPr>
            </control>
          </mc:Choice>
        </mc:AlternateContent>
        <mc:AlternateContent xmlns:mc="http://schemas.openxmlformats.org/markup-compatibility/2006">
          <mc:Choice Requires="x14">
            <control shapeId="49262" r:id="rId94" name="Check Box 1134">
              <controlPr defaultSize="0" autoFill="0" autoLine="0" autoPict="0">
                <anchor moveWithCells="1" sizeWithCells="1">
                  <from>
                    <xdr:col>13</xdr:col>
                    <xdr:colOff>47625</xdr:colOff>
                    <xdr:row>36</xdr:row>
                    <xdr:rowOff>514350</xdr:rowOff>
                  </from>
                  <to>
                    <xdr:col>14</xdr:col>
                    <xdr:colOff>19050</xdr:colOff>
                    <xdr:row>36</xdr:row>
                    <xdr:rowOff>676275</xdr:rowOff>
                  </to>
                </anchor>
              </controlPr>
            </control>
          </mc:Choice>
        </mc:AlternateContent>
        <mc:AlternateContent xmlns:mc="http://schemas.openxmlformats.org/markup-compatibility/2006">
          <mc:Choice Requires="x14">
            <control shapeId="49263" r:id="rId95" name="Check Box 1135">
              <controlPr defaultSize="0" autoFill="0" autoLine="0" autoPict="0">
                <anchor moveWithCells="1" sizeWithCells="1">
                  <from>
                    <xdr:col>13</xdr:col>
                    <xdr:colOff>47625</xdr:colOff>
                    <xdr:row>36</xdr:row>
                    <xdr:rowOff>666750</xdr:rowOff>
                  </from>
                  <to>
                    <xdr:col>13</xdr:col>
                    <xdr:colOff>3552825</xdr:colOff>
                    <xdr:row>36</xdr:row>
                    <xdr:rowOff>838200</xdr:rowOff>
                  </to>
                </anchor>
              </controlPr>
            </control>
          </mc:Choice>
        </mc:AlternateContent>
        <mc:AlternateContent xmlns:mc="http://schemas.openxmlformats.org/markup-compatibility/2006">
          <mc:Choice Requires="x14">
            <control shapeId="49264" r:id="rId96" name="Check Box 1136">
              <controlPr defaultSize="0" autoFill="0" autoLine="0" autoPict="0">
                <anchor moveWithCells="1" sizeWithCells="1">
                  <from>
                    <xdr:col>13</xdr:col>
                    <xdr:colOff>47625</xdr:colOff>
                    <xdr:row>36</xdr:row>
                    <xdr:rowOff>800100</xdr:rowOff>
                  </from>
                  <to>
                    <xdr:col>13</xdr:col>
                    <xdr:colOff>3686175</xdr:colOff>
                    <xdr:row>36</xdr:row>
                    <xdr:rowOff>990600</xdr:rowOff>
                  </to>
                </anchor>
              </controlPr>
            </control>
          </mc:Choice>
        </mc:AlternateContent>
        <mc:AlternateContent xmlns:mc="http://schemas.openxmlformats.org/markup-compatibility/2006">
          <mc:Choice Requires="x14">
            <control shapeId="49265" r:id="rId97" name="Check Box 1137">
              <controlPr defaultSize="0" autoFill="0" autoLine="0" autoPict="0">
                <anchor moveWithCells="1" sizeWithCells="1">
                  <from>
                    <xdr:col>13</xdr:col>
                    <xdr:colOff>47625</xdr:colOff>
                    <xdr:row>36</xdr:row>
                    <xdr:rowOff>952500</xdr:rowOff>
                  </from>
                  <to>
                    <xdr:col>13</xdr:col>
                    <xdr:colOff>3638550</xdr:colOff>
                    <xdr:row>36</xdr:row>
                    <xdr:rowOff>1143000</xdr:rowOff>
                  </to>
                </anchor>
              </controlPr>
            </control>
          </mc:Choice>
        </mc:AlternateContent>
        <mc:AlternateContent xmlns:mc="http://schemas.openxmlformats.org/markup-compatibility/2006">
          <mc:Choice Requires="x14">
            <control shapeId="49266" r:id="rId98" name="Check Box 1138">
              <controlPr defaultSize="0" autoFill="0" autoLine="0" autoPict="0">
                <anchor moveWithCells="1" sizeWithCells="1">
                  <from>
                    <xdr:col>13</xdr:col>
                    <xdr:colOff>47625</xdr:colOff>
                    <xdr:row>36</xdr:row>
                    <xdr:rowOff>1123950</xdr:rowOff>
                  </from>
                  <to>
                    <xdr:col>13</xdr:col>
                    <xdr:colOff>3514725</xdr:colOff>
                    <xdr:row>36</xdr:row>
                    <xdr:rowOff>1295400</xdr:rowOff>
                  </to>
                </anchor>
              </controlPr>
            </control>
          </mc:Choice>
        </mc:AlternateContent>
        <mc:AlternateContent xmlns:mc="http://schemas.openxmlformats.org/markup-compatibility/2006">
          <mc:Choice Requires="x14">
            <control shapeId="49267" r:id="rId99" name="Check Box 1139">
              <controlPr defaultSize="0" autoFill="0" autoLine="0" autoPict="0">
                <anchor moveWithCells="1" sizeWithCells="1">
                  <from>
                    <xdr:col>13</xdr:col>
                    <xdr:colOff>47625</xdr:colOff>
                    <xdr:row>36</xdr:row>
                    <xdr:rowOff>1276350</xdr:rowOff>
                  </from>
                  <to>
                    <xdr:col>14</xdr:col>
                    <xdr:colOff>28575</xdr:colOff>
                    <xdr:row>36</xdr:row>
                    <xdr:rowOff>1447800</xdr:rowOff>
                  </to>
                </anchor>
              </controlPr>
            </control>
          </mc:Choice>
        </mc:AlternateContent>
        <mc:AlternateContent xmlns:mc="http://schemas.openxmlformats.org/markup-compatibility/2006">
          <mc:Choice Requires="x14">
            <control shapeId="49268" r:id="rId100" name="Check Box 1140">
              <controlPr defaultSize="0" autoFill="0" autoLine="0" autoPict="0">
                <anchor moveWithCells="1" sizeWithCells="1">
                  <from>
                    <xdr:col>13</xdr:col>
                    <xdr:colOff>47625</xdr:colOff>
                    <xdr:row>36</xdr:row>
                    <xdr:rowOff>1438275</xdr:rowOff>
                  </from>
                  <to>
                    <xdr:col>14</xdr:col>
                    <xdr:colOff>9525</xdr:colOff>
                    <xdr:row>36</xdr:row>
                    <xdr:rowOff>1600200</xdr:rowOff>
                  </to>
                </anchor>
              </controlPr>
            </control>
          </mc:Choice>
        </mc:AlternateContent>
        <mc:AlternateContent xmlns:mc="http://schemas.openxmlformats.org/markup-compatibility/2006">
          <mc:Choice Requires="x14">
            <control shapeId="49269" r:id="rId101" name="Check Box 1141">
              <controlPr defaultSize="0" autoFill="0" autoLine="0" autoPict="0">
                <anchor moveWithCells="1" sizeWithCells="1">
                  <from>
                    <xdr:col>14</xdr:col>
                    <xdr:colOff>47625</xdr:colOff>
                    <xdr:row>36</xdr:row>
                    <xdr:rowOff>0</xdr:rowOff>
                  </from>
                  <to>
                    <xdr:col>14</xdr:col>
                    <xdr:colOff>3048000</xdr:colOff>
                    <xdr:row>36</xdr:row>
                    <xdr:rowOff>190500</xdr:rowOff>
                  </to>
                </anchor>
              </controlPr>
            </control>
          </mc:Choice>
        </mc:AlternateContent>
        <mc:AlternateContent xmlns:mc="http://schemas.openxmlformats.org/markup-compatibility/2006">
          <mc:Choice Requires="x14">
            <control shapeId="49270" r:id="rId102" name="Check Box 1142">
              <controlPr defaultSize="0" autoFill="0" autoLine="0" autoPict="0">
                <anchor moveWithCells="1" sizeWithCells="1">
                  <from>
                    <xdr:col>14</xdr:col>
                    <xdr:colOff>47625</xdr:colOff>
                    <xdr:row>36</xdr:row>
                    <xdr:rowOff>180975</xdr:rowOff>
                  </from>
                  <to>
                    <xdr:col>14</xdr:col>
                    <xdr:colOff>2857500</xdr:colOff>
                    <xdr:row>36</xdr:row>
                    <xdr:rowOff>352425</xdr:rowOff>
                  </to>
                </anchor>
              </controlPr>
            </control>
          </mc:Choice>
        </mc:AlternateContent>
        <mc:AlternateContent xmlns:mc="http://schemas.openxmlformats.org/markup-compatibility/2006">
          <mc:Choice Requires="x14">
            <control shapeId="49271" r:id="rId103" name="Check Box 1143">
              <controlPr defaultSize="0" autoFill="0" autoLine="0" autoPict="0">
                <anchor moveWithCells="1" sizeWithCells="1">
                  <from>
                    <xdr:col>14</xdr:col>
                    <xdr:colOff>47625</xdr:colOff>
                    <xdr:row>36</xdr:row>
                    <xdr:rowOff>342900</xdr:rowOff>
                  </from>
                  <to>
                    <xdr:col>15</xdr:col>
                    <xdr:colOff>0</xdr:colOff>
                    <xdr:row>36</xdr:row>
                    <xdr:rowOff>523875</xdr:rowOff>
                  </to>
                </anchor>
              </controlPr>
            </control>
          </mc:Choice>
        </mc:AlternateContent>
        <mc:AlternateContent xmlns:mc="http://schemas.openxmlformats.org/markup-compatibility/2006">
          <mc:Choice Requires="x14">
            <control shapeId="49272" r:id="rId104" name="Check Box 1144">
              <controlPr defaultSize="0" autoFill="0" autoLine="0" autoPict="0">
                <anchor moveWithCells="1" sizeWithCells="1">
                  <from>
                    <xdr:col>14</xdr:col>
                    <xdr:colOff>47625</xdr:colOff>
                    <xdr:row>36</xdr:row>
                    <xdr:rowOff>514350</xdr:rowOff>
                  </from>
                  <to>
                    <xdr:col>15</xdr:col>
                    <xdr:colOff>0</xdr:colOff>
                    <xdr:row>36</xdr:row>
                    <xdr:rowOff>676275</xdr:rowOff>
                  </to>
                </anchor>
              </controlPr>
            </control>
          </mc:Choice>
        </mc:AlternateContent>
        <mc:AlternateContent xmlns:mc="http://schemas.openxmlformats.org/markup-compatibility/2006">
          <mc:Choice Requires="x14">
            <control shapeId="49273" r:id="rId105" name="Check Box 1145">
              <controlPr defaultSize="0" autoFill="0" autoLine="0" autoPict="0">
                <anchor moveWithCells="1" sizeWithCells="1">
                  <from>
                    <xdr:col>14</xdr:col>
                    <xdr:colOff>47625</xdr:colOff>
                    <xdr:row>36</xdr:row>
                    <xdr:rowOff>666750</xdr:rowOff>
                  </from>
                  <to>
                    <xdr:col>14</xdr:col>
                    <xdr:colOff>3552825</xdr:colOff>
                    <xdr:row>36</xdr:row>
                    <xdr:rowOff>838200</xdr:rowOff>
                  </to>
                </anchor>
              </controlPr>
            </control>
          </mc:Choice>
        </mc:AlternateContent>
        <mc:AlternateContent xmlns:mc="http://schemas.openxmlformats.org/markup-compatibility/2006">
          <mc:Choice Requires="x14">
            <control shapeId="49274" r:id="rId106" name="Check Box 1146">
              <controlPr defaultSize="0" autoFill="0" autoLine="0" autoPict="0">
                <anchor moveWithCells="1" sizeWithCells="1">
                  <from>
                    <xdr:col>14</xdr:col>
                    <xdr:colOff>47625</xdr:colOff>
                    <xdr:row>36</xdr:row>
                    <xdr:rowOff>800100</xdr:rowOff>
                  </from>
                  <to>
                    <xdr:col>14</xdr:col>
                    <xdr:colOff>3686175</xdr:colOff>
                    <xdr:row>36</xdr:row>
                    <xdr:rowOff>990600</xdr:rowOff>
                  </to>
                </anchor>
              </controlPr>
            </control>
          </mc:Choice>
        </mc:AlternateContent>
        <mc:AlternateContent xmlns:mc="http://schemas.openxmlformats.org/markup-compatibility/2006">
          <mc:Choice Requires="x14">
            <control shapeId="49275" r:id="rId107" name="Check Box 1147">
              <controlPr defaultSize="0" autoFill="0" autoLine="0" autoPict="0">
                <anchor moveWithCells="1" sizeWithCells="1">
                  <from>
                    <xdr:col>14</xdr:col>
                    <xdr:colOff>47625</xdr:colOff>
                    <xdr:row>36</xdr:row>
                    <xdr:rowOff>952500</xdr:rowOff>
                  </from>
                  <to>
                    <xdr:col>14</xdr:col>
                    <xdr:colOff>3638550</xdr:colOff>
                    <xdr:row>36</xdr:row>
                    <xdr:rowOff>1143000</xdr:rowOff>
                  </to>
                </anchor>
              </controlPr>
            </control>
          </mc:Choice>
        </mc:AlternateContent>
        <mc:AlternateContent xmlns:mc="http://schemas.openxmlformats.org/markup-compatibility/2006">
          <mc:Choice Requires="x14">
            <control shapeId="49276" r:id="rId108" name="Check Box 1148">
              <controlPr defaultSize="0" autoFill="0" autoLine="0" autoPict="0">
                <anchor moveWithCells="1" sizeWithCells="1">
                  <from>
                    <xdr:col>14</xdr:col>
                    <xdr:colOff>47625</xdr:colOff>
                    <xdr:row>36</xdr:row>
                    <xdr:rowOff>1123950</xdr:rowOff>
                  </from>
                  <to>
                    <xdr:col>14</xdr:col>
                    <xdr:colOff>3514725</xdr:colOff>
                    <xdr:row>36</xdr:row>
                    <xdr:rowOff>1295400</xdr:rowOff>
                  </to>
                </anchor>
              </controlPr>
            </control>
          </mc:Choice>
        </mc:AlternateContent>
        <mc:AlternateContent xmlns:mc="http://schemas.openxmlformats.org/markup-compatibility/2006">
          <mc:Choice Requires="x14">
            <control shapeId="49277" r:id="rId109" name="Check Box 1149">
              <controlPr defaultSize="0" autoFill="0" autoLine="0" autoPict="0">
                <anchor moveWithCells="1" sizeWithCells="1">
                  <from>
                    <xdr:col>14</xdr:col>
                    <xdr:colOff>47625</xdr:colOff>
                    <xdr:row>36</xdr:row>
                    <xdr:rowOff>1276350</xdr:rowOff>
                  </from>
                  <to>
                    <xdr:col>15</xdr:col>
                    <xdr:colOff>0</xdr:colOff>
                    <xdr:row>36</xdr:row>
                    <xdr:rowOff>1447800</xdr:rowOff>
                  </to>
                </anchor>
              </controlPr>
            </control>
          </mc:Choice>
        </mc:AlternateContent>
        <mc:AlternateContent xmlns:mc="http://schemas.openxmlformats.org/markup-compatibility/2006">
          <mc:Choice Requires="x14">
            <control shapeId="49289" r:id="rId110" name="Check Box 1161">
              <controlPr defaultSize="0" autoFill="0" autoLine="0" autoPict="0">
                <anchor moveWithCells="1" sizeWithCells="1">
                  <from>
                    <xdr:col>11</xdr:col>
                    <xdr:colOff>47625</xdr:colOff>
                    <xdr:row>29</xdr:row>
                    <xdr:rowOff>828675</xdr:rowOff>
                  </from>
                  <to>
                    <xdr:col>11</xdr:col>
                    <xdr:colOff>2009775</xdr:colOff>
                    <xdr:row>29</xdr:row>
                    <xdr:rowOff>1009650</xdr:rowOff>
                  </to>
                </anchor>
              </controlPr>
            </control>
          </mc:Choice>
        </mc:AlternateContent>
        <mc:AlternateContent xmlns:mc="http://schemas.openxmlformats.org/markup-compatibility/2006">
          <mc:Choice Requires="x14">
            <control shapeId="49290" r:id="rId111" name="Check Box 1162">
              <controlPr defaultSize="0" autoFill="0" autoLine="0" autoPict="0">
                <anchor moveWithCells="1" sizeWithCells="1">
                  <from>
                    <xdr:col>11</xdr:col>
                    <xdr:colOff>2514600</xdr:colOff>
                    <xdr:row>29</xdr:row>
                    <xdr:rowOff>828675</xdr:rowOff>
                  </from>
                  <to>
                    <xdr:col>12</xdr:col>
                    <xdr:colOff>762000</xdr:colOff>
                    <xdr:row>29</xdr:row>
                    <xdr:rowOff>1009650</xdr:rowOff>
                  </to>
                </anchor>
              </controlPr>
            </control>
          </mc:Choice>
        </mc:AlternateContent>
        <mc:AlternateContent xmlns:mc="http://schemas.openxmlformats.org/markup-compatibility/2006">
          <mc:Choice Requires="x14">
            <control shapeId="49291" r:id="rId112" name="Check Box 1163">
              <controlPr defaultSize="0" autoFill="0" autoLine="0" autoPict="0">
                <anchor moveWithCells="1" sizeWithCells="1">
                  <from>
                    <xdr:col>12</xdr:col>
                    <xdr:colOff>1771650</xdr:colOff>
                    <xdr:row>29</xdr:row>
                    <xdr:rowOff>819150</xdr:rowOff>
                  </from>
                  <to>
                    <xdr:col>13</xdr:col>
                    <xdr:colOff>19050</xdr:colOff>
                    <xdr:row>29</xdr:row>
                    <xdr:rowOff>1000125</xdr:rowOff>
                  </to>
                </anchor>
              </controlPr>
            </control>
          </mc:Choice>
        </mc:AlternateContent>
        <mc:AlternateContent xmlns:mc="http://schemas.openxmlformats.org/markup-compatibility/2006">
          <mc:Choice Requires="x14">
            <control shapeId="49292" r:id="rId113" name="Check Box 1164">
              <controlPr defaultSize="0" autoFill="0" autoLine="0" autoPict="0">
                <anchor moveWithCells="1" sizeWithCells="1">
                  <from>
                    <xdr:col>13</xdr:col>
                    <xdr:colOff>371475</xdr:colOff>
                    <xdr:row>29</xdr:row>
                    <xdr:rowOff>819150</xdr:rowOff>
                  </from>
                  <to>
                    <xdr:col>13</xdr:col>
                    <xdr:colOff>2333625</xdr:colOff>
                    <xdr:row>29</xdr:row>
                    <xdr:rowOff>1000125</xdr:rowOff>
                  </to>
                </anchor>
              </controlPr>
            </control>
          </mc:Choice>
        </mc:AlternateContent>
        <mc:AlternateContent xmlns:mc="http://schemas.openxmlformats.org/markup-compatibility/2006">
          <mc:Choice Requires="x14">
            <control shapeId="49298" r:id="rId114" name="Check Box 1170">
              <controlPr defaultSize="0" autoFill="0" autoLine="0" autoPict="0">
                <anchor moveWithCells="1" sizeWithCells="1">
                  <from>
                    <xdr:col>11</xdr:col>
                    <xdr:colOff>47625</xdr:colOff>
                    <xdr:row>31</xdr:row>
                    <xdr:rowOff>0</xdr:rowOff>
                  </from>
                  <to>
                    <xdr:col>11</xdr:col>
                    <xdr:colOff>3048000</xdr:colOff>
                    <xdr:row>31</xdr:row>
                    <xdr:rowOff>190500</xdr:rowOff>
                  </to>
                </anchor>
              </controlPr>
            </control>
          </mc:Choice>
        </mc:AlternateContent>
        <mc:AlternateContent xmlns:mc="http://schemas.openxmlformats.org/markup-compatibility/2006">
          <mc:Choice Requires="x14">
            <control shapeId="49299" r:id="rId115" name="Check Box 1171">
              <controlPr defaultSize="0" autoFill="0" autoLine="0" autoPict="0">
                <anchor moveWithCells="1" sizeWithCells="1">
                  <from>
                    <xdr:col>11</xdr:col>
                    <xdr:colOff>47625</xdr:colOff>
                    <xdr:row>31</xdr:row>
                    <xdr:rowOff>180975</xdr:rowOff>
                  </from>
                  <to>
                    <xdr:col>11</xdr:col>
                    <xdr:colOff>2857500</xdr:colOff>
                    <xdr:row>31</xdr:row>
                    <xdr:rowOff>352425</xdr:rowOff>
                  </to>
                </anchor>
              </controlPr>
            </control>
          </mc:Choice>
        </mc:AlternateContent>
        <mc:AlternateContent xmlns:mc="http://schemas.openxmlformats.org/markup-compatibility/2006">
          <mc:Choice Requires="x14">
            <control shapeId="49324" r:id="rId116" name="Check Box 1196">
              <controlPr defaultSize="0" autoFill="0" autoLine="0" autoPict="0">
                <anchor moveWithCells="1" sizeWithCells="1">
                  <from>
                    <xdr:col>11</xdr:col>
                    <xdr:colOff>47625</xdr:colOff>
                    <xdr:row>51</xdr:row>
                    <xdr:rowOff>9525</xdr:rowOff>
                  </from>
                  <to>
                    <xdr:col>11</xdr:col>
                    <xdr:colOff>2009775</xdr:colOff>
                    <xdr:row>51</xdr:row>
                    <xdr:rowOff>190500</xdr:rowOff>
                  </to>
                </anchor>
              </controlPr>
            </control>
          </mc:Choice>
        </mc:AlternateContent>
        <mc:AlternateContent xmlns:mc="http://schemas.openxmlformats.org/markup-compatibility/2006">
          <mc:Choice Requires="x14">
            <control shapeId="49325" r:id="rId117" name="Check Box 1197">
              <controlPr defaultSize="0" autoFill="0" autoLine="0" autoPict="0">
                <anchor moveWithCells="1" sizeWithCells="1">
                  <from>
                    <xdr:col>11</xdr:col>
                    <xdr:colOff>47625</xdr:colOff>
                    <xdr:row>51</xdr:row>
                    <xdr:rowOff>171450</xdr:rowOff>
                  </from>
                  <to>
                    <xdr:col>11</xdr:col>
                    <xdr:colOff>2009775</xdr:colOff>
                    <xdr:row>51</xdr:row>
                    <xdr:rowOff>352425</xdr:rowOff>
                  </to>
                </anchor>
              </controlPr>
            </control>
          </mc:Choice>
        </mc:AlternateContent>
        <mc:AlternateContent xmlns:mc="http://schemas.openxmlformats.org/markup-compatibility/2006">
          <mc:Choice Requires="x14">
            <control shapeId="49326" r:id="rId118" name="Check Box 1198">
              <controlPr defaultSize="0" autoFill="0" autoLine="0" autoPict="0">
                <anchor moveWithCells="1" sizeWithCells="1">
                  <from>
                    <xdr:col>11</xdr:col>
                    <xdr:colOff>47625</xdr:colOff>
                    <xdr:row>51</xdr:row>
                    <xdr:rowOff>342900</xdr:rowOff>
                  </from>
                  <to>
                    <xdr:col>11</xdr:col>
                    <xdr:colOff>2009775</xdr:colOff>
                    <xdr:row>51</xdr:row>
                    <xdr:rowOff>523875</xdr:rowOff>
                  </to>
                </anchor>
              </controlPr>
            </control>
          </mc:Choice>
        </mc:AlternateContent>
        <mc:AlternateContent xmlns:mc="http://schemas.openxmlformats.org/markup-compatibility/2006">
          <mc:Choice Requires="x14">
            <control shapeId="49329" r:id="rId119" name="Check Box 1201">
              <controlPr defaultSize="0" autoFill="0" autoLine="0" autoPict="0">
                <anchor moveWithCells="1" sizeWithCells="1">
                  <from>
                    <xdr:col>11</xdr:col>
                    <xdr:colOff>2514600</xdr:colOff>
                    <xdr:row>51</xdr:row>
                    <xdr:rowOff>9525</xdr:rowOff>
                  </from>
                  <to>
                    <xdr:col>12</xdr:col>
                    <xdr:colOff>762000</xdr:colOff>
                    <xdr:row>51</xdr:row>
                    <xdr:rowOff>190500</xdr:rowOff>
                  </to>
                </anchor>
              </controlPr>
            </control>
          </mc:Choice>
        </mc:AlternateContent>
        <mc:AlternateContent xmlns:mc="http://schemas.openxmlformats.org/markup-compatibility/2006">
          <mc:Choice Requires="x14">
            <control shapeId="49330" r:id="rId120" name="Check Box 1202">
              <controlPr defaultSize="0" autoFill="0" autoLine="0" autoPict="0">
                <anchor moveWithCells="1" sizeWithCells="1">
                  <from>
                    <xdr:col>11</xdr:col>
                    <xdr:colOff>2514600</xdr:colOff>
                    <xdr:row>51</xdr:row>
                    <xdr:rowOff>171450</xdr:rowOff>
                  </from>
                  <to>
                    <xdr:col>12</xdr:col>
                    <xdr:colOff>762000</xdr:colOff>
                    <xdr:row>51</xdr:row>
                    <xdr:rowOff>352425</xdr:rowOff>
                  </to>
                </anchor>
              </controlPr>
            </control>
          </mc:Choice>
        </mc:AlternateContent>
        <mc:AlternateContent xmlns:mc="http://schemas.openxmlformats.org/markup-compatibility/2006">
          <mc:Choice Requires="x14">
            <control shapeId="49331" r:id="rId121" name="Check Box 1203">
              <controlPr defaultSize="0" autoFill="0" autoLine="0" autoPict="0">
                <anchor moveWithCells="1" sizeWithCells="1">
                  <from>
                    <xdr:col>11</xdr:col>
                    <xdr:colOff>2514600</xdr:colOff>
                    <xdr:row>51</xdr:row>
                    <xdr:rowOff>342900</xdr:rowOff>
                  </from>
                  <to>
                    <xdr:col>12</xdr:col>
                    <xdr:colOff>762000</xdr:colOff>
                    <xdr:row>51</xdr:row>
                    <xdr:rowOff>523875</xdr:rowOff>
                  </to>
                </anchor>
              </controlPr>
            </control>
          </mc:Choice>
        </mc:AlternateContent>
        <mc:AlternateContent xmlns:mc="http://schemas.openxmlformats.org/markup-compatibility/2006">
          <mc:Choice Requires="x14">
            <control shapeId="49361" r:id="rId122" name="Check Box 1233">
              <controlPr defaultSize="0" autoFill="0" autoLine="0" autoPict="0">
                <anchor moveWithCells="1" sizeWithCells="1">
                  <from>
                    <xdr:col>11</xdr:col>
                    <xdr:colOff>47625</xdr:colOff>
                    <xdr:row>53</xdr:row>
                    <xdr:rowOff>9525</xdr:rowOff>
                  </from>
                  <to>
                    <xdr:col>11</xdr:col>
                    <xdr:colOff>2352675</xdr:colOff>
                    <xdr:row>53</xdr:row>
                    <xdr:rowOff>209550</xdr:rowOff>
                  </to>
                </anchor>
              </controlPr>
            </control>
          </mc:Choice>
        </mc:AlternateContent>
        <mc:AlternateContent xmlns:mc="http://schemas.openxmlformats.org/markup-compatibility/2006">
          <mc:Choice Requires="x14">
            <control shapeId="49362" r:id="rId123" name="Check Box 1234">
              <controlPr defaultSize="0" autoFill="0" autoLine="0" autoPict="0">
                <anchor moveWithCells="1" sizeWithCells="1">
                  <from>
                    <xdr:col>11</xdr:col>
                    <xdr:colOff>47625</xdr:colOff>
                    <xdr:row>53</xdr:row>
                    <xdr:rowOff>171450</xdr:rowOff>
                  </from>
                  <to>
                    <xdr:col>11</xdr:col>
                    <xdr:colOff>2009775</xdr:colOff>
                    <xdr:row>53</xdr:row>
                    <xdr:rowOff>352425</xdr:rowOff>
                  </to>
                </anchor>
              </controlPr>
            </control>
          </mc:Choice>
        </mc:AlternateContent>
        <mc:AlternateContent xmlns:mc="http://schemas.openxmlformats.org/markup-compatibility/2006">
          <mc:Choice Requires="x14">
            <control shapeId="49363" r:id="rId124" name="Check Box 1235">
              <controlPr defaultSize="0" autoFill="0" autoLine="0" autoPict="0">
                <anchor moveWithCells="1" sizeWithCells="1">
                  <from>
                    <xdr:col>11</xdr:col>
                    <xdr:colOff>47625</xdr:colOff>
                    <xdr:row>53</xdr:row>
                    <xdr:rowOff>342900</xdr:rowOff>
                  </from>
                  <to>
                    <xdr:col>11</xdr:col>
                    <xdr:colOff>2009775</xdr:colOff>
                    <xdr:row>53</xdr:row>
                    <xdr:rowOff>523875</xdr:rowOff>
                  </to>
                </anchor>
              </controlPr>
            </control>
          </mc:Choice>
        </mc:AlternateContent>
        <mc:AlternateContent xmlns:mc="http://schemas.openxmlformats.org/markup-compatibility/2006">
          <mc:Choice Requires="x14">
            <control shapeId="49364" r:id="rId125" name="Check Box 1236">
              <controlPr defaultSize="0" autoFill="0" autoLine="0" autoPict="0">
                <anchor moveWithCells="1" sizeWithCells="1">
                  <from>
                    <xdr:col>11</xdr:col>
                    <xdr:colOff>47625</xdr:colOff>
                    <xdr:row>53</xdr:row>
                    <xdr:rowOff>495300</xdr:rowOff>
                  </from>
                  <to>
                    <xdr:col>11</xdr:col>
                    <xdr:colOff>2009775</xdr:colOff>
                    <xdr:row>53</xdr:row>
                    <xdr:rowOff>676275</xdr:rowOff>
                  </to>
                </anchor>
              </controlPr>
            </control>
          </mc:Choice>
        </mc:AlternateContent>
        <mc:AlternateContent xmlns:mc="http://schemas.openxmlformats.org/markup-compatibility/2006">
          <mc:Choice Requires="x14">
            <control shapeId="49368" r:id="rId126" name="Check Box 1240">
              <controlPr defaultSize="0" autoFill="0" autoLine="0" autoPict="0">
                <anchor moveWithCells="1" sizeWithCells="1">
                  <from>
                    <xdr:col>11</xdr:col>
                    <xdr:colOff>47625</xdr:colOff>
                    <xdr:row>54</xdr:row>
                    <xdr:rowOff>9525</xdr:rowOff>
                  </from>
                  <to>
                    <xdr:col>11</xdr:col>
                    <xdr:colOff>2009775</xdr:colOff>
                    <xdr:row>54</xdr:row>
                    <xdr:rowOff>190500</xdr:rowOff>
                  </to>
                </anchor>
              </controlPr>
            </control>
          </mc:Choice>
        </mc:AlternateContent>
        <mc:AlternateContent xmlns:mc="http://schemas.openxmlformats.org/markup-compatibility/2006">
          <mc:Choice Requires="x14">
            <control shapeId="49369" r:id="rId127" name="Check Box 1241">
              <controlPr defaultSize="0" autoFill="0" autoLine="0" autoPict="0">
                <anchor moveWithCells="1" sizeWithCells="1">
                  <from>
                    <xdr:col>11</xdr:col>
                    <xdr:colOff>47625</xdr:colOff>
                    <xdr:row>54</xdr:row>
                    <xdr:rowOff>171450</xdr:rowOff>
                  </from>
                  <to>
                    <xdr:col>11</xdr:col>
                    <xdr:colOff>2009775</xdr:colOff>
                    <xdr:row>54</xdr:row>
                    <xdr:rowOff>352425</xdr:rowOff>
                  </to>
                </anchor>
              </controlPr>
            </control>
          </mc:Choice>
        </mc:AlternateContent>
        <mc:AlternateContent xmlns:mc="http://schemas.openxmlformats.org/markup-compatibility/2006">
          <mc:Choice Requires="x14">
            <control shapeId="49372" r:id="rId128" name="Check Box 1244">
              <controlPr defaultSize="0" autoFill="0" autoLine="0" autoPict="0">
                <anchor moveWithCells="1" sizeWithCells="1">
                  <from>
                    <xdr:col>11</xdr:col>
                    <xdr:colOff>2514600</xdr:colOff>
                    <xdr:row>54</xdr:row>
                    <xdr:rowOff>9525</xdr:rowOff>
                  </from>
                  <to>
                    <xdr:col>12</xdr:col>
                    <xdr:colOff>762000</xdr:colOff>
                    <xdr:row>54</xdr:row>
                    <xdr:rowOff>190500</xdr:rowOff>
                  </to>
                </anchor>
              </controlPr>
            </control>
          </mc:Choice>
        </mc:AlternateContent>
        <mc:AlternateContent xmlns:mc="http://schemas.openxmlformats.org/markup-compatibility/2006">
          <mc:Choice Requires="x14">
            <control shapeId="49373" r:id="rId129" name="Check Box 1245">
              <controlPr defaultSize="0" autoFill="0" autoLine="0" autoPict="0">
                <anchor moveWithCells="1" sizeWithCells="1">
                  <from>
                    <xdr:col>11</xdr:col>
                    <xdr:colOff>2514600</xdr:colOff>
                    <xdr:row>54</xdr:row>
                    <xdr:rowOff>171450</xdr:rowOff>
                  </from>
                  <to>
                    <xdr:col>12</xdr:col>
                    <xdr:colOff>1247775</xdr:colOff>
                    <xdr:row>54</xdr:row>
                    <xdr:rowOff>333375</xdr:rowOff>
                  </to>
                </anchor>
              </controlPr>
            </control>
          </mc:Choice>
        </mc:AlternateContent>
        <mc:AlternateContent xmlns:mc="http://schemas.openxmlformats.org/markup-compatibility/2006">
          <mc:Choice Requires="x14">
            <control shapeId="49379" r:id="rId130" name="Check Box 1251">
              <controlPr defaultSize="0" autoFill="0" autoLine="0" autoPict="0">
                <anchor moveWithCells="1" sizeWithCells="1">
                  <from>
                    <xdr:col>11</xdr:col>
                    <xdr:colOff>47625</xdr:colOff>
                    <xdr:row>55</xdr:row>
                    <xdr:rowOff>9525</xdr:rowOff>
                  </from>
                  <to>
                    <xdr:col>11</xdr:col>
                    <xdr:colOff>2009775</xdr:colOff>
                    <xdr:row>55</xdr:row>
                    <xdr:rowOff>190500</xdr:rowOff>
                  </to>
                </anchor>
              </controlPr>
            </control>
          </mc:Choice>
        </mc:AlternateContent>
        <mc:AlternateContent xmlns:mc="http://schemas.openxmlformats.org/markup-compatibility/2006">
          <mc:Choice Requires="x14">
            <control shapeId="49380" r:id="rId131" name="Check Box 1252">
              <controlPr defaultSize="0" autoFill="0" autoLine="0" autoPict="0">
                <anchor moveWithCells="1" sizeWithCells="1">
                  <from>
                    <xdr:col>11</xdr:col>
                    <xdr:colOff>47625</xdr:colOff>
                    <xdr:row>55</xdr:row>
                    <xdr:rowOff>171450</xdr:rowOff>
                  </from>
                  <to>
                    <xdr:col>11</xdr:col>
                    <xdr:colOff>2009775</xdr:colOff>
                    <xdr:row>55</xdr:row>
                    <xdr:rowOff>352425</xdr:rowOff>
                  </to>
                </anchor>
              </controlPr>
            </control>
          </mc:Choice>
        </mc:AlternateContent>
        <mc:AlternateContent xmlns:mc="http://schemas.openxmlformats.org/markup-compatibility/2006">
          <mc:Choice Requires="x14">
            <control shapeId="49381" r:id="rId132" name="Check Box 1253">
              <controlPr defaultSize="0" autoFill="0" autoLine="0" autoPict="0">
                <anchor moveWithCells="1" sizeWithCells="1">
                  <from>
                    <xdr:col>11</xdr:col>
                    <xdr:colOff>47625</xdr:colOff>
                    <xdr:row>55</xdr:row>
                    <xdr:rowOff>342900</xdr:rowOff>
                  </from>
                  <to>
                    <xdr:col>11</xdr:col>
                    <xdr:colOff>2009775</xdr:colOff>
                    <xdr:row>55</xdr:row>
                    <xdr:rowOff>523875</xdr:rowOff>
                  </to>
                </anchor>
              </controlPr>
            </control>
          </mc:Choice>
        </mc:AlternateContent>
        <mc:AlternateContent xmlns:mc="http://schemas.openxmlformats.org/markup-compatibility/2006">
          <mc:Choice Requires="x14">
            <control shapeId="49382" r:id="rId133" name="Check Box 1254">
              <controlPr defaultSize="0" autoFill="0" autoLine="0" autoPict="0">
                <anchor moveWithCells="1" sizeWithCells="1">
                  <from>
                    <xdr:col>11</xdr:col>
                    <xdr:colOff>47625</xdr:colOff>
                    <xdr:row>55</xdr:row>
                    <xdr:rowOff>495300</xdr:rowOff>
                  </from>
                  <to>
                    <xdr:col>11</xdr:col>
                    <xdr:colOff>2009775</xdr:colOff>
                    <xdr:row>55</xdr:row>
                    <xdr:rowOff>676275</xdr:rowOff>
                  </to>
                </anchor>
              </controlPr>
            </control>
          </mc:Choice>
        </mc:AlternateContent>
        <mc:AlternateContent xmlns:mc="http://schemas.openxmlformats.org/markup-compatibility/2006">
          <mc:Choice Requires="x14">
            <control shapeId="49383" r:id="rId134" name="Check Box 1255">
              <controlPr defaultSize="0" autoFill="0" autoLine="0" autoPict="0">
                <anchor moveWithCells="1" sizeWithCells="1">
                  <from>
                    <xdr:col>11</xdr:col>
                    <xdr:colOff>47625</xdr:colOff>
                    <xdr:row>55</xdr:row>
                    <xdr:rowOff>657225</xdr:rowOff>
                  </from>
                  <to>
                    <xdr:col>11</xdr:col>
                    <xdr:colOff>2009775</xdr:colOff>
                    <xdr:row>55</xdr:row>
                    <xdr:rowOff>838200</xdr:rowOff>
                  </to>
                </anchor>
              </controlPr>
            </control>
          </mc:Choice>
        </mc:AlternateContent>
        <mc:AlternateContent xmlns:mc="http://schemas.openxmlformats.org/markup-compatibility/2006">
          <mc:Choice Requires="x14">
            <control shapeId="49384" r:id="rId135" name="Check Box 1256">
              <controlPr defaultSize="0" autoFill="0" autoLine="0" autoPict="0">
                <anchor moveWithCells="1" sizeWithCells="1">
                  <from>
                    <xdr:col>11</xdr:col>
                    <xdr:colOff>2514600</xdr:colOff>
                    <xdr:row>55</xdr:row>
                    <xdr:rowOff>9525</xdr:rowOff>
                  </from>
                  <to>
                    <xdr:col>12</xdr:col>
                    <xdr:colOff>762000</xdr:colOff>
                    <xdr:row>55</xdr:row>
                    <xdr:rowOff>190500</xdr:rowOff>
                  </to>
                </anchor>
              </controlPr>
            </control>
          </mc:Choice>
        </mc:AlternateContent>
        <mc:AlternateContent xmlns:mc="http://schemas.openxmlformats.org/markup-compatibility/2006">
          <mc:Choice Requires="x14">
            <control shapeId="49385" r:id="rId136" name="Check Box 1257">
              <controlPr defaultSize="0" autoFill="0" autoLine="0" autoPict="0">
                <anchor moveWithCells="1" sizeWithCells="1">
                  <from>
                    <xdr:col>11</xdr:col>
                    <xdr:colOff>2514600</xdr:colOff>
                    <xdr:row>55</xdr:row>
                    <xdr:rowOff>171450</xdr:rowOff>
                  </from>
                  <to>
                    <xdr:col>12</xdr:col>
                    <xdr:colOff>762000</xdr:colOff>
                    <xdr:row>55</xdr:row>
                    <xdr:rowOff>352425</xdr:rowOff>
                  </to>
                </anchor>
              </controlPr>
            </control>
          </mc:Choice>
        </mc:AlternateContent>
        <mc:AlternateContent xmlns:mc="http://schemas.openxmlformats.org/markup-compatibility/2006">
          <mc:Choice Requires="x14">
            <control shapeId="49386" r:id="rId137" name="Check Box 1258">
              <controlPr defaultSize="0" autoFill="0" autoLine="0" autoPict="0">
                <anchor moveWithCells="1" sizeWithCells="1">
                  <from>
                    <xdr:col>11</xdr:col>
                    <xdr:colOff>2514600</xdr:colOff>
                    <xdr:row>55</xdr:row>
                    <xdr:rowOff>342900</xdr:rowOff>
                  </from>
                  <to>
                    <xdr:col>12</xdr:col>
                    <xdr:colOff>762000</xdr:colOff>
                    <xdr:row>55</xdr:row>
                    <xdr:rowOff>523875</xdr:rowOff>
                  </to>
                </anchor>
              </controlPr>
            </control>
          </mc:Choice>
        </mc:AlternateContent>
        <mc:AlternateContent xmlns:mc="http://schemas.openxmlformats.org/markup-compatibility/2006">
          <mc:Choice Requires="x14">
            <control shapeId="49387" r:id="rId138" name="Check Box 1259">
              <controlPr defaultSize="0" autoFill="0" autoLine="0" autoPict="0">
                <anchor moveWithCells="1" sizeWithCells="1">
                  <from>
                    <xdr:col>11</xdr:col>
                    <xdr:colOff>2514600</xdr:colOff>
                    <xdr:row>55</xdr:row>
                    <xdr:rowOff>495300</xdr:rowOff>
                  </from>
                  <to>
                    <xdr:col>12</xdr:col>
                    <xdr:colOff>762000</xdr:colOff>
                    <xdr:row>55</xdr:row>
                    <xdr:rowOff>676275</xdr:rowOff>
                  </to>
                </anchor>
              </controlPr>
            </control>
          </mc:Choice>
        </mc:AlternateContent>
        <mc:AlternateContent xmlns:mc="http://schemas.openxmlformats.org/markup-compatibility/2006">
          <mc:Choice Requires="x14">
            <control shapeId="49388" r:id="rId139" name="Check Box 1260">
              <controlPr defaultSize="0" autoFill="0" autoLine="0" autoPict="0">
                <anchor moveWithCells="1" sizeWithCells="1">
                  <from>
                    <xdr:col>11</xdr:col>
                    <xdr:colOff>2514600</xdr:colOff>
                    <xdr:row>55</xdr:row>
                    <xdr:rowOff>657225</xdr:rowOff>
                  </from>
                  <to>
                    <xdr:col>12</xdr:col>
                    <xdr:colOff>762000</xdr:colOff>
                    <xdr:row>55</xdr:row>
                    <xdr:rowOff>838200</xdr:rowOff>
                  </to>
                </anchor>
              </controlPr>
            </control>
          </mc:Choice>
        </mc:AlternateContent>
        <mc:AlternateContent xmlns:mc="http://schemas.openxmlformats.org/markup-compatibility/2006">
          <mc:Choice Requires="x14">
            <control shapeId="49389" r:id="rId140" name="Check Box 1261">
              <controlPr defaultSize="0" autoFill="0" autoLine="0" autoPict="0">
                <anchor moveWithCells="1" sizeWithCells="1">
                  <from>
                    <xdr:col>12</xdr:col>
                    <xdr:colOff>885825</xdr:colOff>
                    <xdr:row>55</xdr:row>
                    <xdr:rowOff>9525</xdr:rowOff>
                  </from>
                  <to>
                    <xdr:col>12</xdr:col>
                    <xdr:colOff>2952750</xdr:colOff>
                    <xdr:row>55</xdr:row>
                    <xdr:rowOff>190500</xdr:rowOff>
                  </to>
                </anchor>
              </controlPr>
            </control>
          </mc:Choice>
        </mc:AlternateContent>
        <mc:AlternateContent xmlns:mc="http://schemas.openxmlformats.org/markup-compatibility/2006">
          <mc:Choice Requires="x14">
            <control shapeId="49390" r:id="rId141" name="Check Box 1262">
              <controlPr defaultSize="0" autoFill="0" autoLine="0" autoPict="0">
                <anchor moveWithCells="1" sizeWithCells="1">
                  <from>
                    <xdr:col>12</xdr:col>
                    <xdr:colOff>885825</xdr:colOff>
                    <xdr:row>55</xdr:row>
                    <xdr:rowOff>171450</xdr:rowOff>
                  </from>
                  <to>
                    <xdr:col>12</xdr:col>
                    <xdr:colOff>2952750</xdr:colOff>
                    <xdr:row>55</xdr:row>
                    <xdr:rowOff>352425</xdr:rowOff>
                  </to>
                </anchor>
              </controlPr>
            </control>
          </mc:Choice>
        </mc:AlternateContent>
        <mc:AlternateContent xmlns:mc="http://schemas.openxmlformats.org/markup-compatibility/2006">
          <mc:Choice Requires="x14">
            <control shapeId="49391" r:id="rId142" name="Check Box 1263">
              <controlPr defaultSize="0" autoFill="0" autoLine="0" autoPict="0">
                <anchor moveWithCells="1" sizeWithCells="1">
                  <from>
                    <xdr:col>12</xdr:col>
                    <xdr:colOff>885825</xdr:colOff>
                    <xdr:row>55</xdr:row>
                    <xdr:rowOff>342900</xdr:rowOff>
                  </from>
                  <to>
                    <xdr:col>12</xdr:col>
                    <xdr:colOff>2952750</xdr:colOff>
                    <xdr:row>55</xdr:row>
                    <xdr:rowOff>523875</xdr:rowOff>
                  </to>
                </anchor>
              </controlPr>
            </control>
          </mc:Choice>
        </mc:AlternateContent>
        <mc:AlternateContent xmlns:mc="http://schemas.openxmlformats.org/markup-compatibility/2006">
          <mc:Choice Requires="x14">
            <control shapeId="49392" r:id="rId143" name="Check Box 1264">
              <controlPr defaultSize="0" autoFill="0" autoLine="0" autoPict="0">
                <anchor moveWithCells="1" sizeWithCells="1">
                  <from>
                    <xdr:col>12</xdr:col>
                    <xdr:colOff>885825</xdr:colOff>
                    <xdr:row>55</xdr:row>
                    <xdr:rowOff>495300</xdr:rowOff>
                  </from>
                  <to>
                    <xdr:col>12</xdr:col>
                    <xdr:colOff>2952750</xdr:colOff>
                    <xdr:row>55</xdr:row>
                    <xdr:rowOff>676275</xdr:rowOff>
                  </to>
                </anchor>
              </controlPr>
            </control>
          </mc:Choice>
        </mc:AlternateContent>
        <mc:AlternateContent xmlns:mc="http://schemas.openxmlformats.org/markup-compatibility/2006">
          <mc:Choice Requires="x14">
            <control shapeId="49393" r:id="rId144" name="Check Box 1265">
              <controlPr defaultSize="0" autoFill="0" autoLine="0" autoPict="0">
                <anchor moveWithCells="1" sizeWithCells="1">
                  <from>
                    <xdr:col>12</xdr:col>
                    <xdr:colOff>885825</xdr:colOff>
                    <xdr:row>55</xdr:row>
                    <xdr:rowOff>657225</xdr:rowOff>
                  </from>
                  <to>
                    <xdr:col>12</xdr:col>
                    <xdr:colOff>2952750</xdr:colOff>
                    <xdr:row>55</xdr:row>
                    <xdr:rowOff>838200</xdr:rowOff>
                  </to>
                </anchor>
              </controlPr>
            </control>
          </mc:Choice>
        </mc:AlternateContent>
        <mc:AlternateContent xmlns:mc="http://schemas.openxmlformats.org/markup-compatibility/2006">
          <mc:Choice Requires="x14">
            <control shapeId="49405" r:id="rId145" name="Check Box 1277">
              <controlPr defaultSize="0" autoFill="0" autoLine="0" autoPict="0">
                <anchor moveWithCells="1" sizeWithCells="1">
                  <from>
                    <xdr:col>12</xdr:col>
                    <xdr:colOff>3152775</xdr:colOff>
                    <xdr:row>55</xdr:row>
                    <xdr:rowOff>9525</xdr:rowOff>
                  </from>
                  <to>
                    <xdr:col>13</xdr:col>
                    <xdr:colOff>1400175</xdr:colOff>
                    <xdr:row>55</xdr:row>
                    <xdr:rowOff>190500</xdr:rowOff>
                  </to>
                </anchor>
              </controlPr>
            </control>
          </mc:Choice>
        </mc:AlternateContent>
        <mc:AlternateContent xmlns:mc="http://schemas.openxmlformats.org/markup-compatibility/2006">
          <mc:Choice Requires="x14">
            <control shapeId="49406" r:id="rId146" name="Check Box 1278">
              <controlPr defaultSize="0" autoFill="0" autoLine="0" autoPict="0">
                <anchor moveWithCells="1" sizeWithCells="1">
                  <from>
                    <xdr:col>12</xdr:col>
                    <xdr:colOff>3152775</xdr:colOff>
                    <xdr:row>55</xdr:row>
                    <xdr:rowOff>171450</xdr:rowOff>
                  </from>
                  <to>
                    <xdr:col>13</xdr:col>
                    <xdr:colOff>1400175</xdr:colOff>
                    <xdr:row>55</xdr:row>
                    <xdr:rowOff>352425</xdr:rowOff>
                  </to>
                </anchor>
              </controlPr>
            </control>
          </mc:Choice>
        </mc:AlternateContent>
        <mc:AlternateContent xmlns:mc="http://schemas.openxmlformats.org/markup-compatibility/2006">
          <mc:Choice Requires="x14">
            <control shapeId="49407" r:id="rId147" name="Check Box 1279">
              <controlPr defaultSize="0" autoFill="0" autoLine="0" autoPict="0">
                <anchor moveWithCells="1" sizeWithCells="1">
                  <from>
                    <xdr:col>12</xdr:col>
                    <xdr:colOff>3152775</xdr:colOff>
                    <xdr:row>55</xdr:row>
                    <xdr:rowOff>342900</xdr:rowOff>
                  </from>
                  <to>
                    <xdr:col>13</xdr:col>
                    <xdr:colOff>1400175</xdr:colOff>
                    <xdr:row>55</xdr:row>
                    <xdr:rowOff>523875</xdr:rowOff>
                  </to>
                </anchor>
              </controlPr>
            </control>
          </mc:Choice>
        </mc:AlternateContent>
        <mc:AlternateContent xmlns:mc="http://schemas.openxmlformats.org/markup-compatibility/2006">
          <mc:Choice Requires="x14">
            <control shapeId="49410" r:id="rId148" name="Check Box 1282">
              <controlPr defaultSize="0" autoFill="0" autoLine="0" autoPict="0">
                <anchor moveWithCells="1" sizeWithCells="1">
                  <from>
                    <xdr:col>11</xdr:col>
                    <xdr:colOff>47625</xdr:colOff>
                    <xdr:row>57</xdr:row>
                    <xdr:rowOff>9525</xdr:rowOff>
                  </from>
                  <to>
                    <xdr:col>11</xdr:col>
                    <xdr:colOff>2009775</xdr:colOff>
                    <xdr:row>57</xdr:row>
                    <xdr:rowOff>190500</xdr:rowOff>
                  </to>
                </anchor>
              </controlPr>
            </control>
          </mc:Choice>
        </mc:AlternateContent>
        <mc:AlternateContent xmlns:mc="http://schemas.openxmlformats.org/markup-compatibility/2006">
          <mc:Choice Requires="x14">
            <control shapeId="49411" r:id="rId149" name="Check Box 1283">
              <controlPr defaultSize="0" autoFill="0" autoLine="0" autoPict="0">
                <anchor moveWithCells="1" sizeWithCells="1">
                  <from>
                    <xdr:col>11</xdr:col>
                    <xdr:colOff>47625</xdr:colOff>
                    <xdr:row>57</xdr:row>
                    <xdr:rowOff>171450</xdr:rowOff>
                  </from>
                  <to>
                    <xdr:col>11</xdr:col>
                    <xdr:colOff>2009775</xdr:colOff>
                    <xdr:row>57</xdr:row>
                    <xdr:rowOff>352425</xdr:rowOff>
                  </to>
                </anchor>
              </controlPr>
            </control>
          </mc:Choice>
        </mc:AlternateContent>
        <mc:AlternateContent xmlns:mc="http://schemas.openxmlformats.org/markup-compatibility/2006">
          <mc:Choice Requires="x14">
            <control shapeId="49432" r:id="rId150" name="Check Box 1304">
              <controlPr defaultSize="0" autoFill="0" autoLine="0" autoPict="0">
                <anchor moveWithCells="1" sizeWithCells="1">
                  <from>
                    <xdr:col>11</xdr:col>
                    <xdr:colOff>47625</xdr:colOff>
                    <xdr:row>59</xdr:row>
                    <xdr:rowOff>9525</xdr:rowOff>
                  </from>
                  <to>
                    <xdr:col>11</xdr:col>
                    <xdr:colOff>2009775</xdr:colOff>
                    <xdr:row>59</xdr:row>
                    <xdr:rowOff>190500</xdr:rowOff>
                  </to>
                </anchor>
              </controlPr>
            </control>
          </mc:Choice>
        </mc:AlternateContent>
        <mc:AlternateContent xmlns:mc="http://schemas.openxmlformats.org/markup-compatibility/2006">
          <mc:Choice Requires="x14">
            <control shapeId="49433" r:id="rId151" name="Check Box 1305">
              <controlPr defaultSize="0" autoFill="0" autoLine="0" autoPict="0">
                <anchor moveWithCells="1" sizeWithCells="1">
                  <from>
                    <xdr:col>11</xdr:col>
                    <xdr:colOff>47625</xdr:colOff>
                    <xdr:row>59</xdr:row>
                    <xdr:rowOff>171450</xdr:rowOff>
                  </from>
                  <to>
                    <xdr:col>11</xdr:col>
                    <xdr:colOff>2009775</xdr:colOff>
                    <xdr:row>59</xdr:row>
                    <xdr:rowOff>352425</xdr:rowOff>
                  </to>
                </anchor>
              </controlPr>
            </control>
          </mc:Choice>
        </mc:AlternateContent>
        <mc:AlternateContent xmlns:mc="http://schemas.openxmlformats.org/markup-compatibility/2006">
          <mc:Choice Requires="x14">
            <control shapeId="49434" r:id="rId152" name="Check Box 1306">
              <controlPr defaultSize="0" autoFill="0" autoLine="0" autoPict="0">
                <anchor moveWithCells="1" sizeWithCells="1">
                  <from>
                    <xdr:col>11</xdr:col>
                    <xdr:colOff>47625</xdr:colOff>
                    <xdr:row>59</xdr:row>
                    <xdr:rowOff>342900</xdr:rowOff>
                  </from>
                  <to>
                    <xdr:col>11</xdr:col>
                    <xdr:colOff>2009775</xdr:colOff>
                    <xdr:row>59</xdr:row>
                    <xdr:rowOff>523875</xdr:rowOff>
                  </to>
                </anchor>
              </controlPr>
            </control>
          </mc:Choice>
        </mc:AlternateContent>
        <mc:AlternateContent xmlns:mc="http://schemas.openxmlformats.org/markup-compatibility/2006">
          <mc:Choice Requires="x14">
            <control shapeId="49435" r:id="rId153" name="Check Box 1307">
              <controlPr defaultSize="0" autoFill="0" autoLine="0" autoPict="0">
                <anchor moveWithCells="1" sizeWithCells="1">
                  <from>
                    <xdr:col>11</xdr:col>
                    <xdr:colOff>47625</xdr:colOff>
                    <xdr:row>60</xdr:row>
                    <xdr:rowOff>9525</xdr:rowOff>
                  </from>
                  <to>
                    <xdr:col>11</xdr:col>
                    <xdr:colOff>2009775</xdr:colOff>
                    <xdr:row>60</xdr:row>
                    <xdr:rowOff>190500</xdr:rowOff>
                  </to>
                </anchor>
              </controlPr>
            </control>
          </mc:Choice>
        </mc:AlternateContent>
        <mc:AlternateContent xmlns:mc="http://schemas.openxmlformats.org/markup-compatibility/2006">
          <mc:Choice Requires="x14">
            <control shapeId="49436" r:id="rId154" name="Check Box 1308">
              <controlPr defaultSize="0" autoFill="0" autoLine="0" autoPict="0">
                <anchor moveWithCells="1" sizeWithCells="1">
                  <from>
                    <xdr:col>11</xdr:col>
                    <xdr:colOff>47625</xdr:colOff>
                    <xdr:row>60</xdr:row>
                    <xdr:rowOff>171450</xdr:rowOff>
                  </from>
                  <to>
                    <xdr:col>11</xdr:col>
                    <xdr:colOff>2009775</xdr:colOff>
                    <xdr:row>60</xdr:row>
                    <xdr:rowOff>352425</xdr:rowOff>
                  </to>
                </anchor>
              </controlPr>
            </control>
          </mc:Choice>
        </mc:AlternateContent>
        <mc:AlternateContent xmlns:mc="http://schemas.openxmlformats.org/markup-compatibility/2006">
          <mc:Choice Requires="x14">
            <control shapeId="49437" r:id="rId155" name="Check Box 1309">
              <controlPr defaultSize="0" autoFill="0" autoLine="0" autoPict="0">
                <anchor moveWithCells="1" sizeWithCells="1">
                  <from>
                    <xdr:col>11</xdr:col>
                    <xdr:colOff>47625</xdr:colOff>
                    <xdr:row>60</xdr:row>
                    <xdr:rowOff>342900</xdr:rowOff>
                  </from>
                  <to>
                    <xdr:col>11</xdr:col>
                    <xdr:colOff>2009775</xdr:colOff>
                    <xdr:row>60</xdr:row>
                    <xdr:rowOff>523875</xdr:rowOff>
                  </to>
                </anchor>
              </controlPr>
            </control>
          </mc:Choice>
        </mc:AlternateContent>
        <mc:AlternateContent xmlns:mc="http://schemas.openxmlformats.org/markup-compatibility/2006">
          <mc:Choice Requires="x14">
            <control shapeId="49438" r:id="rId156" name="Check Box 1310">
              <controlPr defaultSize="0" autoFill="0" autoLine="0" autoPict="0">
                <anchor moveWithCells="1" sizeWithCells="1">
                  <from>
                    <xdr:col>11</xdr:col>
                    <xdr:colOff>47625</xdr:colOff>
                    <xdr:row>61</xdr:row>
                    <xdr:rowOff>9525</xdr:rowOff>
                  </from>
                  <to>
                    <xdr:col>11</xdr:col>
                    <xdr:colOff>2009775</xdr:colOff>
                    <xdr:row>61</xdr:row>
                    <xdr:rowOff>190500</xdr:rowOff>
                  </to>
                </anchor>
              </controlPr>
            </control>
          </mc:Choice>
        </mc:AlternateContent>
        <mc:AlternateContent xmlns:mc="http://schemas.openxmlformats.org/markup-compatibility/2006">
          <mc:Choice Requires="x14">
            <control shapeId="49439" r:id="rId157" name="Check Box 1311">
              <controlPr defaultSize="0" autoFill="0" autoLine="0" autoPict="0">
                <anchor moveWithCells="1" sizeWithCells="1">
                  <from>
                    <xdr:col>11</xdr:col>
                    <xdr:colOff>47625</xdr:colOff>
                    <xdr:row>61</xdr:row>
                    <xdr:rowOff>171450</xdr:rowOff>
                  </from>
                  <to>
                    <xdr:col>11</xdr:col>
                    <xdr:colOff>2009775</xdr:colOff>
                    <xdr:row>61</xdr:row>
                    <xdr:rowOff>352425</xdr:rowOff>
                  </to>
                </anchor>
              </controlPr>
            </control>
          </mc:Choice>
        </mc:AlternateContent>
        <mc:AlternateContent xmlns:mc="http://schemas.openxmlformats.org/markup-compatibility/2006">
          <mc:Choice Requires="x14">
            <control shapeId="49440" r:id="rId158" name="Check Box 1312">
              <controlPr defaultSize="0" autoFill="0" autoLine="0" autoPict="0">
                <anchor moveWithCells="1" sizeWithCells="1">
                  <from>
                    <xdr:col>11</xdr:col>
                    <xdr:colOff>47625</xdr:colOff>
                    <xdr:row>61</xdr:row>
                    <xdr:rowOff>342900</xdr:rowOff>
                  </from>
                  <to>
                    <xdr:col>11</xdr:col>
                    <xdr:colOff>2009775</xdr:colOff>
                    <xdr:row>61</xdr:row>
                    <xdr:rowOff>523875</xdr:rowOff>
                  </to>
                </anchor>
              </controlPr>
            </control>
          </mc:Choice>
        </mc:AlternateContent>
        <mc:AlternateContent xmlns:mc="http://schemas.openxmlformats.org/markup-compatibility/2006">
          <mc:Choice Requires="x14">
            <control shapeId="49444" r:id="rId159" name="Check Box 1316">
              <controlPr defaultSize="0" autoFill="0" autoLine="0" autoPict="0">
                <anchor moveWithCells="1" sizeWithCells="1">
                  <from>
                    <xdr:col>11</xdr:col>
                    <xdr:colOff>2533650</xdr:colOff>
                    <xdr:row>61</xdr:row>
                    <xdr:rowOff>9525</xdr:rowOff>
                  </from>
                  <to>
                    <xdr:col>12</xdr:col>
                    <xdr:colOff>666750</xdr:colOff>
                    <xdr:row>61</xdr:row>
                    <xdr:rowOff>190500</xdr:rowOff>
                  </to>
                </anchor>
              </controlPr>
            </control>
          </mc:Choice>
        </mc:AlternateContent>
        <mc:AlternateContent xmlns:mc="http://schemas.openxmlformats.org/markup-compatibility/2006">
          <mc:Choice Requires="x14">
            <control shapeId="49445" r:id="rId160" name="Check Box 1317">
              <controlPr defaultSize="0" autoFill="0" autoLine="0" autoPict="0">
                <anchor moveWithCells="1" sizeWithCells="1">
                  <from>
                    <xdr:col>11</xdr:col>
                    <xdr:colOff>2533650</xdr:colOff>
                    <xdr:row>61</xdr:row>
                    <xdr:rowOff>171450</xdr:rowOff>
                  </from>
                  <to>
                    <xdr:col>12</xdr:col>
                    <xdr:colOff>666750</xdr:colOff>
                    <xdr:row>61</xdr:row>
                    <xdr:rowOff>352425</xdr:rowOff>
                  </to>
                </anchor>
              </controlPr>
            </control>
          </mc:Choice>
        </mc:AlternateContent>
        <mc:AlternateContent xmlns:mc="http://schemas.openxmlformats.org/markup-compatibility/2006">
          <mc:Choice Requires="x14">
            <control shapeId="49446" r:id="rId161" name="Check Box 1318">
              <controlPr defaultSize="0" autoFill="0" autoLine="0" autoPict="0">
                <anchor moveWithCells="1" sizeWithCells="1">
                  <from>
                    <xdr:col>11</xdr:col>
                    <xdr:colOff>2533650</xdr:colOff>
                    <xdr:row>61</xdr:row>
                    <xdr:rowOff>342900</xdr:rowOff>
                  </from>
                  <to>
                    <xdr:col>12</xdr:col>
                    <xdr:colOff>666750</xdr:colOff>
                    <xdr:row>61</xdr:row>
                    <xdr:rowOff>523875</xdr:rowOff>
                  </to>
                </anchor>
              </controlPr>
            </control>
          </mc:Choice>
        </mc:AlternateContent>
        <mc:AlternateContent xmlns:mc="http://schemas.openxmlformats.org/markup-compatibility/2006">
          <mc:Choice Requires="x14">
            <control shapeId="49447" r:id="rId162" name="Check Box 1319">
              <controlPr defaultSize="0" autoFill="0" autoLine="0" autoPict="0">
                <anchor moveWithCells="1" sizeWithCells="1">
                  <from>
                    <xdr:col>12</xdr:col>
                    <xdr:colOff>885825</xdr:colOff>
                    <xdr:row>61</xdr:row>
                    <xdr:rowOff>9525</xdr:rowOff>
                  </from>
                  <to>
                    <xdr:col>12</xdr:col>
                    <xdr:colOff>2847975</xdr:colOff>
                    <xdr:row>61</xdr:row>
                    <xdr:rowOff>190500</xdr:rowOff>
                  </to>
                </anchor>
              </controlPr>
            </control>
          </mc:Choice>
        </mc:AlternateContent>
        <mc:AlternateContent xmlns:mc="http://schemas.openxmlformats.org/markup-compatibility/2006">
          <mc:Choice Requires="x14">
            <control shapeId="49448" r:id="rId163" name="Check Box 1320">
              <controlPr defaultSize="0" autoFill="0" autoLine="0" autoPict="0">
                <anchor moveWithCells="1" sizeWithCells="1">
                  <from>
                    <xdr:col>12</xdr:col>
                    <xdr:colOff>885825</xdr:colOff>
                    <xdr:row>61</xdr:row>
                    <xdr:rowOff>171450</xdr:rowOff>
                  </from>
                  <to>
                    <xdr:col>12</xdr:col>
                    <xdr:colOff>2847975</xdr:colOff>
                    <xdr:row>61</xdr:row>
                    <xdr:rowOff>352425</xdr:rowOff>
                  </to>
                </anchor>
              </controlPr>
            </control>
          </mc:Choice>
        </mc:AlternateContent>
        <mc:AlternateContent xmlns:mc="http://schemas.openxmlformats.org/markup-compatibility/2006">
          <mc:Choice Requires="x14">
            <control shapeId="49449" r:id="rId164" name="Check Box 1321">
              <controlPr defaultSize="0" autoFill="0" autoLine="0" autoPict="0">
                <anchor moveWithCells="1" sizeWithCells="1">
                  <from>
                    <xdr:col>12</xdr:col>
                    <xdr:colOff>885825</xdr:colOff>
                    <xdr:row>61</xdr:row>
                    <xdr:rowOff>342900</xdr:rowOff>
                  </from>
                  <to>
                    <xdr:col>12</xdr:col>
                    <xdr:colOff>2847975</xdr:colOff>
                    <xdr:row>61</xdr:row>
                    <xdr:rowOff>523875</xdr:rowOff>
                  </to>
                </anchor>
              </controlPr>
            </control>
          </mc:Choice>
        </mc:AlternateContent>
        <mc:AlternateContent xmlns:mc="http://schemas.openxmlformats.org/markup-compatibility/2006">
          <mc:Choice Requires="x14">
            <control shapeId="49450" r:id="rId165" name="Check Box 1322">
              <controlPr defaultSize="0" autoFill="0" autoLine="0" autoPict="0">
                <anchor moveWithCells="1" sizeWithCells="1">
                  <from>
                    <xdr:col>11</xdr:col>
                    <xdr:colOff>47625</xdr:colOff>
                    <xdr:row>63</xdr:row>
                    <xdr:rowOff>9525</xdr:rowOff>
                  </from>
                  <to>
                    <xdr:col>11</xdr:col>
                    <xdr:colOff>2009775</xdr:colOff>
                    <xdr:row>63</xdr:row>
                    <xdr:rowOff>190500</xdr:rowOff>
                  </to>
                </anchor>
              </controlPr>
            </control>
          </mc:Choice>
        </mc:AlternateContent>
        <mc:AlternateContent xmlns:mc="http://schemas.openxmlformats.org/markup-compatibility/2006">
          <mc:Choice Requires="x14">
            <control shapeId="49451" r:id="rId166" name="Check Box 1323">
              <controlPr defaultSize="0" autoFill="0" autoLine="0" autoPict="0">
                <anchor moveWithCells="1" sizeWithCells="1">
                  <from>
                    <xdr:col>11</xdr:col>
                    <xdr:colOff>47625</xdr:colOff>
                    <xdr:row>63</xdr:row>
                    <xdr:rowOff>171450</xdr:rowOff>
                  </from>
                  <to>
                    <xdr:col>11</xdr:col>
                    <xdr:colOff>2009775</xdr:colOff>
                    <xdr:row>63</xdr:row>
                    <xdr:rowOff>352425</xdr:rowOff>
                  </to>
                </anchor>
              </controlPr>
            </control>
          </mc:Choice>
        </mc:AlternateContent>
        <mc:AlternateContent xmlns:mc="http://schemas.openxmlformats.org/markup-compatibility/2006">
          <mc:Choice Requires="x14">
            <control shapeId="49458" r:id="rId167" name="Check Box 1330">
              <controlPr defaultSize="0" autoFill="0" autoLine="0" autoPict="0">
                <anchor moveWithCells="1" sizeWithCells="1">
                  <from>
                    <xdr:col>11</xdr:col>
                    <xdr:colOff>47625</xdr:colOff>
                    <xdr:row>69</xdr:row>
                    <xdr:rowOff>9525</xdr:rowOff>
                  </from>
                  <to>
                    <xdr:col>11</xdr:col>
                    <xdr:colOff>2009775</xdr:colOff>
                    <xdr:row>69</xdr:row>
                    <xdr:rowOff>190500</xdr:rowOff>
                  </to>
                </anchor>
              </controlPr>
            </control>
          </mc:Choice>
        </mc:AlternateContent>
        <mc:AlternateContent xmlns:mc="http://schemas.openxmlformats.org/markup-compatibility/2006">
          <mc:Choice Requires="x14">
            <control shapeId="49469" r:id="rId168" name="Check Box 1341">
              <controlPr defaultSize="0" autoFill="0" autoLine="0" autoPict="0">
                <anchor moveWithCells="1" sizeWithCells="1">
                  <from>
                    <xdr:col>11</xdr:col>
                    <xdr:colOff>47625</xdr:colOff>
                    <xdr:row>71</xdr:row>
                    <xdr:rowOff>9525</xdr:rowOff>
                  </from>
                  <to>
                    <xdr:col>11</xdr:col>
                    <xdr:colOff>2009775</xdr:colOff>
                    <xdr:row>71</xdr:row>
                    <xdr:rowOff>190500</xdr:rowOff>
                  </to>
                </anchor>
              </controlPr>
            </control>
          </mc:Choice>
        </mc:AlternateContent>
        <mc:AlternateContent xmlns:mc="http://schemas.openxmlformats.org/markup-compatibility/2006">
          <mc:Choice Requires="x14">
            <control shapeId="49470" r:id="rId169" name="Check Box 1342">
              <controlPr defaultSize="0" autoFill="0" autoLine="0" autoPict="0">
                <anchor moveWithCells="1" sizeWithCells="1">
                  <from>
                    <xdr:col>11</xdr:col>
                    <xdr:colOff>47625</xdr:colOff>
                    <xdr:row>71</xdr:row>
                    <xdr:rowOff>171450</xdr:rowOff>
                  </from>
                  <to>
                    <xdr:col>11</xdr:col>
                    <xdr:colOff>2009775</xdr:colOff>
                    <xdr:row>71</xdr:row>
                    <xdr:rowOff>352425</xdr:rowOff>
                  </to>
                </anchor>
              </controlPr>
            </control>
          </mc:Choice>
        </mc:AlternateContent>
        <mc:AlternateContent xmlns:mc="http://schemas.openxmlformats.org/markup-compatibility/2006">
          <mc:Choice Requires="x14">
            <control shapeId="49489" r:id="rId170" name="Check Box 1361">
              <controlPr defaultSize="0" autoFill="0" autoLine="0" autoPict="0">
                <anchor moveWithCells="1" sizeWithCells="1">
                  <from>
                    <xdr:col>11</xdr:col>
                    <xdr:colOff>47625</xdr:colOff>
                    <xdr:row>70</xdr:row>
                    <xdr:rowOff>9525</xdr:rowOff>
                  </from>
                  <to>
                    <xdr:col>11</xdr:col>
                    <xdr:colOff>2009775</xdr:colOff>
                    <xdr:row>70</xdr:row>
                    <xdr:rowOff>190500</xdr:rowOff>
                  </to>
                </anchor>
              </controlPr>
            </control>
          </mc:Choice>
        </mc:AlternateContent>
        <mc:AlternateContent xmlns:mc="http://schemas.openxmlformats.org/markup-compatibility/2006">
          <mc:Choice Requires="x14">
            <control shapeId="49490" r:id="rId171" name="Check Box 1362">
              <controlPr defaultSize="0" autoFill="0" autoLine="0" autoPict="0">
                <anchor moveWithCells="1" sizeWithCells="1">
                  <from>
                    <xdr:col>11</xdr:col>
                    <xdr:colOff>47625</xdr:colOff>
                    <xdr:row>70</xdr:row>
                    <xdr:rowOff>171450</xdr:rowOff>
                  </from>
                  <to>
                    <xdr:col>11</xdr:col>
                    <xdr:colOff>2009775</xdr:colOff>
                    <xdr:row>70</xdr:row>
                    <xdr:rowOff>352425</xdr:rowOff>
                  </to>
                </anchor>
              </controlPr>
            </control>
          </mc:Choice>
        </mc:AlternateContent>
        <mc:AlternateContent xmlns:mc="http://schemas.openxmlformats.org/markup-compatibility/2006">
          <mc:Choice Requires="x14">
            <control shapeId="49491" r:id="rId172" name="Check Box 1363">
              <controlPr defaultSize="0" autoFill="0" autoLine="0" autoPict="0">
                <anchor moveWithCells="1" sizeWithCells="1">
                  <from>
                    <xdr:col>11</xdr:col>
                    <xdr:colOff>47625</xdr:colOff>
                    <xdr:row>70</xdr:row>
                    <xdr:rowOff>342900</xdr:rowOff>
                  </from>
                  <to>
                    <xdr:col>11</xdr:col>
                    <xdr:colOff>2009775</xdr:colOff>
                    <xdr:row>70</xdr:row>
                    <xdr:rowOff>523875</xdr:rowOff>
                  </to>
                </anchor>
              </controlPr>
            </control>
          </mc:Choice>
        </mc:AlternateContent>
        <mc:AlternateContent xmlns:mc="http://schemas.openxmlformats.org/markup-compatibility/2006">
          <mc:Choice Requires="x14">
            <control shapeId="49492" r:id="rId173" name="Check Box 1364">
              <controlPr defaultSize="0" autoFill="0" autoLine="0" autoPict="0">
                <anchor moveWithCells="1" sizeWithCells="1">
                  <from>
                    <xdr:col>11</xdr:col>
                    <xdr:colOff>47625</xdr:colOff>
                    <xdr:row>72</xdr:row>
                    <xdr:rowOff>9525</xdr:rowOff>
                  </from>
                  <to>
                    <xdr:col>11</xdr:col>
                    <xdr:colOff>2009775</xdr:colOff>
                    <xdr:row>72</xdr:row>
                    <xdr:rowOff>190500</xdr:rowOff>
                  </to>
                </anchor>
              </controlPr>
            </control>
          </mc:Choice>
        </mc:AlternateContent>
        <mc:AlternateContent xmlns:mc="http://schemas.openxmlformats.org/markup-compatibility/2006">
          <mc:Choice Requires="x14">
            <control shapeId="49524" r:id="rId174" name="Check Box 1396">
              <controlPr defaultSize="0" autoFill="0" autoLine="0" autoPict="0">
                <anchor moveWithCells="1" sizeWithCells="1">
                  <from>
                    <xdr:col>11</xdr:col>
                    <xdr:colOff>47625</xdr:colOff>
                    <xdr:row>77</xdr:row>
                    <xdr:rowOff>9525</xdr:rowOff>
                  </from>
                  <to>
                    <xdr:col>11</xdr:col>
                    <xdr:colOff>2009775</xdr:colOff>
                    <xdr:row>77</xdr:row>
                    <xdr:rowOff>190500</xdr:rowOff>
                  </to>
                </anchor>
              </controlPr>
            </control>
          </mc:Choice>
        </mc:AlternateContent>
        <mc:AlternateContent xmlns:mc="http://schemas.openxmlformats.org/markup-compatibility/2006">
          <mc:Choice Requires="x14">
            <control shapeId="49525" r:id="rId175" name="Check Box 1397">
              <controlPr defaultSize="0" autoFill="0" autoLine="0" autoPict="0">
                <anchor moveWithCells="1" sizeWithCells="1">
                  <from>
                    <xdr:col>11</xdr:col>
                    <xdr:colOff>47625</xdr:colOff>
                    <xdr:row>77</xdr:row>
                    <xdr:rowOff>171450</xdr:rowOff>
                  </from>
                  <to>
                    <xdr:col>11</xdr:col>
                    <xdr:colOff>2009775</xdr:colOff>
                    <xdr:row>77</xdr:row>
                    <xdr:rowOff>352425</xdr:rowOff>
                  </to>
                </anchor>
              </controlPr>
            </control>
          </mc:Choice>
        </mc:AlternateContent>
        <mc:AlternateContent xmlns:mc="http://schemas.openxmlformats.org/markup-compatibility/2006">
          <mc:Choice Requires="x14">
            <control shapeId="49526" r:id="rId176" name="Check Box 1398">
              <controlPr defaultSize="0" autoFill="0" autoLine="0" autoPict="0">
                <anchor moveWithCells="1" sizeWithCells="1">
                  <from>
                    <xdr:col>11</xdr:col>
                    <xdr:colOff>47625</xdr:colOff>
                    <xdr:row>77</xdr:row>
                    <xdr:rowOff>342900</xdr:rowOff>
                  </from>
                  <to>
                    <xdr:col>11</xdr:col>
                    <xdr:colOff>2009775</xdr:colOff>
                    <xdr:row>77</xdr:row>
                    <xdr:rowOff>523875</xdr:rowOff>
                  </to>
                </anchor>
              </controlPr>
            </control>
          </mc:Choice>
        </mc:AlternateContent>
        <mc:AlternateContent xmlns:mc="http://schemas.openxmlformats.org/markup-compatibility/2006">
          <mc:Choice Requires="x14">
            <control shapeId="49527" r:id="rId177" name="Check Box 1399">
              <controlPr defaultSize="0" autoFill="0" autoLine="0" autoPict="0">
                <anchor moveWithCells="1" sizeWithCells="1">
                  <from>
                    <xdr:col>11</xdr:col>
                    <xdr:colOff>47625</xdr:colOff>
                    <xdr:row>77</xdr:row>
                    <xdr:rowOff>495300</xdr:rowOff>
                  </from>
                  <to>
                    <xdr:col>11</xdr:col>
                    <xdr:colOff>2009775</xdr:colOff>
                    <xdr:row>77</xdr:row>
                    <xdr:rowOff>676275</xdr:rowOff>
                  </to>
                </anchor>
              </controlPr>
            </control>
          </mc:Choice>
        </mc:AlternateContent>
        <mc:AlternateContent xmlns:mc="http://schemas.openxmlformats.org/markup-compatibility/2006">
          <mc:Choice Requires="x14">
            <control shapeId="49528" r:id="rId178" name="Check Box 1400">
              <controlPr defaultSize="0" autoFill="0" autoLine="0" autoPict="0">
                <anchor moveWithCells="1" sizeWithCells="1">
                  <from>
                    <xdr:col>11</xdr:col>
                    <xdr:colOff>2514600</xdr:colOff>
                    <xdr:row>77</xdr:row>
                    <xdr:rowOff>9525</xdr:rowOff>
                  </from>
                  <to>
                    <xdr:col>12</xdr:col>
                    <xdr:colOff>762000</xdr:colOff>
                    <xdr:row>77</xdr:row>
                    <xdr:rowOff>190500</xdr:rowOff>
                  </to>
                </anchor>
              </controlPr>
            </control>
          </mc:Choice>
        </mc:AlternateContent>
        <mc:AlternateContent xmlns:mc="http://schemas.openxmlformats.org/markup-compatibility/2006">
          <mc:Choice Requires="x14">
            <control shapeId="49529" r:id="rId179" name="Check Box 1401">
              <controlPr defaultSize="0" autoFill="0" autoLine="0" autoPict="0">
                <anchor moveWithCells="1" sizeWithCells="1">
                  <from>
                    <xdr:col>11</xdr:col>
                    <xdr:colOff>2514600</xdr:colOff>
                    <xdr:row>77</xdr:row>
                    <xdr:rowOff>171450</xdr:rowOff>
                  </from>
                  <to>
                    <xdr:col>12</xdr:col>
                    <xdr:colOff>762000</xdr:colOff>
                    <xdr:row>77</xdr:row>
                    <xdr:rowOff>352425</xdr:rowOff>
                  </to>
                </anchor>
              </controlPr>
            </control>
          </mc:Choice>
        </mc:AlternateContent>
        <mc:AlternateContent xmlns:mc="http://schemas.openxmlformats.org/markup-compatibility/2006">
          <mc:Choice Requires="x14">
            <control shapeId="49530" r:id="rId180" name="Check Box 1402">
              <controlPr defaultSize="0" autoFill="0" autoLine="0" autoPict="0">
                <anchor moveWithCells="1" sizeWithCells="1">
                  <from>
                    <xdr:col>11</xdr:col>
                    <xdr:colOff>2514600</xdr:colOff>
                    <xdr:row>77</xdr:row>
                    <xdr:rowOff>342900</xdr:rowOff>
                  </from>
                  <to>
                    <xdr:col>12</xdr:col>
                    <xdr:colOff>762000</xdr:colOff>
                    <xdr:row>77</xdr:row>
                    <xdr:rowOff>523875</xdr:rowOff>
                  </to>
                </anchor>
              </controlPr>
            </control>
          </mc:Choice>
        </mc:AlternateContent>
        <mc:AlternateContent xmlns:mc="http://schemas.openxmlformats.org/markup-compatibility/2006">
          <mc:Choice Requires="x14">
            <control shapeId="49532" r:id="rId181" name="Check Box 1404">
              <controlPr defaultSize="0" autoFill="0" autoLine="0" autoPict="0">
                <anchor moveWithCells="1" sizeWithCells="1">
                  <from>
                    <xdr:col>11</xdr:col>
                    <xdr:colOff>47625</xdr:colOff>
                    <xdr:row>78</xdr:row>
                    <xdr:rowOff>9525</xdr:rowOff>
                  </from>
                  <to>
                    <xdr:col>11</xdr:col>
                    <xdr:colOff>2009775</xdr:colOff>
                    <xdr:row>78</xdr:row>
                    <xdr:rowOff>190500</xdr:rowOff>
                  </to>
                </anchor>
              </controlPr>
            </control>
          </mc:Choice>
        </mc:AlternateContent>
        <mc:AlternateContent xmlns:mc="http://schemas.openxmlformats.org/markup-compatibility/2006">
          <mc:Choice Requires="x14">
            <control shapeId="49533" r:id="rId182" name="Check Box 1405">
              <controlPr defaultSize="0" autoFill="0" autoLine="0" autoPict="0">
                <anchor moveWithCells="1" sizeWithCells="1">
                  <from>
                    <xdr:col>11</xdr:col>
                    <xdr:colOff>47625</xdr:colOff>
                    <xdr:row>78</xdr:row>
                    <xdr:rowOff>171450</xdr:rowOff>
                  </from>
                  <to>
                    <xdr:col>11</xdr:col>
                    <xdr:colOff>2009775</xdr:colOff>
                    <xdr:row>78</xdr:row>
                    <xdr:rowOff>352425</xdr:rowOff>
                  </to>
                </anchor>
              </controlPr>
            </control>
          </mc:Choice>
        </mc:AlternateContent>
        <mc:AlternateContent xmlns:mc="http://schemas.openxmlformats.org/markup-compatibility/2006">
          <mc:Choice Requires="x14">
            <control shapeId="49534" r:id="rId183" name="Check Box 1406">
              <controlPr defaultSize="0" autoFill="0" autoLine="0" autoPict="0">
                <anchor moveWithCells="1" sizeWithCells="1">
                  <from>
                    <xdr:col>11</xdr:col>
                    <xdr:colOff>2514600</xdr:colOff>
                    <xdr:row>78</xdr:row>
                    <xdr:rowOff>9525</xdr:rowOff>
                  </from>
                  <to>
                    <xdr:col>12</xdr:col>
                    <xdr:colOff>762000</xdr:colOff>
                    <xdr:row>78</xdr:row>
                    <xdr:rowOff>190500</xdr:rowOff>
                  </to>
                </anchor>
              </controlPr>
            </control>
          </mc:Choice>
        </mc:AlternateContent>
        <mc:AlternateContent xmlns:mc="http://schemas.openxmlformats.org/markup-compatibility/2006">
          <mc:Choice Requires="x14">
            <control shapeId="49535" r:id="rId184" name="Check Box 1407">
              <controlPr defaultSize="0" autoFill="0" autoLine="0" autoPict="0">
                <anchor moveWithCells="1" sizeWithCells="1">
                  <from>
                    <xdr:col>11</xdr:col>
                    <xdr:colOff>2514600</xdr:colOff>
                    <xdr:row>78</xdr:row>
                    <xdr:rowOff>171450</xdr:rowOff>
                  </from>
                  <to>
                    <xdr:col>12</xdr:col>
                    <xdr:colOff>762000</xdr:colOff>
                    <xdr:row>78</xdr:row>
                    <xdr:rowOff>352425</xdr:rowOff>
                  </to>
                </anchor>
              </controlPr>
            </control>
          </mc:Choice>
        </mc:AlternateContent>
        <mc:AlternateContent xmlns:mc="http://schemas.openxmlformats.org/markup-compatibility/2006">
          <mc:Choice Requires="x14">
            <control shapeId="49536" r:id="rId185" name="Check Box 1408">
              <controlPr defaultSize="0" autoFill="0" autoLine="0" autoPict="0">
                <anchor moveWithCells="1" sizeWithCells="1">
                  <from>
                    <xdr:col>11</xdr:col>
                    <xdr:colOff>47625</xdr:colOff>
                    <xdr:row>79</xdr:row>
                    <xdr:rowOff>9525</xdr:rowOff>
                  </from>
                  <to>
                    <xdr:col>11</xdr:col>
                    <xdr:colOff>2009775</xdr:colOff>
                    <xdr:row>79</xdr:row>
                    <xdr:rowOff>190500</xdr:rowOff>
                  </to>
                </anchor>
              </controlPr>
            </control>
          </mc:Choice>
        </mc:AlternateContent>
        <mc:AlternateContent xmlns:mc="http://schemas.openxmlformats.org/markup-compatibility/2006">
          <mc:Choice Requires="x14">
            <control shapeId="49537" r:id="rId186" name="Check Box 1409">
              <controlPr defaultSize="0" autoFill="0" autoLine="0" autoPict="0">
                <anchor moveWithCells="1" sizeWithCells="1">
                  <from>
                    <xdr:col>11</xdr:col>
                    <xdr:colOff>47625</xdr:colOff>
                    <xdr:row>80</xdr:row>
                    <xdr:rowOff>9525</xdr:rowOff>
                  </from>
                  <to>
                    <xdr:col>11</xdr:col>
                    <xdr:colOff>2009775</xdr:colOff>
                    <xdr:row>80</xdr:row>
                    <xdr:rowOff>190500</xdr:rowOff>
                  </to>
                </anchor>
              </controlPr>
            </control>
          </mc:Choice>
        </mc:AlternateContent>
        <mc:AlternateContent xmlns:mc="http://schemas.openxmlformats.org/markup-compatibility/2006">
          <mc:Choice Requires="x14">
            <control shapeId="49538" r:id="rId187" name="Check Box 1410">
              <controlPr defaultSize="0" autoFill="0" autoLine="0" autoPict="0">
                <anchor moveWithCells="1" sizeWithCells="1">
                  <from>
                    <xdr:col>11</xdr:col>
                    <xdr:colOff>47625</xdr:colOff>
                    <xdr:row>80</xdr:row>
                    <xdr:rowOff>171450</xdr:rowOff>
                  </from>
                  <to>
                    <xdr:col>11</xdr:col>
                    <xdr:colOff>2009775</xdr:colOff>
                    <xdr:row>80</xdr:row>
                    <xdr:rowOff>352425</xdr:rowOff>
                  </to>
                </anchor>
              </controlPr>
            </control>
          </mc:Choice>
        </mc:AlternateContent>
        <mc:AlternateContent xmlns:mc="http://schemas.openxmlformats.org/markup-compatibility/2006">
          <mc:Choice Requires="x14">
            <control shapeId="49539" r:id="rId188" name="Check Box 1411">
              <controlPr defaultSize="0" autoFill="0" autoLine="0" autoPict="0">
                <anchor moveWithCells="1" sizeWithCells="1">
                  <from>
                    <xdr:col>11</xdr:col>
                    <xdr:colOff>47625</xdr:colOff>
                    <xdr:row>80</xdr:row>
                    <xdr:rowOff>342900</xdr:rowOff>
                  </from>
                  <to>
                    <xdr:col>11</xdr:col>
                    <xdr:colOff>2009775</xdr:colOff>
                    <xdr:row>80</xdr:row>
                    <xdr:rowOff>523875</xdr:rowOff>
                  </to>
                </anchor>
              </controlPr>
            </control>
          </mc:Choice>
        </mc:AlternateContent>
        <mc:AlternateContent xmlns:mc="http://schemas.openxmlformats.org/markup-compatibility/2006">
          <mc:Choice Requires="x14">
            <control shapeId="49541" r:id="rId189" name="Check Box 1413">
              <controlPr defaultSize="0" autoFill="0" autoLine="0" autoPict="0">
                <anchor moveWithCells="1" sizeWithCells="1">
                  <from>
                    <xdr:col>11</xdr:col>
                    <xdr:colOff>2514600</xdr:colOff>
                    <xdr:row>80</xdr:row>
                    <xdr:rowOff>9525</xdr:rowOff>
                  </from>
                  <to>
                    <xdr:col>12</xdr:col>
                    <xdr:colOff>762000</xdr:colOff>
                    <xdr:row>80</xdr:row>
                    <xdr:rowOff>190500</xdr:rowOff>
                  </to>
                </anchor>
              </controlPr>
            </control>
          </mc:Choice>
        </mc:AlternateContent>
        <mc:AlternateContent xmlns:mc="http://schemas.openxmlformats.org/markup-compatibility/2006">
          <mc:Choice Requires="x14">
            <control shapeId="49542" r:id="rId190" name="Check Box 1414">
              <controlPr defaultSize="0" autoFill="0" autoLine="0" autoPict="0">
                <anchor moveWithCells="1" sizeWithCells="1">
                  <from>
                    <xdr:col>11</xdr:col>
                    <xdr:colOff>2514600</xdr:colOff>
                    <xdr:row>80</xdr:row>
                    <xdr:rowOff>171450</xdr:rowOff>
                  </from>
                  <to>
                    <xdr:col>12</xdr:col>
                    <xdr:colOff>962025</xdr:colOff>
                    <xdr:row>80</xdr:row>
                    <xdr:rowOff>333375</xdr:rowOff>
                  </to>
                </anchor>
              </controlPr>
            </control>
          </mc:Choice>
        </mc:AlternateContent>
        <mc:AlternateContent xmlns:mc="http://schemas.openxmlformats.org/markup-compatibility/2006">
          <mc:Choice Requires="x14">
            <control shapeId="49543" r:id="rId191" name="Check Box 1415">
              <controlPr defaultSize="0" autoFill="0" autoLine="0" autoPict="0">
                <anchor moveWithCells="1" sizeWithCells="1">
                  <from>
                    <xdr:col>11</xdr:col>
                    <xdr:colOff>2514600</xdr:colOff>
                    <xdr:row>80</xdr:row>
                    <xdr:rowOff>342900</xdr:rowOff>
                  </from>
                  <to>
                    <xdr:col>12</xdr:col>
                    <xdr:colOff>762000</xdr:colOff>
                    <xdr:row>80</xdr:row>
                    <xdr:rowOff>523875</xdr:rowOff>
                  </to>
                </anchor>
              </controlPr>
            </control>
          </mc:Choice>
        </mc:AlternateContent>
        <mc:AlternateContent xmlns:mc="http://schemas.openxmlformats.org/markup-compatibility/2006">
          <mc:Choice Requires="x14">
            <control shapeId="49544" r:id="rId192" name="Check Box 1416">
              <controlPr defaultSize="0" autoFill="0" autoLine="0" autoPict="0">
                <anchor moveWithCells="1" sizeWithCells="1">
                  <from>
                    <xdr:col>11</xdr:col>
                    <xdr:colOff>47625</xdr:colOff>
                    <xdr:row>81</xdr:row>
                    <xdr:rowOff>9525</xdr:rowOff>
                  </from>
                  <to>
                    <xdr:col>11</xdr:col>
                    <xdr:colOff>2009775</xdr:colOff>
                    <xdr:row>81</xdr:row>
                    <xdr:rowOff>190500</xdr:rowOff>
                  </to>
                </anchor>
              </controlPr>
            </control>
          </mc:Choice>
        </mc:AlternateContent>
        <mc:AlternateContent xmlns:mc="http://schemas.openxmlformats.org/markup-compatibility/2006">
          <mc:Choice Requires="x14">
            <control shapeId="49545" r:id="rId193" name="Check Box 1417">
              <controlPr defaultSize="0" autoFill="0" autoLine="0" autoPict="0">
                <anchor moveWithCells="1" sizeWithCells="1">
                  <from>
                    <xdr:col>11</xdr:col>
                    <xdr:colOff>47625</xdr:colOff>
                    <xdr:row>82</xdr:row>
                    <xdr:rowOff>9525</xdr:rowOff>
                  </from>
                  <to>
                    <xdr:col>11</xdr:col>
                    <xdr:colOff>2009775</xdr:colOff>
                    <xdr:row>82</xdr:row>
                    <xdr:rowOff>190500</xdr:rowOff>
                  </to>
                </anchor>
              </controlPr>
            </control>
          </mc:Choice>
        </mc:AlternateContent>
        <mc:AlternateContent xmlns:mc="http://schemas.openxmlformats.org/markup-compatibility/2006">
          <mc:Choice Requires="x14">
            <control shapeId="49546" r:id="rId194" name="Check Box 1418">
              <controlPr defaultSize="0" autoFill="0" autoLine="0" autoPict="0">
                <anchor moveWithCells="1" sizeWithCells="1">
                  <from>
                    <xdr:col>11</xdr:col>
                    <xdr:colOff>47625</xdr:colOff>
                    <xdr:row>82</xdr:row>
                    <xdr:rowOff>171450</xdr:rowOff>
                  </from>
                  <to>
                    <xdr:col>11</xdr:col>
                    <xdr:colOff>2009775</xdr:colOff>
                    <xdr:row>82</xdr:row>
                    <xdr:rowOff>352425</xdr:rowOff>
                  </to>
                </anchor>
              </controlPr>
            </control>
          </mc:Choice>
        </mc:AlternateContent>
        <mc:AlternateContent xmlns:mc="http://schemas.openxmlformats.org/markup-compatibility/2006">
          <mc:Choice Requires="x14">
            <control shapeId="49547" r:id="rId195" name="Check Box 1419">
              <controlPr defaultSize="0" autoFill="0" autoLine="0" autoPict="0">
                <anchor moveWithCells="1" sizeWithCells="1">
                  <from>
                    <xdr:col>11</xdr:col>
                    <xdr:colOff>47625</xdr:colOff>
                    <xdr:row>82</xdr:row>
                    <xdr:rowOff>342900</xdr:rowOff>
                  </from>
                  <to>
                    <xdr:col>11</xdr:col>
                    <xdr:colOff>2009775</xdr:colOff>
                    <xdr:row>82</xdr:row>
                    <xdr:rowOff>523875</xdr:rowOff>
                  </to>
                </anchor>
              </controlPr>
            </control>
          </mc:Choice>
        </mc:AlternateContent>
        <mc:AlternateContent xmlns:mc="http://schemas.openxmlformats.org/markup-compatibility/2006">
          <mc:Choice Requires="x14">
            <control shapeId="49548" r:id="rId196" name="Check Box 1420">
              <controlPr defaultSize="0" autoFill="0" autoLine="0" autoPict="0">
                <anchor moveWithCells="1" sizeWithCells="1">
                  <from>
                    <xdr:col>11</xdr:col>
                    <xdr:colOff>47625</xdr:colOff>
                    <xdr:row>82</xdr:row>
                    <xdr:rowOff>495300</xdr:rowOff>
                  </from>
                  <to>
                    <xdr:col>11</xdr:col>
                    <xdr:colOff>2009775</xdr:colOff>
                    <xdr:row>82</xdr:row>
                    <xdr:rowOff>676275</xdr:rowOff>
                  </to>
                </anchor>
              </controlPr>
            </control>
          </mc:Choice>
        </mc:AlternateContent>
        <mc:AlternateContent xmlns:mc="http://schemas.openxmlformats.org/markup-compatibility/2006">
          <mc:Choice Requires="x14">
            <control shapeId="49550" r:id="rId197" name="Check Box 1422">
              <controlPr defaultSize="0" autoFill="0" autoLine="0" autoPict="0">
                <anchor moveWithCells="1" sizeWithCells="1">
                  <from>
                    <xdr:col>11</xdr:col>
                    <xdr:colOff>2514600</xdr:colOff>
                    <xdr:row>82</xdr:row>
                    <xdr:rowOff>9525</xdr:rowOff>
                  </from>
                  <to>
                    <xdr:col>12</xdr:col>
                    <xdr:colOff>762000</xdr:colOff>
                    <xdr:row>82</xdr:row>
                    <xdr:rowOff>190500</xdr:rowOff>
                  </to>
                </anchor>
              </controlPr>
            </control>
          </mc:Choice>
        </mc:AlternateContent>
        <mc:AlternateContent xmlns:mc="http://schemas.openxmlformats.org/markup-compatibility/2006">
          <mc:Choice Requires="x14">
            <control shapeId="49551" r:id="rId198" name="Check Box 1423">
              <controlPr defaultSize="0" autoFill="0" autoLine="0" autoPict="0">
                <anchor moveWithCells="1" sizeWithCells="1">
                  <from>
                    <xdr:col>11</xdr:col>
                    <xdr:colOff>2514600</xdr:colOff>
                    <xdr:row>82</xdr:row>
                    <xdr:rowOff>171450</xdr:rowOff>
                  </from>
                  <to>
                    <xdr:col>12</xdr:col>
                    <xdr:colOff>762000</xdr:colOff>
                    <xdr:row>82</xdr:row>
                    <xdr:rowOff>352425</xdr:rowOff>
                  </to>
                </anchor>
              </controlPr>
            </control>
          </mc:Choice>
        </mc:AlternateContent>
        <mc:AlternateContent xmlns:mc="http://schemas.openxmlformats.org/markup-compatibility/2006">
          <mc:Choice Requires="x14">
            <control shapeId="49552" r:id="rId199" name="Check Box 1424">
              <controlPr defaultSize="0" autoFill="0" autoLine="0" autoPict="0">
                <anchor moveWithCells="1" sizeWithCells="1">
                  <from>
                    <xdr:col>11</xdr:col>
                    <xdr:colOff>2514600</xdr:colOff>
                    <xdr:row>82</xdr:row>
                    <xdr:rowOff>342900</xdr:rowOff>
                  </from>
                  <to>
                    <xdr:col>12</xdr:col>
                    <xdr:colOff>762000</xdr:colOff>
                    <xdr:row>82</xdr:row>
                    <xdr:rowOff>523875</xdr:rowOff>
                  </to>
                </anchor>
              </controlPr>
            </control>
          </mc:Choice>
        </mc:AlternateContent>
        <mc:AlternateContent xmlns:mc="http://schemas.openxmlformats.org/markup-compatibility/2006">
          <mc:Choice Requires="x14">
            <control shapeId="49553" r:id="rId200" name="Check Box 1425">
              <controlPr defaultSize="0" autoFill="0" autoLine="0" autoPict="0">
                <anchor moveWithCells="1" sizeWithCells="1">
                  <from>
                    <xdr:col>11</xdr:col>
                    <xdr:colOff>2514600</xdr:colOff>
                    <xdr:row>82</xdr:row>
                    <xdr:rowOff>495300</xdr:rowOff>
                  </from>
                  <to>
                    <xdr:col>12</xdr:col>
                    <xdr:colOff>762000</xdr:colOff>
                    <xdr:row>82</xdr:row>
                    <xdr:rowOff>676275</xdr:rowOff>
                  </to>
                </anchor>
              </controlPr>
            </control>
          </mc:Choice>
        </mc:AlternateContent>
        <mc:AlternateContent xmlns:mc="http://schemas.openxmlformats.org/markup-compatibility/2006">
          <mc:Choice Requires="x14">
            <control shapeId="49555" r:id="rId201" name="Check Box 1427">
              <controlPr defaultSize="0" autoFill="0" autoLine="0" autoPict="0">
                <anchor moveWithCells="1" sizeWithCells="1">
                  <from>
                    <xdr:col>12</xdr:col>
                    <xdr:colOff>885825</xdr:colOff>
                    <xdr:row>82</xdr:row>
                    <xdr:rowOff>9525</xdr:rowOff>
                  </from>
                  <to>
                    <xdr:col>12</xdr:col>
                    <xdr:colOff>2952750</xdr:colOff>
                    <xdr:row>82</xdr:row>
                    <xdr:rowOff>190500</xdr:rowOff>
                  </to>
                </anchor>
              </controlPr>
            </control>
          </mc:Choice>
        </mc:AlternateContent>
        <mc:AlternateContent xmlns:mc="http://schemas.openxmlformats.org/markup-compatibility/2006">
          <mc:Choice Requires="x14">
            <control shapeId="49556" r:id="rId202" name="Check Box 1428">
              <controlPr defaultSize="0" autoFill="0" autoLine="0" autoPict="0">
                <anchor moveWithCells="1" sizeWithCells="1">
                  <from>
                    <xdr:col>12</xdr:col>
                    <xdr:colOff>885825</xdr:colOff>
                    <xdr:row>82</xdr:row>
                    <xdr:rowOff>171450</xdr:rowOff>
                  </from>
                  <to>
                    <xdr:col>12</xdr:col>
                    <xdr:colOff>2952750</xdr:colOff>
                    <xdr:row>82</xdr:row>
                    <xdr:rowOff>352425</xdr:rowOff>
                  </to>
                </anchor>
              </controlPr>
            </control>
          </mc:Choice>
        </mc:AlternateContent>
        <mc:AlternateContent xmlns:mc="http://schemas.openxmlformats.org/markup-compatibility/2006">
          <mc:Choice Requires="x14">
            <control shapeId="49557" r:id="rId203" name="Check Box 1429">
              <controlPr defaultSize="0" autoFill="0" autoLine="0" autoPict="0">
                <anchor moveWithCells="1" sizeWithCells="1">
                  <from>
                    <xdr:col>12</xdr:col>
                    <xdr:colOff>885825</xdr:colOff>
                    <xdr:row>82</xdr:row>
                    <xdr:rowOff>342900</xdr:rowOff>
                  </from>
                  <to>
                    <xdr:col>12</xdr:col>
                    <xdr:colOff>2952750</xdr:colOff>
                    <xdr:row>82</xdr:row>
                    <xdr:rowOff>523875</xdr:rowOff>
                  </to>
                </anchor>
              </controlPr>
            </control>
          </mc:Choice>
        </mc:AlternateContent>
        <mc:AlternateContent xmlns:mc="http://schemas.openxmlformats.org/markup-compatibility/2006">
          <mc:Choice Requires="x14">
            <control shapeId="49558" r:id="rId204" name="Check Box 1430">
              <controlPr defaultSize="0" autoFill="0" autoLine="0" autoPict="0">
                <anchor moveWithCells="1" sizeWithCells="1">
                  <from>
                    <xdr:col>12</xdr:col>
                    <xdr:colOff>885825</xdr:colOff>
                    <xdr:row>82</xdr:row>
                    <xdr:rowOff>495300</xdr:rowOff>
                  </from>
                  <to>
                    <xdr:col>12</xdr:col>
                    <xdr:colOff>2952750</xdr:colOff>
                    <xdr:row>82</xdr:row>
                    <xdr:rowOff>676275</xdr:rowOff>
                  </to>
                </anchor>
              </controlPr>
            </control>
          </mc:Choice>
        </mc:AlternateContent>
        <mc:AlternateContent xmlns:mc="http://schemas.openxmlformats.org/markup-compatibility/2006">
          <mc:Choice Requires="x14">
            <control shapeId="49564" r:id="rId205" name="Check Box 1436">
              <controlPr defaultSize="0" autoFill="0" autoLine="0" autoPict="0">
                <anchor moveWithCells="1" sizeWithCells="1">
                  <from>
                    <xdr:col>11</xdr:col>
                    <xdr:colOff>47625</xdr:colOff>
                    <xdr:row>83</xdr:row>
                    <xdr:rowOff>9525</xdr:rowOff>
                  </from>
                  <to>
                    <xdr:col>11</xdr:col>
                    <xdr:colOff>2009775</xdr:colOff>
                    <xdr:row>83</xdr:row>
                    <xdr:rowOff>190500</xdr:rowOff>
                  </to>
                </anchor>
              </controlPr>
            </control>
          </mc:Choice>
        </mc:AlternateContent>
        <mc:AlternateContent xmlns:mc="http://schemas.openxmlformats.org/markup-compatibility/2006">
          <mc:Choice Requires="x14">
            <control shapeId="49565" r:id="rId206" name="Check Box 1437">
              <controlPr defaultSize="0" autoFill="0" autoLine="0" autoPict="0">
                <anchor moveWithCells="1" sizeWithCells="1">
                  <from>
                    <xdr:col>11</xdr:col>
                    <xdr:colOff>47625</xdr:colOff>
                    <xdr:row>83</xdr:row>
                    <xdr:rowOff>171450</xdr:rowOff>
                  </from>
                  <to>
                    <xdr:col>11</xdr:col>
                    <xdr:colOff>2009775</xdr:colOff>
                    <xdr:row>83</xdr:row>
                    <xdr:rowOff>352425</xdr:rowOff>
                  </to>
                </anchor>
              </controlPr>
            </control>
          </mc:Choice>
        </mc:AlternateContent>
        <mc:AlternateContent xmlns:mc="http://schemas.openxmlformats.org/markup-compatibility/2006">
          <mc:Choice Requires="x14">
            <control shapeId="49566" r:id="rId207" name="Check Box 1438">
              <controlPr defaultSize="0" autoFill="0" autoLine="0" autoPict="0">
                <anchor moveWithCells="1" sizeWithCells="1">
                  <from>
                    <xdr:col>11</xdr:col>
                    <xdr:colOff>47625</xdr:colOff>
                    <xdr:row>83</xdr:row>
                    <xdr:rowOff>342900</xdr:rowOff>
                  </from>
                  <to>
                    <xdr:col>11</xdr:col>
                    <xdr:colOff>2009775</xdr:colOff>
                    <xdr:row>83</xdr:row>
                    <xdr:rowOff>523875</xdr:rowOff>
                  </to>
                </anchor>
              </controlPr>
            </control>
          </mc:Choice>
        </mc:AlternateContent>
        <mc:AlternateContent xmlns:mc="http://schemas.openxmlformats.org/markup-compatibility/2006">
          <mc:Choice Requires="x14">
            <control shapeId="49567" r:id="rId208" name="Check Box 1439">
              <controlPr defaultSize="0" autoFill="0" autoLine="0" autoPict="0">
                <anchor moveWithCells="1" sizeWithCells="1">
                  <from>
                    <xdr:col>11</xdr:col>
                    <xdr:colOff>47625</xdr:colOff>
                    <xdr:row>83</xdr:row>
                    <xdr:rowOff>495300</xdr:rowOff>
                  </from>
                  <to>
                    <xdr:col>11</xdr:col>
                    <xdr:colOff>2009775</xdr:colOff>
                    <xdr:row>83</xdr:row>
                    <xdr:rowOff>676275</xdr:rowOff>
                  </to>
                </anchor>
              </controlPr>
            </control>
          </mc:Choice>
        </mc:AlternateContent>
        <mc:AlternateContent xmlns:mc="http://schemas.openxmlformats.org/markup-compatibility/2006">
          <mc:Choice Requires="x14">
            <control shapeId="49568" r:id="rId209" name="Check Box 1440">
              <controlPr defaultSize="0" autoFill="0" autoLine="0" autoPict="0">
                <anchor moveWithCells="1" sizeWithCells="1">
                  <from>
                    <xdr:col>11</xdr:col>
                    <xdr:colOff>2514600</xdr:colOff>
                    <xdr:row>83</xdr:row>
                    <xdr:rowOff>9525</xdr:rowOff>
                  </from>
                  <to>
                    <xdr:col>12</xdr:col>
                    <xdr:colOff>762000</xdr:colOff>
                    <xdr:row>83</xdr:row>
                    <xdr:rowOff>190500</xdr:rowOff>
                  </to>
                </anchor>
              </controlPr>
            </control>
          </mc:Choice>
        </mc:AlternateContent>
        <mc:AlternateContent xmlns:mc="http://schemas.openxmlformats.org/markup-compatibility/2006">
          <mc:Choice Requires="x14">
            <control shapeId="49569" r:id="rId210" name="Check Box 1441">
              <controlPr defaultSize="0" autoFill="0" autoLine="0" autoPict="0">
                <anchor moveWithCells="1" sizeWithCells="1">
                  <from>
                    <xdr:col>11</xdr:col>
                    <xdr:colOff>2514600</xdr:colOff>
                    <xdr:row>83</xdr:row>
                    <xdr:rowOff>171450</xdr:rowOff>
                  </from>
                  <to>
                    <xdr:col>12</xdr:col>
                    <xdr:colOff>762000</xdr:colOff>
                    <xdr:row>83</xdr:row>
                    <xdr:rowOff>352425</xdr:rowOff>
                  </to>
                </anchor>
              </controlPr>
            </control>
          </mc:Choice>
        </mc:AlternateContent>
        <mc:AlternateContent xmlns:mc="http://schemas.openxmlformats.org/markup-compatibility/2006">
          <mc:Choice Requires="x14">
            <control shapeId="49570" r:id="rId211" name="Check Box 1442">
              <controlPr defaultSize="0" autoFill="0" autoLine="0" autoPict="0">
                <anchor moveWithCells="1" sizeWithCells="1">
                  <from>
                    <xdr:col>11</xdr:col>
                    <xdr:colOff>2514600</xdr:colOff>
                    <xdr:row>83</xdr:row>
                    <xdr:rowOff>342900</xdr:rowOff>
                  </from>
                  <to>
                    <xdr:col>12</xdr:col>
                    <xdr:colOff>762000</xdr:colOff>
                    <xdr:row>83</xdr:row>
                    <xdr:rowOff>523875</xdr:rowOff>
                  </to>
                </anchor>
              </controlPr>
            </control>
          </mc:Choice>
        </mc:AlternateContent>
        <mc:AlternateContent xmlns:mc="http://schemas.openxmlformats.org/markup-compatibility/2006">
          <mc:Choice Requires="x14">
            <control shapeId="49571" r:id="rId212" name="Check Box 1443">
              <controlPr defaultSize="0" autoFill="0" autoLine="0" autoPict="0">
                <anchor moveWithCells="1" sizeWithCells="1">
                  <from>
                    <xdr:col>11</xdr:col>
                    <xdr:colOff>2514600</xdr:colOff>
                    <xdr:row>83</xdr:row>
                    <xdr:rowOff>495300</xdr:rowOff>
                  </from>
                  <to>
                    <xdr:col>12</xdr:col>
                    <xdr:colOff>762000</xdr:colOff>
                    <xdr:row>83</xdr:row>
                    <xdr:rowOff>676275</xdr:rowOff>
                  </to>
                </anchor>
              </controlPr>
            </control>
          </mc:Choice>
        </mc:AlternateContent>
        <mc:AlternateContent xmlns:mc="http://schemas.openxmlformats.org/markup-compatibility/2006">
          <mc:Choice Requires="x14">
            <control shapeId="49572" r:id="rId213" name="Check Box 1444">
              <controlPr defaultSize="0" autoFill="0" autoLine="0" autoPict="0">
                <anchor moveWithCells="1" sizeWithCells="1">
                  <from>
                    <xdr:col>12</xdr:col>
                    <xdr:colOff>885825</xdr:colOff>
                    <xdr:row>83</xdr:row>
                    <xdr:rowOff>9525</xdr:rowOff>
                  </from>
                  <to>
                    <xdr:col>12</xdr:col>
                    <xdr:colOff>2952750</xdr:colOff>
                    <xdr:row>83</xdr:row>
                    <xdr:rowOff>190500</xdr:rowOff>
                  </to>
                </anchor>
              </controlPr>
            </control>
          </mc:Choice>
        </mc:AlternateContent>
        <mc:AlternateContent xmlns:mc="http://schemas.openxmlformats.org/markup-compatibility/2006">
          <mc:Choice Requires="x14">
            <control shapeId="49573" r:id="rId214" name="Check Box 1445">
              <controlPr defaultSize="0" autoFill="0" autoLine="0" autoPict="0">
                <anchor moveWithCells="1" sizeWithCells="1">
                  <from>
                    <xdr:col>12</xdr:col>
                    <xdr:colOff>885825</xdr:colOff>
                    <xdr:row>83</xdr:row>
                    <xdr:rowOff>171450</xdr:rowOff>
                  </from>
                  <to>
                    <xdr:col>12</xdr:col>
                    <xdr:colOff>2952750</xdr:colOff>
                    <xdr:row>83</xdr:row>
                    <xdr:rowOff>352425</xdr:rowOff>
                  </to>
                </anchor>
              </controlPr>
            </control>
          </mc:Choice>
        </mc:AlternateContent>
        <mc:AlternateContent xmlns:mc="http://schemas.openxmlformats.org/markup-compatibility/2006">
          <mc:Choice Requires="x14">
            <control shapeId="49576" r:id="rId215" name="Check Box 1448">
              <controlPr defaultSize="0" autoFill="0" autoLine="0" autoPict="0">
                <anchor moveWithCells="1" sizeWithCells="1">
                  <from>
                    <xdr:col>11</xdr:col>
                    <xdr:colOff>2514600</xdr:colOff>
                    <xdr:row>53</xdr:row>
                    <xdr:rowOff>9525</xdr:rowOff>
                  </from>
                  <to>
                    <xdr:col>12</xdr:col>
                    <xdr:colOff>762000</xdr:colOff>
                    <xdr:row>53</xdr:row>
                    <xdr:rowOff>190500</xdr:rowOff>
                  </to>
                </anchor>
              </controlPr>
            </control>
          </mc:Choice>
        </mc:AlternateContent>
        <mc:AlternateContent xmlns:mc="http://schemas.openxmlformats.org/markup-compatibility/2006">
          <mc:Choice Requires="x14">
            <control shapeId="49577" r:id="rId216" name="Check Box 1449">
              <controlPr defaultSize="0" autoFill="0" autoLine="0" autoPict="0">
                <anchor moveWithCells="1" sizeWithCells="1">
                  <from>
                    <xdr:col>11</xdr:col>
                    <xdr:colOff>2514600</xdr:colOff>
                    <xdr:row>53</xdr:row>
                    <xdr:rowOff>171450</xdr:rowOff>
                  </from>
                  <to>
                    <xdr:col>12</xdr:col>
                    <xdr:colOff>762000</xdr:colOff>
                    <xdr:row>53</xdr:row>
                    <xdr:rowOff>352425</xdr:rowOff>
                  </to>
                </anchor>
              </controlPr>
            </control>
          </mc:Choice>
        </mc:AlternateContent>
        <mc:AlternateContent xmlns:mc="http://schemas.openxmlformats.org/markup-compatibility/2006">
          <mc:Choice Requires="x14">
            <control shapeId="49578" r:id="rId217" name="Check Box 1450">
              <controlPr defaultSize="0" autoFill="0" autoLine="0" autoPict="0">
                <anchor moveWithCells="1" sizeWithCells="1">
                  <from>
                    <xdr:col>11</xdr:col>
                    <xdr:colOff>2514600</xdr:colOff>
                    <xdr:row>53</xdr:row>
                    <xdr:rowOff>342900</xdr:rowOff>
                  </from>
                  <to>
                    <xdr:col>12</xdr:col>
                    <xdr:colOff>762000</xdr:colOff>
                    <xdr:row>53</xdr:row>
                    <xdr:rowOff>523875</xdr:rowOff>
                  </to>
                </anchor>
              </controlPr>
            </control>
          </mc:Choice>
        </mc:AlternateContent>
        <mc:AlternateContent xmlns:mc="http://schemas.openxmlformats.org/markup-compatibility/2006">
          <mc:Choice Requires="x14">
            <control shapeId="49583" r:id="rId218" name="Check Box 1455">
              <controlPr defaultSize="0" autoFill="0" autoLine="0" autoPict="0">
                <anchor moveWithCells="1" sizeWithCells="1">
                  <from>
                    <xdr:col>11</xdr:col>
                    <xdr:colOff>47625</xdr:colOff>
                    <xdr:row>58</xdr:row>
                    <xdr:rowOff>9525</xdr:rowOff>
                  </from>
                  <to>
                    <xdr:col>11</xdr:col>
                    <xdr:colOff>2009775</xdr:colOff>
                    <xdr:row>58</xdr:row>
                    <xdr:rowOff>190500</xdr:rowOff>
                  </to>
                </anchor>
              </controlPr>
            </control>
          </mc:Choice>
        </mc:AlternateContent>
        <mc:AlternateContent xmlns:mc="http://schemas.openxmlformats.org/markup-compatibility/2006">
          <mc:Choice Requires="x14">
            <control shapeId="49584" r:id="rId219" name="Check Box 1456">
              <controlPr defaultSize="0" autoFill="0" autoLine="0" autoPict="0">
                <anchor moveWithCells="1" sizeWithCells="1">
                  <from>
                    <xdr:col>11</xdr:col>
                    <xdr:colOff>47625</xdr:colOff>
                    <xdr:row>58</xdr:row>
                    <xdr:rowOff>171450</xdr:rowOff>
                  </from>
                  <to>
                    <xdr:col>11</xdr:col>
                    <xdr:colOff>2009775</xdr:colOff>
                    <xdr:row>58</xdr:row>
                    <xdr:rowOff>352425</xdr:rowOff>
                  </to>
                </anchor>
              </controlPr>
            </control>
          </mc:Choice>
        </mc:AlternateContent>
        <mc:AlternateContent xmlns:mc="http://schemas.openxmlformats.org/markup-compatibility/2006">
          <mc:Choice Requires="x14">
            <control shapeId="49585" r:id="rId220" name="Check Box 1457">
              <controlPr defaultSize="0" autoFill="0" autoLine="0" autoPict="0">
                <anchor moveWithCells="1" sizeWithCells="1">
                  <from>
                    <xdr:col>11</xdr:col>
                    <xdr:colOff>47625</xdr:colOff>
                    <xdr:row>58</xdr:row>
                    <xdr:rowOff>342900</xdr:rowOff>
                  </from>
                  <to>
                    <xdr:col>11</xdr:col>
                    <xdr:colOff>2009775</xdr:colOff>
                    <xdr:row>58</xdr:row>
                    <xdr:rowOff>523875</xdr:rowOff>
                  </to>
                </anchor>
              </controlPr>
            </control>
          </mc:Choice>
        </mc:AlternateContent>
        <mc:AlternateContent xmlns:mc="http://schemas.openxmlformats.org/markup-compatibility/2006">
          <mc:Choice Requires="x14">
            <control shapeId="49586" r:id="rId221" name="Check Box 1458">
              <controlPr defaultSize="0" autoFill="0" autoLine="0" autoPict="0">
                <anchor moveWithCells="1" sizeWithCells="1">
                  <from>
                    <xdr:col>11</xdr:col>
                    <xdr:colOff>2533650</xdr:colOff>
                    <xdr:row>58</xdr:row>
                    <xdr:rowOff>9525</xdr:rowOff>
                  </from>
                  <to>
                    <xdr:col>12</xdr:col>
                    <xdr:colOff>666750</xdr:colOff>
                    <xdr:row>58</xdr:row>
                    <xdr:rowOff>190500</xdr:rowOff>
                  </to>
                </anchor>
              </controlPr>
            </control>
          </mc:Choice>
        </mc:AlternateContent>
        <mc:AlternateContent xmlns:mc="http://schemas.openxmlformats.org/markup-compatibility/2006">
          <mc:Choice Requires="x14">
            <control shapeId="49587" r:id="rId222" name="Check Box 1459">
              <controlPr defaultSize="0" autoFill="0" autoLine="0" autoPict="0">
                <anchor moveWithCells="1" sizeWithCells="1">
                  <from>
                    <xdr:col>11</xdr:col>
                    <xdr:colOff>2533650</xdr:colOff>
                    <xdr:row>58</xdr:row>
                    <xdr:rowOff>171450</xdr:rowOff>
                  </from>
                  <to>
                    <xdr:col>12</xdr:col>
                    <xdr:colOff>666750</xdr:colOff>
                    <xdr:row>58</xdr:row>
                    <xdr:rowOff>352425</xdr:rowOff>
                  </to>
                </anchor>
              </controlPr>
            </control>
          </mc:Choice>
        </mc:AlternateContent>
        <mc:AlternateContent xmlns:mc="http://schemas.openxmlformats.org/markup-compatibility/2006">
          <mc:Choice Requires="x14">
            <control shapeId="49588" r:id="rId223" name="Check Box 1460">
              <controlPr defaultSize="0" autoFill="0" autoLine="0" autoPict="0">
                <anchor moveWithCells="1" sizeWithCells="1">
                  <from>
                    <xdr:col>11</xdr:col>
                    <xdr:colOff>2533650</xdr:colOff>
                    <xdr:row>58</xdr:row>
                    <xdr:rowOff>342900</xdr:rowOff>
                  </from>
                  <to>
                    <xdr:col>12</xdr:col>
                    <xdr:colOff>666750</xdr:colOff>
                    <xdr:row>58</xdr:row>
                    <xdr:rowOff>523875</xdr:rowOff>
                  </to>
                </anchor>
              </controlPr>
            </control>
          </mc:Choice>
        </mc:AlternateContent>
        <mc:AlternateContent xmlns:mc="http://schemas.openxmlformats.org/markup-compatibility/2006">
          <mc:Choice Requires="x14">
            <control shapeId="49589" r:id="rId224" name="Check Box 1461">
              <controlPr defaultSize="0" autoFill="0" autoLine="0" autoPict="0">
                <anchor moveWithCells="1" sizeWithCells="1">
                  <from>
                    <xdr:col>12</xdr:col>
                    <xdr:colOff>885825</xdr:colOff>
                    <xdr:row>58</xdr:row>
                    <xdr:rowOff>9525</xdr:rowOff>
                  </from>
                  <to>
                    <xdr:col>12</xdr:col>
                    <xdr:colOff>2847975</xdr:colOff>
                    <xdr:row>58</xdr:row>
                    <xdr:rowOff>190500</xdr:rowOff>
                  </to>
                </anchor>
              </controlPr>
            </control>
          </mc:Choice>
        </mc:AlternateContent>
        <mc:AlternateContent xmlns:mc="http://schemas.openxmlformats.org/markup-compatibility/2006">
          <mc:Choice Requires="x14">
            <control shapeId="49590" r:id="rId225" name="Check Box 1462">
              <controlPr defaultSize="0" autoFill="0" autoLine="0" autoPict="0">
                <anchor moveWithCells="1" sizeWithCells="1">
                  <from>
                    <xdr:col>12</xdr:col>
                    <xdr:colOff>885825</xdr:colOff>
                    <xdr:row>58</xdr:row>
                    <xdr:rowOff>171450</xdr:rowOff>
                  </from>
                  <to>
                    <xdr:col>12</xdr:col>
                    <xdr:colOff>2847975</xdr:colOff>
                    <xdr:row>58</xdr:row>
                    <xdr:rowOff>352425</xdr:rowOff>
                  </to>
                </anchor>
              </controlPr>
            </control>
          </mc:Choice>
        </mc:AlternateContent>
        <mc:AlternateContent xmlns:mc="http://schemas.openxmlformats.org/markup-compatibility/2006">
          <mc:Choice Requires="x14">
            <control shapeId="49591" r:id="rId226" name="Check Box 1463">
              <controlPr defaultSize="0" autoFill="0" autoLine="0" autoPict="0">
                <anchor moveWithCells="1" sizeWithCells="1">
                  <from>
                    <xdr:col>12</xdr:col>
                    <xdr:colOff>885825</xdr:colOff>
                    <xdr:row>58</xdr:row>
                    <xdr:rowOff>342900</xdr:rowOff>
                  </from>
                  <to>
                    <xdr:col>12</xdr:col>
                    <xdr:colOff>2847975</xdr:colOff>
                    <xdr:row>58</xdr:row>
                    <xdr:rowOff>523875</xdr:rowOff>
                  </to>
                </anchor>
              </controlPr>
            </control>
          </mc:Choice>
        </mc:AlternateContent>
        <mc:AlternateContent xmlns:mc="http://schemas.openxmlformats.org/markup-compatibility/2006">
          <mc:Choice Requires="x14">
            <control shapeId="49605" r:id="rId227" name="Check Box 1477">
              <controlPr defaultSize="0" autoFill="0" autoLine="0" autoPict="0">
                <anchor moveWithCells="1" sizeWithCells="1">
                  <from>
                    <xdr:col>11</xdr:col>
                    <xdr:colOff>47625</xdr:colOff>
                    <xdr:row>31</xdr:row>
                    <xdr:rowOff>361950</xdr:rowOff>
                  </from>
                  <to>
                    <xdr:col>11</xdr:col>
                    <xdr:colOff>2857500</xdr:colOff>
                    <xdr:row>31</xdr:row>
                    <xdr:rowOff>533400</xdr:rowOff>
                  </to>
                </anchor>
              </controlPr>
            </control>
          </mc:Choice>
        </mc:AlternateContent>
      </controls>
    </mc:Choice>
  </mc:AlternateContent>
  <extLst>
    <ext xmlns:x14="http://schemas.microsoft.com/office/spreadsheetml/2009/9/main" uri="{CCE6A557-97BC-4b89-ADB6-D9C93CAAB3DF}">
      <x14:dataValidations xmlns:xm="http://schemas.microsoft.com/office/excel/2006/main" count="7">
        <x14:dataValidation type="list" allowBlank="1" showInputMessage="1" showErrorMessage="1" xr:uid="{00000000-0002-0000-0000-000011000000}">
          <x14:formula1>
            <xm:f>Source!$G$2:$G$18</xm:f>
          </x14:formula1>
          <xm:sqref>J18</xm:sqref>
        </x14:dataValidation>
        <x14:dataValidation type="list" allowBlank="1" showInputMessage="1" showErrorMessage="1" xr:uid="{00000000-0002-0000-0000-000012000000}">
          <x14:formula1>
            <xm:f>Source!$M$3:$M$1000</xm:f>
          </x14:formula1>
          <xm:sqref>J7</xm:sqref>
        </x14:dataValidation>
        <x14:dataValidation type="list" allowBlank="1" showInputMessage="1" showErrorMessage="1" xr:uid="{00000000-0002-0000-0000-000013000000}">
          <x14:formula1>
            <xm:f>Source!$C$2:$C$35</xm:f>
          </x14:formula1>
          <xm:sqref>J13</xm:sqref>
        </x14:dataValidation>
        <x14:dataValidation type="list" allowBlank="1" showInputMessage="1" showErrorMessage="1" xr:uid="{00000000-0002-0000-0000-000014000000}">
          <x14:formula1>
            <xm:f>Source!$F$2:$F$13</xm:f>
          </x14:formula1>
          <xm:sqref>E5</xm:sqref>
        </x14:dataValidation>
        <x14:dataValidation type="list" allowBlank="1" showInputMessage="1" showErrorMessage="1" xr:uid="{00000000-0002-0000-0000-000015000000}">
          <x14:formula1>
            <xm:f>Source!$F$15:$F$23</xm:f>
          </x14:formula1>
          <xm:sqref>E6</xm:sqref>
        </x14:dataValidation>
        <x14:dataValidation type="list" allowBlank="1" showInputMessage="1" showErrorMessage="1" xr:uid="{00000000-0002-0000-0000-000017000000}">
          <x14:formula1>
            <xm:f>Source!$W$3:$W$25</xm:f>
          </x14:formula1>
          <xm:sqref>J17</xm:sqref>
        </x14:dataValidation>
        <x14:dataValidation type="list" allowBlank="1" showInputMessage="1" showErrorMessage="1" xr:uid="{685A4A23-5A13-4939-BA19-C06132BD1198}">
          <x14:formula1>
            <xm:f>Source!$C$4:$C$36</xm:f>
          </x14:formula1>
          <xm:sqref>J89:J93</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PN3"/>
  <sheetViews>
    <sheetView topLeftCell="FC1" workbookViewId="0">
      <selection activeCell="ET2" sqref="ET2:FQ2"/>
    </sheetView>
  </sheetViews>
  <sheetFormatPr defaultRowHeight="15"/>
  <cols>
    <col min="6" max="7" width="9.28515625" bestFit="1" customWidth="1"/>
    <col min="8" max="8" width="12.42578125" bestFit="1" customWidth="1"/>
    <col min="9" max="9" width="9.28515625" bestFit="1" customWidth="1"/>
    <col min="16" max="16" width="9.28515625" bestFit="1" customWidth="1"/>
    <col min="26" max="26" width="9.28515625" bestFit="1" customWidth="1"/>
    <col min="28" max="28" width="9.28515625" bestFit="1" customWidth="1"/>
    <col min="29" max="29" width="9.42578125" bestFit="1" customWidth="1"/>
    <col min="30" max="31" width="9.28515625" bestFit="1" customWidth="1"/>
    <col min="88" max="99" width="9.28515625" bestFit="1" customWidth="1"/>
    <col min="101" max="120" width="9.28515625" bestFit="1" customWidth="1"/>
    <col min="122" max="125" width="9.28515625" bestFit="1" customWidth="1"/>
    <col min="127" max="128" width="9.28515625" bestFit="1" customWidth="1"/>
    <col min="130" max="551" width="9.28515625" bestFit="1" customWidth="1"/>
    <col min="575" max="589" width="9.28515625" bestFit="1" customWidth="1"/>
    <col min="595" max="614" width="9.28515625" bestFit="1" customWidth="1"/>
  </cols>
  <sheetData>
    <row r="1" spans="1:430">
      <c r="A1" s="262" t="s">
        <v>622</v>
      </c>
      <c r="B1" s="239"/>
      <c r="C1" s="239"/>
      <c r="D1" s="239"/>
      <c r="E1" s="239"/>
      <c r="F1" s="239"/>
      <c r="G1" s="239"/>
      <c r="H1" s="239"/>
      <c r="I1" s="239"/>
      <c r="J1" s="239"/>
      <c r="K1" s="239"/>
      <c r="L1" s="239"/>
      <c r="M1" s="239"/>
      <c r="N1" s="239"/>
      <c r="O1" s="239"/>
      <c r="P1" s="239"/>
      <c r="Q1" s="239"/>
      <c r="R1" s="239"/>
      <c r="S1" s="239"/>
      <c r="T1" s="239"/>
      <c r="U1" s="239"/>
      <c r="V1" s="239"/>
      <c r="W1" s="239"/>
      <c r="X1" s="239"/>
      <c r="Y1" s="239"/>
      <c r="Z1" s="239"/>
      <c r="AA1" s="239"/>
      <c r="AB1" s="239"/>
      <c r="AC1" s="239"/>
      <c r="AD1" s="263"/>
      <c r="AE1" s="263"/>
      <c r="AF1" s="264"/>
      <c r="AG1" s="265" t="s">
        <v>131</v>
      </c>
      <c r="AH1" s="266"/>
      <c r="AI1" s="266"/>
      <c r="AJ1" s="266"/>
      <c r="AK1" s="266"/>
      <c r="AL1" s="266"/>
      <c r="AM1" s="266"/>
      <c r="AN1" s="266"/>
      <c r="AO1" s="266"/>
      <c r="AP1" s="266"/>
      <c r="AQ1" s="267" t="s">
        <v>133</v>
      </c>
      <c r="AR1" s="268"/>
      <c r="AS1" s="268"/>
      <c r="AT1" s="268"/>
      <c r="AU1" s="268"/>
      <c r="AV1" s="268"/>
      <c r="AW1" s="268"/>
      <c r="AX1" s="268"/>
      <c r="AY1" s="268"/>
      <c r="AZ1" s="268"/>
      <c r="BA1" s="268"/>
      <c r="BB1" s="268"/>
      <c r="BC1" s="269"/>
      <c r="BD1" s="265" t="s">
        <v>85</v>
      </c>
      <c r="BE1" s="266"/>
      <c r="BF1" s="266"/>
      <c r="BG1" s="266"/>
      <c r="BH1" s="266"/>
      <c r="BI1" s="266"/>
      <c r="BJ1" s="270"/>
      <c r="BK1" s="267" t="s">
        <v>145</v>
      </c>
      <c r="BL1" s="268"/>
      <c r="BM1" s="268"/>
      <c r="BN1" s="268"/>
      <c r="BO1" s="268"/>
      <c r="BP1" s="268"/>
      <c r="BQ1" s="268"/>
      <c r="BR1" s="268"/>
      <c r="BS1" s="253" t="s">
        <v>623</v>
      </c>
      <c r="BT1" s="254"/>
      <c r="BU1" s="254"/>
      <c r="BV1" s="254"/>
      <c r="BW1" s="254"/>
      <c r="BX1" s="254"/>
      <c r="BY1" s="254"/>
      <c r="BZ1" s="254"/>
      <c r="CA1" s="254"/>
      <c r="CB1" s="254"/>
      <c r="CC1" s="250" t="s">
        <v>624</v>
      </c>
      <c r="CD1" s="251"/>
      <c r="CE1" s="251"/>
      <c r="CF1" s="251"/>
      <c r="CG1" s="251"/>
      <c r="CH1" s="251"/>
      <c r="CI1" s="251"/>
      <c r="CJ1" s="251"/>
      <c r="CK1" s="251"/>
      <c r="CL1" s="251"/>
      <c r="CM1" s="251"/>
      <c r="CN1" s="251"/>
      <c r="CO1" s="252"/>
      <c r="CP1" s="253" t="s">
        <v>625</v>
      </c>
      <c r="CQ1" s="254"/>
      <c r="CR1" s="254"/>
      <c r="CS1" s="254"/>
      <c r="CT1" s="254"/>
      <c r="CU1" s="254"/>
      <c r="CV1" s="255"/>
      <c r="CW1" s="250" t="s">
        <v>626</v>
      </c>
      <c r="CX1" s="251"/>
      <c r="CY1" s="251"/>
      <c r="CZ1" s="251"/>
      <c r="DA1" s="251"/>
      <c r="DB1" s="251"/>
      <c r="DC1" s="251"/>
      <c r="DD1" s="251"/>
      <c r="DE1" s="256" t="s">
        <v>627</v>
      </c>
      <c r="DF1" s="257"/>
      <c r="DG1" s="257"/>
      <c r="DH1" s="257"/>
      <c r="DI1" s="257"/>
      <c r="DJ1" s="257"/>
      <c r="DK1" s="257"/>
      <c r="DL1" s="257"/>
      <c r="DM1" s="257"/>
      <c r="DN1" s="257"/>
      <c r="DO1" s="257"/>
      <c r="DP1" s="258" t="s">
        <v>628</v>
      </c>
      <c r="DQ1" s="258"/>
      <c r="DR1" s="258"/>
      <c r="DS1" s="258"/>
      <c r="DT1" s="258"/>
      <c r="DU1" s="258"/>
      <c r="DV1" s="258"/>
      <c r="DW1" s="258"/>
      <c r="DX1" s="258"/>
      <c r="DY1" s="258"/>
      <c r="DZ1" s="258"/>
      <c r="EA1" s="259" t="s">
        <v>629</v>
      </c>
      <c r="EB1" s="259"/>
      <c r="EC1" s="259"/>
      <c r="ED1" s="259"/>
      <c r="EE1" s="259"/>
      <c r="EF1" s="259"/>
      <c r="EG1" s="259"/>
      <c r="EH1" s="259"/>
      <c r="EI1" s="259"/>
      <c r="EJ1" s="259"/>
      <c r="EK1" s="259"/>
      <c r="EL1" s="259"/>
      <c r="EM1" s="259"/>
      <c r="EN1" s="259"/>
      <c r="EO1" s="260"/>
      <c r="EP1" s="185" t="s">
        <v>335</v>
      </c>
      <c r="EQ1" s="247" t="s">
        <v>630</v>
      </c>
      <c r="ER1" s="247"/>
      <c r="ES1" s="247"/>
      <c r="ET1" s="244" t="s">
        <v>631</v>
      </c>
      <c r="EU1" s="244"/>
      <c r="EV1" s="244"/>
      <c r="EW1" s="244"/>
      <c r="EX1" s="244"/>
      <c r="EY1" s="244"/>
      <c r="EZ1" s="244"/>
      <c r="FA1" s="244"/>
      <c r="FB1" s="244"/>
      <c r="FC1" s="244"/>
      <c r="FD1" s="244"/>
      <c r="FE1" s="244"/>
      <c r="FF1" s="244"/>
      <c r="FG1" s="244"/>
      <c r="FH1" s="244"/>
      <c r="FI1" s="244"/>
      <c r="FJ1" s="244"/>
      <c r="FK1" s="244"/>
      <c r="FL1" s="244"/>
      <c r="FM1" s="244"/>
      <c r="FN1" s="244"/>
      <c r="FO1" s="244"/>
      <c r="FP1" s="244"/>
      <c r="FQ1" s="244"/>
      <c r="FR1" s="247" t="s">
        <v>632</v>
      </c>
      <c r="FS1" s="247"/>
      <c r="FT1" s="247"/>
      <c r="FU1" s="247"/>
      <c r="FV1" s="247"/>
      <c r="FW1" s="247"/>
      <c r="FX1" s="247"/>
      <c r="FY1" s="247"/>
      <c r="FZ1" s="247"/>
      <c r="GA1" s="247"/>
      <c r="GB1" s="247"/>
      <c r="GC1" s="247"/>
      <c r="GD1" s="247"/>
      <c r="GE1" s="247"/>
      <c r="GF1" s="247"/>
      <c r="GG1" s="261"/>
      <c r="GH1" s="185" t="s">
        <v>633</v>
      </c>
      <c r="GI1" s="247" t="s">
        <v>634</v>
      </c>
      <c r="GJ1" s="261"/>
      <c r="GK1" s="249" t="s">
        <v>635</v>
      </c>
      <c r="GL1" s="244"/>
      <c r="GM1" s="244"/>
      <c r="GN1" s="186" t="s">
        <v>636</v>
      </c>
      <c r="GO1" s="186"/>
      <c r="GP1" s="249" t="s">
        <v>637</v>
      </c>
      <c r="GQ1" s="244"/>
      <c r="GR1" s="244"/>
      <c r="GS1" s="244"/>
      <c r="GT1" s="244"/>
      <c r="GU1" s="244"/>
      <c r="GV1" s="244"/>
      <c r="GW1" s="244"/>
      <c r="GX1" s="244"/>
      <c r="GY1" s="244"/>
      <c r="GZ1" s="244"/>
      <c r="HA1" s="244"/>
      <c r="HB1" s="244"/>
      <c r="HC1" s="244"/>
      <c r="HD1" s="244"/>
      <c r="HE1" s="244"/>
      <c r="HF1" s="244"/>
      <c r="HG1" s="244"/>
      <c r="HH1" s="244"/>
      <c r="HI1" s="244"/>
      <c r="HJ1" s="244"/>
      <c r="HK1" s="244"/>
      <c r="HL1" s="244"/>
      <c r="HM1" s="244"/>
      <c r="HN1" s="244"/>
      <c r="HO1" s="244"/>
      <c r="HP1" s="244"/>
      <c r="HQ1" s="244"/>
      <c r="HR1" s="244"/>
      <c r="HS1" s="244"/>
      <c r="HT1" s="244"/>
      <c r="HU1" s="244"/>
      <c r="HV1" s="244"/>
      <c r="HW1" s="244"/>
      <c r="HX1" s="244"/>
      <c r="HY1" s="244"/>
      <c r="HZ1" s="244"/>
      <c r="IA1" s="244"/>
      <c r="IB1" s="244"/>
      <c r="IC1" s="186" t="s">
        <v>638</v>
      </c>
      <c r="ID1" s="186"/>
      <c r="IE1" s="186"/>
      <c r="IF1" s="186"/>
      <c r="IG1" s="186"/>
      <c r="IH1" s="186"/>
      <c r="II1" s="187" t="s">
        <v>431</v>
      </c>
      <c r="IJ1" s="247" t="s">
        <v>639</v>
      </c>
      <c r="IK1" s="247"/>
      <c r="IL1" s="247"/>
      <c r="IM1" s="247"/>
      <c r="IN1" s="247"/>
      <c r="IO1" s="247"/>
      <c r="IP1" s="247"/>
      <c r="IQ1" s="244" t="s">
        <v>640</v>
      </c>
      <c r="IR1" s="244"/>
      <c r="IS1" s="244"/>
      <c r="IT1" s="244"/>
      <c r="IU1" s="247" t="s">
        <v>641</v>
      </c>
      <c r="IV1" s="247"/>
      <c r="IW1" s="247"/>
      <c r="IX1" s="247"/>
      <c r="IY1" s="247"/>
      <c r="IZ1" s="247"/>
      <c r="JA1" s="247"/>
      <c r="JB1" s="247"/>
      <c r="JC1" s="247"/>
      <c r="JD1" s="247"/>
      <c r="JE1" s="247"/>
      <c r="JF1" s="247"/>
      <c r="JG1" s="247"/>
      <c r="JH1" s="247"/>
      <c r="JI1" s="247"/>
      <c r="JJ1" s="247"/>
      <c r="JK1" s="247"/>
      <c r="JL1" s="247"/>
      <c r="JM1" s="187" t="s">
        <v>461</v>
      </c>
      <c r="JN1" s="247" t="s">
        <v>642</v>
      </c>
      <c r="JO1" s="247"/>
      <c r="JP1" s="244" t="s">
        <v>643</v>
      </c>
      <c r="JQ1" s="244"/>
      <c r="JR1" s="244"/>
      <c r="JS1" s="244"/>
      <c r="JT1" s="244"/>
      <c r="JU1" s="244"/>
      <c r="JV1" s="244"/>
      <c r="JW1" s="244"/>
      <c r="JX1" s="244"/>
      <c r="JY1" s="244"/>
      <c r="JZ1" s="247" t="s">
        <v>644</v>
      </c>
      <c r="KA1" s="247"/>
      <c r="KB1" s="247"/>
      <c r="KC1" s="244" t="s">
        <v>645</v>
      </c>
      <c r="KD1" s="244"/>
      <c r="KE1" s="244"/>
      <c r="KF1" s="247" t="s">
        <v>646</v>
      </c>
      <c r="KG1" s="247"/>
      <c r="KH1" s="247"/>
      <c r="KI1" s="247"/>
      <c r="KJ1" s="247"/>
      <c r="KK1" s="247"/>
      <c r="KL1" s="247"/>
      <c r="KM1" s="247"/>
      <c r="KN1" s="247"/>
      <c r="KO1" s="187" t="s">
        <v>489</v>
      </c>
      <c r="KP1" s="247" t="s">
        <v>647</v>
      </c>
      <c r="KQ1" s="247"/>
      <c r="KR1" s="187" t="s">
        <v>492</v>
      </c>
      <c r="KS1" s="186" t="s">
        <v>493</v>
      </c>
      <c r="KT1" s="187" t="s">
        <v>648</v>
      </c>
      <c r="KU1" s="247" t="s">
        <v>649</v>
      </c>
      <c r="KV1" s="247"/>
      <c r="KW1" s="247"/>
      <c r="KX1" s="244" t="s">
        <v>650</v>
      </c>
      <c r="KY1" s="244"/>
      <c r="KZ1" s="186" t="s">
        <v>651</v>
      </c>
      <c r="LA1" s="187" t="s">
        <v>501</v>
      </c>
      <c r="LB1" s="247" t="s">
        <v>652</v>
      </c>
      <c r="LC1" s="247"/>
      <c r="LD1" s="247"/>
      <c r="LE1" s="247"/>
      <c r="LF1" s="247"/>
      <c r="LG1" s="247"/>
      <c r="LH1" s="247"/>
      <c r="LI1" s="244" t="s">
        <v>653</v>
      </c>
      <c r="LJ1" s="244"/>
      <c r="LK1" s="244"/>
      <c r="LL1" s="245"/>
      <c r="LM1" s="246" t="s">
        <v>654</v>
      </c>
      <c r="LN1" s="247"/>
      <c r="LO1" s="247"/>
      <c r="LP1" s="247"/>
      <c r="LQ1" s="247"/>
      <c r="LR1" s="247"/>
      <c r="LS1" s="247"/>
      <c r="LT1" s="187" t="s">
        <v>655</v>
      </c>
      <c r="LU1" s="187"/>
      <c r="LV1" s="187"/>
      <c r="LW1" s="187"/>
      <c r="LX1" s="187"/>
      <c r="LY1" s="187"/>
      <c r="LZ1" s="187"/>
      <c r="MA1" s="187"/>
      <c r="MB1" s="187"/>
      <c r="MC1" s="187"/>
      <c r="MD1" s="187"/>
      <c r="ME1" s="187"/>
      <c r="MF1" s="187"/>
      <c r="MG1" s="247" t="s">
        <v>656</v>
      </c>
      <c r="MH1" s="247"/>
      <c r="MI1" s="247"/>
      <c r="MJ1" s="247"/>
      <c r="MK1" s="247"/>
      <c r="ML1" s="247"/>
      <c r="MM1" s="247"/>
      <c r="MN1" s="247"/>
      <c r="MO1" s="247"/>
      <c r="MP1" s="247"/>
      <c r="MQ1" s="247"/>
      <c r="MR1" s="247"/>
      <c r="MS1" s="247"/>
      <c r="MT1" s="244" t="s">
        <v>657</v>
      </c>
      <c r="MU1" s="244"/>
      <c r="MV1" s="244"/>
      <c r="MW1" s="244"/>
      <c r="MX1" s="244"/>
      <c r="MY1" s="244"/>
      <c r="MZ1" s="244"/>
      <c r="NA1" s="247" t="s">
        <v>658</v>
      </c>
      <c r="NB1" s="247"/>
      <c r="NC1" s="247"/>
      <c r="ND1" s="247"/>
      <c r="NE1" s="247"/>
      <c r="NF1" s="247"/>
      <c r="NG1" s="247"/>
      <c r="NH1" s="247"/>
      <c r="NI1" s="247"/>
      <c r="NJ1" s="247"/>
      <c r="NK1" s="187" t="s">
        <v>563</v>
      </c>
      <c r="NL1" s="248" t="s">
        <v>659</v>
      </c>
      <c r="NM1" s="248"/>
      <c r="NN1" s="248"/>
      <c r="NO1" s="188"/>
      <c r="NP1" s="236" t="s">
        <v>660</v>
      </c>
      <c r="NQ1" s="236"/>
      <c r="NR1" s="236"/>
      <c r="NS1" s="236"/>
      <c r="NT1" s="236"/>
      <c r="NU1" s="237" t="s">
        <v>661</v>
      </c>
      <c r="NV1" s="237"/>
      <c r="NW1" s="237"/>
      <c r="NX1" s="237"/>
      <c r="NY1" s="237"/>
      <c r="NZ1" s="237"/>
      <c r="OA1" s="189" t="s">
        <v>662</v>
      </c>
      <c r="OB1" s="189"/>
      <c r="OC1" s="238" t="s">
        <v>663</v>
      </c>
      <c r="OD1" s="239"/>
      <c r="OE1" s="239"/>
      <c r="OF1" s="239"/>
      <c r="OG1" s="240"/>
      <c r="OH1" s="241" t="s">
        <v>664</v>
      </c>
      <c r="OI1" s="242"/>
      <c r="OJ1" s="242"/>
      <c r="OK1" s="242"/>
      <c r="OL1" s="242"/>
      <c r="OM1" s="242"/>
      <c r="ON1" s="242"/>
      <c r="OO1" s="242"/>
      <c r="OP1" s="242"/>
      <c r="OQ1" s="242"/>
      <c r="OR1" s="242"/>
      <c r="OS1" s="242"/>
      <c r="OT1" s="242"/>
      <c r="OU1" s="242"/>
      <c r="OV1" s="242"/>
      <c r="OW1" s="242"/>
      <c r="OX1" s="242"/>
      <c r="OY1" s="242"/>
      <c r="OZ1" s="242"/>
      <c r="PA1" s="242"/>
      <c r="PB1" s="242"/>
      <c r="PC1" s="242"/>
      <c r="PD1" s="242"/>
      <c r="PE1" s="242"/>
      <c r="PF1" s="242"/>
      <c r="PG1" s="242"/>
      <c r="PH1" s="242"/>
      <c r="PI1" s="242"/>
      <c r="PJ1" s="242"/>
      <c r="PK1" s="242"/>
      <c r="PL1" s="242"/>
      <c r="PM1" s="242"/>
      <c r="PN1" s="243"/>
    </row>
    <row r="2" spans="1:430" ht="90">
      <c r="A2" s="165" t="s">
        <v>270</v>
      </c>
      <c r="B2" s="165" t="s">
        <v>167</v>
      </c>
      <c r="C2" s="165" t="s">
        <v>77</v>
      </c>
      <c r="D2" s="165" t="s">
        <v>24</v>
      </c>
      <c r="E2" s="165" t="s">
        <v>15</v>
      </c>
      <c r="F2" s="166" t="s">
        <v>0</v>
      </c>
      <c r="G2" s="167" t="s">
        <v>271</v>
      </c>
      <c r="H2" s="165" t="s">
        <v>272</v>
      </c>
      <c r="I2" s="165" t="s">
        <v>1</v>
      </c>
      <c r="J2" s="165" t="s">
        <v>2</v>
      </c>
      <c r="K2" s="165" t="s">
        <v>168</v>
      </c>
      <c r="L2" s="165" t="s">
        <v>169</v>
      </c>
      <c r="M2" s="165" t="s">
        <v>170</v>
      </c>
      <c r="N2" s="165" t="s">
        <v>8</v>
      </c>
      <c r="O2" s="168" t="s">
        <v>273</v>
      </c>
      <c r="P2" s="165" t="s">
        <v>274</v>
      </c>
      <c r="Q2" s="165" t="s">
        <v>17</v>
      </c>
      <c r="R2" s="165" t="s">
        <v>275</v>
      </c>
      <c r="S2" s="165" t="s">
        <v>276</v>
      </c>
      <c r="T2" s="165" t="s">
        <v>277</v>
      </c>
      <c r="U2" s="165" t="s">
        <v>278</v>
      </c>
      <c r="V2" s="165" t="s">
        <v>279</v>
      </c>
      <c r="W2" s="165" t="s">
        <v>16</v>
      </c>
      <c r="X2" s="165" t="s">
        <v>3</v>
      </c>
      <c r="Y2" s="165" t="s">
        <v>5</v>
      </c>
      <c r="Z2" s="165" t="s">
        <v>22</v>
      </c>
      <c r="AA2" s="165" t="s">
        <v>280</v>
      </c>
      <c r="AB2" s="165" t="s">
        <v>281</v>
      </c>
      <c r="AC2" s="169" t="s">
        <v>74</v>
      </c>
      <c r="AD2" s="170" t="s">
        <v>162</v>
      </c>
      <c r="AE2" s="170" t="s">
        <v>161</v>
      </c>
      <c r="AF2" s="170" t="s">
        <v>160</v>
      </c>
      <c r="AG2" s="171" t="s">
        <v>282</v>
      </c>
      <c r="AH2" s="171" t="s">
        <v>283</v>
      </c>
      <c r="AI2" s="171" t="s">
        <v>284</v>
      </c>
      <c r="AJ2" s="171" t="s">
        <v>285</v>
      </c>
      <c r="AK2" s="171" t="s">
        <v>286</v>
      </c>
      <c r="AL2" s="171" t="s">
        <v>287</v>
      </c>
      <c r="AM2" s="171" t="s">
        <v>288</v>
      </c>
      <c r="AN2" s="171" t="s">
        <v>289</v>
      </c>
      <c r="AO2" s="171" t="s">
        <v>290</v>
      </c>
      <c r="AP2" s="171" t="s">
        <v>291</v>
      </c>
      <c r="AQ2" s="171" t="s">
        <v>292</v>
      </c>
      <c r="AR2" s="171" t="s">
        <v>293</v>
      </c>
      <c r="AS2" s="171" t="s">
        <v>294</v>
      </c>
      <c r="AT2" s="171" t="s">
        <v>295</v>
      </c>
      <c r="AU2" s="171" t="s">
        <v>296</v>
      </c>
      <c r="AV2" s="171" t="s">
        <v>297</v>
      </c>
      <c r="AW2" s="171" t="s">
        <v>298</v>
      </c>
      <c r="AX2" s="171" t="s">
        <v>299</v>
      </c>
      <c r="AY2" s="171" t="s">
        <v>300</v>
      </c>
      <c r="AZ2" s="171" t="s">
        <v>301</v>
      </c>
      <c r="BA2" s="171" t="s">
        <v>302</v>
      </c>
      <c r="BB2" s="171" t="s">
        <v>303</v>
      </c>
      <c r="BC2" s="171" t="s">
        <v>304</v>
      </c>
      <c r="BD2" s="171" t="s">
        <v>305</v>
      </c>
      <c r="BE2" s="171" t="s">
        <v>306</v>
      </c>
      <c r="BF2" s="171" t="s">
        <v>307</v>
      </c>
      <c r="BG2" s="171" t="s">
        <v>308</v>
      </c>
      <c r="BH2" s="171" t="s">
        <v>309</v>
      </c>
      <c r="BI2" s="171" t="s">
        <v>310</v>
      </c>
      <c r="BJ2" s="171" t="s">
        <v>311</v>
      </c>
      <c r="BK2" s="171" t="s">
        <v>312</v>
      </c>
      <c r="BL2" s="171" t="s">
        <v>313</v>
      </c>
      <c r="BM2" s="171" t="s">
        <v>314</v>
      </c>
      <c r="BN2" s="171" t="s">
        <v>315</v>
      </c>
      <c r="BO2" s="171" t="s">
        <v>316</v>
      </c>
      <c r="BP2" s="171" t="s">
        <v>317</v>
      </c>
      <c r="BQ2" s="171" t="s">
        <v>318</v>
      </c>
      <c r="BR2" s="171" t="s">
        <v>319</v>
      </c>
      <c r="BS2" s="172" t="s">
        <v>282</v>
      </c>
      <c r="BT2" s="172" t="s">
        <v>283</v>
      </c>
      <c r="BU2" s="172" t="s">
        <v>284</v>
      </c>
      <c r="BV2" s="172" t="s">
        <v>285</v>
      </c>
      <c r="BW2" s="172" t="s">
        <v>286</v>
      </c>
      <c r="BX2" s="172" t="s">
        <v>287</v>
      </c>
      <c r="BY2" s="172" t="s">
        <v>288</v>
      </c>
      <c r="BZ2" s="172" t="s">
        <v>289</v>
      </c>
      <c r="CA2" s="172" t="s">
        <v>290</v>
      </c>
      <c r="CB2" s="172" t="s">
        <v>291</v>
      </c>
      <c r="CC2" s="172" t="s">
        <v>292</v>
      </c>
      <c r="CD2" s="172" t="s">
        <v>293</v>
      </c>
      <c r="CE2" s="172" t="s">
        <v>294</v>
      </c>
      <c r="CF2" s="172" t="s">
        <v>295</v>
      </c>
      <c r="CG2" s="172" t="s">
        <v>296</v>
      </c>
      <c r="CH2" s="172" t="s">
        <v>297</v>
      </c>
      <c r="CI2" s="172" t="s">
        <v>298</v>
      </c>
      <c r="CJ2" s="172" t="s">
        <v>299</v>
      </c>
      <c r="CK2" s="172" t="s">
        <v>300</v>
      </c>
      <c r="CL2" s="172" t="s">
        <v>301</v>
      </c>
      <c r="CM2" s="172" t="s">
        <v>302</v>
      </c>
      <c r="CN2" s="172" t="s">
        <v>303</v>
      </c>
      <c r="CO2" s="172" t="s">
        <v>304</v>
      </c>
      <c r="CP2" s="172" t="s">
        <v>305</v>
      </c>
      <c r="CQ2" s="172" t="s">
        <v>306</v>
      </c>
      <c r="CR2" s="172" t="s">
        <v>307</v>
      </c>
      <c r="CS2" s="172" t="s">
        <v>308</v>
      </c>
      <c r="CT2" s="172" t="s">
        <v>309</v>
      </c>
      <c r="CU2" s="172" t="s">
        <v>310</v>
      </c>
      <c r="CV2" s="172" t="s">
        <v>311</v>
      </c>
      <c r="CW2" s="172" t="s">
        <v>312</v>
      </c>
      <c r="CX2" s="172" t="s">
        <v>313</v>
      </c>
      <c r="CY2" s="172" t="s">
        <v>314</v>
      </c>
      <c r="CZ2" s="172" t="s">
        <v>315</v>
      </c>
      <c r="DA2" s="172" t="s">
        <v>316</v>
      </c>
      <c r="DB2" s="172" t="s">
        <v>317</v>
      </c>
      <c r="DC2" s="172" t="s">
        <v>318</v>
      </c>
      <c r="DD2" s="172" t="s">
        <v>319</v>
      </c>
      <c r="DE2" s="171" t="s">
        <v>320</v>
      </c>
      <c r="DF2" s="171" t="s">
        <v>208</v>
      </c>
      <c r="DG2" s="171" t="s">
        <v>321</v>
      </c>
      <c r="DH2" s="171" t="s">
        <v>322</v>
      </c>
      <c r="DI2" s="171" t="s">
        <v>323</v>
      </c>
      <c r="DJ2" s="171" t="s">
        <v>324</v>
      </c>
      <c r="DK2" s="171" t="s">
        <v>325</v>
      </c>
      <c r="DL2" s="171" t="s">
        <v>326</v>
      </c>
      <c r="DM2" s="171" t="s">
        <v>327</v>
      </c>
      <c r="DN2" s="171" t="s">
        <v>328</v>
      </c>
      <c r="DO2" s="171" t="s">
        <v>329</v>
      </c>
      <c r="DP2" s="172" t="s">
        <v>320</v>
      </c>
      <c r="DQ2" s="172" t="s">
        <v>208</v>
      </c>
      <c r="DR2" s="172" t="s">
        <v>321</v>
      </c>
      <c r="DS2" s="172" t="s">
        <v>322</v>
      </c>
      <c r="DT2" s="172" t="s">
        <v>323</v>
      </c>
      <c r="DU2" s="172" t="s">
        <v>324</v>
      </c>
      <c r="DV2" s="172" t="s">
        <v>325</v>
      </c>
      <c r="DW2" s="172" t="s">
        <v>326</v>
      </c>
      <c r="DX2" s="172" t="s">
        <v>327</v>
      </c>
      <c r="DY2" s="172" t="s">
        <v>328</v>
      </c>
      <c r="DZ2" s="172" t="s">
        <v>329</v>
      </c>
      <c r="EA2" s="165" t="s">
        <v>132</v>
      </c>
      <c r="EB2" s="165" t="s">
        <v>330</v>
      </c>
      <c r="EC2" s="165" t="s">
        <v>10</v>
      </c>
      <c r="ED2" s="165" t="s">
        <v>21</v>
      </c>
      <c r="EE2" s="165" t="s">
        <v>11</v>
      </c>
      <c r="EF2" s="165" t="s">
        <v>138</v>
      </c>
      <c r="EG2" s="165" t="s">
        <v>331</v>
      </c>
      <c r="EH2" s="165" t="s">
        <v>247</v>
      </c>
      <c r="EI2" s="165" t="s">
        <v>139</v>
      </c>
      <c r="EJ2" s="165" t="s">
        <v>251</v>
      </c>
      <c r="EK2" s="165" t="s">
        <v>143</v>
      </c>
      <c r="EL2" s="165" t="s">
        <v>257</v>
      </c>
      <c r="EM2" s="165" t="s">
        <v>332</v>
      </c>
      <c r="EN2" s="165" t="s">
        <v>333</v>
      </c>
      <c r="EO2" s="165" t="s">
        <v>334</v>
      </c>
      <c r="EP2" s="173" t="s">
        <v>335</v>
      </c>
      <c r="EQ2" s="174" t="s">
        <v>336</v>
      </c>
      <c r="ER2" s="174" t="s">
        <v>337</v>
      </c>
      <c r="ES2" s="174" t="s">
        <v>338</v>
      </c>
      <c r="ET2" s="173" t="s">
        <v>339</v>
      </c>
      <c r="EU2" s="173" t="s">
        <v>340</v>
      </c>
      <c r="EV2" s="173" t="s">
        <v>341</v>
      </c>
      <c r="EW2" s="173" t="s">
        <v>342</v>
      </c>
      <c r="EX2" s="173" t="s">
        <v>343</v>
      </c>
      <c r="EY2" s="173" t="s">
        <v>344</v>
      </c>
      <c r="EZ2" s="173" t="s">
        <v>345</v>
      </c>
      <c r="FA2" s="173" t="s">
        <v>346</v>
      </c>
      <c r="FB2" s="173" t="s">
        <v>347</v>
      </c>
      <c r="FC2" s="173" t="s">
        <v>348</v>
      </c>
      <c r="FD2" s="173" t="s">
        <v>349</v>
      </c>
      <c r="FE2" s="173" t="s">
        <v>350</v>
      </c>
      <c r="FF2" s="173" t="s">
        <v>351</v>
      </c>
      <c r="FG2" s="173" t="s">
        <v>352</v>
      </c>
      <c r="FH2" s="173" t="s">
        <v>353</v>
      </c>
      <c r="FI2" s="173" t="s">
        <v>354</v>
      </c>
      <c r="FJ2" s="173" t="s">
        <v>355</v>
      </c>
      <c r="FK2" s="173" t="s">
        <v>356</v>
      </c>
      <c r="FL2" s="173" t="s">
        <v>357</v>
      </c>
      <c r="FM2" s="173" t="s">
        <v>270</v>
      </c>
      <c r="FN2" s="173" t="s">
        <v>358</v>
      </c>
      <c r="FO2" s="173" t="s">
        <v>359</v>
      </c>
      <c r="FP2" s="173" t="s">
        <v>360</v>
      </c>
      <c r="FQ2" s="173" t="s">
        <v>361</v>
      </c>
      <c r="FR2" s="174" t="s">
        <v>362</v>
      </c>
      <c r="FS2" s="174" t="s">
        <v>363</v>
      </c>
      <c r="FT2" s="174" t="s">
        <v>364</v>
      </c>
      <c r="FU2" s="174" t="s">
        <v>365</v>
      </c>
      <c r="FV2" s="174" t="s">
        <v>366</v>
      </c>
      <c r="FW2" s="174" t="s">
        <v>367</v>
      </c>
      <c r="FX2" s="174" t="s">
        <v>368</v>
      </c>
      <c r="FY2" s="174" t="s">
        <v>369</v>
      </c>
      <c r="FZ2" s="174" t="s">
        <v>370</v>
      </c>
      <c r="GA2" s="174" t="s">
        <v>371</v>
      </c>
      <c r="GB2" s="174" t="s">
        <v>372</v>
      </c>
      <c r="GC2" s="174" t="s">
        <v>373</v>
      </c>
      <c r="GD2" s="174" t="s">
        <v>374</v>
      </c>
      <c r="GE2" s="174" t="s">
        <v>375</v>
      </c>
      <c r="GF2" s="174" t="s">
        <v>376</v>
      </c>
      <c r="GG2" s="174" t="s">
        <v>377</v>
      </c>
      <c r="GH2" s="173" t="s">
        <v>378</v>
      </c>
      <c r="GI2" s="174" t="s">
        <v>379</v>
      </c>
      <c r="GJ2" s="174" t="s">
        <v>380</v>
      </c>
      <c r="GK2" s="173" t="s">
        <v>381</v>
      </c>
      <c r="GL2" s="173" t="s">
        <v>382</v>
      </c>
      <c r="GM2" s="173" t="s">
        <v>383</v>
      </c>
      <c r="GN2" s="174" t="s">
        <v>384</v>
      </c>
      <c r="GO2" s="174" t="s">
        <v>385</v>
      </c>
      <c r="GP2" s="173" t="s">
        <v>386</v>
      </c>
      <c r="GQ2" s="173" t="s">
        <v>387</v>
      </c>
      <c r="GR2" s="173" t="s">
        <v>388</v>
      </c>
      <c r="GS2" s="173" t="s">
        <v>389</v>
      </c>
      <c r="GT2" s="173" t="s">
        <v>390</v>
      </c>
      <c r="GU2" s="173" t="s">
        <v>391</v>
      </c>
      <c r="GV2" s="173" t="s">
        <v>392</v>
      </c>
      <c r="GW2" s="173" t="s">
        <v>393</v>
      </c>
      <c r="GX2" s="173" t="s">
        <v>394</v>
      </c>
      <c r="GY2" s="173" t="s">
        <v>395</v>
      </c>
      <c r="GZ2" s="173" t="s">
        <v>396</v>
      </c>
      <c r="HA2" s="173" t="s">
        <v>397</v>
      </c>
      <c r="HB2" s="173" t="s">
        <v>398</v>
      </c>
      <c r="HC2" s="173" t="s">
        <v>399</v>
      </c>
      <c r="HD2" s="173" t="s">
        <v>400</v>
      </c>
      <c r="HE2" s="173" t="s">
        <v>401</v>
      </c>
      <c r="HF2" s="173" t="s">
        <v>402</v>
      </c>
      <c r="HG2" s="173" t="s">
        <v>403</v>
      </c>
      <c r="HH2" s="173" t="s">
        <v>404</v>
      </c>
      <c r="HI2" s="173" t="s">
        <v>405</v>
      </c>
      <c r="HJ2" s="173" t="s">
        <v>406</v>
      </c>
      <c r="HK2" s="173" t="s">
        <v>407</v>
      </c>
      <c r="HL2" s="173" t="s">
        <v>408</v>
      </c>
      <c r="HM2" s="173" t="s">
        <v>409</v>
      </c>
      <c r="HN2" s="173" t="s">
        <v>410</v>
      </c>
      <c r="HO2" s="173" t="s">
        <v>411</v>
      </c>
      <c r="HP2" s="173" t="s">
        <v>412</v>
      </c>
      <c r="HQ2" s="173" t="s">
        <v>413</v>
      </c>
      <c r="HR2" s="173" t="s">
        <v>414</v>
      </c>
      <c r="HS2" s="173" t="s">
        <v>415</v>
      </c>
      <c r="HT2" s="173" t="s">
        <v>416</v>
      </c>
      <c r="HU2" s="173" t="s">
        <v>417</v>
      </c>
      <c r="HV2" s="173" t="s">
        <v>418</v>
      </c>
      <c r="HW2" s="173" t="s">
        <v>419</v>
      </c>
      <c r="HX2" s="173" t="s">
        <v>420</v>
      </c>
      <c r="HY2" s="173" t="s">
        <v>421</v>
      </c>
      <c r="HZ2" s="173" t="s">
        <v>422</v>
      </c>
      <c r="IA2" s="173" t="s">
        <v>423</v>
      </c>
      <c r="IB2" s="173" t="s">
        <v>424</v>
      </c>
      <c r="IC2" s="174" t="s">
        <v>425</v>
      </c>
      <c r="ID2" s="174" t="s">
        <v>426</v>
      </c>
      <c r="IE2" s="174" t="s">
        <v>427</v>
      </c>
      <c r="IF2" s="174" t="s">
        <v>428</v>
      </c>
      <c r="IG2" s="174" t="s">
        <v>429</v>
      </c>
      <c r="IH2" s="174" t="s">
        <v>430</v>
      </c>
      <c r="II2" s="173" t="s">
        <v>431</v>
      </c>
      <c r="IJ2" s="174" t="s">
        <v>432</v>
      </c>
      <c r="IK2" s="174" t="s">
        <v>433</v>
      </c>
      <c r="IL2" s="174" t="s">
        <v>434</v>
      </c>
      <c r="IM2" s="174" t="s">
        <v>435</v>
      </c>
      <c r="IN2" s="174" t="s">
        <v>436</v>
      </c>
      <c r="IO2" s="174" t="s">
        <v>437</v>
      </c>
      <c r="IP2" s="174" t="s">
        <v>438</v>
      </c>
      <c r="IQ2" s="173" t="s">
        <v>439</v>
      </c>
      <c r="IR2" s="173" t="s">
        <v>440</v>
      </c>
      <c r="IS2" s="173" t="s">
        <v>441</v>
      </c>
      <c r="IT2" s="173" t="s">
        <v>442</v>
      </c>
      <c r="IU2" s="174" t="s">
        <v>443</v>
      </c>
      <c r="IV2" s="174" t="s">
        <v>444</v>
      </c>
      <c r="IW2" s="174" t="s">
        <v>445</v>
      </c>
      <c r="IX2" s="174" t="s">
        <v>446</v>
      </c>
      <c r="IY2" s="174" t="s">
        <v>447</v>
      </c>
      <c r="IZ2" s="174" t="s">
        <v>448</v>
      </c>
      <c r="JA2" s="174" t="s">
        <v>449</v>
      </c>
      <c r="JB2" s="174" t="s">
        <v>450</v>
      </c>
      <c r="JC2" s="174" t="s">
        <v>451</v>
      </c>
      <c r="JD2" s="174" t="s">
        <v>452</v>
      </c>
      <c r="JE2" s="174" t="s">
        <v>453</v>
      </c>
      <c r="JF2" s="174" t="s">
        <v>454</v>
      </c>
      <c r="JG2" s="174" t="s">
        <v>455</v>
      </c>
      <c r="JH2" s="174" t="s">
        <v>456</v>
      </c>
      <c r="JI2" s="174" t="s">
        <v>457</v>
      </c>
      <c r="JJ2" s="174" t="s">
        <v>458</v>
      </c>
      <c r="JK2" s="174" t="s">
        <v>459</v>
      </c>
      <c r="JL2" s="174" t="s">
        <v>460</v>
      </c>
      <c r="JM2" s="173" t="s">
        <v>461</v>
      </c>
      <c r="JN2" s="174" t="s">
        <v>462</v>
      </c>
      <c r="JO2" s="174" t="s">
        <v>463</v>
      </c>
      <c r="JP2" s="173" t="s">
        <v>464</v>
      </c>
      <c r="JQ2" s="173" t="s">
        <v>465</v>
      </c>
      <c r="JR2" s="173" t="s">
        <v>466</v>
      </c>
      <c r="JS2" s="173" t="s">
        <v>467</v>
      </c>
      <c r="JT2" s="173" t="s">
        <v>468</v>
      </c>
      <c r="JU2" s="173" t="s">
        <v>469</v>
      </c>
      <c r="JV2" s="173" t="s">
        <v>470</v>
      </c>
      <c r="JW2" s="173" t="s">
        <v>471</v>
      </c>
      <c r="JX2" s="173" t="s">
        <v>472</v>
      </c>
      <c r="JY2" s="173" t="s">
        <v>473</v>
      </c>
      <c r="JZ2" s="174" t="s">
        <v>474</v>
      </c>
      <c r="KA2" s="174" t="s">
        <v>475</v>
      </c>
      <c r="KB2" s="174" t="s">
        <v>476</v>
      </c>
      <c r="KC2" s="173" t="s">
        <v>477</v>
      </c>
      <c r="KD2" s="173" t="s">
        <v>478</v>
      </c>
      <c r="KE2" s="173" t="s">
        <v>479</v>
      </c>
      <c r="KF2" s="174" t="s">
        <v>480</v>
      </c>
      <c r="KG2" s="174" t="s">
        <v>481</v>
      </c>
      <c r="KH2" s="174" t="s">
        <v>482</v>
      </c>
      <c r="KI2" s="174" t="s">
        <v>483</v>
      </c>
      <c r="KJ2" s="174" t="s">
        <v>484</v>
      </c>
      <c r="KK2" s="174" t="s">
        <v>485</v>
      </c>
      <c r="KL2" s="174" t="s">
        <v>486</v>
      </c>
      <c r="KM2" s="174" t="s">
        <v>487</v>
      </c>
      <c r="KN2" s="174" t="s">
        <v>488</v>
      </c>
      <c r="KO2" s="173" t="s">
        <v>489</v>
      </c>
      <c r="KP2" s="174" t="s">
        <v>490</v>
      </c>
      <c r="KQ2" s="174" t="s">
        <v>491</v>
      </c>
      <c r="KR2" s="173" t="s">
        <v>492</v>
      </c>
      <c r="KS2" s="174" t="s">
        <v>493</v>
      </c>
      <c r="KT2" s="173" t="s">
        <v>494</v>
      </c>
      <c r="KU2" s="174" t="s">
        <v>495</v>
      </c>
      <c r="KV2" s="174" t="s">
        <v>496</v>
      </c>
      <c r="KW2" s="174" t="s">
        <v>497</v>
      </c>
      <c r="KX2" s="173" t="s">
        <v>498</v>
      </c>
      <c r="KY2" s="173" t="s">
        <v>499</v>
      </c>
      <c r="KZ2" s="174" t="s">
        <v>500</v>
      </c>
      <c r="LA2" s="173" t="s">
        <v>501</v>
      </c>
      <c r="LB2" s="174" t="s">
        <v>502</v>
      </c>
      <c r="LC2" s="174" t="s">
        <v>503</v>
      </c>
      <c r="LD2" s="174" t="s">
        <v>504</v>
      </c>
      <c r="LE2" s="174" t="s">
        <v>505</v>
      </c>
      <c r="LF2" s="174" t="s">
        <v>506</v>
      </c>
      <c r="LG2" s="174" t="s">
        <v>507</v>
      </c>
      <c r="LH2" s="174" t="s">
        <v>508</v>
      </c>
      <c r="LI2" s="173" t="s">
        <v>509</v>
      </c>
      <c r="LJ2" s="173" t="s">
        <v>510</v>
      </c>
      <c r="LK2" s="173" t="s">
        <v>511</v>
      </c>
      <c r="LL2" s="173" t="s">
        <v>512</v>
      </c>
      <c r="LM2" s="174" t="s">
        <v>513</v>
      </c>
      <c r="LN2" s="174" t="s">
        <v>514</v>
      </c>
      <c r="LO2" s="174" t="s">
        <v>515</v>
      </c>
      <c r="LP2" s="174" t="s">
        <v>516</v>
      </c>
      <c r="LQ2" s="174" t="s">
        <v>517</v>
      </c>
      <c r="LR2" s="174" t="s">
        <v>518</v>
      </c>
      <c r="LS2" s="174" t="s">
        <v>519</v>
      </c>
      <c r="LT2" s="173" t="s">
        <v>520</v>
      </c>
      <c r="LU2" s="173" t="s">
        <v>521</v>
      </c>
      <c r="LV2" s="173" t="s">
        <v>522</v>
      </c>
      <c r="LW2" s="173" t="s">
        <v>523</v>
      </c>
      <c r="LX2" s="173" t="s">
        <v>524</v>
      </c>
      <c r="LY2" s="173" t="s">
        <v>525</v>
      </c>
      <c r="LZ2" s="173" t="s">
        <v>526</v>
      </c>
      <c r="MA2" s="173" t="s">
        <v>527</v>
      </c>
      <c r="MB2" s="173" t="s">
        <v>528</v>
      </c>
      <c r="MC2" s="173" t="s">
        <v>529</v>
      </c>
      <c r="MD2" s="173" t="s">
        <v>530</v>
      </c>
      <c r="ME2" s="173" t="s">
        <v>531</v>
      </c>
      <c r="MF2" s="173" t="s">
        <v>532</v>
      </c>
      <c r="MG2" s="174" t="s">
        <v>533</v>
      </c>
      <c r="MH2" s="174" t="s">
        <v>534</v>
      </c>
      <c r="MI2" s="174" t="s">
        <v>535</v>
      </c>
      <c r="MJ2" s="174" t="s">
        <v>536</v>
      </c>
      <c r="MK2" s="174" t="s">
        <v>537</v>
      </c>
      <c r="ML2" s="174" t="s">
        <v>538</v>
      </c>
      <c r="MM2" s="174" t="s">
        <v>539</v>
      </c>
      <c r="MN2" s="174" t="s">
        <v>540</v>
      </c>
      <c r="MO2" s="174" t="s">
        <v>541</v>
      </c>
      <c r="MP2" s="174" t="s">
        <v>542</v>
      </c>
      <c r="MQ2" s="174" t="s">
        <v>543</v>
      </c>
      <c r="MR2" s="174" t="s">
        <v>544</v>
      </c>
      <c r="MS2" s="174" t="s">
        <v>545</v>
      </c>
      <c r="MT2" s="173" t="s">
        <v>546</v>
      </c>
      <c r="MU2" s="173" t="s">
        <v>547</v>
      </c>
      <c r="MV2" s="173" t="s">
        <v>548</v>
      </c>
      <c r="MW2" s="173" t="s">
        <v>549</v>
      </c>
      <c r="MX2" s="173" t="s">
        <v>550</v>
      </c>
      <c r="MY2" s="173" t="s">
        <v>551</v>
      </c>
      <c r="MZ2" s="173" t="s">
        <v>552</v>
      </c>
      <c r="NA2" s="174" t="s">
        <v>553</v>
      </c>
      <c r="NB2" s="174" t="s">
        <v>554</v>
      </c>
      <c r="NC2" s="174" t="s">
        <v>555</v>
      </c>
      <c r="ND2" s="174" t="s">
        <v>556</v>
      </c>
      <c r="NE2" s="174" t="s">
        <v>557</v>
      </c>
      <c r="NF2" s="174" t="s">
        <v>558</v>
      </c>
      <c r="NG2" s="174" t="s">
        <v>559</v>
      </c>
      <c r="NH2" s="174" t="s">
        <v>560</v>
      </c>
      <c r="NI2" s="174" t="s">
        <v>561</v>
      </c>
      <c r="NJ2" s="174" t="s">
        <v>562</v>
      </c>
      <c r="NK2" s="173" t="s">
        <v>563</v>
      </c>
      <c r="NL2" s="175" t="s">
        <v>564</v>
      </c>
      <c r="NM2" s="175" t="s">
        <v>565</v>
      </c>
      <c r="NN2" s="175" t="s">
        <v>566</v>
      </c>
      <c r="NO2" s="168" t="s">
        <v>192</v>
      </c>
      <c r="NP2" s="165" t="s">
        <v>567</v>
      </c>
      <c r="NQ2" s="165" t="s">
        <v>568</v>
      </c>
      <c r="NR2" s="165" t="s">
        <v>569</v>
      </c>
      <c r="NS2" s="165" t="s">
        <v>570</v>
      </c>
      <c r="NT2" s="165" t="s">
        <v>571</v>
      </c>
      <c r="NU2" s="165" t="s">
        <v>572</v>
      </c>
      <c r="NV2" s="165" t="s">
        <v>573</v>
      </c>
      <c r="NW2" s="165" t="s">
        <v>574</v>
      </c>
      <c r="NX2" s="165" t="s">
        <v>575</v>
      </c>
      <c r="NY2" s="165" t="s">
        <v>576</v>
      </c>
      <c r="NZ2" s="165" t="s">
        <v>577</v>
      </c>
      <c r="OA2" s="176" t="s">
        <v>578</v>
      </c>
      <c r="OB2" s="176" t="s">
        <v>579</v>
      </c>
      <c r="OC2" s="165" t="s">
        <v>580</v>
      </c>
      <c r="OD2" s="165" t="s">
        <v>29</v>
      </c>
      <c r="OE2" s="165" t="s">
        <v>30</v>
      </c>
      <c r="OF2" s="165" t="s">
        <v>581</v>
      </c>
      <c r="OG2" s="165" t="s">
        <v>148</v>
      </c>
      <c r="OH2" s="177" t="s">
        <v>582</v>
      </c>
      <c r="OI2" s="177" t="s">
        <v>583</v>
      </c>
      <c r="OJ2" s="177" t="s">
        <v>584</v>
      </c>
      <c r="OK2" s="177" t="s">
        <v>585</v>
      </c>
      <c r="OL2" s="177" t="s">
        <v>586</v>
      </c>
      <c r="OM2" s="177" t="s">
        <v>587</v>
      </c>
      <c r="ON2" s="177" t="s">
        <v>588</v>
      </c>
      <c r="OO2" s="177" t="s">
        <v>589</v>
      </c>
      <c r="OP2" s="177" t="s">
        <v>590</v>
      </c>
      <c r="OQ2" s="177" t="s">
        <v>591</v>
      </c>
      <c r="OR2" s="177" t="s">
        <v>592</v>
      </c>
      <c r="OS2" s="177" t="s">
        <v>593</v>
      </c>
      <c r="OT2" s="177" t="s">
        <v>594</v>
      </c>
      <c r="OU2" s="177" t="s">
        <v>595</v>
      </c>
      <c r="OV2" s="177" t="s">
        <v>596</v>
      </c>
      <c r="OW2" s="177" t="s">
        <v>597</v>
      </c>
      <c r="OX2" s="177" t="s">
        <v>598</v>
      </c>
      <c r="OY2" s="177" t="s">
        <v>599</v>
      </c>
      <c r="OZ2" s="177" t="s">
        <v>600</v>
      </c>
      <c r="PA2" s="177" t="s">
        <v>601</v>
      </c>
      <c r="PB2" s="177" t="s">
        <v>602</v>
      </c>
      <c r="PC2" s="177" t="s">
        <v>603</v>
      </c>
      <c r="PD2" s="177" t="s">
        <v>604</v>
      </c>
      <c r="PE2" s="177" t="s">
        <v>605</v>
      </c>
      <c r="PF2" s="177" t="s">
        <v>606</v>
      </c>
      <c r="PG2" s="177" t="s">
        <v>607</v>
      </c>
      <c r="PH2" s="177" t="s">
        <v>608</v>
      </c>
      <c r="PI2" s="177" t="s">
        <v>609</v>
      </c>
      <c r="PJ2" s="177" t="s">
        <v>610</v>
      </c>
      <c r="PK2" s="177" t="s">
        <v>611</v>
      </c>
      <c r="PL2" s="177" t="s">
        <v>612</v>
      </c>
      <c r="PM2" s="177" t="s">
        <v>613</v>
      </c>
      <c r="PN2" s="177" t="s">
        <v>614</v>
      </c>
    </row>
    <row r="3" spans="1:430" s="14" customFormat="1" ht="11.25">
      <c r="A3" s="14" t="str">
        <f>'360 Form'!$E$4</f>
        <v>Linksys</v>
      </c>
      <c r="B3" s="14" t="str">
        <f>'360 Form'!$E$6</f>
        <v>Voice</v>
      </c>
      <c r="C3" s="14" t="str">
        <f>'360 Form'!$E$7</f>
        <v>Outbound</v>
      </c>
      <c r="D3" s="14" t="str">
        <f>'360 Form'!$E$8</f>
        <v>Tech Support</v>
      </c>
      <c r="E3" s="14" t="str">
        <f>'360 Form'!$J$18</f>
        <v>Random Call</v>
      </c>
      <c r="F3" s="182">
        <f>'360 Form'!$J$4</f>
        <v>1</v>
      </c>
      <c r="G3" s="182">
        <f>'360 Form'!$J$14</f>
        <v>0</v>
      </c>
      <c r="H3" s="183">
        <f>'360 Form'!$J$5</f>
        <v>46184</v>
      </c>
      <c r="I3" s="14">
        <f>'360 Form'!$J$6</f>
        <v>11039</v>
      </c>
      <c r="J3" s="14" t="str">
        <f>'360 Form'!$J$7</f>
        <v>Paolo Ebora</v>
      </c>
      <c r="K3" s="14" t="str">
        <f>'360 Form'!$J$9</f>
        <v>CNX CDO CHAT - Connectivity Champions</v>
      </c>
      <c r="L3" s="14" t="str">
        <f>'360 Form'!$J$10</f>
        <v>Marc Joseph M. Baynos</v>
      </c>
      <c r="M3" s="14" t="str">
        <f>'360 Form'!$J$11</f>
        <v>Joey Agao</v>
      </c>
      <c r="N3" s="14" t="str">
        <f>IF(SUM('360 Form'!$G$38:$G$48)&gt;0,"Yes","No")</f>
        <v>No</v>
      </c>
      <c r="O3" s="14" t="str">
        <f>IF('360 Form'!$J$13="MIXED",'360 Form'!$J$94,'360 Form'!$J$13)</f>
        <v>None</v>
      </c>
      <c r="P3" s="14" t="str">
        <f>'360 Form'!$E$10</f>
        <v>TE00132422</v>
      </c>
      <c r="Q3" s="14" t="str">
        <f>'360 Form'!$E$11</f>
        <v>NA</v>
      </c>
      <c r="R3" s="14" t="str">
        <f>'360 Form'!$E$12</f>
        <v>MX6200</v>
      </c>
      <c r="S3" s="14" t="str">
        <f>'360 Form'!$E$13</f>
        <v>3 years</v>
      </c>
      <c r="T3" s="14" t="str">
        <f>'360 Form'!$E$14</f>
        <v>Eligible</v>
      </c>
      <c r="U3" s="14" t="str">
        <f>'360 Form'!$E$18</f>
        <v>Customer Call Out</v>
      </c>
      <c r="V3" s="14" t="str">
        <f>'360 Form'!$E$16</f>
        <v>Initial set up</v>
      </c>
      <c r="W3" s="14" t="str">
        <f>'360 Form'!$E$17</f>
        <v>Male</v>
      </c>
      <c r="X3" s="14">
        <f>'360 Form'!$J$16</f>
        <v>2196</v>
      </c>
      <c r="Y3" s="14" t="str">
        <f>'360 Form'!$J$17</f>
        <v>QA_GUCOR, ARGIE</v>
      </c>
      <c r="Z3" s="14" t="str">
        <f>'360 Form'!$J$19</f>
        <v>internal-10138-+19402300087-20260609-091821-1781021937.7683686</v>
      </c>
      <c r="AA3" s="183">
        <f>'360 Form'!$J$20</f>
        <v>46178</v>
      </c>
      <c r="AB3" s="181">
        <f>'360 Form'!$J$21</f>
        <v>0.68194444444444446</v>
      </c>
      <c r="AC3" s="184">
        <f>'360 Form'!$J$22</f>
        <v>3.9212962962962963E-2</v>
      </c>
      <c r="AD3" s="14" t="str">
        <f>'360 Form'!$E$20</f>
        <v>No</v>
      </c>
      <c r="AE3" s="14" t="str">
        <f>'360 Form'!$E$21</f>
        <v>No</v>
      </c>
      <c r="AF3" s="14" t="str">
        <f>'360 Form'!$E$22</f>
        <v>No</v>
      </c>
      <c r="AG3" s="14" t="str">
        <f>'360 Form'!$H$28</f>
        <v>YES</v>
      </c>
      <c r="AH3" s="14" t="str">
        <f>'360 Form'!$H$29</f>
        <v>YES</v>
      </c>
      <c r="AI3" s="14" t="str">
        <f>'360 Form'!$H$30</f>
        <v>YES</v>
      </c>
      <c r="AJ3" s="14" t="str">
        <f>'360 Form'!$H$31</f>
        <v>YES</v>
      </c>
      <c r="AK3" s="14" t="str">
        <f>'360 Form'!$H$32</f>
        <v>YES</v>
      </c>
      <c r="AL3" s="14" t="str">
        <f>'360 Form'!$H$33</f>
        <v>YES</v>
      </c>
      <c r="AM3" s="14" t="str">
        <f>'360 Form'!$H$34</f>
        <v>YES</v>
      </c>
      <c r="AN3" s="14" t="str">
        <f>'360 Form'!$H$35</f>
        <v>YES</v>
      </c>
      <c r="AO3" s="14" t="str">
        <f>'360 Form'!$H$36</f>
        <v>YES</v>
      </c>
      <c r="AP3" s="14" t="str">
        <f>'360 Form'!$H$37</f>
        <v>YES</v>
      </c>
      <c r="AQ3" s="14" t="str">
        <f>'360 Form'!$H$52</f>
        <v>YES</v>
      </c>
      <c r="AR3" s="14" t="str">
        <f>'360 Form'!$H$53</f>
        <v>YES</v>
      </c>
      <c r="AS3" s="14" t="str">
        <f>'360 Form'!$H$54</f>
        <v>YES</v>
      </c>
      <c r="AT3" s="14" t="str">
        <f>'360 Form'!$H$55</f>
        <v>YES</v>
      </c>
      <c r="AU3" s="14" t="str">
        <f>'360 Form'!$H$56</f>
        <v>YES</v>
      </c>
      <c r="AV3" s="14" t="str">
        <f>'360 Form'!$H$57</f>
        <v>YES</v>
      </c>
      <c r="AW3" s="14" t="str">
        <f>'360 Form'!$H$58</f>
        <v>YES</v>
      </c>
      <c r="AX3" s="14" t="str">
        <f>'360 Form'!$H$59</f>
        <v>YES</v>
      </c>
      <c r="AY3" s="14" t="str">
        <f>'360 Form'!$H$60</f>
        <v>YES</v>
      </c>
      <c r="AZ3" s="14" t="str">
        <f>'360 Form'!$H$61</f>
        <v>YES</v>
      </c>
      <c r="BA3" s="14" t="str">
        <f>'360 Form'!$H$62</f>
        <v>YES</v>
      </c>
      <c r="BB3" s="14" t="str">
        <f>'360 Form'!$H$63</f>
        <v>YES</v>
      </c>
      <c r="BC3" s="14" t="str">
        <f>'360 Form'!$H$64</f>
        <v>YES</v>
      </c>
      <c r="BD3" s="14" t="str">
        <f>'360 Form'!$H$68</f>
        <v>YES</v>
      </c>
      <c r="BE3" s="14" t="str">
        <f>'360 Form'!$H$69</f>
        <v>YES</v>
      </c>
      <c r="BF3" s="14" t="str">
        <f>'360 Form'!$H$70</f>
        <v>YES</v>
      </c>
      <c r="BG3" s="14" t="str">
        <f>'360 Form'!$H$71</f>
        <v>YES</v>
      </c>
      <c r="BH3" s="14" t="str">
        <f>'360 Form'!$H$72</f>
        <v>YES</v>
      </c>
      <c r="BI3" s="14" t="str">
        <f>'360 Form'!$H$73</f>
        <v>YES</v>
      </c>
      <c r="BJ3" s="14" t="str">
        <f>'360 Form'!$H$74</f>
        <v>YES</v>
      </c>
      <c r="BK3" s="14" t="str">
        <f>'360 Form'!$H$78</f>
        <v>YES</v>
      </c>
      <c r="BL3" s="14" t="str">
        <f>'360 Form'!$H$79</f>
        <v>YES</v>
      </c>
      <c r="BM3" s="14" t="str">
        <f>'360 Form'!$H$80</f>
        <v>YES</v>
      </c>
      <c r="BN3" s="14" t="str">
        <f>'360 Form'!$H$81</f>
        <v>YES</v>
      </c>
      <c r="BO3" s="14" t="str">
        <f>'360 Form'!$H$82</f>
        <v>YES</v>
      </c>
      <c r="BP3" s="14" t="str">
        <f>'360 Form'!$H$83</f>
        <v>YES</v>
      </c>
      <c r="BQ3" s="14" t="str">
        <f>'360 Form'!$H$84</f>
        <v>YES</v>
      </c>
      <c r="BR3" s="14" t="str">
        <f>'360 Form'!$H$85</f>
        <v>YES</v>
      </c>
      <c r="BS3" s="14" t="str">
        <f>'360 Form'!$I$28</f>
        <v>This is not applicable to this call. There was no callback initiated by the agent since it was not necessary.</v>
      </c>
      <c r="BT3" s="14" t="str">
        <f>'360 Form'!$I$29</f>
        <v xml:space="preserve">There were no confidential information related to credit card shared, stored and verbalised during the call. </v>
      </c>
      <c r="BU3" s="14" t="str">
        <f>'360 Form'!$I$30</f>
        <v>No opportunities were observed with case documentation and tagging accuracy. All relevant and applicable HappyFox fields were properly completed, including the necessary product details and issue categorization, reflecting compliance with documentation standards.</v>
      </c>
      <c r="BV3" s="14" t="str">
        <f>'360 Form'!$I$31</f>
        <v>There were no opportunities observed. All the applicable fields were accurately documented based on this transaction. This includes the customer's details and case notes documentation.</v>
      </c>
      <c r="BW3" s="14" t="str">
        <f>'360 Form'!$I$32</f>
        <v>There were no opportunities observed from this call. The concern is not related to sales.</v>
      </c>
      <c r="BX3" s="14" t="str">
        <f>'360 Form'!$I$33</f>
        <v>There were some grammar errors and informal language observed in the agent's responses. For example, phrases like "you can ignore them" and "I thought you don’t have that" could be phrased more formally. Additionally, some sentences were incomplete or lacked proper structure. However, the meaning was generally clear despite these issues.</v>
      </c>
      <c r="BY3" s="14" t="str">
        <f>'360 Form'!$I$34</f>
        <v>The agent demonstrated confidence and competence in their message delivery. They spoke clearly and fluently without any stammering, stuttering, or mumbling. The agent's tone was professional, and there is no indication that their accent negatively affected the customer's understanding. Overall, the communication was effective and contributed to a positive experience for the caller.</v>
      </c>
      <c r="BZ3" s="14" t="str">
        <f>'360 Form'!$I$35</f>
        <v>The agent consistently demonstrated politeness and professionalism throughout the interaction. They used respectful language, addressed the caller appropriately, and provided clear guidance while maintaining a supportive tone. The agent also expressed appreciation for the caller's patience and ensured they understood the setup process.</v>
      </c>
      <c r="CA3" s="14" t="str">
        <f>'360 Form'!$I$36</f>
        <v>The agent generally adhered to standards in follow-through and provided appropriate guidance throughout the interaction. He effectively guided the caller through the setup process and addressed concerns about the product. However, there were a few minor clarity gaps, particularly in the technical explanations regarding the node statuses and the setup process. There was no mention of RMA/refund disclosure or specific product safety guidelines in the conversation, so it’s unclear if those standards were addressed. Overall, the agent maintained a supportive approach while providing assistance.</v>
      </c>
      <c r="CB3" s="14" t="str">
        <f>'360 Form'!$I$37</f>
        <v>The agent displayed competence in troubleshooting while assisting the caller with the issue. He provided clear instructions on how to check the node statuses, reset devices, and relocate them for optimal performance. The agent effectively guided the caller through the troubleshooting steps and explained the reasoning behind each action, which helped in resolving the connectivity issues. His knowledge of the product and troubleshooting process contributed to a successful outcome.</v>
      </c>
      <c r="CC3" s="14">
        <f>'360 Form'!$I$52</f>
        <v>0</v>
      </c>
      <c r="CD3" s="14">
        <f>'360 Form'!$I$53</f>
        <v>0</v>
      </c>
      <c r="CE3" s="14">
        <f>'360 Form'!$I$54</f>
        <v>0</v>
      </c>
      <c r="CF3" s="14">
        <f>'360 Form'!$I$55</f>
        <v>0</v>
      </c>
      <c r="CG3" s="14">
        <f>'360 Form'!$I$56</f>
        <v>0</v>
      </c>
      <c r="CH3" s="14">
        <f>'360 Form'!$I$57</f>
        <v>0</v>
      </c>
      <c r="CI3" s="14">
        <f>'360 Form'!$I$58</f>
        <v>0</v>
      </c>
      <c r="CJ3" s="14">
        <f>'360 Form'!$I$59</f>
        <v>0</v>
      </c>
      <c r="CK3" s="14">
        <f>'360 Form'!$I$60</f>
        <v>0</v>
      </c>
      <c r="CL3" s="14">
        <f>'360 Form'!$I$61</f>
        <v>0</v>
      </c>
      <c r="CM3" s="14">
        <f>'360 Form'!$I$62</f>
        <v>0</v>
      </c>
      <c r="CN3" s="14">
        <f>'360 Form'!$I$63</f>
        <v>0</v>
      </c>
      <c r="CO3" s="14">
        <f>'360 Form'!$I$64</f>
        <v>0</v>
      </c>
      <c r="CP3" s="14">
        <f>'360 Form'!$I$68</f>
        <v>0</v>
      </c>
      <c r="CQ3" s="14">
        <f>'360 Form'!$I$69</f>
        <v>0</v>
      </c>
      <c r="CR3" s="14">
        <f>'360 Form'!$I$70</f>
        <v>0</v>
      </c>
      <c r="CS3" s="14">
        <f>'360 Form'!$I$71</f>
        <v>0</v>
      </c>
      <c r="CT3" s="14">
        <f>'360 Form'!$I$72</f>
        <v>0</v>
      </c>
      <c r="CU3" s="14">
        <f>'360 Form'!$I$73</f>
        <v>0</v>
      </c>
      <c r="CV3" s="14">
        <f>'360 Form'!$I$74</f>
        <v>0</v>
      </c>
      <c r="CW3" s="14">
        <f>'360 Form'!$I$78</f>
        <v>0</v>
      </c>
      <c r="CX3" s="14">
        <f>'360 Form'!$I$79</f>
        <v>0</v>
      </c>
      <c r="CY3" s="14">
        <f>'360 Form'!$I$80</f>
        <v>0</v>
      </c>
      <c r="CZ3" s="14">
        <f>'360 Form'!$I$81</f>
        <v>0</v>
      </c>
      <c r="DA3" s="14">
        <f>'360 Form'!$I$82</f>
        <v>0</v>
      </c>
      <c r="DB3" s="14">
        <f>'360 Form'!$I$83</f>
        <v>0</v>
      </c>
      <c r="DC3" s="14">
        <f>'360 Form'!$I$84</f>
        <v>0</v>
      </c>
      <c r="DD3" s="14">
        <f>'360 Form'!$I$85</f>
        <v>0</v>
      </c>
      <c r="DE3" s="14">
        <f>'360 Form'!$H$38</f>
        <v>0</v>
      </c>
      <c r="DF3" s="14">
        <f>'360 Form'!$H$39</f>
        <v>0</v>
      </c>
      <c r="DG3" s="14">
        <f>'360 Form'!$H$40</f>
        <v>0</v>
      </c>
      <c r="DH3" s="14">
        <f>'360 Form'!$H$41</f>
        <v>0</v>
      </c>
      <c r="DI3" s="14">
        <f>'360 Form'!$H$42</f>
        <v>0</v>
      </c>
      <c r="DJ3" s="14">
        <f>'360 Form'!$H$43</f>
        <v>0</v>
      </c>
      <c r="DK3" s="14">
        <f>'360 Form'!$H$44</f>
        <v>0</v>
      </c>
      <c r="DL3" s="14">
        <f>'360 Form'!$H$45</f>
        <v>0</v>
      </c>
      <c r="DM3" s="14">
        <f>'360 Form'!$H$46</f>
        <v>0</v>
      </c>
      <c r="DN3" s="14">
        <f>'360 Form'!$H$47</f>
        <v>0</v>
      </c>
      <c r="DO3" s="14">
        <f>'360 Form'!$H$48</f>
        <v>0</v>
      </c>
      <c r="DP3" s="14">
        <f>'360 Form'!$I$38</f>
        <v>0</v>
      </c>
      <c r="DQ3" s="14">
        <f>'360 Form'!$I$39</f>
        <v>0</v>
      </c>
      <c r="DR3" s="14">
        <f>'360 Form'!$I$40</f>
        <v>0</v>
      </c>
      <c r="DS3" s="14">
        <f>'360 Form'!$I$41</f>
        <v>0</v>
      </c>
      <c r="DT3" s="14">
        <f>'360 Form'!$I$42</f>
        <v>0</v>
      </c>
      <c r="DU3" s="14">
        <f>'360 Form'!$I$43</f>
        <v>0</v>
      </c>
      <c r="DV3" s="14">
        <f>'360 Form'!$I$44</f>
        <v>0</v>
      </c>
      <c r="DW3" s="14">
        <f>'360 Form'!$I$45</f>
        <v>0</v>
      </c>
      <c r="DX3" s="14">
        <f>'360 Form'!$I$46</f>
        <v>0</v>
      </c>
      <c r="DY3" s="14">
        <f>'360 Form'!$I$47</f>
        <v>0</v>
      </c>
      <c r="DZ3" s="14">
        <f>'360 Form'!$I$48</f>
        <v>0</v>
      </c>
      <c r="EA3" s="182">
        <f>IFERROR(SUM('360 Form'!$G$28:$G$31)/SUM('360 Form'!$F$28:$F$31),"NA")</f>
        <v>1</v>
      </c>
      <c r="EB3" s="14">
        <f>IFERROR('360 Form'!$G$32/'360 Form'!$F$32,"NA")</f>
        <v>1</v>
      </c>
      <c r="EC3" s="14">
        <f>IFERROR(SUM('360 Form'!$G$33:$G$34)/SUM('360 Form'!$F$33:$F$34),"NA")</f>
        <v>1</v>
      </c>
      <c r="ED3" s="14">
        <f>IFERROR('360 Form'!$G$35/'360 Form'!$F$35,"NA")</f>
        <v>1</v>
      </c>
      <c r="EE3" s="14">
        <f>IFERROR(SUM('360 Form'!$G$36:$G$37)/SUM('360 Form'!$F$36:$F$37),"NA")</f>
        <v>1</v>
      </c>
      <c r="EF3" s="14">
        <f>IFERROR(COUNTIF('360 Form'!$H$52:$H$53,"YES")/COUNTIF('360 Form'!$H$52:$H$53,"&lt;&gt;N/A"),"NA")</f>
        <v>1</v>
      </c>
      <c r="EG3" s="14">
        <f>IFERROR(COUNTIF('360 Form'!$H$54:$H$59,"YES")/COUNTIF('360 Form'!$H$54:$H$59,"&lt;&gt;N/A"),"NA")</f>
        <v>1</v>
      </c>
      <c r="EH3" s="14">
        <f>IFERROR(COUNTIF('360 Form'!$H$60:$H$61,"YES")/COUNTIF('360 Form'!$H$60:$H$61,"&lt;&gt;N/A"),"NA")</f>
        <v>1</v>
      </c>
      <c r="EI3" s="14">
        <f>IFERROR(COUNTIF('360 Form'!$H$62:$H$63,"YES")/COUNTIF('360 Form'!$H$62:$H$63,"&lt;&gt;N/A"),"NA")</f>
        <v>1</v>
      </c>
      <c r="EJ3" s="182">
        <f>IF('360 Form'!$H$64="YES",100%,IF('360 Form'!$H$64="NO",0%,"NA"))</f>
        <v>1</v>
      </c>
      <c r="EK3" s="14">
        <f>IFERROR(COUNTIF('360 Form'!$H$68:$H$71,"YES")/COUNTIF('360 Form'!$H$68:$H$71,"&lt;&gt;N/A"),"NA")</f>
        <v>1</v>
      </c>
      <c r="EL3" s="14">
        <f>IFERROR(COUNTIF('360 Form'!$H$72:$H$73,"YES")/COUNTIF('360 Form'!$H$72:$H$73,"&lt;&gt;N/A"),"NA")</f>
        <v>1</v>
      </c>
      <c r="EM3" s="182">
        <f>IF('360 Form'!$H$74="YES",100%,IF('360 Form'!$H$74="NO",0%,"NA"))</f>
        <v>1</v>
      </c>
      <c r="EN3" s="14">
        <f>IFERROR(COUNTIF('360 Form'!$H$78:$H$80,"YES")/COUNTIF('360 Form'!$H$78:$H$80,"&lt;&gt;N/A"),"NA")</f>
        <v>1</v>
      </c>
      <c r="EO3" s="14">
        <f>IFERROR(COUNTIF('360 Form'!$H$81:$H$85,"YES")/COUNTIF('360 Form'!$H$81:$H$85,"&lt;&gt;N/A"),"NA")</f>
        <v>1</v>
      </c>
    </row>
  </sheetData>
  <mergeCells count="40">
    <mergeCell ref="BS1:CB1"/>
    <mergeCell ref="A1:AF1"/>
    <mergeCell ref="AG1:AP1"/>
    <mergeCell ref="AQ1:BC1"/>
    <mergeCell ref="BD1:BJ1"/>
    <mergeCell ref="BK1:BR1"/>
    <mergeCell ref="GP1:IB1"/>
    <mergeCell ref="CC1:CO1"/>
    <mergeCell ref="CP1:CV1"/>
    <mergeCell ref="CW1:DD1"/>
    <mergeCell ref="DE1:DO1"/>
    <mergeCell ref="DP1:DZ1"/>
    <mergeCell ref="EA1:EO1"/>
    <mergeCell ref="EQ1:ES1"/>
    <mergeCell ref="ET1:FQ1"/>
    <mergeCell ref="FR1:GG1"/>
    <mergeCell ref="GI1:GJ1"/>
    <mergeCell ref="GK1:GM1"/>
    <mergeCell ref="LB1:LH1"/>
    <mergeCell ref="IJ1:IP1"/>
    <mergeCell ref="IQ1:IT1"/>
    <mergeCell ref="IU1:JL1"/>
    <mergeCell ref="JN1:JO1"/>
    <mergeCell ref="JP1:JY1"/>
    <mergeCell ref="JZ1:KB1"/>
    <mergeCell ref="KC1:KE1"/>
    <mergeCell ref="KF1:KN1"/>
    <mergeCell ref="KP1:KQ1"/>
    <mergeCell ref="KU1:KW1"/>
    <mergeCell ref="KX1:KY1"/>
    <mergeCell ref="NP1:NT1"/>
    <mergeCell ref="NU1:NZ1"/>
    <mergeCell ref="OC1:OG1"/>
    <mergeCell ref="OH1:PN1"/>
    <mergeCell ref="LI1:LL1"/>
    <mergeCell ref="LM1:LS1"/>
    <mergeCell ref="MG1:MS1"/>
    <mergeCell ref="MT1:MZ1"/>
    <mergeCell ref="NA1:NJ1"/>
    <mergeCell ref="NL1:NN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2</DocSecurity>
  <ScaleCrop>false</ScaleCrop>
  <HeadingPairs>
    <vt:vector size="2" baseType="variant">
      <vt:variant>
        <vt:lpstr>Worksheets</vt:lpstr>
      </vt:variant>
      <vt:variant>
        <vt:i4>4</vt:i4>
      </vt:variant>
    </vt:vector>
  </HeadingPairs>
  <TitlesOfParts>
    <vt:vector size="4" baseType="lpstr">
      <vt:lpstr>Chat Transcript</vt:lpstr>
      <vt:lpstr>Source</vt:lpstr>
      <vt:lpstr>360 Form</vt:lpstr>
      <vt:lpstr>Scan</vt:lpstr>
    </vt:vector>
  </TitlesOfParts>
  <Company>Hewlett-Packard Company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 Sullivan</dc:creator>
  <cp:lastModifiedBy>Argie Gucor</cp:lastModifiedBy>
  <cp:lastPrinted>2017-05-29T04:30:23Z</cp:lastPrinted>
  <dcterms:created xsi:type="dcterms:W3CDTF">2015-10-12T10:40:46Z</dcterms:created>
  <dcterms:modified xsi:type="dcterms:W3CDTF">2026-06-15T02:35:03Z</dcterms:modified>
</cp:coreProperties>
</file>