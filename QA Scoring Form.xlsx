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b val="1"/>
      <color rgb="00FFFFFF"/>
      <sz val="16"/>
    </font>
    <font>
      <i val="1"/>
      <color rgb="00FFFFFF"/>
      <sz val="10"/>
    </font>
    <font>
      <b val="1"/>
      <color rgb="00FFFFFF"/>
    </font>
    <font>
      <b val="1"/>
      <color rgb="001F3864"/>
    </font>
    <font>
      <color rgb="00000000"/>
    </font>
    <font>
      <i val="1"/>
      <color rgb="001F3864"/>
    </font>
    <font>
      <b val="1"/>
      <color rgb="00000000"/>
    </font>
    <font>
      <i val="1"/>
      <color rgb="00595959"/>
      <sz val="9"/>
    </font>
    <font>
      <b val="1"/>
      <color rgb="00000000"/>
      <sz val="12"/>
    </font>
    <font>
      <i val="1"/>
      <color rgb="00595959"/>
    </font>
    <font>
      <b val="1"/>
      <color rgb="00FFFFFF"/>
      <sz val="13"/>
    </font>
    <font>
      <b val="1"/>
      <color rgb="00006100"/>
    </font>
    <font>
      <color rgb="00006100"/>
    </font>
    <font>
      <b val="1"/>
      <color rgb="009C6500"/>
    </font>
    <font>
      <color rgb="009C6500"/>
    </font>
    <font>
      <b val="1"/>
      <color rgb="009C0006"/>
    </font>
    <font>
      <color rgb="009C0006"/>
    </font>
    <font>
      <b val="1"/>
      <color rgb="00FFFFFF"/>
      <sz val="12"/>
    </font>
    <font>
      <i val="1"/>
      <color rgb="00FFFFFF"/>
    </font>
    <font>
      <b val="1"/>
      <color rgb="00595959"/>
      <sz val="11"/>
    </font>
    <font>
      <b val="1"/>
      <color rgb="009C0006"/>
      <sz val="48"/>
    </font>
    <font>
      <b val="1"/>
      <color rgb="009C0006"/>
      <sz val="22"/>
    </font>
    <font>
      <b val="1"/>
      <color rgb="009C0006"/>
      <sz val="16"/>
    </font>
    <font>
      <b val="1"/>
      <color rgb="00FFFFFF"/>
      <sz val="10"/>
    </font>
    <font>
      <b val="1"/>
      <color rgb="001F3864"/>
      <sz val="13"/>
    </font>
    <font>
      <i val="1"/>
      <color rgb="001F3864"/>
      <sz val="11"/>
    </font>
  </fonts>
  <fills count="13">
    <fill>
      <patternFill/>
    </fill>
    <fill>
      <patternFill patternType="gray125"/>
    </fill>
    <fill>
      <patternFill patternType="solid">
        <fgColor rgb="001F3864"/>
      </patternFill>
    </fill>
    <fill>
      <patternFill patternType="solid">
        <fgColor rgb="002E5496"/>
      </patternFill>
    </fill>
    <fill>
      <patternFill patternType="solid">
        <fgColor rgb="00D9E1F2"/>
      </patternFill>
    </fill>
    <fill>
      <patternFill patternType="solid">
        <fgColor rgb="00FFF2CC"/>
      </patternFill>
    </fill>
    <fill>
      <patternFill patternType="solid">
        <fgColor rgb="00EAF0FB"/>
      </patternFill>
    </fill>
    <fill>
      <patternFill patternType="solid">
        <fgColor rgb="00FFFFFF"/>
      </patternFill>
    </fill>
    <fill>
      <patternFill patternType="solid">
        <fgColor rgb="00F2F2F2"/>
      </patternFill>
    </fill>
    <fill>
      <patternFill patternType="solid">
        <fgColor rgb="00C00000"/>
      </patternFill>
    </fill>
    <fill>
      <patternFill patternType="solid">
        <fgColor rgb="00C6EFCE"/>
      </patternFill>
    </fill>
    <fill>
      <patternFill patternType="solid">
        <fgColor rgb="00FFEB9C"/>
      </patternFill>
    </fill>
    <fill>
      <patternFill patternType="solid">
        <fgColor rgb="00FFC7CE"/>
      </patternFill>
    </fill>
  </fills>
  <borders count="12">
    <border>
      <left/>
      <right/>
      <top/>
      <bottom/>
      <diagonal/>
    </border>
    <border>
      <left style="medium">
        <color rgb="00808080"/>
      </left>
      <right style="medium">
        <color rgb="00808080"/>
      </right>
      <top style="medium">
        <color rgb="00808080"/>
      </top>
      <bottom style="medium">
        <color rgb="00808080"/>
      </bottom>
    </border>
    <border>
      <left style="thin">
        <color rgb="00BFBFBF"/>
      </left>
      <right style="thin">
        <color rgb="00BFBFBF"/>
      </right>
      <top style="thin">
        <color rgb="00BFBFBF"/>
      </top>
      <bottom style="thin">
        <color rgb="00BFBFBF"/>
      </bottom>
    </border>
    <border>
      <left/>
      <right/>
      <top style="medium">
        <color rgb="00808080"/>
      </top>
      <bottom/>
      <diagonal/>
    </border>
    <border>
      <left/>
      <right style="medium">
        <color rgb="00808080"/>
      </right>
      <top style="medium">
        <color rgb="00808080"/>
      </top>
      <bottom/>
      <diagonal/>
    </border>
    <border>
      <left/>
      <right/>
      <top style="medium">
        <color rgb="00808080"/>
      </top>
      <bottom style="medium">
        <color rgb="00808080"/>
      </bottom>
      <diagonal/>
    </border>
    <border>
      <left/>
      <right style="medium">
        <color rgb="00808080"/>
      </right>
      <top style="medium">
        <color rgb="00808080"/>
      </top>
      <bottom style="medium">
        <color rgb="00808080"/>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ck">
        <color rgb="001F3864"/>
      </left>
      <right style="thick">
        <color rgb="001F3864"/>
      </right>
      <top style="thick">
        <color rgb="001F3864"/>
      </top>
      <bottom style="thick">
        <color rgb="001F3864"/>
      </bottom>
    </border>
  </borders>
  <cellStyleXfs count="1">
    <xf numFmtId="0" fontId="0" fillId="0" borderId="0"/>
  </cellStyleXfs>
  <cellXfs count="125">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5" fillId="5"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6" fillId="6" borderId="2" applyAlignment="1" pivotButton="0" quotePrefix="0" xfId="0">
      <alignment horizontal="left" vertical="center" wrapText="1"/>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7"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0" fillId="6" borderId="2" pivotButton="0" quotePrefix="0" xfId="0"/>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10" fillId="6" borderId="2" applyAlignment="1" pivotButton="0" quotePrefix="0" xfId="0">
      <alignment horizontal="left" vertical="center" wrapText="1"/>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7" fillId="5" borderId="2" applyAlignment="1" pivotButton="0" quotePrefix="0" xfId="0">
      <alignment horizontal="left" vertical="center"/>
    </xf>
    <xf numFmtId="0" fontId="7" fillId="8" borderId="2" applyAlignment="1" pivotButton="0" quotePrefix="0" xfId="0">
      <alignment horizontal="left" vertical="center" wrapText="1"/>
    </xf>
    <xf numFmtId="0" fontId="3" fillId="9" borderId="1" applyAlignment="1" pivotButton="0" quotePrefix="0" xfId="0">
      <alignment horizontal="left" vertical="center"/>
    </xf>
    <xf numFmtId="0" fontId="7" fillId="8"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3" fillId="10" borderId="2" applyAlignment="1" pivotButton="0" quotePrefix="0" xfId="0">
      <alignment horizontal="left" vertical="center" wrapText="1"/>
    </xf>
    <xf numFmtId="0" fontId="14" fillId="11" borderId="2" applyAlignment="1" pivotButton="0" quotePrefix="0" xfId="0">
      <alignment horizontal="center" vertical="center"/>
    </xf>
    <xf numFmtId="0" fontId="15" fillId="11" borderId="2" applyAlignment="1" pivotButton="0" quotePrefix="0" xfId="0">
      <alignment horizontal="left" vertical="center" wrapText="1"/>
    </xf>
    <xf numFmtId="0" fontId="16" fillId="12" borderId="2" applyAlignment="1" pivotButton="0" quotePrefix="0" xfId="0">
      <alignment horizontal="center" vertical="center"/>
    </xf>
    <xf numFmtId="0" fontId="17" fillId="12" borderId="2" applyAlignment="1" pivotButton="0" quotePrefix="0" xfId="0">
      <alignment horizontal="left" vertical="center" wrapText="1"/>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0" fillId="0" borderId="5" pivotButton="0" quotePrefix="0" xfId="0"/>
    <xf numFmtId="0" fontId="0" fillId="0" borderId="6" pivotButton="0" quotePrefix="0" xfId="0"/>
    <xf numFmtId="0" fontId="0" fillId="0" borderId="10" pivotButton="0" quotePrefix="0" xfId="0"/>
    <xf numFmtId="0" fontId="0" fillId="0" borderId="9" pivotButton="0" quotePrefix="0" xfId="0"/>
    <xf numFmtId="0" fontId="3" fillId="3" borderId="1" applyAlignment="1" pivotButton="0" quotePrefix="0" xfId="0">
      <alignment horizontal="left" vertical="center"/>
    </xf>
    <xf numFmtId="0" fontId="4" fillId="6" borderId="2" applyAlignment="1" pivotButton="0" quotePrefix="0" xfId="0">
      <alignment horizontal="left" vertical="center"/>
    </xf>
    <xf numFmtId="0" fontId="11" fillId="2"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4" fillId="8" borderId="2" applyAlignment="1" pivotButton="0" quotePrefix="0" xfId="0">
      <alignment horizontal="left" vertical="center" wrapText="1"/>
    </xf>
    <xf numFmtId="0" fontId="5" fillId="8" borderId="2" applyAlignment="1" pivotButton="0" quotePrefix="0" xfId="0">
      <alignment horizontal="center" vertical="center"/>
    </xf>
    <xf numFmtId="165" fontId="5" fillId="8" borderId="2" applyAlignment="1" pivotButton="0" quotePrefix="0" xfId="0">
      <alignment horizontal="center" vertical="center"/>
    </xf>
    <xf numFmtId="0" fontId="7" fillId="5" borderId="2" applyAlignment="1" pivotButton="0" quotePrefix="0" xfId="0">
      <alignment horizontal="center" vertical="center"/>
    </xf>
    <xf numFmtId="165" fontId="9" fillId="8" borderId="2" applyAlignment="1" pivotButton="0" quotePrefix="0" xfId="0">
      <alignment horizontal="center" vertical="center"/>
    </xf>
    <xf numFmtId="0" fontId="5" fillId="5" borderId="2" applyAlignment="1" pivotButton="0" quotePrefix="0" xfId="0">
      <alignment horizontal="left" vertical="center"/>
    </xf>
    <xf numFmtId="0" fontId="5" fillId="7" borderId="2" applyAlignment="1" pivotButton="0" quotePrefix="0" xfId="0">
      <alignment horizontal="center" vertical="center"/>
    </xf>
    <xf numFmtId="165" fontId="5" fillId="7" borderId="2" applyAlignment="1" pivotButton="0" quotePrefix="0" xfId="0">
      <alignment horizontal="center" vertical="center"/>
    </xf>
    <xf numFmtId="165" fontId="9" fillId="7" borderId="2" applyAlignment="1" pivotButton="0" quotePrefix="0" xfId="0">
      <alignment horizontal="center" vertical="center"/>
    </xf>
    <xf numFmtId="0" fontId="1" fillId="2" borderId="1" applyAlignment="1" pivotButton="0" quotePrefix="0" xfId="0">
      <alignment horizontal="center" vertical="top"/>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3" fillId="9"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3" borderId="1" applyAlignment="1" pivotButton="0" quotePrefix="0" xfId="0">
      <alignment horizontal="left" vertical="top"/>
    </xf>
    <xf numFmtId="0" fontId="3" fillId="9" borderId="1" applyAlignment="1" pivotButton="0" quotePrefix="0" xfId="0">
      <alignment horizontal="left" vertical="top"/>
    </xf>
    <xf numFmtId="0" fontId="16" fillId="12" borderId="1" applyAlignment="1" pivotButton="0" quotePrefix="0" xfId="0">
      <alignment horizontal="left" vertical="top" wrapText="1"/>
    </xf>
    <xf numFmtId="0" fontId="6" fillId="6" borderId="2" applyAlignment="1" pivotButton="0" quotePrefix="0" xfId="0">
      <alignment horizontal="left" vertical="top" wrapText="1"/>
    </xf>
    <xf numFmtId="0" fontId="3" fillId="3" borderId="1" applyAlignment="1" pivotButton="0" quotePrefix="0" xfId="0">
      <alignment horizontal="center" vertical="top"/>
    </xf>
    <xf numFmtId="2" fontId="9" fillId="7" borderId="2" applyAlignment="1" pivotButton="0" quotePrefix="0" xfId="0">
      <alignment horizontal="center" vertical="top"/>
    </xf>
    <xf numFmtId="2" fontId="9" fillId="8" borderId="2" applyAlignment="1" pivotButton="0" quotePrefix="0" xfId="0">
      <alignment horizontal="center" vertical="top"/>
    </xf>
    <xf numFmtId="0" fontId="4" fillId="7" borderId="2" applyAlignment="1" pivotButton="0" quotePrefix="0" xfId="0">
      <alignment horizontal="left" vertical="top"/>
    </xf>
    <xf numFmtId="0" fontId="4" fillId="8" borderId="2" applyAlignment="1" pivotButton="0" quotePrefix="0" xfId="0">
      <alignment horizontal="left" vertical="top"/>
    </xf>
    <xf numFmtId="0" fontId="1" fillId="2" borderId="1" applyAlignment="1" pivotButton="0" quotePrefix="0" xfId="0">
      <alignment horizontal="center" vertical="center"/>
    </xf>
    <xf numFmtId="0" fontId="2" fillId="2" borderId="1" applyAlignment="1" pivotButton="0" quotePrefix="0" xfId="0">
      <alignment horizontal="center" vertical="center" wrapText="1"/>
    </xf>
    <xf numFmtId="0" fontId="18" fillId="2" borderId="11" applyAlignment="1" pivotButton="0" quotePrefix="0" xfId="0">
      <alignment horizontal="center" vertical="center"/>
    </xf>
    <xf numFmtId="0" fontId="20" fillId="7" borderId="11" applyAlignment="1" pivotButton="0" quotePrefix="0" xfId="0">
      <alignment horizontal="center" vertical="top"/>
    </xf>
    <xf numFmtId="9" fontId="21" fillId="7" borderId="11" applyAlignment="1" pivotButton="0" quotePrefix="0" xfId="0">
      <alignment horizontal="center" vertical="center"/>
    </xf>
    <xf numFmtId="0" fontId="22" fillId="7" borderId="11" applyAlignment="1" pivotButton="0" quotePrefix="0" xfId="0">
      <alignment horizontal="center" vertical="center"/>
    </xf>
    <xf numFmtId="0" fontId="23" fillId="7" borderId="11" applyAlignment="1" pivotButton="0" quotePrefix="0" xfId="0">
      <alignment horizontal="center" vertical="center" wrapText="1"/>
    </xf>
    <xf numFmtId="0" fontId="24" fillId="3" borderId="11" applyAlignment="1" pivotButton="0" quotePrefix="0" xfId="0">
      <alignment horizontal="center" vertical="center" wrapText="1"/>
    </xf>
    <xf numFmtId="0" fontId="25" fillId="6" borderId="11" applyAlignment="1" pivotButton="0" quotePrefix="0" xfId="0">
      <alignment horizontal="center" vertical="center" wrapText="1"/>
    </xf>
    <xf numFmtId="0" fontId="25" fillId="6" borderId="11" applyAlignment="1" pivotButton="0" quotePrefix="0" xfId="0">
      <alignment horizontal="center" vertical="center"/>
    </xf>
    <xf numFmtId="0" fontId="26" fillId="7" borderId="11" applyAlignment="1" pivotButton="0" quotePrefix="0" xfId="0">
      <alignment horizontal="center" vertical="center" wrapText="1"/>
    </xf>
    <xf numFmtId="0" fontId="8" fillId="8" borderId="2" applyAlignment="1" pivotButton="0" quotePrefix="0" xfId="0">
      <alignment horizontal="center" vertical="center" wrapText="1"/>
    </xf>
    <xf numFmtId="0" fontId="3" fillId="3" borderId="1" applyAlignment="1" pivotButton="0" quotePrefix="0" xfId="0">
      <alignment horizontal="left" vertical="center"/>
    </xf>
    <xf numFmtId="0" fontId="16" fillId="12" borderId="1" applyAlignment="1" pivotButton="0" quotePrefix="0" xfId="0">
      <alignment horizontal="left" vertical="center" wrapText="1"/>
    </xf>
    <xf numFmtId="0" fontId="3" fillId="3" borderId="1"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top"/>
    </xf>
    <xf numFmtId="0" fontId="4" fillId="8" borderId="2" applyAlignment="1" pivotButton="0" quotePrefix="0" xfId="0">
      <alignment horizontal="left" vertical="top"/>
    </xf>
    <xf numFmtId="0" fontId="18" fillId="9" borderId="1" applyAlignment="1" pivotButton="0" quotePrefix="0" xfId="0">
      <alignment horizontal="center" vertical="center"/>
    </xf>
  </cellXfs>
  <cellStyles count="1">
    <cellStyle name="Normal" xfId="0" builtinId="0" hidden="0"/>
  </cellStyles>
  <dxfs count="17">
    <dxf>
      <font>
        <b val="1"/>
        <color rgb="00006100"/>
      </font>
      <fill>
        <patternFill patternType="solid">
          <fgColor rgb="00C6EFCE"/>
        </patternFill>
      </fill>
    </dxf>
    <dxf>
      <font>
        <b val="1"/>
        <color rgb="009C6500"/>
      </font>
      <fill>
        <patternFill patternType="solid">
          <fgColor rgb="00FFEB9C"/>
        </patternFill>
      </fill>
    </dxf>
    <dxf>
      <font>
        <b val="1"/>
        <color rgb="009C0006"/>
      </font>
      <fill>
        <patternFill patternType="solid">
          <fgColor rgb="00FFC7CE"/>
        </patternFill>
      </fill>
    </dxf>
    <dxf>
      <font>
        <b val="1"/>
        <color rgb="00006100"/>
        <sz val="13"/>
      </font>
      <fill>
        <patternFill patternType="solid">
          <fgColor rgb="00C6EFCE"/>
        </patternFill>
      </fill>
    </dxf>
    <dxf>
      <font>
        <b val="1"/>
        <color rgb="009C6500"/>
        <sz val="13"/>
      </font>
      <fill>
        <patternFill patternType="solid">
          <fgColor rgb="00FFEB9C"/>
        </patternFill>
      </fill>
    </dxf>
    <dxf>
      <font>
        <b val="1"/>
        <color rgb="009C0006"/>
        <sz val="13"/>
      </font>
      <fill>
        <patternFill patternType="solid">
          <fgColor rgb="00FFC7CE"/>
        </patternFill>
      </fill>
    </dxf>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
      <font>
        <b val="1"/>
        <color rgb="00006100"/>
        <sz val="48"/>
      </font>
      <fill>
        <patternFill patternType="solid">
          <fgColor rgb="00C6EFCE"/>
        </patternFill>
      </fill>
    </dxf>
    <dxf>
      <font>
        <b val="1"/>
        <color rgb="009C6500"/>
        <sz val="48"/>
      </font>
      <fill>
        <patternFill patternType="solid">
          <fgColor rgb="00FFEB9C"/>
        </patternFill>
      </fill>
    </dxf>
    <dxf>
      <font>
        <b val="1"/>
        <color rgb="009C0006"/>
        <sz val="48"/>
      </font>
      <fill>
        <patternFill patternType="solid">
          <fgColor rgb="00FFC7CE"/>
        </patternFill>
      </fill>
    </dxf>
    <dxf>
      <font>
        <b val="1"/>
        <color rgb="00006100"/>
        <sz val="22"/>
      </font>
      <fill>
        <patternFill patternType="solid">
          <fgColor rgb="00C6EFCE"/>
        </patternFill>
      </fill>
    </dxf>
    <dxf>
      <font>
        <b val="1"/>
        <color rgb="00FFFFFF"/>
        <sz val="12"/>
      </font>
      <fill>
        <patternFill patternType="solid">
          <fgColor rgb="00006100"/>
        </patternFill>
      </fill>
    </dxf>
    <dxf>
      <font>
        <b val="1"/>
        <color rgb="00FFFFFF"/>
        <sz val="12"/>
      </font>
      <fill>
        <patternFill patternType="solid">
          <fgColor rgb="002E7D32"/>
        </patternFill>
      </fill>
    </dxf>
    <dxf>
      <font>
        <b val="1"/>
        <color rgb="00FFFFFF"/>
        <sz val="12"/>
      </font>
      <fill>
        <patternFill patternType="solid">
          <fgColor rgb="00B7950B"/>
        </patternFill>
      </fill>
    </dxf>
    <dxf>
      <font>
        <b val="1"/>
        <color rgb="00FFFFFF"/>
        <sz val="12"/>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05" customWidth="1" min="3" max="3"/>
  </cols>
  <sheetData>
    <row r="1" ht="28" customHeight="1">
      <c r="B1" s="94" t="inlineStr">
        <is>
          <t>QA SCORING WORKBOOK — QUICK START GUIDE</t>
        </is>
      </c>
      <c r="C1" s="68" t="n"/>
    </row>
    <row r="2" ht="30" customHeight="1">
      <c r="B2" s="86" t="inlineStr">
        <is>
          <t>Resolution-focused coaching QA: one form per interaction, evidence-based indicator ratings, weighted 0-5 scoring, journey-level tracking and TEAM scoring for multi-touch cases. Yellow cells are YOUR inputs — everything else calculates or is reference.</t>
        </is>
      </c>
      <c r="C2" s="68" t="n"/>
    </row>
    <row r="4">
      <c r="B4" s="95" t="inlineStr">
        <is>
          <t>1 · THE WORKING SHEETS</t>
        </is>
      </c>
      <c r="C4" s="68" t="n"/>
    </row>
    <row r="5" ht="44" customHeight="1">
      <c r="B5" s="88" t="inlineStr">
        <is>
          <t>Scoring Form</t>
        </is>
      </c>
      <c r="C5" s="89" t="inlineStr">
        <is>
          <t>The blank form you fill for EVERY interaction you review. Make a copy of this sheet per review (right-click tab → Move or Copy → Create a copy) so the master stays blank.</t>
        </is>
      </c>
    </row>
    <row r="6" ht="44" customHeight="1">
      <c r="B6" s="90" t="inlineStr">
        <is>
          <t>Scoring Guide</t>
        </is>
      </c>
      <c r="C6" s="91" t="inlineStr">
        <is>
          <t>Reference: how-to steps, the 0-5 score anchors, what Met/Partial/Missed/N.A. mean, category objectives and watch-fors, and the result bands. Read once before your first review; return whenever unsure.</t>
        </is>
      </c>
    </row>
    <row r="7" ht="44" customHeight="1">
      <c r="B7" s="88" t="inlineStr">
        <is>
          <t>Multi-Touch Guide</t>
        </is>
      </c>
      <c r="C7" s="89" t="inlineStr">
        <is>
          <t>Rules for cases handled by multiple agents: how to score each touch fairly, who owns handoff failures, plus a full real-case walkthrough (the Stell journey) showing where a support chain broke and recovered.</t>
        </is>
      </c>
    </row>
    <row r="8" ht="44" customHeight="1">
      <c r="B8" s="90" t="inlineStr">
        <is>
          <t>Team Scoring</t>
        </is>
      </c>
      <c r="C8" s="91"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88" t="inlineStr">
        <is>
          <t>Example (Filled)</t>
        </is>
      </c>
      <c r="C9" s="89"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90" t="inlineStr">
        <is>
          <t>Case Tracker</t>
        </is>
      </c>
      <c r="C10" s="91" t="inlineStr">
        <is>
          <t>The log. One row per reviewed touch (date, agent, 7 scores, auto weighted % and band). Reuse a Case ID across rows for multi-touch journeys. Team Average at row 51; Team/Journey Scores section at row 53.</t>
        </is>
      </c>
    </row>
    <row r="12">
      <c r="B12" s="95" t="inlineStr">
        <is>
          <t>2 · HOW TO SCORE ONE INTERACTION (Scoring Form, ~15 min)</t>
        </is>
      </c>
      <c r="C12" s="68" t="n"/>
    </row>
    <row r="13" ht="46" customHeight="1">
      <c r="B13" s="88" t="inlineStr">
        <is>
          <t>Step 1 — Case Information</t>
        </is>
      </c>
      <c r="C13" s="89" t="inlineStr">
        <is>
          <t>Fill the yellow cells: agent, ticket, dates, product. Dropdowns: Warranty, Channel, Case Type, SLA. Write a 2-3 sentence Case Summary. Multi-touch? Set Touch # and fill 'Inherited context' (what this agent received from prior touches).</t>
        </is>
      </c>
    </row>
    <row r="14" ht="46" customHeight="1">
      <c r="B14" s="90" t="inlineStr">
        <is>
          <t>Step 2 — Rate the indicators</t>
        </is>
      </c>
      <c r="C14" s="91" t="inlineStr">
        <is>
          <t>Each of the 7 categories lists 5-8 behaviors. Rate each: Met / Partial / Missed / N.A. (dropdown). N.A. = genuinely not applicable (e.g., no escalation involved) — it is excluded from the math, never a shortcut.</t>
        </is>
      </c>
    </row>
    <row r="15" ht="46" customHeight="1">
      <c r="B15" s="88" t="inlineStr">
        <is>
          <t>Step 3 — Capture evidence</t>
        </is>
      </c>
      <c r="C15" s="89" t="inlineStr">
        <is>
          <t>Next to every rating, write WHY: a quote, timestamp, or note excerpt. 'Customer said X at 28:10' beats 'communication was good'. The Example sheet shows the standard.</t>
        </is>
      </c>
    </row>
    <row r="16" ht="46" customHeight="1">
      <c r="B16" s="90" t="inlineStr">
        <is>
          <t>Step 4 — Set the final score</t>
        </is>
      </c>
      <c r="C16" s="91"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88" t="inlineStr">
        <is>
          <t>Step 5 — Outcome &amp; disconnect</t>
        </is>
      </c>
      <c r="C17" s="89" t="inlineStr">
        <is>
          <t>Classify the Resolution Outcome (dropdown) and the primary positive outcome achieved. If the call disconnected, record the follow-up taken — 'Yes disconnect + no follow-up' auto-flags a missed ownership opportunity in red.</t>
        </is>
      </c>
    </row>
    <row r="18" ht="46" customHeight="1">
      <c r="B18" s="90" t="inlineStr">
        <is>
          <t>Step 6 — Critical failures</t>
        </is>
      </c>
      <c r="C18" s="91" t="inlineStr">
        <is>
          <t>Answer Yes/No on all 11 conditions. ANY Yes turns the banner red: automatic review, regardless of the score. These include premature RESOLVED closure, PCI/compliance breaches, and unescalated management/legal requests.</t>
        </is>
      </c>
    </row>
    <row r="19" ht="46" customHeight="1">
      <c r="B19" s="88" t="inlineStr">
        <is>
          <t>Step 7 — Coaching sections</t>
        </is>
      </c>
      <c r="C19" s="89" t="inlineStr">
        <is>
          <t>3 strengths, 3 improvements, a specific coaching recommendation (at least one is mandatory per review), organizational insights, journey notes (multi-touch), and the final assessment.</t>
        </is>
      </c>
    </row>
    <row r="20" ht="46" customHeight="1">
      <c r="B20" s="90" t="inlineStr">
        <is>
          <t>Step 8 — Log it</t>
        </is>
      </c>
      <c r="C20" s="91" t="inlineStr">
        <is>
          <t>Add one row in the Case Tracker: date, Case ID, agent, touch #, and your 7 final scores. Weighted % and band compute themselves.</t>
        </is>
      </c>
    </row>
    <row r="22">
      <c r="B22" s="95" t="inlineStr">
        <is>
          <t>3 · WHAT YOU TYPE vs WHAT CALCULATES ITSELF</t>
        </is>
      </c>
      <c r="C22" s="68" t="n"/>
    </row>
    <row r="23" ht="54" customHeight="1">
      <c r="B23" s="88" t="inlineStr">
        <is>
          <t>You type (yellow cells)</t>
        </is>
      </c>
      <c r="C23" s="89" t="inlineStr">
        <is>
          <t>Case info · indicator ratings (dropdowns) · evidence text · the 7 final 0-5 scores · outcome dropdowns · critical-failure Yes/No · coaching text · tracker rows · Team Score's Outcome and Continuity (0-5).</t>
        </is>
      </c>
    </row>
    <row r="24" ht="54" customHeight="1">
      <c r="B24" s="90" t="inlineStr">
        <is>
          <t>Calculates automatically</t>
        </is>
      </c>
      <c r="C24" s="91"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88" t="inlineStr">
        <is>
          <t>Color language</t>
        </is>
      </c>
      <c r="C25" s="89"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95" t="inlineStr">
        <is>
          <t>4 · MULTI-TOUCH CASES IN SIX LINES (full rules: Multi-Touch Guide + Team Scoring)</t>
        </is>
      </c>
      <c r="C27" s="68" t="n"/>
    </row>
    <row r="28" ht="40" customHeight="1">
      <c r="B28" s="88" t="inlineStr">
        <is>
          <t>One form per touch</t>
        </is>
      </c>
      <c r="C28" s="89" t="inlineStr">
        <is>
          <t>Every agent gets their own form. Read all prior touches first; record what the agent inherited.</t>
        </is>
      </c>
    </row>
    <row r="29" ht="40" customHeight="1">
      <c r="B29" s="90" t="inlineStr">
        <is>
          <t>Score the contribution</t>
        </is>
      </c>
      <c r="C29" s="91" t="inlineStr">
        <is>
          <t>Did THIS touch move the customer forward, given what it inherited? Agents aren't punished for inherited messes — only for what they pass downstream (thin notes, false RESOLVED, missed callbacks).</t>
        </is>
      </c>
    </row>
    <row r="30" ht="40" customHeight="1">
      <c r="B30" s="88" t="inlineStr">
        <is>
          <t>Handoffs belong to the sender</t>
        </is>
      </c>
      <c r="C30" s="89" t="inlineStr">
        <is>
          <t>Bad notes that force rework = deduction for the earlier agent. Ignoring good notes and re-asking everything = deduction for the later agent.</t>
        </is>
      </c>
    </row>
    <row r="31" ht="40" customHeight="1">
      <c r="B31" s="90" t="inlineStr">
        <is>
          <t>Log every touch, same Case ID</t>
        </is>
      </c>
      <c r="C31" s="91" t="inlineStr">
        <is>
          <t>Tracker rows side by side show exactly where the chain broke or recovered.</t>
        </is>
      </c>
    </row>
    <row r="32" ht="40" customHeight="1">
      <c r="B32" s="88" t="inlineStr">
        <is>
          <t>Score the chain</t>
        </is>
      </c>
      <c r="C32" s="89" t="inlineStr">
        <is>
          <t>Bottom of the Case Tracker: type the Case ID in a Team/Journey row, judge Outcome (0-5) and Continuity (0-5) — the Team Score computes. Drives process fixes and team recognition, never individual discipline.</t>
        </is>
      </c>
    </row>
    <row r="33" ht="40" customHeight="1">
      <c r="B33" s="90" t="inlineStr">
        <is>
          <t>Find the TEAM opportunities</t>
        </is>
      </c>
      <c r="C33" s="91"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96" t="inlineStr">
        <is>
          <t>5 · GOLDEN RULES</t>
        </is>
      </c>
      <c r="C35" s="68" t="n"/>
    </row>
    <row r="36" ht="26" customHeight="1">
      <c r="B36" s="89" t="inlineStr">
        <is>
          <t>• A closed case is NOT automatically a resolved case — and RESOLVED on a known-unresolved issue is a critical failure.</t>
        </is>
      </c>
      <c r="C36" s="69" t="n"/>
    </row>
    <row r="37" ht="26" customHeight="1">
      <c r="B37" s="91" t="inlineStr">
        <is>
          <t>• Any critical failure = automatic review, no matter how good the weighted score looks.</t>
        </is>
      </c>
      <c r="C37" s="69" t="n"/>
    </row>
    <row r="38" ht="26" customHeight="1">
      <c r="B38" s="89" t="inlineStr">
        <is>
          <t>• Resolution isn't only 'fixed': a proper RMA, a valid escalation, or an accurately explained limitation all count as positive outcomes.</t>
        </is>
      </c>
      <c r="C38" s="69" t="n"/>
    </row>
    <row r="39" ht="26" customHeight="1">
      <c r="B39" s="91" t="inlineStr">
        <is>
          <t>• Every review must produce at least one actionable coaching opportunity — and an operational improvement recommendation where applicable.</t>
        </is>
      </c>
      <c r="C39" s="69" t="n"/>
    </row>
    <row r="40" ht="26" customHeight="1">
      <c r="B40" s="89" t="inlineStr">
        <is>
          <t>• Evidence over opinion: every rating should be defensible with a quote, timestamp, or note excerpt.</t>
        </is>
      </c>
      <c r="C40" s="69" t="n"/>
    </row>
    <row r="41" ht="26" customHeight="1">
      <c r="B41" s="91" t="inlineStr">
        <is>
          <t>• Documentation supports outcomes but never outweighs troubleshooting, communication, or ownership — continuity, not compliance.</t>
        </is>
      </c>
      <c r="C41" s="69" t="n"/>
    </row>
    <row r="42" ht="26" customHeight="1">
      <c r="B42" s="89" t="inlineStr">
        <is>
          <t>• Reward judgment: an unresolved case with correct next steps and full ownership can still score well.</t>
        </is>
      </c>
      <c r="C42" s="69" t="n"/>
    </row>
    <row r="43" ht="26" customHeight="1">
      <c r="B43" s="91" t="inlineStr">
        <is>
          <t>• Team Scores coach the chain; individual forms coach the agent. Never mix the two purposes.</t>
        </is>
      </c>
      <c r="C43" s="69" t="n"/>
    </row>
    <row r="45" ht="30" customHeight="1">
      <c r="B45" s="93" t="inlineStr">
        <is>
          <t>Questions while reviewing? Order of reference: this sheet → Scoring Guide (anchors &amp; criteria) → Multi-Touch Guide (journey rules) → Team Scoring (team layer &amp; heatmap) → Example (Filled) (what good looks like).</t>
        </is>
      </c>
      <c r="C45" s="68"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 t="inlineStr">
        <is>
          <t>SUPPORT QUALITY ASSURANCE — SCORING FORM</t>
        </is>
      </c>
      <c r="C1" s="67" t="n"/>
      <c r="D1" s="67" t="n"/>
      <c r="E1" s="67" t="n"/>
      <c r="F1" s="68" t="n"/>
    </row>
    <row r="2" ht="18" customHeight="1">
      <c r="B2" s="2" t="inlineStr">
        <is>
          <t>Resolution-Focused Coaching &amp; Performance Framework  |  Rate each behavior: Met / Partial / Missed / N.A. — then assign the 0-5 category score (suggested score is advisory).</t>
        </is>
      </c>
      <c r="C2" s="67" t="n"/>
      <c r="D2" s="67" t="n"/>
      <c r="E2" s="67" t="n"/>
      <c r="F2" s="68" t="n"/>
    </row>
    <row r="4">
      <c r="B4" s="71" t="inlineStr">
        <is>
          <t>1 · CASE INFORMATION</t>
        </is>
      </c>
      <c r="C4" s="67" t="n"/>
      <c r="D4" s="67" t="n"/>
      <c r="E4" s="67" t="n"/>
      <c r="F4" s="68" t="n"/>
    </row>
    <row r="5">
      <c r="B5" s="4" t="inlineStr">
        <is>
          <t>Agent Name</t>
        </is>
      </c>
      <c r="C5" s="81" t="inlineStr"/>
      <c r="D5" s="6" t="inlineStr">
        <is>
          <t>Case / Ticket ID</t>
        </is>
      </c>
      <c r="E5" s="81" t="inlineStr"/>
      <c r="F5" s="69" t="n"/>
    </row>
    <row r="6">
      <c r="B6" s="4" t="inlineStr">
        <is>
          <t>Evaluator (QA)</t>
        </is>
      </c>
      <c r="C6" s="81" t="inlineStr"/>
      <c r="D6" s="6" t="inlineStr">
        <is>
          <t>Interaction Date</t>
        </is>
      </c>
      <c r="E6" s="81" t="inlineStr"/>
      <c r="F6" s="69" t="n"/>
    </row>
    <row r="7">
      <c r="B7" s="4" t="inlineStr">
        <is>
          <t>Product</t>
        </is>
      </c>
      <c r="C7" s="81" t="inlineStr"/>
      <c r="D7" s="6" t="inlineStr">
        <is>
          <t>Channel</t>
        </is>
      </c>
      <c r="E7" s="81" t="inlineStr"/>
      <c r="F7" s="69" t="n"/>
    </row>
    <row r="8">
      <c r="B8" s="4" t="inlineStr">
        <is>
          <t>Warranty Status</t>
        </is>
      </c>
      <c r="C8" s="81" t="inlineStr"/>
      <c r="D8" s="6" t="inlineStr">
        <is>
          <t>Review Date</t>
        </is>
      </c>
      <c r="E8" s="81" t="inlineStr"/>
      <c r="F8" s="69" t="n"/>
    </row>
    <row r="9">
      <c r="B9" s="4" t="inlineStr">
        <is>
          <t>Case Type</t>
        </is>
      </c>
      <c r="C9" s="81" t="inlineStr"/>
      <c r="D9" s="6" t="inlineStr">
        <is>
          <t>Interaction Duration</t>
        </is>
      </c>
      <c r="E9" s="81" t="inlineStr"/>
      <c r="F9" s="69" t="n"/>
    </row>
    <row r="10">
      <c r="B10" s="4" t="inlineStr">
        <is>
          <t>Touch # (multi-touch case)</t>
        </is>
      </c>
      <c r="C10" s="81" t="inlineStr"/>
      <c r="D10" s="6" t="inlineStr">
        <is>
          <t>Prior touches reviewed?</t>
        </is>
      </c>
      <c r="E10" s="81" t="inlineStr"/>
      <c r="F10" s="69" t="n"/>
    </row>
    <row r="11">
      <c r="B11" s="4" t="inlineStr">
        <is>
          <t>CSAT / Survey result</t>
        </is>
      </c>
      <c r="C11" s="81" t="inlineStr"/>
      <c r="D11" s="6" t="inlineStr">
        <is>
          <t>FCR / total contacts</t>
        </is>
      </c>
      <c r="E11" s="81" t="inlineStr"/>
      <c r="F11" s="69" t="n"/>
    </row>
    <row r="12">
      <c r="B12" s="4" t="inlineStr">
        <is>
          <t>Total case time</t>
        </is>
      </c>
      <c r="C12" s="81" t="inlineStr"/>
      <c r="D12" s="6" t="inlineStr">
        <is>
          <t>SLA status</t>
        </is>
      </c>
      <c r="E12" s="81" t="inlineStr"/>
      <c r="F12" s="69" t="n"/>
    </row>
    <row r="13" ht="58" customHeight="1">
      <c r="B13" s="6" t="inlineStr">
        <is>
          <t>Case Summary (customer issue &amp; goal)</t>
        </is>
      </c>
      <c r="C13" s="7" t="inlineStr"/>
      <c r="D13" s="70" t="n"/>
      <c r="E13" s="70" t="n"/>
      <c r="F13" s="69" t="n"/>
    </row>
    <row r="14" ht="46" customHeight="1">
      <c r="B14" s="6" t="inlineStr">
        <is>
          <t>Inherited context (what this agent received from prior touches)</t>
        </is>
      </c>
      <c r="C14" s="7" t="inlineStr"/>
      <c r="D14" s="70" t="n"/>
      <c r="E14" s="70" t="n"/>
      <c r="F14" s="69" t="n"/>
    </row>
    <row r="16">
      <c r="B16" s="8" t="inlineStr">
        <is>
          <t>2 · CATEGORY ASSESSMENTS</t>
        </is>
      </c>
      <c r="C16" s="67" t="n"/>
      <c r="D16" s="67" t="n"/>
      <c r="E16" s="67" t="n"/>
      <c r="F16" s="68" t="n"/>
    </row>
    <row r="17" ht="18" customHeight="1">
      <c r="B17" s="71" t="inlineStr">
        <is>
          <t>1. RESOLUTION / PROGRESS TOWARD RESOLUTION</t>
        </is>
      </c>
      <c r="C17" s="67" t="n"/>
      <c r="D17" s="67" t="n"/>
      <c r="E17" s="68" t="n"/>
      <c r="F17" s="9" t="inlineStr">
        <is>
          <t>Weight: 30%</t>
        </is>
      </c>
    </row>
    <row r="18" ht="28" customHeight="1">
      <c r="B18" s="10" t="inlineStr">
        <is>
          <t>Objective: Determine whether the interaction moved the customer meaningfully closer to resolution.</t>
        </is>
      </c>
      <c r="C18" s="70" t="n"/>
      <c r="D18" s="70" t="n"/>
      <c r="E18" s="70" t="n"/>
      <c r="F18" s="69" t="n"/>
    </row>
    <row r="19">
      <c r="B19" s="4" t="inlineStr">
        <is>
          <t>Behavioral Indicator</t>
        </is>
      </c>
      <c r="C19" s="11" t="inlineStr">
        <is>
          <t>Assessment</t>
        </is>
      </c>
      <c r="D19" s="4" t="inlineStr">
        <is>
          <t>Evidence / Observation (quote or timestamp where possible)</t>
        </is>
      </c>
      <c r="E19" s="70" t="n"/>
      <c r="F19" s="69" t="n"/>
    </row>
    <row r="20" ht="28" customHeight="1">
      <c r="B20" s="12" t="inlineStr">
        <is>
          <t>Issue resolved, or the strongest available outcome was achieved (RMA, valid escalation, limitation explained, education)</t>
        </is>
      </c>
      <c r="C20" s="79" t="inlineStr"/>
      <c r="D20" s="12" t="inlineStr"/>
      <c r="E20" s="70" t="n"/>
      <c r="F20" s="69" t="n"/>
    </row>
    <row r="21" ht="28" customHeight="1">
      <c r="B21" s="14" t="inlineStr">
        <is>
          <t>Reasonable troubleshooting was completed before any conclusion was reached</t>
        </is>
      </c>
      <c r="C21" s="79" t="inlineStr"/>
      <c r="D21" s="14" t="inlineStr"/>
      <c r="E21" s="70" t="n"/>
      <c r="F21" s="69" t="n"/>
    </row>
    <row r="22" ht="28" customHeight="1">
      <c r="B22" s="12" t="inlineStr">
        <is>
          <t>Clear, actionable next steps were provided to the customer</t>
        </is>
      </c>
      <c r="C22" s="79" t="inlineStr"/>
      <c r="D22" s="12" t="inlineStr"/>
      <c r="E22" s="70" t="n"/>
      <c r="F22" s="69" t="n"/>
    </row>
    <row r="23" ht="28" customHeight="1">
      <c r="B23" s="14" t="inlineStr">
        <is>
          <t>Resolution path was appropriate for the situation and warranty status</t>
        </is>
      </c>
      <c r="C23" s="79" t="inlineStr"/>
      <c r="D23" s="14" t="inlineStr"/>
      <c r="E23" s="70" t="n"/>
      <c r="F23" s="69" t="n"/>
    </row>
    <row r="24" ht="28" customHeight="1">
      <c r="B24" s="12" t="inlineStr">
        <is>
          <t>Customer was moved meaningfully closer to a solution</t>
        </is>
      </c>
      <c r="C24" s="79" t="inlineStr"/>
      <c r="D24" s="12" t="inlineStr"/>
      <c r="E24" s="70" t="n"/>
      <c r="F24" s="69" t="n"/>
    </row>
    <row r="25" ht="28" customHeight="1">
      <c r="B25" s="1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70" t="n"/>
      <c r="D25" s="70" t="n"/>
      <c r="E25" s="70" t="n"/>
      <c r="F25" s="69" t="n"/>
    </row>
    <row r="26">
      <c r="B26" s="16" t="inlineStr">
        <is>
          <t>Suggested score (auto from indicators — advisory only; evaluator judgment prevails)</t>
        </is>
      </c>
      <c r="C26" s="17">
        <f>IF((COUNTIF(C20:C24,"Met")+COUNTIF(C20:C24,"Partial")+COUNTIF(C20:C24,"Missed"))=0,"",ROUND((COUNTIF(C20:C24,"Met")*5+COUNTIF(C20:C24,"Partial")*2.5)/(COUNTIF(C20:C24,"Met")+COUNTIF(C20:C24,"Partial")+COUNTIF(C20:C24,"Missed")),1))</f>
        <v/>
      </c>
      <c r="D26" s="18" t="inlineStr"/>
      <c r="E26" s="70" t="n"/>
      <c r="F26" s="69" t="n"/>
    </row>
    <row r="27" ht="24" customHeight="1">
      <c r="B27" s="19" t="inlineStr">
        <is>
          <t>FINAL CATEGORY SCORE (0–5)</t>
        </is>
      </c>
      <c r="C27" s="20" t="n"/>
      <c r="D27" s="2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70" t="n"/>
      <c r="F27" s="69" t="n"/>
    </row>
    <row r="28" ht="36" customHeight="1">
      <c r="B28" s="19" t="inlineStr">
        <is>
          <t>Category comments / coaching notes</t>
        </is>
      </c>
      <c r="C28" s="7" t="inlineStr"/>
      <c r="D28" s="70" t="n"/>
      <c r="E28" s="70" t="n"/>
      <c r="F28" s="69" t="n"/>
    </row>
    <row r="30" ht="18" customHeight="1">
      <c r="B30" s="71" t="inlineStr">
        <is>
          <t>2. TECHNICAL ACCURACY</t>
        </is>
      </c>
      <c r="C30" s="67" t="n"/>
      <c r="D30" s="67" t="n"/>
      <c r="E30" s="68" t="n"/>
      <c r="F30" s="9" t="inlineStr">
        <is>
          <t>Weight: 20%</t>
        </is>
      </c>
    </row>
    <row r="31" ht="28" customHeight="1">
      <c r="B31" s="10" t="inlineStr">
        <is>
          <t>Objective: Evaluate the quality of troubleshooting and technical guidance.</t>
        </is>
      </c>
      <c r="C31" s="70" t="n"/>
      <c r="D31" s="70" t="n"/>
      <c r="E31" s="70" t="n"/>
      <c r="F31" s="69" t="n"/>
    </row>
    <row r="32">
      <c r="B32" s="4" t="inlineStr">
        <is>
          <t>Behavioral Indicator</t>
        </is>
      </c>
      <c r="C32" s="11" t="inlineStr">
        <is>
          <t>Assessment</t>
        </is>
      </c>
      <c r="D32" s="4" t="inlineStr">
        <is>
          <t>Evidence / Observation (quote or timestamp where possible)</t>
        </is>
      </c>
      <c r="E32" s="70" t="n"/>
      <c r="F32" s="69" t="n"/>
    </row>
    <row r="33" ht="28" customHeight="1">
      <c r="B33" s="12" t="inlineStr">
        <is>
          <t>Symptoms were identified correctly</t>
        </is>
      </c>
      <c r="C33" s="79" t="inlineStr"/>
      <c r="D33" s="12" t="inlineStr"/>
      <c r="E33" s="70" t="n"/>
      <c r="F33" s="69" t="n"/>
    </row>
    <row r="34" ht="28" customHeight="1">
      <c r="B34" s="14" t="inlineStr">
        <is>
          <t>Relevant diagnostic questions were asked</t>
        </is>
      </c>
      <c r="C34" s="79" t="inlineStr"/>
      <c r="D34" s="14" t="inlineStr"/>
      <c r="E34" s="70" t="n"/>
      <c r="F34" s="69" t="n"/>
    </row>
    <row r="35" ht="28" customHeight="1">
      <c r="B35" s="12" t="inlineStr">
        <is>
          <t>Logical troubleshooting methodology was followed</t>
        </is>
      </c>
      <c r="C35" s="79" t="inlineStr"/>
      <c r="D35" s="12" t="inlineStr"/>
      <c r="E35" s="70" t="n"/>
      <c r="F35" s="69" t="n"/>
    </row>
    <row r="36" ht="28" customHeight="1">
      <c r="B36" s="14" t="inlineStr">
        <is>
          <t>Available tools were used appropriately</t>
        </is>
      </c>
      <c r="C36" s="79" t="inlineStr"/>
      <c r="D36" s="14" t="inlineStr"/>
      <c r="E36" s="70" t="n"/>
      <c r="F36" s="69" t="n"/>
    </row>
    <row r="37" ht="28" customHeight="1">
      <c r="B37" s="12" t="inlineStr">
        <is>
          <t>Information provided was technically accurate</t>
        </is>
      </c>
      <c r="C37" s="79" t="inlineStr"/>
      <c r="D37" s="12" t="inlineStr"/>
      <c r="E37" s="70" t="n"/>
      <c r="F37" s="69" t="n"/>
    </row>
    <row r="38" ht="28" customHeight="1">
      <c r="B38" s="14" t="inlineStr">
        <is>
          <t>Assumptions were validated; no unsupported conclusions</t>
        </is>
      </c>
      <c r="C38" s="79" t="inlineStr"/>
      <c r="D38" s="14" t="inlineStr"/>
      <c r="E38" s="70" t="n"/>
      <c r="F38" s="69" t="n"/>
    </row>
    <row r="39" ht="28" customHeight="1">
      <c r="B39" s="12" t="inlineStr">
        <is>
          <t>Root cause (or likely cause) was identified when possible</t>
        </is>
      </c>
      <c r="C39" s="79" t="inlineStr"/>
      <c r="D39" s="12" t="inlineStr"/>
      <c r="E39" s="70" t="n"/>
      <c r="F39" s="69" t="n"/>
    </row>
    <row r="40" ht="28" customHeight="1">
      <c r="B40" s="15" t="inlineStr">
        <is>
          <t>⚠ Deduct for: incorrect technical information; skipped critical troubleshooting; misdiagnosis; unnecessary actions recommended; ISP or customer blamed without evidence; repeating basic steps the customer already completed.</t>
        </is>
      </c>
      <c r="C40" s="70" t="n"/>
      <c r="D40" s="70" t="n"/>
      <c r="E40" s="70" t="n"/>
      <c r="F40" s="69" t="n"/>
    </row>
    <row r="41">
      <c r="B41" s="16" t="inlineStr">
        <is>
          <t>Suggested score (auto from indicators — advisory only; evaluator judgment prevails)</t>
        </is>
      </c>
      <c r="C41" s="17">
        <f>IF((COUNTIF(C33:C39,"Met")+COUNTIF(C33:C39,"Partial")+COUNTIF(C33:C39,"Missed"))=0,"",ROUND((COUNTIF(C33:C39,"Met")*5+COUNTIF(C33:C39,"Partial")*2.5)/(COUNTIF(C33:C39,"Met")+COUNTIF(C33:C39,"Partial")+COUNTIF(C33:C39,"Missed")),1))</f>
        <v/>
      </c>
      <c r="D41" s="18" t="inlineStr"/>
      <c r="E41" s="70" t="n"/>
      <c r="F41" s="69" t="n"/>
    </row>
    <row r="42" ht="24" customHeight="1">
      <c r="B42" s="19" t="inlineStr">
        <is>
          <t>FINAL CATEGORY SCORE (0–5)</t>
        </is>
      </c>
      <c r="C42" s="20" t="n"/>
      <c r="D42" s="2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70" t="n"/>
      <c r="F42" s="69" t="n"/>
    </row>
    <row r="43" ht="36" customHeight="1">
      <c r="B43" s="19" t="inlineStr">
        <is>
          <t>Category comments / coaching notes</t>
        </is>
      </c>
      <c r="C43" s="7" t="inlineStr"/>
      <c r="D43" s="70" t="n"/>
      <c r="E43" s="70" t="n"/>
      <c r="F43" s="69" t="n"/>
    </row>
    <row r="45" ht="18" customHeight="1">
      <c r="B45" s="71" t="inlineStr">
        <is>
          <t>3. COMMUNICATION &amp; CALL CONTROL</t>
        </is>
      </c>
      <c r="C45" s="67" t="n"/>
      <c r="D45" s="67" t="n"/>
      <c r="E45" s="68" t="n"/>
      <c r="F45" s="9" t="inlineStr">
        <is>
          <t>Weight: 15%</t>
        </is>
      </c>
    </row>
    <row r="46" ht="28" customHeight="1">
      <c r="B46" s="10" t="inlineStr">
        <is>
          <t>Objective: Evaluate how effectively the agent managed the interaction.</t>
        </is>
      </c>
      <c r="C46" s="70" t="n"/>
      <c r="D46" s="70" t="n"/>
      <c r="E46" s="70" t="n"/>
      <c r="F46" s="69" t="n"/>
    </row>
    <row r="47">
      <c r="B47" s="4" t="inlineStr">
        <is>
          <t>Behavioral Indicator</t>
        </is>
      </c>
      <c r="C47" s="11" t="inlineStr">
        <is>
          <t>Assessment</t>
        </is>
      </c>
      <c r="D47" s="4" t="inlineStr">
        <is>
          <t>Evidence / Observation (quote or timestamp where possible)</t>
        </is>
      </c>
      <c r="E47" s="70" t="n"/>
      <c r="F47" s="69" t="n"/>
    </row>
    <row r="48" ht="28" customHeight="1">
      <c r="B48" s="12" t="inlineStr">
        <is>
          <t>Expectations were set clearly from the start</t>
        </is>
      </c>
      <c r="C48" s="79" t="inlineStr"/>
      <c r="D48" s="12" t="inlineStr"/>
      <c r="E48" s="70" t="n"/>
      <c r="F48" s="69" t="n"/>
    </row>
    <row r="49" ht="28" customHeight="1">
      <c r="B49" s="14" t="inlineStr">
        <is>
          <t>Agent maintained control of the troubleshooting flow</t>
        </is>
      </c>
      <c r="C49" s="79" t="inlineStr"/>
      <c r="D49" s="14" t="inlineStr"/>
      <c r="E49" s="70" t="n"/>
      <c r="F49" s="69" t="n"/>
    </row>
    <row r="50" ht="28" customHeight="1">
      <c r="B50" s="12" t="inlineStr">
        <is>
          <t>Actions were explained in understandable, jargon-free language</t>
        </is>
      </c>
      <c r="C50" s="79" t="inlineStr"/>
      <c r="D50" s="12" t="inlineStr"/>
      <c r="E50" s="70" t="n"/>
      <c r="F50" s="69" t="n"/>
    </row>
    <row r="51" ht="28" customHeight="1">
      <c r="B51" s="14" t="inlineStr">
        <is>
          <t>Questions were purposeful (no repetitive questioning)</t>
        </is>
      </c>
      <c r="C51" s="79" t="inlineStr"/>
      <c r="D51" s="14" t="inlineStr"/>
      <c r="E51" s="70" t="n"/>
      <c r="F51" s="69" t="n"/>
    </row>
    <row r="52" ht="28" customHeight="1">
      <c r="B52" s="12" t="inlineStr">
        <is>
          <t>Customer understanding was confirmed at key points</t>
        </is>
      </c>
      <c r="C52" s="79" t="inlineStr"/>
      <c r="D52" s="12" t="inlineStr"/>
      <c r="E52" s="70" t="n"/>
      <c r="F52" s="69" t="n"/>
    </row>
    <row r="53" ht="28" customHeight="1">
      <c r="B53" s="14" t="inlineStr">
        <is>
          <t>Clear transitions between troubleshooting steps; effective time management</t>
        </is>
      </c>
      <c r="C53" s="79" t="inlineStr"/>
      <c r="D53" s="14" t="inlineStr"/>
      <c r="E53" s="70" t="n"/>
      <c r="F53" s="69" t="n"/>
    </row>
    <row r="54" ht="28" customHeight="1">
      <c r="B54" s="12" t="inlineStr">
        <is>
          <t>Difficult moments were managed professionally</t>
        </is>
      </c>
      <c r="C54" s="79" t="inlineStr"/>
      <c r="D54" s="12" t="inlineStr"/>
      <c r="E54" s="70" t="n"/>
      <c r="F54" s="69" t="n"/>
    </row>
    <row r="55" ht="28" customHeight="1">
      <c r="B55" s="14" t="inlineStr">
        <is>
          <t>Communication adapted to the customer's accessibility needs (hearing, vision, age)</t>
        </is>
      </c>
      <c r="C55" s="79" t="inlineStr"/>
      <c r="D55" s="14" t="inlineStr"/>
      <c r="E55" s="70" t="n"/>
      <c r="F55" s="69" t="n"/>
    </row>
    <row r="56" ht="28" customHeight="1">
      <c r="B56" s="15" t="inlineStr">
        <is>
          <t>⚠ High performance: customer always knows what is happening and the agent drives the call confidently. One instruction at a time for customers who need it.</t>
        </is>
      </c>
      <c r="C56" s="70" t="n"/>
      <c r="D56" s="70" t="n"/>
      <c r="E56" s="70" t="n"/>
      <c r="F56" s="69" t="n"/>
    </row>
    <row r="57">
      <c r="B57" s="16" t="inlineStr">
        <is>
          <t>Suggested score (auto from indicators — advisory only; evaluator judgment prevails)</t>
        </is>
      </c>
      <c r="C57" s="17">
        <f>IF((COUNTIF(C48:C55,"Met")+COUNTIF(C48:C55,"Partial")+COUNTIF(C48:C55,"Missed"))=0,"",ROUND((COUNTIF(C48:C55,"Met")*5+COUNTIF(C48:C55,"Partial")*2.5)/(COUNTIF(C48:C55,"Met")+COUNTIF(C48:C55,"Partial")+COUNTIF(C48:C55,"Missed")),1))</f>
        <v/>
      </c>
      <c r="D57" s="18" t="inlineStr"/>
      <c r="E57" s="70" t="n"/>
      <c r="F57" s="69" t="n"/>
    </row>
    <row r="58" ht="24" customHeight="1">
      <c r="B58" s="19" t="inlineStr">
        <is>
          <t>FINAL CATEGORY SCORE (0–5)</t>
        </is>
      </c>
      <c r="C58" s="20" t="n"/>
      <c r="D58" s="2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70" t="n"/>
      <c r="F58" s="69" t="n"/>
    </row>
    <row r="59" ht="36" customHeight="1">
      <c r="B59" s="19" t="inlineStr">
        <is>
          <t>Category comments / coaching notes</t>
        </is>
      </c>
      <c r="C59" s="7" t="inlineStr"/>
      <c r="D59" s="70" t="n"/>
      <c r="E59" s="70" t="n"/>
      <c r="F59" s="69" t="n"/>
    </row>
    <row r="61" ht="18" customHeight="1">
      <c r="B61" s="71" t="inlineStr">
        <is>
          <t>4. CUSTOMER OWNERSHIP</t>
        </is>
      </c>
      <c r="C61" s="67" t="n"/>
      <c r="D61" s="67" t="n"/>
      <c r="E61" s="68" t="n"/>
      <c r="F61" s="9" t="inlineStr">
        <is>
          <t>Weight: 15%</t>
        </is>
      </c>
    </row>
    <row r="62" ht="28" customHeight="1">
      <c r="B62" s="10" t="inlineStr">
        <is>
          <t>Objective: Measure the degree to which the agent accepted responsibility for moving the customer forward.</t>
        </is>
      </c>
      <c r="C62" s="70" t="n"/>
      <c r="D62" s="70" t="n"/>
      <c r="E62" s="70" t="n"/>
      <c r="F62" s="69" t="n"/>
    </row>
    <row r="63">
      <c r="B63" s="4" t="inlineStr">
        <is>
          <t>Behavioral Indicator</t>
        </is>
      </c>
      <c r="C63" s="11" t="inlineStr">
        <is>
          <t>Assessment</t>
        </is>
      </c>
      <c r="D63" s="4" t="inlineStr">
        <is>
          <t>Evidence / Observation (quote or timestamp where possible)</t>
        </is>
      </c>
      <c r="E63" s="70" t="n"/>
      <c r="F63" s="69" t="n"/>
    </row>
    <row r="64" ht="28" customHeight="1">
      <c r="B64" s="12" t="inlineStr">
        <is>
          <t>Agent demonstrated accountability for the customer's outcome</t>
        </is>
      </c>
      <c r="C64" s="79" t="inlineStr"/>
      <c r="D64" s="12" t="inlineStr"/>
      <c r="E64" s="70" t="n"/>
      <c r="F64" s="69" t="n"/>
    </row>
    <row r="65" ht="28" customHeight="1">
      <c r="B65" s="14" t="inlineStr">
        <is>
          <t>Unnecessary transfers were avoided</t>
        </is>
      </c>
      <c r="C65" s="79" t="inlineStr"/>
      <c r="D65" s="14" t="inlineStr"/>
      <c r="E65" s="70" t="n"/>
      <c r="F65" s="69" t="n"/>
    </row>
    <row r="66" ht="28" customHeight="1">
      <c r="B66" s="12" t="inlineStr">
        <is>
          <t>Commitments made during the interaction were followed through</t>
        </is>
      </c>
      <c r="C66" s="79" t="inlineStr"/>
      <c r="D66" s="12" t="inlineStr"/>
      <c r="E66" s="70" t="n"/>
      <c r="F66" s="69" t="n"/>
    </row>
    <row r="67" ht="28" customHeight="1">
      <c r="B67" s="14" t="inlineStr">
        <is>
          <t>A clear path forward was created for the customer</t>
        </is>
      </c>
      <c r="C67" s="79" t="inlineStr"/>
      <c r="D67" s="14" t="inlineStr"/>
      <c r="E67" s="70" t="n"/>
      <c r="F67" s="69" t="n"/>
    </row>
    <row r="68" ht="28" customHeight="1">
      <c r="B68" s="12" t="inlineStr">
        <is>
          <t>Next actions were documented</t>
        </is>
      </c>
      <c r="C68" s="79" t="inlineStr"/>
      <c r="D68" s="12" t="inlineStr"/>
      <c r="E68" s="70" t="n"/>
      <c r="F68" s="69" t="n"/>
    </row>
    <row r="69" ht="28" customHeight="1">
      <c r="B69" s="14" t="inlineStr">
        <is>
          <t>Realistic expectations were set</t>
        </is>
      </c>
      <c r="C69" s="79" t="inlineStr"/>
      <c r="D69" s="14" t="inlineStr"/>
      <c r="E69" s="70" t="n"/>
      <c r="F69" s="69" t="n"/>
    </row>
    <row r="70" ht="28" customHeight="1">
      <c r="B70" s="12" t="inlineStr">
        <is>
          <t>Disconnect follow-up completed (callback / email / note) — mark N.A. if no disconnect</t>
        </is>
      </c>
      <c r="C70" s="79" t="inlineStr"/>
      <c r="D70" s="12" t="inlineStr"/>
      <c r="E70" s="70" t="n"/>
      <c r="F70" s="69" t="n"/>
    </row>
    <row r="71" ht="28" customHeight="1">
      <c r="B71" s="14" t="inlineStr">
        <is>
          <t>Callback commitments were met within the agreed window (or proactively renegotiated before it lapsed)</t>
        </is>
      </c>
      <c r="C71" s="79" t="inlineStr"/>
      <c r="D71" s="14" t="inlineStr"/>
      <c r="E71" s="70" t="n"/>
      <c r="F71" s="69" t="n"/>
    </row>
    <row r="72" ht="28" customHeight="1">
      <c r="B72" s="15" t="inlineStr">
        <is>
          <t>⚠ Automatic deductions: no documented follow-up after disconnect; unclear next steps; passing responsibility without context; failure to complete promised actions; missed or late callbacks without proactive renegotiation.</t>
        </is>
      </c>
      <c r="C72" s="70" t="n"/>
      <c r="D72" s="70" t="n"/>
      <c r="E72" s="70" t="n"/>
      <c r="F72" s="69" t="n"/>
    </row>
    <row r="73">
      <c r="B73" s="16" t="inlineStr">
        <is>
          <t>Suggested score (auto from indicators — advisory only; evaluator judgment prevails)</t>
        </is>
      </c>
      <c r="C73" s="17">
        <f>IF((COUNTIF(C64:C71,"Met")+COUNTIF(C64:C71,"Partial")+COUNTIF(C64:C71,"Missed"))=0,"",ROUND((COUNTIF(C64:C71,"Met")*5+COUNTIF(C64:C71,"Partial")*2.5)/(COUNTIF(C64:C71,"Met")+COUNTIF(C64:C71,"Partial")+COUNTIF(C64:C71,"Missed")),1))</f>
        <v/>
      </c>
      <c r="D73" s="18" t="inlineStr"/>
      <c r="E73" s="70" t="n"/>
      <c r="F73" s="69" t="n"/>
    </row>
    <row r="74" ht="24" customHeight="1">
      <c r="B74" s="19" t="inlineStr">
        <is>
          <t>FINAL CATEGORY SCORE (0–5)</t>
        </is>
      </c>
      <c r="C74" s="20" t="n"/>
      <c r="D74" s="2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70" t="n"/>
      <c r="F74" s="69" t="n"/>
    </row>
    <row r="75" ht="36" customHeight="1">
      <c r="B75" s="19" t="inlineStr">
        <is>
          <t>Category comments / coaching notes</t>
        </is>
      </c>
      <c r="C75" s="7" t="inlineStr"/>
      <c r="D75" s="70" t="n"/>
      <c r="E75" s="70" t="n"/>
      <c r="F75" s="69" t="n"/>
    </row>
    <row r="77" ht="18" customHeight="1">
      <c r="B77" s="71" t="inlineStr">
        <is>
          <t>5. ESCALATION JUDGMENT</t>
        </is>
      </c>
      <c r="C77" s="67" t="n"/>
      <c r="D77" s="67" t="n"/>
      <c r="E77" s="68" t="n"/>
      <c r="F77" s="9" t="inlineStr">
        <is>
          <t>Weight: 10%</t>
        </is>
      </c>
    </row>
    <row r="78" ht="28" customHeight="1">
      <c r="B78" s="10" t="inlineStr">
        <is>
          <t>Objective: Determine whether escalation decisions were appropriate — including UPWARD escalations the customer requested (management, complaint, legal). Mark all N.A. if no escalation was involved and none was warranted.</t>
        </is>
      </c>
      <c r="C78" s="70" t="n"/>
      <c r="D78" s="70" t="n"/>
      <c r="E78" s="70" t="n"/>
      <c r="F78" s="69" t="n"/>
    </row>
    <row r="79">
      <c r="B79" s="4" t="inlineStr">
        <is>
          <t>Behavioral Indicator</t>
        </is>
      </c>
      <c r="C79" s="11" t="inlineStr">
        <is>
          <t>Assessment</t>
        </is>
      </c>
      <c r="D79" s="4" t="inlineStr">
        <is>
          <t>Evidence / Observation (quote or timestamp where possible)</t>
        </is>
      </c>
      <c r="E79" s="70" t="n"/>
      <c r="F79" s="69" t="n"/>
    </row>
    <row r="80" ht="28" customHeight="1">
      <c r="B80" s="12" t="inlineStr">
        <is>
          <t>Reasonable troubleshooting was completed before escalating</t>
        </is>
      </c>
      <c r="C80" s="79" t="inlineStr"/>
      <c r="D80" s="12" t="inlineStr"/>
      <c r="E80" s="70" t="n"/>
      <c r="F80" s="69" t="n"/>
    </row>
    <row r="81" ht="28" customHeight="1">
      <c r="B81" s="14" t="inlineStr">
        <is>
          <t>Legitimate escalation criteria were identified (incl. complaint / management / legal-risk triggers)</t>
        </is>
      </c>
      <c r="C81" s="79" t="inlineStr"/>
      <c r="D81" s="14" t="inlineStr"/>
      <c r="E81" s="70" t="n"/>
      <c r="F81" s="69" t="n"/>
    </row>
    <row r="82" ht="28" customHeight="1">
      <c r="B82" s="12" t="inlineStr">
        <is>
          <t>Escalation contained complete, useful details (logs, findings, steps tried)</t>
        </is>
      </c>
      <c r="C82" s="79" t="inlineStr"/>
      <c r="D82" s="12" t="inlineStr"/>
      <c r="E82" s="70" t="n"/>
      <c r="F82" s="69" t="n"/>
    </row>
    <row r="83" ht="28" customHeight="1">
      <c r="B83" s="14" t="inlineStr">
        <is>
          <t>Correct escalation path was chosen</t>
        </is>
      </c>
      <c r="C83" s="79" t="inlineStr"/>
      <c r="D83" s="14" t="inlineStr"/>
      <c r="E83" s="70" t="n"/>
      <c r="F83" s="69" t="n"/>
    </row>
    <row r="84" ht="28" customHeight="1">
      <c r="B84" s="12" t="inlineStr">
        <is>
          <t>Customer expectations about the escalation were set appropriately</t>
        </is>
      </c>
      <c r="C84" s="79" t="inlineStr"/>
      <c r="D84" s="12" t="inlineStr"/>
      <c r="E84" s="70" t="n"/>
      <c r="F84" s="69" t="n"/>
    </row>
    <row r="85" ht="28" customHeight="1">
      <c r="B85" s="15" t="inlineStr">
        <is>
          <t>⚠ Low score: premature, avoidable, poorly documented, used as a substitute for troubleshooting — or a warranted escalation (incl. a customer's management request) that was NOT made.</t>
        </is>
      </c>
      <c r="C85" s="70" t="n"/>
      <c r="D85" s="70" t="n"/>
      <c r="E85" s="70" t="n"/>
      <c r="F85" s="69" t="n"/>
    </row>
    <row r="86">
      <c r="B86" s="16" t="inlineStr">
        <is>
          <t>Suggested score (auto from indicators — advisory only; evaluator judgment prevails)</t>
        </is>
      </c>
      <c r="C86" s="17">
        <f>IF((COUNTIF(C80:C84,"Met")+COUNTIF(C80:C84,"Partial")+COUNTIF(C80:C84,"Missed"))=0,"",ROUND((COUNTIF(C80:C84,"Met")*5+COUNTIF(C80:C84,"Partial")*2.5)/(COUNTIF(C80:C84,"Met")+COUNTIF(C80:C84,"Partial")+COUNTIF(C80:C84,"Missed")),1))</f>
        <v/>
      </c>
      <c r="D86" s="18" t="inlineStr"/>
      <c r="E86" s="70" t="n"/>
      <c r="F86" s="69" t="n"/>
    </row>
    <row r="87" ht="24" customHeight="1">
      <c r="B87" s="19" t="inlineStr">
        <is>
          <t>FINAL CATEGORY SCORE (0–5)</t>
        </is>
      </c>
      <c r="C87" s="20" t="n"/>
      <c r="D87" s="2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70" t="n"/>
      <c r="F87" s="69" t="n"/>
    </row>
    <row r="88" ht="36" customHeight="1">
      <c r="B88" s="19" t="inlineStr">
        <is>
          <t>Category comments / coaching notes</t>
        </is>
      </c>
      <c r="C88" s="7" t="inlineStr"/>
      <c r="D88" s="70" t="n"/>
      <c r="E88" s="70" t="n"/>
      <c r="F88" s="69" t="n"/>
    </row>
    <row r="90" ht="18" customHeight="1">
      <c r="B90" s="71" t="inlineStr">
        <is>
          <t>6. CUSTOMER EXPERIENCE</t>
        </is>
      </c>
      <c r="C90" s="67" t="n"/>
      <c r="D90" s="67" t="n"/>
      <c r="E90" s="68" t="n"/>
      <c r="F90" s="9" t="inlineStr">
        <is>
          <t>Weight: 5%</t>
        </is>
      </c>
    </row>
    <row r="91" ht="28" customHeight="1">
      <c r="B91" s="10" t="inlineStr">
        <is>
          <t>Objective: Measure the overall customer experience delivered during the interaction.</t>
        </is>
      </c>
      <c r="C91" s="70" t="n"/>
      <c r="D91" s="70" t="n"/>
      <c r="E91" s="70" t="n"/>
      <c r="F91" s="69" t="n"/>
    </row>
    <row r="92">
      <c r="B92" s="4" t="inlineStr">
        <is>
          <t>Behavioral Indicator</t>
        </is>
      </c>
      <c r="C92" s="11" t="inlineStr">
        <is>
          <t>Assessment</t>
        </is>
      </c>
      <c r="D92" s="4" t="inlineStr">
        <is>
          <t>Evidence / Observation (quote or timestamp where possible)</t>
        </is>
      </c>
      <c r="E92" s="70" t="n"/>
      <c r="F92" s="69" t="n"/>
    </row>
    <row r="93" ht="28" customHeight="1">
      <c r="B93" s="12" t="inlineStr">
        <is>
          <t>Empathy was demonstrated (incl. acknowledging cumulative effort and fatigue on repeat contacts)</t>
        </is>
      </c>
      <c r="C93" s="79" t="inlineStr"/>
      <c r="D93" s="12" t="inlineStr"/>
      <c r="E93" s="70" t="n"/>
      <c r="F93" s="69" t="n"/>
    </row>
    <row r="94" ht="28" customHeight="1">
      <c r="B94" s="14" t="inlineStr">
        <is>
          <t>Professionalism was maintained throughout</t>
        </is>
      </c>
      <c r="C94" s="79" t="inlineStr"/>
      <c r="D94" s="14" t="inlineStr"/>
      <c r="E94" s="70" t="n"/>
      <c r="F94" s="69" t="n"/>
    </row>
    <row r="95" ht="28" customHeight="1">
      <c r="B95" s="12" t="inlineStr">
        <is>
          <t>Communication style was adapted to the customer</t>
        </is>
      </c>
      <c r="C95" s="79" t="inlineStr"/>
      <c r="D95" s="12" t="inlineStr"/>
      <c r="E95" s="70" t="n"/>
      <c r="F95" s="69" t="n"/>
    </row>
    <row r="96" ht="28" customHeight="1">
      <c r="B96" s="14" t="inlineStr">
        <is>
          <t>Patience was maintained, even under pressure</t>
        </is>
      </c>
      <c r="C96" s="79" t="inlineStr"/>
      <c r="D96" s="14" t="inlineStr"/>
      <c r="E96" s="70" t="n"/>
      <c r="F96" s="69" t="n"/>
    </row>
    <row r="97" ht="28" customHeight="1">
      <c r="B97" s="12" t="inlineStr">
        <is>
          <t>Customer effort was reduced where possible</t>
        </is>
      </c>
      <c r="C97" s="79" t="inlineStr"/>
      <c r="D97" s="12" t="inlineStr"/>
      <c r="E97" s="70" t="n"/>
      <c r="F97" s="69" t="n"/>
    </row>
    <row r="98" ht="28" customHeight="1">
      <c r="B98" s="14" t="inlineStr">
        <is>
          <t>Customer felt heard, understood next steps, and remained engaged</t>
        </is>
      </c>
      <c r="C98" s="79" t="inlineStr"/>
      <c r="D98" s="14" t="inlineStr"/>
      <c r="E98" s="70" t="n"/>
      <c r="F98" s="69" t="n"/>
    </row>
    <row r="99" ht="28" customHeight="1">
      <c r="B99" s="15" t="inlineStr">
        <is>
          <t>⚠ Negative indicators: dismissive responses; robotic interactions; frustration escalation caused by agent behavior; marathon sessions pushed onto vulnerable customers without offering to pause and resume.</t>
        </is>
      </c>
      <c r="C99" s="70" t="n"/>
      <c r="D99" s="70" t="n"/>
      <c r="E99" s="70" t="n"/>
      <c r="F99" s="69" t="n"/>
    </row>
    <row r="100">
      <c r="B100" s="16" t="inlineStr">
        <is>
          <t>Suggested score (auto from indicators — advisory only; evaluator judgment prevails)</t>
        </is>
      </c>
      <c r="C100" s="17">
        <f>IF((COUNTIF(C93:C98,"Met")+COUNTIF(C93:C98,"Partial")+COUNTIF(C93:C98,"Missed"))=0,"",ROUND((COUNTIF(C93:C98,"Met")*5+COUNTIF(C93:C98,"Partial")*2.5)/(COUNTIF(C93:C98,"Met")+COUNTIF(C93:C98,"Partial")+COUNTIF(C93:C98,"Missed")),1))</f>
        <v/>
      </c>
      <c r="D100" s="18" t="inlineStr"/>
      <c r="E100" s="70" t="n"/>
      <c r="F100" s="69" t="n"/>
    </row>
    <row r="101" ht="24" customHeight="1">
      <c r="B101" s="19" t="inlineStr">
        <is>
          <t>FINAL CATEGORY SCORE (0–5)</t>
        </is>
      </c>
      <c r="C101" s="20" t="n"/>
      <c r="D101" s="2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70" t="n"/>
      <c r="F101" s="69" t="n"/>
    </row>
    <row r="102" ht="36" customHeight="1">
      <c r="B102" s="19" t="inlineStr">
        <is>
          <t>Category comments / coaching notes</t>
        </is>
      </c>
      <c r="C102" s="7" t="inlineStr"/>
      <c r="D102" s="70" t="n"/>
      <c r="E102" s="70" t="n"/>
      <c r="F102" s="69" t="n"/>
    </row>
    <row r="104" ht="18" customHeight="1">
      <c r="B104" s="71" t="inlineStr">
        <is>
          <t>7. DOCUMENTATION &amp; NOTES</t>
        </is>
      </c>
      <c r="C104" s="67" t="n"/>
      <c r="D104" s="67" t="n"/>
      <c r="E104" s="68" t="n"/>
      <c r="F104" s="9" t="inlineStr">
        <is>
          <t>Weight: 5%</t>
        </is>
      </c>
    </row>
    <row r="105" ht="28" customHeight="1">
      <c r="B105" s="10" t="inlineStr">
        <is>
          <t>Objective: Ensure future agents can quickly understand the case. Purpose is continuity, not compliance.</t>
        </is>
      </c>
      <c r="C105" s="70" t="n"/>
      <c r="D105" s="70" t="n"/>
      <c r="E105" s="70" t="n"/>
      <c r="F105" s="69" t="n"/>
    </row>
    <row r="106">
      <c r="B106" s="4" t="inlineStr">
        <is>
          <t>Behavioral Indicator</t>
        </is>
      </c>
      <c r="C106" s="11" t="inlineStr">
        <is>
          <t>Assessment</t>
        </is>
      </c>
      <c r="D106" s="4" t="inlineStr">
        <is>
          <t>Evidence / Observation (quote or timestamp where possible)</t>
        </is>
      </c>
      <c r="E106" s="70" t="n"/>
      <c r="F106" s="69" t="n"/>
    </row>
    <row r="107" ht="28" customHeight="1">
      <c r="B107" s="12" t="inlineStr">
        <is>
          <t>Customer issue summary recorded</t>
        </is>
      </c>
      <c r="C107" s="79" t="inlineStr"/>
      <c r="D107" s="12" t="inlineStr"/>
      <c r="E107" s="70" t="n"/>
      <c r="F107" s="69" t="n"/>
    </row>
    <row r="108" ht="28" customHeight="1">
      <c r="B108" s="14" t="inlineStr">
        <is>
          <t>Troubleshooting performed is documented</t>
        </is>
      </c>
      <c r="C108" s="79" t="inlineStr"/>
      <c r="D108" s="14" t="inlineStr"/>
      <c r="E108" s="70" t="n"/>
      <c r="F108" s="69" t="n"/>
    </row>
    <row r="109" ht="28" customHeight="1">
      <c r="B109" s="12" t="inlineStr">
        <is>
          <t>Key findings / discoveries noted</t>
        </is>
      </c>
      <c r="C109" s="79" t="inlineStr"/>
      <c r="D109" s="12" t="inlineStr"/>
      <c r="E109" s="70" t="n"/>
      <c r="F109" s="69" t="n"/>
    </row>
    <row r="110" ht="28" customHeight="1">
      <c r="B110" s="14" t="inlineStr">
        <is>
          <t>Agent reasoning is captured</t>
        </is>
      </c>
      <c r="C110" s="79" t="inlineStr"/>
      <c r="D110" s="14" t="inlineStr"/>
      <c r="E110" s="70" t="n"/>
      <c r="F110" s="69" t="n"/>
    </row>
    <row r="111" ht="28" customHeight="1">
      <c r="B111" s="12" t="inlineStr">
        <is>
          <t>Escalation justification included — mark N.A. if no escalation</t>
        </is>
      </c>
      <c r="C111" s="79" t="inlineStr"/>
      <c r="D111" s="12" t="inlineStr"/>
      <c r="E111" s="70" t="n"/>
      <c r="F111" s="69" t="n"/>
    </row>
    <row r="112" ht="28" customHeight="1">
      <c r="B112" s="14" t="inlineStr">
        <is>
          <t>Next steps and follow-up actions listed (incl. callback records)</t>
        </is>
      </c>
      <c r="C112" s="79" t="inlineStr"/>
      <c r="D112" s="14" t="inlineStr"/>
      <c r="E112" s="70" t="n"/>
      <c r="F112" s="69" t="n"/>
    </row>
    <row r="113" ht="28" customHeight="1">
      <c r="B113" s="12" t="inlineStr">
        <is>
          <t>Ticket status accurately reflects case state (no premature RESOLVED; closure reason documented)</t>
        </is>
      </c>
      <c r="C113" s="79" t="inlineStr"/>
      <c r="D113" s="12" t="inlineStr"/>
      <c r="E113" s="70" t="n"/>
      <c r="F113" s="69" t="n"/>
    </row>
    <row r="114" ht="28" customHeight="1">
      <c r="B114" s="15" t="inlineStr">
        <is>
          <t>⚠ Documentation supports outcomes but should not outweigh troubleshooting quality, communication, or ownership. Notes must carry the FULL history — including pre-ticket contacts — so no agent treats a long-running case as new.</t>
        </is>
      </c>
      <c r="C114" s="70" t="n"/>
      <c r="D114" s="70" t="n"/>
      <c r="E114" s="70" t="n"/>
      <c r="F114" s="69" t="n"/>
    </row>
    <row r="115">
      <c r="B115" s="16" t="inlineStr">
        <is>
          <t>Suggested score (auto from indicators — advisory only; evaluator judgment prevails)</t>
        </is>
      </c>
      <c r="C115" s="17">
        <f>IF((COUNTIF(C107:C113,"Met")+COUNTIF(C107:C113,"Partial")+COUNTIF(C107:C113,"Missed"))=0,"",ROUND((COUNTIF(C107:C113,"Met")*5+COUNTIF(C107:C113,"Partial")*2.5)/(COUNTIF(C107:C113,"Met")+COUNTIF(C107:C113,"Partial")+COUNTIF(C107:C113,"Missed")),1))</f>
        <v/>
      </c>
      <c r="D115" s="18" t="inlineStr"/>
      <c r="E115" s="70" t="n"/>
      <c r="F115" s="69" t="n"/>
    </row>
    <row r="116" ht="24" customHeight="1">
      <c r="B116" s="19" t="inlineStr">
        <is>
          <t>FINAL CATEGORY SCORE (0–5)</t>
        </is>
      </c>
      <c r="C116" s="20" t="n"/>
      <c r="D116" s="2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70" t="n"/>
      <c r="F116" s="69" t="n"/>
    </row>
    <row r="117" ht="36" customHeight="1">
      <c r="B117" s="19" t="inlineStr">
        <is>
          <t>Category comments / coaching notes</t>
        </is>
      </c>
      <c r="C117" s="7" t="inlineStr"/>
      <c r="D117" s="70" t="n"/>
      <c r="E117" s="70" t="n"/>
      <c r="F117" s="69" t="n"/>
    </row>
    <row r="119">
      <c r="B119" s="8" t="inlineStr">
        <is>
          <t>3 · SCORE SUMMARY</t>
        </is>
      </c>
      <c r="C119" s="67" t="n"/>
      <c r="D119" s="67" t="n"/>
      <c r="E119" s="67" t="n"/>
      <c r="F119" s="68" t="n"/>
    </row>
    <row r="120">
      <c r="B120" s="75" t="inlineStr">
        <is>
          <t>Category</t>
        </is>
      </c>
      <c r="C120" s="75" t="inlineStr">
        <is>
          <t>Weight</t>
        </is>
      </c>
      <c r="D120" s="75" t="inlineStr">
        <is>
          <t>Score (0-5)</t>
        </is>
      </c>
      <c r="E120" s="75" t="inlineStr">
        <is>
          <t>Weighted</t>
        </is>
      </c>
      <c r="F120" s="75" t="inlineStr">
        <is>
          <t>Band</t>
        </is>
      </c>
    </row>
    <row r="121">
      <c r="B121" s="23" t="inlineStr">
        <is>
          <t>Resolution / Progress Toward Resolution</t>
        </is>
      </c>
      <c r="C121" s="24" t="n">
        <v>0.3</v>
      </c>
      <c r="D121" s="25">
        <f>C27</f>
        <v/>
      </c>
      <c r="E121" s="83">
        <f>IF(D121="","",(D121/5)*C121)</f>
        <v/>
      </c>
      <c r="F121" s="82">
        <f>IF(D121="","",IF(D121&gt;=4,"Strong",IF(D121=3,"Developing","Needs Focus")))</f>
        <v/>
      </c>
    </row>
    <row r="122">
      <c r="B122" s="28" t="inlineStr">
        <is>
          <t>Technical Accuracy</t>
        </is>
      </c>
      <c r="C122" s="29" t="n">
        <v>0.2</v>
      </c>
      <c r="D122" s="30">
        <f>C42</f>
        <v/>
      </c>
      <c r="E122" s="78">
        <f>IF(D122="","",(D122/5)*C122)</f>
        <v/>
      </c>
      <c r="F122" s="77">
        <f>IF(D122="","",IF(D122&gt;=4,"Strong",IF(D122=3,"Developing","Needs Focus")))</f>
        <v/>
      </c>
    </row>
    <row r="123">
      <c r="B123" s="23" t="inlineStr">
        <is>
          <t>Communication &amp; Call Control</t>
        </is>
      </c>
      <c r="C123" s="24" t="n">
        <v>0.15</v>
      </c>
      <c r="D123" s="25">
        <f>C58</f>
        <v/>
      </c>
      <c r="E123" s="83">
        <f>IF(D123="","",(D123/5)*C123)</f>
        <v/>
      </c>
      <c r="F123" s="82">
        <f>IF(D123="","",IF(D123&gt;=4,"Strong",IF(D123=3,"Developing","Needs Focus")))</f>
        <v/>
      </c>
    </row>
    <row r="124">
      <c r="B124" s="28" t="inlineStr">
        <is>
          <t>Customer Ownership</t>
        </is>
      </c>
      <c r="C124" s="29" t="n">
        <v>0.15</v>
      </c>
      <c r="D124" s="30">
        <f>C74</f>
        <v/>
      </c>
      <c r="E124" s="78">
        <f>IF(D124="","",(D124/5)*C124)</f>
        <v/>
      </c>
      <c r="F124" s="77">
        <f>IF(D124="","",IF(D124&gt;=4,"Strong",IF(D124=3,"Developing","Needs Focus")))</f>
        <v/>
      </c>
    </row>
    <row r="125">
      <c r="B125" s="23" t="inlineStr">
        <is>
          <t>Escalation Judgment</t>
        </is>
      </c>
      <c r="C125" s="24" t="n">
        <v>0.1</v>
      </c>
      <c r="D125" s="25">
        <f>C87</f>
        <v/>
      </c>
      <c r="E125" s="83">
        <f>IF(D125="","",(D125/5)*C125)</f>
        <v/>
      </c>
      <c r="F125" s="82">
        <f>IF(D125="","",IF(D125&gt;=4,"Strong",IF(D125=3,"Developing","Needs Focus")))</f>
        <v/>
      </c>
    </row>
    <row r="126">
      <c r="B126" s="28" t="inlineStr">
        <is>
          <t>Customer Experience</t>
        </is>
      </c>
      <c r="C126" s="29" t="n">
        <v>0.05</v>
      </c>
      <c r="D126" s="30">
        <f>C101</f>
        <v/>
      </c>
      <c r="E126" s="78">
        <f>IF(D126="","",(D126/5)*C126)</f>
        <v/>
      </c>
      <c r="F126" s="77">
        <f>IF(D126="","",IF(D126&gt;=4,"Strong",IF(D126=3,"Developing","Needs Focus")))</f>
        <v/>
      </c>
    </row>
    <row r="127">
      <c r="B127" s="23" t="inlineStr">
        <is>
          <t>Documentation &amp; Notes</t>
        </is>
      </c>
      <c r="C127" s="24" t="n">
        <v>0.05</v>
      </c>
      <c r="D127" s="25">
        <f>C116</f>
        <v/>
      </c>
      <c r="E127" s="83">
        <f>IF(D127="","",(D127/5)*C127)</f>
        <v/>
      </c>
      <c r="F127" s="82">
        <f>IF(D127="","",IF(D127&gt;=4,"Strong",IF(D127=3,"Developing","Needs Focus")))</f>
        <v/>
      </c>
    </row>
    <row r="128" ht="24" customHeight="1">
      <c r="B128" s="8" t="inlineStr">
        <is>
          <t>WEIGHTED TOTAL SCORE</t>
        </is>
      </c>
      <c r="C128" s="33">
        <f>SUM(C121:C127)</f>
        <v/>
      </c>
      <c r="D128" s="34" t="inlineStr"/>
      <c r="E128" s="35">
        <f>SUM(E121:E127)</f>
        <v/>
      </c>
      <c r="F128" s="36">
        <f>IF(E128="","",IF(E128&gt;=0.85,"MEETS / EXCEEDS",IF(E128&gt;=0.7,"DEVELOPING","NEEDS IMPROVEMENT")))</f>
        <v/>
      </c>
    </row>
    <row r="130">
      <c r="B130" s="71" t="inlineStr">
        <is>
          <t>4 · RESOLUTION OUTCOME</t>
        </is>
      </c>
      <c r="C130" s="67" t="n"/>
      <c r="D130" s="67" t="n"/>
      <c r="E130" s="67" t="n"/>
      <c r="F130" s="68" t="n"/>
    </row>
    <row r="131">
      <c r="B131" s="4" t="inlineStr">
        <is>
          <t>Outcome classification</t>
        </is>
      </c>
      <c r="C131" s="37" t="inlineStr"/>
      <c r="D131" s="70" t="n"/>
      <c r="E131" s="70" t="n"/>
      <c r="F131" s="69" t="n"/>
    </row>
    <row r="132">
      <c r="B132" s="6" t="inlineStr">
        <is>
          <t>Primary positive outcome achieved</t>
        </is>
      </c>
      <c r="C132" s="81" t="inlineStr"/>
      <c r="D132" s="70" t="n"/>
      <c r="E132" s="70" t="n"/>
      <c r="F132" s="69" t="n"/>
    </row>
    <row r="133" ht="52" customHeight="1">
      <c r="B133" s="4" t="inlineStr">
        <is>
          <t>Justification</t>
        </is>
      </c>
      <c r="C133" s="7" t="inlineStr"/>
      <c r="D133" s="70" t="n"/>
      <c r="E133" s="70" t="n"/>
      <c r="F133" s="69" t="n"/>
    </row>
    <row r="135">
      <c r="B135" s="71" t="inlineStr">
        <is>
          <t>5 · DISCONNECTED CALL FOLLOW-UP</t>
        </is>
      </c>
      <c r="C135" s="67" t="n"/>
      <c r="D135" s="67" t="n"/>
      <c r="E135" s="67" t="n"/>
      <c r="F135" s="68" t="n"/>
    </row>
    <row r="136">
      <c r="B136" s="6" t="inlineStr">
        <is>
          <t>Did the interaction disconnect before completion?</t>
        </is>
      </c>
      <c r="C136" s="79" t="inlineStr">
        <is>
          <t>No</t>
        </is>
      </c>
      <c r="D136" s="15" t="inlineStr">
        <is>
          <t>If Yes, at least one documented follow-up action is required.</t>
        </is>
      </c>
      <c r="E136" s="70" t="n"/>
      <c r="F136" s="69" t="n"/>
    </row>
    <row r="137" ht="30" customHeight="1">
      <c r="B137" s="4" t="inlineStr">
        <is>
          <t>Follow-up action taken</t>
        </is>
      </c>
      <c r="C137" s="81" t="inlineStr">
        <is>
          <t>N.A. — no disconnect</t>
        </is>
      </c>
      <c r="D137" s="69" t="n"/>
      <c r="E137" s="38">
        <f>IF(AND(C136="Yes",OR(C137="None",C137="N.A. — no disconnect")),"⚠ MISSED OWNERSHIP OPPORTUNITY — flag in Customer Ownership and Critical Failures","OK")</f>
        <v/>
      </c>
      <c r="F137" s="69" t="n"/>
    </row>
    <row r="139">
      <c r="B139" s="39" t="inlineStr">
        <is>
          <t>6 · CRITICAL FAILURE CONDITIONS  (any 'Yes' triggers automatic review / coaching / QA failure regardless of score)</t>
        </is>
      </c>
      <c r="C139" s="67" t="n"/>
      <c r="D139" s="67" t="n"/>
      <c r="E139" s="67" t="n"/>
      <c r="F139" s="68" t="n"/>
    </row>
    <row r="140">
      <c r="B140" s="71" t="inlineStr">
        <is>
          <t>Condition</t>
        </is>
      </c>
      <c r="C140" s="75" t="inlineStr">
        <is>
          <t>Present?</t>
        </is>
      </c>
      <c r="D140" s="71" t="inlineStr">
        <is>
          <t>Notes / Evidence</t>
        </is>
      </c>
      <c r="E140" s="67" t="n"/>
      <c r="F140" s="68" t="n"/>
    </row>
    <row r="141" ht="26" customHeight="1">
      <c r="B141" s="12" t="inlineStr">
        <is>
          <t>Harmful or incorrect troubleshooting provided</t>
        </is>
      </c>
      <c r="C141" s="79" t="inlineStr">
        <is>
          <t>No</t>
        </is>
      </c>
      <c r="D141" s="12" t="inlineStr"/>
      <c r="E141" s="70" t="n"/>
      <c r="F141" s="69" t="n"/>
    </row>
    <row r="142" ht="26" customHeight="1">
      <c r="B142" s="14" t="inlineStr">
        <is>
          <t>Misrepresented product capabilities</t>
        </is>
      </c>
      <c r="C142" s="79" t="inlineStr">
        <is>
          <t>No</t>
        </is>
      </c>
      <c r="D142" s="14" t="inlineStr"/>
      <c r="E142" s="70" t="n"/>
      <c r="F142" s="69" t="n"/>
    </row>
    <row r="143" ht="26" customHeight="1">
      <c r="B143" s="12" t="inlineStr">
        <is>
          <t>Unsupported root-cause claims (e.g., ISP/customer blame w/o evidence)</t>
        </is>
      </c>
      <c r="C143" s="79" t="inlineStr">
        <is>
          <t>No</t>
        </is>
      </c>
      <c r="D143" s="12" t="inlineStr"/>
      <c r="E143" s="70" t="n"/>
      <c r="F143" s="69" t="n"/>
    </row>
    <row r="144" ht="26" customHeight="1">
      <c r="B144" s="14" t="inlineStr">
        <is>
          <t>No follow-up after disconnected call</t>
        </is>
      </c>
      <c r="C144" s="79" t="inlineStr">
        <is>
          <t>No</t>
        </is>
      </c>
      <c r="D144" s="14" t="inlineStr"/>
      <c r="E144" s="70" t="n"/>
      <c r="F144" s="69" t="n"/>
    </row>
    <row r="145" ht="26" customHeight="1">
      <c r="B145" s="12" t="inlineStr">
        <is>
          <t>Failed to complete a promised action (incl. missed agreed callback window)</t>
        </is>
      </c>
      <c r="C145" s="79" t="inlineStr">
        <is>
          <t>No</t>
        </is>
      </c>
      <c r="D145" s="12" t="inlineStr"/>
      <c r="E145" s="70" t="n"/>
      <c r="F145" s="69" t="n"/>
    </row>
    <row r="146" ht="26" customHeight="1">
      <c r="B146" s="14" t="inlineStr">
        <is>
          <t>Abandoned customer without a path forward</t>
        </is>
      </c>
      <c r="C146" s="79" t="inlineStr">
        <is>
          <t>No</t>
        </is>
      </c>
      <c r="D146" s="14" t="inlineStr"/>
      <c r="E146" s="70" t="n"/>
      <c r="F146" s="69" t="n"/>
    </row>
    <row r="147" ht="26" customHeight="1">
      <c r="B147" s="12" t="inlineStr">
        <is>
          <t>Escalated without reasonable troubleshooting / to avoid ownership</t>
        </is>
      </c>
      <c r="C147" s="79" t="inlineStr">
        <is>
          <t>No</t>
        </is>
      </c>
      <c r="D147" s="12" t="inlineStr"/>
      <c r="E147" s="70" t="n"/>
      <c r="F147" s="69" t="n"/>
    </row>
    <row r="148" ht="26" customHeight="1">
      <c r="B148" s="14" t="inlineStr">
        <is>
          <t>Unprofessional, rude, or dismissive conduct / policy violation</t>
        </is>
      </c>
      <c r="C148" s="79" t="inlineStr">
        <is>
          <t>No</t>
        </is>
      </c>
      <c r="D148" s="14" t="inlineStr"/>
      <c r="E148" s="70" t="n"/>
      <c r="F148" s="69" t="n"/>
    </row>
    <row r="149" ht="26" customHeight="1">
      <c r="B149" s="12" t="inlineStr">
        <is>
          <t>Compliance / security violation (e.g., payment card data spoken or stored in plaintext — PCI DSS)</t>
        </is>
      </c>
      <c r="C149" s="79" t="inlineStr">
        <is>
          <t>No</t>
        </is>
      </c>
      <c r="D149" s="12" t="inlineStr"/>
      <c r="E149" s="70" t="n"/>
      <c r="F149" s="69" t="n"/>
    </row>
    <row r="150" ht="26" customHeight="1">
      <c r="B150" s="14" t="inlineStr">
        <is>
          <t>Case marked Resolved while issue known to be unresolved (premature closure / no closure reason)</t>
        </is>
      </c>
      <c r="C150" s="79" t="inlineStr">
        <is>
          <t>No</t>
        </is>
      </c>
      <c r="D150" s="14" t="inlineStr"/>
      <c r="E150" s="70" t="n"/>
      <c r="F150" s="69" t="n"/>
    </row>
    <row r="151" ht="26" customHeight="1">
      <c r="B151" s="12" t="inlineStr">
        <is>
          <t>Customer complaint, management-contact, or legal-risk request not escalated</t>
        </is>
      </c>
      <c r="C151" s="79" t="inlineStr">
        <is>
          <t>No</t>
        </is>
      </c>
      <c r="D151" s="12" t="inlineStr"/>
      <c r="E151" s="70" t="n"/>
      <c r="F151" s="69" t="n"/>
    </row>
    <row r="152">
      <c r="B152" s="39" t="inlineStr">
        <is>
          <t>CRITICAL FAILURE FLAGGED?</t>
        </is>
      </c>
      <c r="C152" s="40">
        <f>IF(COUNTIF(C141:C151,"Yes")&gt;0,"YES — "&amp;COUNTIF(C141:C151,"Yes")&amp;" condition(s) flagged — automatic review required regardless of weighted score","No critical failures")</f>
        <v/>
      </c>
      <c r="D152" s="67" t="n"/>
      <c r="E152" s="67" t="n"/>
      <c r="F152" s="68" t="n"/>
    </row>
    <row r="154">
      <c r="B154" s="8" t="inlineStr">
        <is>
          <t>7 · COACHING &amp; FEEDBACK  (every review must produce at least one actionable coaching opportunity)</t>
        </is>
      </c>
      <c r="C154" s="67" t="n"/>
      <c r="D154" s="67" t="n"/>
      <c r="E154" s="67" t="n"/>
      <c r="F154" s="68" t="n"/>
    </row>
    <row r="155">
      <c r="B155" s="71" t="inlineStr">
        <is>
          <t>WHAT WENT WELL — behaviors to repeat</t>
        </is>
      </c>
      <c r="C155" s="67" t="n"/>
      <c r="D155" s="67" t="n"/>
      <c r="E155" s="67" t="n"/>
      <c r="F155" s="68" t="n"/>
    </row>
    <row r="156" ht="32" customHeight="1">
      <c r="B156" s="11" t="inlineStr">
        <is>
          <t>1.</t>
        </is>
      </c>
      <c r="C156" s="7" t="inlineStr"/>
      <c r="D156" s="70" t="n"/>
      <c r="E156" s="70" t="n"/>
      <c r="F156" s="69" t="n"/>
    </row>
    <row r="157" ht="32" customHeight="1">
      <c r="B157" s="11" t="inlineStr">
        <is>
          <t>2.</t>
        </is>
      </c>
      <c r="C157" s="7" t="inlineStr"/>
      <c r="D157" s="70" t="n"/>
      <c r="E157" s="70" t="n"/>
      <c r="F157" s="69" t="n"/>
    </row>
    <row r="158" ht="32" customHeight="1">
      <c r="B158" s="11" t="inlineStr">
        <is>
          <t>3.</t>
        </is>
      </c>
      <c r="C158" s="7" t="inlineStr"/>
      <c r="D158" s="70" t="n"/>
      <c r="E158" s="70" t="n"/>
      <c r="F158" s="69" t="n"/>
    </row>
    <row r="159">
      <c r="B159" s="71" t="inlineStr">
        <is>
          <t>IMPROVEMENT OPPORTUNITIES — behaviors to improve</t>
        </is>
      </c>
      <c r="C159" s="67" t="n"/>
      <c r="D159" s="67" t="n"/>
      <c r="E159" s="67" t="n"/>
      <c r="F159" s="68" t="n"/>
    </row>
    <row r="160" ht="32" customHeight="1">
      <c r="B160" s="11" t="inlineStr">
        <is>
          <t>1.</t>
        </is>
      </c>
      <c r="C160" s="7" t="inlineStr"/>
      <c r="D160" s="70" t="n"/>
      <c r="E160" s="70" t="n"/>
      <c r="F160" s="69" t="n"/>
    </row>
    <row r="161" ht="32" customHeight="1">
      <c r="B161" s="11" t="inlineStr">
        <is>
          <t>2.</t>
        </is>
      </c>
      <c r="C161" s="7" t="inlineStr"/>
      <c r="D161" s="70" t="n"/>
      <c r="E161" s="70" t="n"/>
      <c r="F161" s="69" t="n"/>
    </row>
    <row r="162" ht="32" customHeight="1">
      <c r="B162" s="11" t="inlineStr">
        <is>
          <t>3.</t>
        </is>
      </c>
      <c r="C162" s="7" t="inlineStr"/>
      <c r="D162" s="70" t="n"/>
      <c r="E162" s="70" t="n"/>
      <c r="F162" s="69" t="n"/>
    </row>
    <row r="163">
      <c r="B163" s="71" t="inlineStr">
        <is>
          <t>COACHING RECOMMENDATION — specific actions the agent should apply going forward</t>
        </is>
      </c>
      <c r="C163" s="67" t="n"/>
      <c r="D163" s="67" t="n"/>
      <c r="E163" s="67" t="n"/>
      <c r="F163" s="68" t="n"/>
    </row>
    <row r="164" ht="58" customHeight="1">
      <c r="B164" s="7" t="inlineStr"/>
      <c r="C164" s="70" t="n"/>
      <c r="D164" s="70" t="n"/>
      <c r="E164" s="70" t="n"/>
      <c r="F164" s="69" t="n"/>
    </row>
    <row r="165">
      <c r="B165" s="71" t="inlineStr">
        <is>
          <t>ORGANIZATIONAL INSIGHTS — training / process / KB / chatbot / tooling / product gaps discovered</t>
        </is>
      </c>
      <c r="C165" s="67" t="n"/>
      <c r="D165" s="67" t="n"/>
      <c r="E165" s="67" t="n"/>
      <c r="F165" s="68" t="n"/>
    </row>
    <row r="166" ht="70" customHeight="1">
      <c r="B166" s="7" t="inlineStr"/>
      <c r="C166" s="70" t="n"/>
      <c r="D166" s="70" t="n"/>
      <c r="E166" s="70" t="n"/>
      <c r="F166" s="69" t="n"/>
    </row>
    <row r="167">
      <c r="B167" s="71" t="inlineStr">
        <is>
          <t>MULTI-TOUCH / JOURNEY NOTES — handoff quality received &amp; passed, continuity, where the chain stands</t>
        </is>
      </c>
      <c r="C167" s="67" t="n"/>
      <c r="D167" s="67" t="n"/>
      <c r="E167" s="67" t="n"/>
      <c r="F167" s="68" t="n"/>
    </row>
    <row r="168" ht="58" customHeight="1">
      <c r="B168" s="7" t="inlineStr"/>
      <c r="C168" s="70" t="n"/>
      <c r="D168" s="70" t="n"/>
      <c r="E168" s="70" t="n"/>
      <c r="F168" s="69" t="n"/>
    </row>
    <row r="169">
      <c r="B169" s="71" t="inlineStr">
        <is>
          <t>FINAL QA ASSESSMENT — customer outcome, support quality, and coaching value</t>
        </is>
      </c>
      <c r="C169" s="67" t="n"/>
      <c r="D169" s="67" t="n"/>
      <c r="E169" s="67" t="n"/>
      <c r="F169" s="68" t="n"/>
    </row>
    <row r="170" ht="58" customHeight="1">
      <c r="B170" s="7" t="inlineStr"/>
      <c r="C170" s="70" t="n"/>
      <c r="D170" s="70" t="n"/>
      <c r="E170" s="70" t="n"/>
      <c r="F170" s="69"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E9:F9"/>
    <mergeCell ref="C156:F156"/>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0">
      <formula>"Met"</formula>
    </cfRule>
    <cfRule type="cellIs" priority="2" operator="equal" dxfId="1">
      <formula>"Partial"</formula>
    </cfRule>
    <cfRule type="cellIs" priority="3" operator="equal" dxfId="2">
      <formula>"Missed"</formula>
    </cfRule>
  </conditionalFormatting>
  <conditionalFormatting sqref="C27">
    <cfRule type="cellIs" priority="4" operator="lessThanOrEqual" dxfId="2">
      <formula>2</formula>
    </cfRule>
    <cfRule type="cellIs" priority="5" operator="equal" dxfId="1">
      <formula>3</formula>
    </cfRule>
    <cfRule type="cellIs" priority="6" operator="greaterThanOrEqual" dxfId="0">
      <formula>4</formula>
    </cfRule>
  </conditionalFormatting>
  <conditionalFormatting sqref="C33:C39">
    <cfRule type="cellIs" priority="7" operator="equal" dxfId="0">
      <formula>"Met"</formula>
    </cfRule>
    <cfRule type="cellIs" priority="8" operator="equal" dxfId="1">
      <formula>"Partial"</formula>
    </cfRule>
    <cfRule type="cellIs" priority="9" operator="equal" dxfId="2">
      <formula>"Missed"</formula>
    </cfRule>
  </conditionalFormatting>
  <conditionalFormatting sqref="C42">
    <cfRule type="cellIs" priority="10" operator="lessThanOrEqual" dxfId="2">
      <formula>2</formula>
    </cfRule>
    <cfRule type="cellIs" priority="11" operator="equal" dxfId="1">
      <formula>3</formula>
    </cfRule>
    <cfRule type="cellIs" priority="12" operator="greaterThanOrEqual" dxfId="0">
      <formula>4</formula>
    </cfRule>
  </conditionalFormatting>
  <conditionalFormatting sqref="C48:C55">
    <cfRule type="cellIs" priority="13" operator="equal" dxfId="0">
      <formula>"Met"</formula>
    </cfRule>
    <cfRule type="cellIs" priority="14" operator="equal" dxfId="1">
      <formula>"Partial"</formula>
    </cfRule>
    <cfRule type="cellIs" priority="15" operator="equal" dxfId="2">
      <formula>"Missed"</formula>
    </cfRule>
  </conditionalFormatting>
  <conditionalFormatting sqref="C58">
    <cfRule type="cellIs" priority="16" operator="lessThanOrEqual" dxfId="2">
      <formula>2</formula>
    </cfRule>
    <cfRule type="cellIs" priority="17" operator="equal" dxfId="1">
      <formula>3</formula>
    </cfRule>
    <cfRule type="cellIs" priority="18" operator="greaterThanOrEqual" dxfId="0">
      <formula>4</formula>
    </cfRule>
  </conditionalFormatting>
  <conditionalFormatting sqref="C64:C71">
    <cfRule type="cellIs" priority="19" operator="equal" dxfId="0">
      <formula>"Met"</formula>
    </cfRule>
    <cfRule type="cellIs" priority="20" operator="equal" dxfId="1">
      <formula>"Partial"</formula>
    </cfRule>
    <cfRule type="cellIs" priority="21" operator="equal" dxfId="2">
      <formula>"Missed"</formula>
    </cfRule>
  </conditionalFormatting>
  <conditionalFormatting sqref="C74">
    <cfRule type="cellIs" priority="22" operator="lessThanOrEqual" dxfId="2">
      <formula>2</formula>
    </cfRule>
    <cfRule type="cellIs" priority="23" operator="equal" dxfId="1">
      <formula>3</formula>
    </cfRule>
    <cfRule type="cellIs" priority="24" operator="greaterThanOrEqual" dxfId="0">
      <formula>4</formula>
    </cfRule>
  </conditionalFormatting>
  <conditionalFormatting sqref="C80:C84">
    <cfRule type="cellIs" priority="25" operator="equal" dxfId="0">
      <formula>"Met"</formula>
    </cfRule>
    <cfRule type="cellIs" priority="26" operator="equal" dxfId="1">
      <formula>"Partial"</formula>
    </cfRule>
    <cfRule type="cellIs" priority="27" operator="equal" dxfId="2">
      <formula>"Missed"</formula>
    </cfRule>
  </conditionalFormatting>
  <conditionalFormatting sqref="C87">
    <cfRule type="cellIs" priority="28" operator="lessThanOrEqual" dxfId="2">
      <formula>2</formula>
    </cfRule>
    <cfRule type="cellIs" priority="29" operator="equal" dxfId="1">
      <formula>3</formula>
    </cfRule>
    <cfRule type="cellIs" priority="30" operator="greaterThanOrEqual" dxfId="0">
      <formula>4</formula>
    </cfRule>
  </conditionalFormatting>
  <conditionalFormatting sqref="C93:C98">
    <cfRule type="cellIs" priority="31" operator="equal" dxfId="0">
      <formula>"Met"</formula>
    </cfRule>
    <cfRule type="cellIs" priority="32" operator="equal" dxfId="1">
      <formula>"Partial"</formula>
    </cfRule>
    <cfRule type="cellIs" priority="33" operator="equal" dxfId="2">
      <formula>"Missed"</formula>
    </cfRule>
  </conditionalFormatting>
  <conditionalFormatting sqref="C101">
    <cfRule type="cellIs" priority="34" operator="lessThanOrEqual" dxfId="2">
      <formula>2</formula>
    </cfRule>
    <cfRule type="cellIs" priority="35" operator="equal" dxfId="1">
      <formula>3</formula>
    </cfRule>
    <cfRule type="cellIs" priority="36" operator="greaterThanOrEqual" dxfId="0">
      <formula>4</formula>
    </cfRule>
  </conditionalFormatting>
  <conditionalFormatting sqref="C107:C113">
    <cfRule type="cellIs" priority="37" operator="equal" dxfId="0">
      <formula>"Met"</formula>
    </cfRule>
    <cfRule type="cellIs" priority="38" operator="equal" dxfId="1">
      <formula>"Partial"</formula>
    </cfRule>
    <cfRule type="cellIs" priority="39" operator="equal" dxfId="2">
      <formula>"Missed"</formula>
    </cfRule>
  </conditionalFormatting>
  <conditionalFormatting sqref="C116">
    <cfRule type="cellIs" priority="40" operator="lessThanOrEqual" dxfId="2">
      <formula>2</formula>
    </cfRule>
    <cfRule type="cellIs" priority="41" operator="equal" dxfId="1">
      <formula>3</formula>
    </cfRule>
    <cfRule type="cellIs" priority="42" operator="greaterThanOrEqual" dxfId="0">
      <formula>4</formula>
    </cfRule>
  </conditionalFormatting>
  <conditionalFormatting sqref="E128">
    <cfRule type="cellIs" priority="43" operator="greaterThanOrEqual" dxfId="3">
      <formula>0.85</formula>
    </cfRule>
    <cfRule type="cellIs" priority="44" operator="between" dxfId="4">
      <formula>0.70</formula>
      <formula>0.8499</formula>
    </cfRule>
    <cfRule type="cellIs" priority="45" operator="lessThan" dxfId="5">
      <formula>0.70</formula>
    </cfRule>
  </conditionalFormatting>
  <conditionalFormatting sqref="F121:F127">
    <cfRule type="cellIs" priority="46" operator="equal" dxfId="6">
      <formula>"Strong"</formula>
    </cfRule>
    <cfRule type="cellIs" priority="47" operator="equal" dxfId="7">
      <formula>"Developing"</formula>
    </cfRule>
    <cfRule type="cellIs" priority="48" operator="equal" dxfId="8">
      <formula>"Needs Focus"</formula>
    </cfRule>
  </conditionalFormatting>
  <conditionalFormatting sqref="E137">
    <cfRule type="expression" priority="49" dxfId="2">
      <formula>E137&lt;&gt;"OK"</formula>
    </cfRule>
    <cfRule type="expression" priority="50" dxfId="0">
      <formula>E137="OK"</formula>
    </cfRule>
  </conditionalFormatting>
  <conditionalFormatting sqref="C141:C151">
    <cfRule type="cellIs" priority="51" operator="equal" dxfId="2">
      <formula>"Yes"</formula>
    </cfRule>
  </conditionalFormatting>
  <conditionalFormatting sqref="C152">
    <cfRule type="expression" priority="52" dxfId="2">
      <formula>ISNUMBER(SEARCH("YES",C152))</formula>
    </cfRule>
    <cfRule type="expression" priority="53" dxfId="0">
      <formula>NOT(ISNUMBER(SEARCH("YES",C152)))</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operator="between">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5"/>
  <cols>
    <col width="4" customWidth="1" min="1" max="1"/>
    <col width="30" customWidth="1" min="2" max="2"/>
    <col width="10" customWidth="1" min="3" max="3"/>
    <col width="80" customWidth="1" min="4" max="4"/>
  </cols>
  <sheetData>
    <row r="1" ht="26" customHeight="1">
      <c r="B1" s="1" t="inlineStr">
        <is>
          <t>SCORING GUIDE &amp; CATEGORY CRITERIA</t>
        </is>
      </c>
      <c r="C1" s="67" t="n"/>
      <c r="D1" s="68" t="n"/>
    </row>
    <row r="3">
      <c r="B3" s="71" t="inlineStr">
        <is>
          <t>How to use this form</t>
        </is>
      </c>
      <c r="C3" s="67" t="n"/>
      <c r="D3" s="68" t="n"/>
    </row>
    <row r="4">
      <c r="B4" s="12" t="inlineStr">
        <is>
          <t>1. Fill in Case Information, the Case Summary, and (for multi-touch cases) the Inherited Context field.</t>
        </is>
      </c>
      <c r="C4" s="70" t="n"/>
      <c r="D4" s="69" t="n"/>
    </row>
    <row r="5">
      <c r="B5" s="14" t="inlineStr">
        <is>
          <t>2. For each category, rate every behavioral indicator: Met / Partial / Missed / N.A. (N.A. excludes it from the suggested score).</t>
        </is>
      </c>
      <c r="C5" s="70" t="n"/>
      <c r="D5" s="69" t="n"/>
    </row>
    <row r="6">
      <c r="B6" s="12" t="inlineStr">
        <is>
          <t>3. Record evidence — quotes, timestamps, or note excerpts — beside each indicator.</t>
        </is>
      </c>
      <c r="C6" s="70" t="n"/>
      <c r="D6" s="69" t="n"/>
    </row>
    <row r="7">
      <c r="B7" s="14" t="inlineStr">
        <is>
          <t>4. Review the auto-suggested score, then assign the FINAL 0-5 score using evaluator judgment and the anchors below.</t>
        </is>
      </c>
      <c r="C7" s="70" t="n"/>
      <c r="D7" s="69" t="n"/>
    </row>
    <row r="8">
      <c r="B8" s="12" t="inlineStr">
        <is>
          <t>5. Classify the Resolution Outcome and the primary positive outcome achieved.</t>
        </is>
      </c>
      <c r="C8" s="70" t="n"/>
      <c r="D8" s="69" t="n"/>
    </row>
    <row r="9">
      <c r="B9" s="14" t="inlineStr">
        <is>
          <t>6. Complete the Disconnect Follow-Up check and the Critical Failure checklist.</t>
        </is>
      </c>
      <c r="C9" s="70" t="n"/>
      <c r="D9" s="69" t="n"/>
    </row>
    <row r="10">
      <c r="B10" s="12" t="inlineStr">
        <is>
          <t>7. Write coaching feedback: at least one actionable coaching opportunity is required; add an operational improvement recommendation where applicable.</t>
        </is>
      </c>
      <c r="C10" s="70" t="n"/>
      <c r="D10" s="69" t="n"/>
    </row>
    <row r="11">
      <c r="B11" s="14" t="inlineStr">
        <is>
          <t>8. For multi-touch cases, also read the Multi-Touch Guide sheet and log every touch in the Case Tracker under the same Case ID.</t>
        </is>
      </c>
      <c r="C11" s="70" t="n"/>
      <c r="D11" s="69" t="n"/>
    </row>
    <row r="13">
      <c r="B13" s="71" t="inlineStr">
        <is>
          <t>Score Anchors (0–5 scale)</t>
        </is>
      </c>
      <c r="C13" s="67" t="n"/>
      <c r="D13" s="68" t="n"/>
    </row>
    <row r="14">
      <c r="B14" s="75" t="inlineStr">
        <is>
          <t>Score</t>
        </is>
      </c>
      <c r="C14" s="71" t="inlineStr">
        <is>
          <t>Description</t>
        </is>
      </c>
      <c r="D14" s="68" t="n"/>
    </row>
    <row r="15">
      <c r="B15" s="41" t="inlineStr">
        <is>
          <t>5</t>
        </is>
      </c>
      <c r="C15" s="12" t="inlineStr">
        <is>
          <t>Issue resolved or strongest available outcome achieved</t>
        </is>
      </c>
      <c r="D15" s="69" t="n"/>
    </row>
    <row r="16">
      <c r="B16" s="42" t="inlineStr">
        <is>
          <t>4</t>
        </is>
      </c>
      <c r="C16" s="14" t="inlineStr">
        <is>
          <t>Significant progress made with clear next steps</t>
        </is>
      </c>
      <c r="D16" s="69" t="n"/>
    </row>
    <row r="17">
      <c r="B17" s="41" t="inlineStr">
        <is>
          <t>3</t>
        </is>
      </c>
      <c r="C17" s="12" t="inlineStr">
        <is>
          <t>Partial progress made but opportunities missed</t>
        </is>
      </c>
      <c r="D17" s="69" t="n"/>
    </row>
    <row r="18">
      <c r="B18" s="42" t="inlineStr">
        <is>
          <t>2</t>
        </is>
      </c>
      <c r="C18" s="14" t="inlineStr">
        <is>
          <t>Limited progress despite available troubleshooting paths</t>
        </is>
      </c>
      <c r="D18" s="69" t="n"/>
    </row>
    <row r="19">
      <c r="B19" s="41" t="inlineStr">
        <is>
          <t>1</t>
        </is>
      </c>
      <c r="C19" s="12" t="inlineStr">
        <is>
          <t>Little or no meaningful progress</t>
        </is>
      </c>
      <c r="D19" s="69" t="n"/>
    </row>
    <row r="20">
      <c r="B20" s="42" t="inlineStr">
        <is>
          <t>0</t>
        </is>
      </c>
      <c r="C20" s="14" t="inlineStr">
        <is>
          <t>Agent actions delayed, prevented, or negatively impacted resolution</t>
        </is>
      </c>
      <c r="D20" s="69" t="n"/>
    </row>
    <row r="22">
      <c r="B22" s="71" t="inlineStr">
        <is>
          <t>Indicator ratings</t>
        </is>
      </c>
      <c r="C22" s="67" t="n"/>
      <c r="D22" s="68" t="n"/>
    </row>
    <row r="23">
      <c r="B23" s="41" t="inlineStr">
        <is>
          <t>Met</t>
        </is>
      </c>
      <c r="C23" s="12" t="inlineStr">
        <is>
          <t>Behavior fully demonstrated (counts as 5 toward the suggested score)</t>
        </is>
      </c>
      <c r="D23" s="69" t="n"/>
    </row>
    <row r="24">
      <c r="B24" s="42" t="inlineStr">
        <is>
          <t>Partial</t>
        </is>
      </c>
      <c r="C24" s="14" t="inlineStr">
        <is>
          <t>Behavior attempted but incomplete or inconsistent (counts as 2.5)</t>
        </is>
      </c>
      <c r="D24" s="69" t="n"/>
    </row>
    <row r="25">
      <c r="B25" s="41" t="inlineStr">
        <is>
          <t>Missed</t>
        </is>
      </c>
      <c r="C25" s="12" t="inlineStr">
        <is>
          <t>Behavior expected but not demonstrated (counts as 0)</t>
        </is>
      </c>
      <c r="D25" s="69" t="n"/>
    </row>
    <row r="26">
      <c r="B26" s="42" t="inlineStr">
        <is>
          <t>N.A.</t>
        </is>
      </c>
      <c r="C26" s="14" t="inlineStr">
        <is>
          <t>Not applicable to this interaction (excluded from the suggested score)</t>
        </is>
      </c>
      <c r="D26" s="69" t="n"/>
    </row>
    <row r="28">
      <c r="B28" s="71" t="inlineStr">
        <is>
          <t>Category Objectives &amp; Watch-Fors</t>
        </is>
      </c>
      <c r="C28" s="67" t="n"/>
      <c r="D28" s="68" t="n"/>
    </row>
    <row r="29" ht="60" customHeight="1">
      <c r="B29" s="43" t="inlineStr">
        <is>
          <t>Resolution / Progress Toward Resolution (30%)</t>
        </is>
      </c>
      <c r="C29" s="12"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69" t="n"/>
    </row>
    <row r="30" ht="60" customHeight="1">
      <c r="B30" s="44" t="inlineStr">
        <is>
          <t>Technical Accuracy (20%)</t>
        </is>
      </c>
      <c r="C30" s="45"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69" t="n"/>
    </row>
    <row r="31" ht="60" customHeight="1">
      <c r="B31" s="43" t="inlineStr">
        <is>
          <t>Communication &amp; Call Control (15%)</t>
        </is>
      </c>
      <c r="C31" s="12" t="inlineStr">
        <is>
          <t>Evaluate how effectively the agent managed the interaction. High performance: customer always knows what is happening and the agent drives the call confidently. One instruction at a time for customers who need it.</t>
        </is>
      </c>
      <c r="D31" s="69" t="n"/>
    </row>
    <row r="32" ht="60" customHeight="1">
      <c r="B32" s="44" t="inlineStr">
        <is>
          <t>Customer Ownership (15%)</t>
        </is>
      </c>
      <c r="C32" s="45"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69" t="n"/>
    </row>
    <row r="33" ht="60" customHeight="1">
      <c r="B33" s="43" t="inlineStr">
        <is>
          <t>Escalation Judgment (10%)</t>
        </is>
      </c>
      <c r="C33" s="12"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69" t="n"/>
    </row>
    <row r="34" ht="60" customHeight="1">
      <c r="B34" s="44" t="inlineStr">
        <is>
          <t>Customer Experience (5%)</t>
        </is>
      </c>
      <c r="C34" s="45"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69" t="n"/>
    </row>
    <row r="35" ht="60" customHeight="1">
      <c r="B35" s="43" t="inlineStr">
        <is>
          <t>Documentation &amp; Notes (5%)</t>
        </is>
      </c>
      <c r="C35" s="12"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69" t="n"/>
    </row>
    <row r="37">
      <c r="B37" s="71" t="inlineStr">
        <is>
          <t>Overall Result Bands</t>
        </is>
      </c>
      <c r="C37" s="67" t="n"/>
      <c r="D37" s="68" t="n"/>
    </row>
    <row r="38">
      <c r="B38" s="46" t="inlineStr">
        <is>
          <t>≥ 85%</t>
        </is>
      </c>
      <c r="C38" s="47" t="inlineStr">
        <is>
          <t>Meets / Exceeds — strong support behavior</t>
        </is>
      </c>
      <c r="D38" s="69" t="n"/>
    </row>
    <row r="39">
      <c r="B39" s="48" t="inlineStr">
        <is>
          <t>70–84%</t>
        </is>
      </c>
      <c r="C39" s="49" t="inlineStr">
        <is>
          <t>Developing — coaching opportunities present</t>
        </is>
      </c>
      <c r="D39" s="69" t="n"/>
    </row>
    <row r="40">
      <c r="B40" s="50" t="inlineStr">
        <is>
          <t>&lt; 70%</t>
        </is>
      </c>
      <c r="C40" s="51" t="inlineStr">
        <is>
          <t>Needs improvement — prioritized coaching required</t>
        </is>
      </c>
      <c r="D40" s="69" t="n"/>
    </row>
    <row r="42" ht="40" customHeight="1">
      <c r="B42" s="52"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67" t="n"/>
      <c r="D42" s="68" t="n"/>
    </row>
  </sheetData>
  <mergeCells count="36">
    <mergeCell ref="B11:D11"/>
    <mergeCell ref="C34:D34"/>
    <mergeCell ref="B42:D42"/>
    <mergeCell ref="C24:D24"/>
    <mergeCell ref="C30:D30"/>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1"/>
  <sheetViews>
    <sheetView showGridLines="0" workbookViewId="0">
      <pane ySplit="2" topLeftCell="A3" activePane="bottomLeft" state="frozen"/>
      <selection pane="bottomLeft" activeCell="A1" sqref="A1"/>
    </sheetView>
  </sheetViews>
  <sheetFormatPr baseColWidth="8" defaultRowHeight="15"/>
  <cols>
    <col width="4" customWidth="1" min="1" max="1"/>
    <col width="34" customWidth="1" min="2" max="2"/>
    <col width="110" customWidth="1" min="3" max="3"/>
  </cols>
  <sheetData>
    <row r="1" ht="26" customHeight="1">
      <c r="B1" s="1" t="inlineStr">
        <is>
          <t>MULTI-TOUCH CASE SCORING — HOW IT WORKS</t>
        </is>
      </c>
      <c r="C1" s="68" t="n"/>
    </row>
    <row r="3">
      <c r="B3" s="71" t="inlineStr">
        <is>
          <t>THE MECHANICS</t>
        </is>
      </c>
      <c r="C3" s="68" t="n"/>
    </row>
    <row r="4" ht="72" customHeight="1">
      <c r="B4" s="43" t="inlineStr">
        <is>
          <t>1. One scoring form per touch, not per case</t>
        </is>
      </c>
      <c r="C4" s="1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44" t="inlineStr">
        <is>
          <t>2. Score each agent on THEIR contribution, in the context they inherited</t>
        </is>
      </c>
      <c r="C5" s="45"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43" t="inlineStr">
        <is>
          <t>3. Handoff quality is scored on the SENDING agent</t>
        </is>
      </c>
      <c r="C6" s="1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44" t="inlineStr">
        <is>
          <t>4. Critical failures attach to a specific touch</t>
        </is>
      </c>
      <c r="C7" s="45" t="inlineStr">
        <is>
          <t>A premature RESOLVED, a missed callback window, a compliance violation, or an unescalated complaint fails THAT touch's review regardless of how the journey ends — and regardless of that touch's weighted score.</t>
        </is>
      </c>
    </row>
    <row r="8" ht="72" customHeight="1">
      <c r="B8" s="43" t="inlineStr">
        <is>
          <t>5. The journey rolls up in the Case Tracker</t>
        </is>
      </c>
      <c r="C8" s="1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44" t="inlineStr">
        <is>
          <t>6. Watch for journey-level failure patterns</t>
        </is>
      </c>
      <c r="C9" s="45"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71" t="inlineStr">
        <is>
          <t>WORKED JOURNEY — TE00124020 / TE00127492 (Richard &amp; Diana Stell, Linksys WHW03 → MX4200, Apr 1 – May 30, 2026)</t>
        </is>
      </c>
      <c r="C11" s="68" t="n"/>
    </row>
    <row r="12" ht="58" customHeight="1">
      <c r="B12" s="53"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69" t="n"/>
    </row>
    <row r="13">
      <c r="B13" s="39" t="inlineStr">
        <is>
          <t>WHERE THE CHAIN BROKE</t>
        </is>
      </c>
      <c r="C13" s="39" t="inlineStr">
        <is>
          <t>Scored against the touch that caused it</t>
        </is>
      </c>
    </row>
    <row r="14" ht="66" customHeight="1">
      <c r="B14" s="54" t="inlineStr">
        <is>
          <t>Pre-ticket history lost (CRITICAL)</t>
        </is>
      </c>
      <c r="C14" s="1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55" t="inlineStr">
        <is>
          <t>PCI DSS violation (CRITICAL)</t>
        </is>
      </c>
      <c r="C15" s="1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54" t="inlineStr">
        <is>
          <t>Receipt-gate before troubleshooting</t>
        </is>
      </c>
      <c r="C16" s="1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55" t="inlineStr">
        <is>
          <t>Premature RESOLVED ×5</t>
        </is>
      </c>
      <c r="C17" s="1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54" t="inlineStr">
        <is>
          <t>Callback management collapse</t>
        </is>
      </c>
      <c r="C18" s="1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55" t="inlineStr">
        <is>
          <t>Complaint &amp; legal threat not escalated (CRITICAL)</t>
        </is>
      </c>
      <c r="C19" s="1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54" t="inlineStr">
        <is>
          <t>Accessibility never adapted</t>
        </is>
      </c>
      <c r="C20" s="12" t="inlineStr">
        <is>
          <t>Customer stated hearing aids and age on nearly every call; investigation cites the same 'simplify, slow down, one step at a time' opportunity for 4+ different agents. → Communication finding per touch + training-level organizational insight.</t>
        </is>
      </c>
    </row>
    <row r="22">
      <c r="B22" s="71" t="inlineStr">
        <is>
          <t>WHERE THE CHAIN RECOVERED (recognize these touches)</t>
        </is>
      </c>
      <c r="C22" s="68" t="n"/>
    </row>
    <row r="23" ht="50" customHeight="1">
      <c r="B23" s="56" t="inlineStr">
        <is>
          <t>Venn-Emir Calvin (Apr 23)</t>
        </is>
      </c>
      <c r="C23" s="12" t="inlineStr">
        <is>
          <t>Caught the mis-captured email address in under 2 minutes, corrected it, re-sent the guide — clean continuity fix; investigation found no opportunities.</t>
        </is>
      </c>
    </row>
    <row r="24" ht="50" customHeight="1">
      <c r="B24" s="57" t="inlineStr">
        <is>
          <t>Paolo Ebora (May 4)</t>
        </is>
      </c>
      <c r="C24" s="45" t="inlineStr">
        <is>
          <t>98-minute deep dive: HomeKit isolation, interference analysis, firmware validation, captured sysinfo/network logs via remote access, identified 2 bad-RSSI nodes (-90/-93 dBm), provided L2 hotline. Best diagnostics of the journey.</t>
        </is>
      </c>
    </row>
    <row r="25" ht="50" customHeight="1">
      <c r="B25" s="56" t="inlineStr">
        <is>
          <t>Eric Marbella (May 18, technical leg)</t>
        </is>
      </c>
      <c r="C25" s="1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71" t="inlineStr">
        <is>
          <t>JOURNEY-LEVEL ORGANIZATIONAL INSIGHTS (do not assign to any single agent's score)</t>
        </is>
      </c>
      <c r="C27" s="68" t="n"/>
    </row>
    <row r="28" ht="40" customHeight="1">
      <c r="B28" s="12"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69" t="n"/>
    </row>
    <row r="29" ht="40" customHeight="1">
      <c r="B29" s="14" t="inlineStr">
        <is>
          <t>• Case Management &amp; Closure Process needs reinforcement (per investigation): RESOLVED requires customer-confirmed resolution or a documented closure reason; CALLBACK/PENDING states must be used while work is open.</t>
        </is>
      </c>
      <c r="C29" s="69" t="n"/>
    </row>
    <row r="30" ht="40" customHeight="1">
      <c r="B30" s="12" t="inlineStr">
        <is>
          <t>• Ticket linking: pre-purchase and pre-ticket history must be attached or cross-referenced when a new ticket is opened for the same customer/issue (TE00124020 → TE00127492 gap).</t>
        </is>
      </c>
      <c r="C30" s="69" t="n"/>
    </row>
    <row r="31" ht="40" customHeight="1">
      <c r="B31" s="14" t="inlineStr">
        <is>
          <t>• Compliance: PCI-safe payment flow required for paid support (no card data spoken on a recorded line); audit recordings/transcripts retention for Rec 3.</t>
        </is>
      </c>
      <c r="C31" s="69" t="n"/>
    </row>
    <row r="32" ht="40" customHeight="1">
      <c r="B32" s="12" t="inlineStr">
        <is>
          <t>• Product/advice loop: the MX4200 mixed-mesh recommendation for a 7,000 sq ft home with legacy WHW03 nodes drove 6 purchases without a coverage/topology consult — feed back to sales-advice scripts and KB.</t>
        </is>
      </c>
      <c r="C32" s="69" t="n"/>
    </row>
    <row r="33" ht="40" customHeight="1">
      <c r="B33" s="14" t="inlineStr">
        <is>
          <t>• Vulnerable-customer handling: a standard for elderly / hard-of-hearing customers (pace, one-step instructions, session-length checkpoints, offer to pause and resume) would have changed this journey's trajectory.</t>
        </is>
      </c>
      <c r="C33" s="69" t="n"/>
    </row>
    <row r="35">
      <c r="B35" s="71" t="inlineStr">
        <is>
          <t>THE TEAM / JOURNEY SCORE — SCORING THE CHAIN, NOT JUST THE LINKS</t>
        </is>
      </c>
      <c r="C35" s="68" t="n"/>
    </row>
    <row r="36" ht="46" customHeight="1">
      <c r="B36" s="52"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68" t="n"/>
    </row>
    <row r="37" ht="58" customHeight="1">
      <c r="B37" s="72" t="inlineStr">
        <is>
          <t>Formula</t>
        </is>
      </c>
      <c r="C37" s="1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44" t="inlineStr">
        <is>
          <t>Journey Outcome anchors (0-5)</t>
        </is>
      </c>
      <c r="C38" s="1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44" t="inlineStr">
        <is>
          <t>Continuity &amp; Handoffs anchors (0-5)</t>
        </is>
      </c>
      <c r="C39" s="1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44" t="inlineStr">
        <is>
          <t>Worked example (Stell journey)</t>
        </is>
      </c>
      <c r="C40" s="1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44" t="inlineStr">
        <is>
          <t>Crediting the team</t>
        </is>
      </c>
      <c r="C41" s="1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sheetData>
  <mergeCells count="14">
    <mergeCell ref="B30:C30"/>
    <mergeCell ref="B29:C29"/>
    <mergeCell ref="B33:C33"/>
    <mergeCell ref="B11:C11"/>
    <mergeCell ref="B3:C3"/>
    <mergeCell ref="B28:C28"/>
    <mergeCell ref="B22:C22"/>
    <mergeCell ref="B36:C36"/>
    <mergeCell ref="B32:C32"/>
    <mergeCell ref="B31:C31"/>
    <mergeCell ref="B27:C27"/>
    <mergeCell ref="B1:C1"/>
    <mergeCell ref="B35:C35"/>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58"/>
  <sheetViews>
    <sheetView showGridLines="0" workbookViewId="0">
      <pane ySplit="11" topLeftCell="A12" activePane="bottomLeft" state="frozen"/>
      <selection pane="bottomLeft" activeCell="A1" sqref="A1"/>
    </sheetView>
  </sheetViews>
  <sheetFormatPr baseColWidth="8" defaultRowHeight="15"/>
  <cols>
    <col width="3" customWidth="1" min="1" max="1"/>
    <col width="36" customWidth="1" min="2" max="2"/>
    <col width="52" customWidth="1" min="3" max="3"/>
    <col width="58" customWidth="1" min="4" max="4"/>
  </cols>
  <sheetData>
    <row r="1" ht="28" customHeight="1">
      <c r="B1" s="104" t="inlineStr">
        <is>
          <t>TEAM SCORING — METHODOLOGY &amp; TEAM OPPORTUNITY ANALYSIS</t>
        </is>
      </c>
    </row>
    <row r="2" ht="32" customHeight="1">
      <c r="B2" s="105" t="inlineStr">
        <is>
          <t>Individual forms answer 'how did this agent do?'. Team Scoring answers 'how did the CHAIN perform for the customer?' and 'what should we coach, fix, or build as a TEAM?'. The scorecard below is live from the Case Tracker; the worked example is the Stell journey (rows 5-17).</t>
        </is>
      </c>
    </row>
    <row r="4" ht="24" customHeight="1">
      <c r="B4" s="106" t="inlineStr">
        <is>
          <t>◆  LIVE TEAM SCORECARD  ·  TE00124020 + TE00127492 (Stell Journey)  ◆</t>
        </is>
      </c>
    </row>
    <row r="5" ht="16" customHeight="1">
      <c r="B5" s="107" t="inlineStr">
        <is>
          <t>TEAM SCORE</t>
        </is>
      </c>
      <c r="C5" s="107" t="inlineStr">
        <is>
          <t>RESULT BAND</t>
        </is>
      </c>
      <c r="D5" s="107" t="inlineStr">
        <is>
          <t>CONTAINS CRITICAL FAILURE?</t>
        </is>
      </c>
    </row>
    <row r="6" ht="64" customHeight="1">
      <c r="B6" s="108">
        <f>'Case Tracker'!G56</f>
        <v/>
      </c>
      <c r="C6" s="109">
        <f>UPPER('Case Tracker'!H56)</f>
        <v/>
      </c>
      <c r="D6" s="110" t="inlineStr">
        <is>
          <t>YES — automatic review</t>
        </is>
      </c>
    </row>
    <row r="7" ht="16" customHeight="1">
      <c r="B7" s="111" t="inlineStr">
        <is>
          <t>EXECUTION  (50% weight)</t>
        </is>
      </c>
      <c r="C7" s="111" t="inlineStr">
        <is>
          <t>JOURNEY OUTCOME  (30% weight)</t>
        </is>
      </c>
      <c r="D7" s="111" t="inlineStr">
        <is>
          <t>CONTINUITY &amp; HANDOFFS  (20% weight)</t>
        </is>
      </c>
    </row>
    <row r="8" ht="28" customHeight="1">
      <c r="B8" s="112">
        <f>TEXT('Case Tracker'!D56,"0.0%")&amp;"  avg of "&amp;'Case Tracker'!C56&amp;" touches"</f>
        <v/>
      </c>
      <c r="C8" s="113">
        <f>'Case Tracker'!E56&amp;" / 5"</f>
        <v/>
      </c>
      <c r="D8" s="113">
        <f>'Case Tracker'!F56&amp;" / 5"</f>
        <v/>
      </c>
    </row>
    <row r="9" ht="22" customHeight="1">
      <c r="B9" s="114">
        <f>" = 50% × "&amp;TEXT('Case Tracker'!D56,"0.0%")&amp;"  +  30% × ("&amp;'Case Tracker'!E56&amp;"÷5)  +  20% × ("&amp;'Case Tracker'!F56&amp;"÷5)  =  "&amp;TEXT('Case Tracker'!G56,"0.0%")&amp;"   (the chain, not just the links)"</f>
        <v/>
      </c>
    </row>
    <row r="10" ht="28" customHeight="1">
      <c r="B10" s="115" t="inlineStr">
        <is>
          <t>↑ Updates automatically from the Case Tracker (Team/Journey Scores, row 56). Edit Outcome / Continuity there and this scorecard moves with it. For your own journeys, copy this block and point it at the relevant journey row.</t>
        </is>
      </c>
    </row>
    <row r="12">
      <c r="B12" s="116" t="inlineStr">
        <is>
          <t>1 · WHY A TEAM SCORE EXISTS</t>
        </is>
      </c>
    </row>
    <row r="13" ht="72" customHeight="1">
      <c r="B13" s="89"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row>
    <row r="15">
      <c r="B15" s="116" t="inlineStr">
        <is>
          <t>2 · THE FORMULA, COMPONENT BY COMPONENT</t>
        </is>
      </c>
    </row>
    <row r="16">
      <c r="B16" s="116" t="inlineStr">
        <is>
          <t>Component</t>
        </is>
      </c>
      <c r="C16" s="116" t="inlineStr">
        <is>
          <t>What it measures &amp; why this weight</t>
        </is>
      </c>
      <c r="D16" s="116" t="inlineStr">
        <is>
          <t>Stell journey worked numbers</t>
        </is>
      </c>
    </row>
    <row r="17" ht="104" customHeight="1">
      <c r="B17" s="88" t="inlineStr">
        <is>
          <t>EXECUTION — 50%
Average of all touch weighted scores</t>
        </is>
      </c>
      <c r="C17" s="89"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89" t="inlineStr">
        <is>
          <t>13 touches averaging ≈ 57%. Two strong touches (Venn-Emir 83%, Paolo Ebora 71%), one collapse (Riojene 31%), the rest 47-64%. Verdict: a mid-performing team on paper.</t>
        </is>
      </c>
    </row>
    <row r="18" ht="104" customHeight="1">
      <c r="B18" s="90" t="inlineStr">
        <is>
          <t>JOURNEY OUTCOME — 30%
Evaluator-judged 0-5</t>
        </is>
      </c>
      <c r="C18" s="91"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91" t="inlineStr">
        <is>
          <t>0/5 — unresolved after 7 weeks and ~15 hours; CSAT 1/5; Resolution Rate: No; SLA breached (&gt;30 days); legal threat raised; customer scrapped 6 new MX4200s and switched to Eero.</t>
        </is>
      </c>
    </row>
    <row r="19" ht="104" customHeight="1">
      <c r="B19" s="88" t="inlineStr">
        <is>
          <t>CONTINUITY &amp; HANDOFFS — 20%
Evaluator-judged 0-5</t>
        </is>
      </c>
      <c r="C19" s="89"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89" t="inlineStr">
        <is>
          <t>1/5 — pre-ticket history (6 calls incl. a $30 paid session) invisible to every later agent; RESOLVED set 5× on an unresolved issue; callback promises shifted constantly; customer re-explained from scratch repeatedly. Venn-Emir's email fix and the L2 diagnostic handoffs prevent a 0.</t>
        </is>
      </c>
    </row>
    <row r="20" ht="30" customHeight="1">
      <c r="B20" s="117" t="inlineStr">
        <is>
          <t>TEAM SCORE  =  50% × 57%  +  30% × (0÷5)  +  20% × (1÷5)  ≈  33%   →   NEEDS IMPROVEMENT   (automatic-review flag also applies: the journey contains critical failures)</t>
        </is>
      </c>
    </row>
    <row r="22">
      <c r="B22" s="116" t="inlineStr">
        <is>
          <t>3 · READING THE RESULT — THE GAP IS THE DIAGNOSIS</t>
        </is>
      </c>
    </row>
    <row r="23" ht="46" customHeight="1">
      <c r="B23" s="88" t="inlineStr">
        <is>
          <t>Team Score ≈ Execution average</t>
        </is>
      </c>
      <c r="C23" s="89" t="inlineStr">
        <is>
          <t>The chain neither helped nor hurt. Coach individuals on their own findings; no major process action.</t>
        </is>
      </c>
    </row>
    <row r="24" ht="46" customHeight="1">
      <c r="B24" s="90" t="inlineStr">
        <is>
          <t>Team Score WELL ABOVE Execution average</t>
        </is>
      </c>
      <c r="C24" s="91" t="inlineStr">
        <is>
          <t>Strong outcome/continuity lifted ordinary touches — the process carried the team. Recognize the chain and the process owners; capture what worked as a standard.</t>
        </is>
      </c>
    </row>
    <row r="25" ht="46" customHeight="1">
      <c r="B25" s="88" t="inlineStr">
        <is>
          <t>Team Score WELL BELOW Execution average  ← Stell: 57% vs 33%</t>
        </is>
      </c>
      <c r="C25" s="89" t="inlineStr">
        <is>
          <t>Individually 'acceptable' agents, collectively a lost customer. The failure lives BETWEEN touches: handoffs, statuses, callbacks, ticket linking. Coaching individuals harder will NOT fix this — the action plan must target process, with named owners and dates.</t>
        </is>
      </c>
    </row>
    <row r="27">
      <c r="B27" s="116" t="inlineStr">
        <is>
          <t>4 · TEAM CATEGORY HEATMAP — WHERE THE TEAM IS WEAK (live formulas over Case Tracker rows 5-17)</t>
        </is>
      </c>
    </row>
    <row r="28" ht="40" customHeight="1">
      <c r="B28" s="98" t="inlineStr">
        <is>
          <t>Averaging each category ACROSS all touches turns 13 individual reviews into one team profile. Categories below ~2.75 are team-wide coaching themes — they recur regardless of which agent is on the line, so the cause is training, process, or tooling rather than one person.</t>
        </is>
      </c>
    </row>
    <row r="29">
      <c r="B29" s="116" t="inlineStr">
        <is>
          <t>Category (weight)</t>
        </is>
      </c>
      <c r="C29" s="118" t="inlineStr">
        <is>
          <t>Team avg (0-5)</t>
        </is>
      </c>
      <c r="D29" s="116" t="inlineStr">
        <is>
          <t>What the journey shows</t>
        </is>
      </c>
    </row>
    <row r="30" ht="44" customHeight="1">
      <c r="B30" s="88" t="inlineStr">
        <is>
          <t>Resolution / Progress (30%)</t>
        </is>
      </c>
      <c r="C30" s="119">
        <f>ROUND(AVERAGE('Case Tracker'!E5:E17),2)</f>
        <v/>
      </c>
      <c r="D30" s="89" t="inlineStr">
        <is>
          <t>Touches repeatedly 'completed' without confirming the customer's actual complaint (streaming stability) was fixed — progress theater, not progress.</t>
        </is>
      </c>
    </row>
    <row r="31" ht="44" customHeight="1">
      <c r="B31" s="90" t="inlineStr">
        <is>
          <t>Technical Accuracy (20%)</t>
        </is>
      </c>
      <c r="C31" s="120">
        <f>ROUND(AVERAGE('Case Tracker'!F5:F17),2)</f>
        <v/>
      </c>
      <c r="D31" s="91" t="inlineStr">
        <is>
          <t>TEAM STRENGTH. Diagnostics were largely sound — RSSI analysis, isolation logic, log capture. The team did not lose this customer on technical skill.</t>
        </is>
      </c>
    </row>
    <row r="32" ht="44" customHeight="1">
      <c r="B32" s="88" t="inlineStr">
        <is>
          <t>Communication &amp; Call Control (15%)</t>
        </is>
      </c>
      <c r="C32" s="119">
        <f>ROUND(AVERAGE('Case Tracker'!G5:G17),2)</f>
        <v/>
      </c>
      <c r="D32" s="89" t="inlineStr">
        <is>
          <t>Same finding on 4+ different agents: simplify, slow down, one step at a time, adapt to hearing difficulty. Agent-independent = training gap, not attitude gap.</t>
        </is>
      </c>
    </row>
    <row r="33" ht="44" customHeight="1">
      <c r="B33" s="90" t="inlineStr">
        <is>
          <t>Customer Ownership (15%)</t>
        </is>
      </c>
      <c r="C33" s="120">
        <f>ROUND(AVERAGE('Case Tracker'!H5:H17),2)</f>
        <v/>
      </c>
      <c r="D33" s="91" t="inlineStr">
        <is>
          <t>THE WEAKEST CATEGORY. Missed/late callbacks, shifting promises, no contingency when a window slipped, premature closures. The core driver of the CSAT 1 and churn.</t>
        </is>
      </c>
    </row>
    <row r="34" ht="44" customHeight="1">
      <c r="B34" s="88" t="inlineStr">
        <is>
          <t>Escalation Judgment (10%)</t>
        </is>
      </c>
      <c r="C34" s="119">
        <f>ROUND(AVERAGE('Case Tracker'!I5:I17),2)</f>
        <v/>
      </c>
      <c r="D34" s="89" t="inlineStr">
        <is>
          <t>Technical escalations were mostly justified; the catastrophic miss was the UPWARD one — a management/legal request that never moved.</t>
        </is>
      </c>
    </row>
    <row r="35" ht="44" customHeight="1">
      <c r="B35" s="90" t="inlineStr">
        <is>
          <t>Customer Experience (5%)</t>
        </is>
      </c>
      <c r="C35" s="120">
        <f>ROUND(AVERAGE('Case Tracker'!J5:J17),2)</f>
        <v/>
      </c>
      <c r="D35" s="91" t="inlineStr">
        <is>
          <t>Politeness was consistent; effort-reduction was not. 80-year-old customers ran marathon sessions, repeated their story, and chased their own callbacks.</t>
        </is>
      </c>
    </row>
    <row r="36" ht="44" customHeight="1">
      <c r="B36" s="88" t="inlineStr">
        <is>
          <t>Documentation &amp; Notes (5%)</t>
        </is>
      </c>
      <c r="C36" s="119">
        <f>ROUND(AVERAGE('Case Tracker'!K5:K17),2)</f>
        <v/>
      </c>
      <c r="D36" s="89" t="inlineStr">
        <is>
          <t>Second-weakest. Wrong email captured, 'no troubleshooting made', history not linked, closure reasons absent, status toggled RESOLVED 5×.</t>
        </is>
      </c>
    </row>
    <row r="37" ht="44" customHeight="1">
      <c r="B37" s="93" t="inlineStr">
        <is>
          <t>Reading: red (&lt;2.75) = team coaching theme · yellow (2.75-3.49) = monitor &amp; spot-coach · green (≥3.5) = team strength to protect. Stell profile: a technically capable team losing cases on Ownership, Documentation, and Communication — exactly the 'systemic breakdown in callback management, case ownership, and documentation control' the Concentrix investigation named.</t>
        </is>
      </c>
    </row>
    <row r="39">
      <c r="B39" s="121" t="inlineStr">
        <is>
          <t>5 · TEAM OPPORTUNITIES IDENTIFIED — STELL JOURNEY (the team action plan)</t>
        </is>
      </c>
    </row>
    <row r="40">
      <c r="B40" s="116" t="inlineStr">
        <is>
          <t>Opportunity (category)</t>
        </is>
      </c>
      <c r="C40" s="116" t="inlineStr">
        <is>
          <t>Evidence across touches (why it's a TEAM issue, not one agent)</t>
        </is>
      </c>
      <c r="D40" s="116" t="inlineStr">
        <is>
          <t>Team action &amp; suggested owner</t>
        </is>
      </c>
    </row>
    <row r="41" ht="88" customHeight="1">
      <c r="B41" s="88" t="inlineStr">
        <is>
          <t>1. Callback management discipline (Ownership)</t>
        </is>
      </c>
      <c r="C41" s="89" t="inlineStr">
        <is>
          <t>Apr 1: 2-3h promised vs 24-48h process. May 4: '24h' revised to '2h'. May 18: three different L1s gave three different windows in one afternoon. May 19: agreed window missed 42-66 min with conflicting explanations. Post-survey: 'they never call back as promised.' At least 6 agents involved — systemic.</t>
        </is>
      </c>
      <c r="D41" s="89" t="inlineStr">
        <is>
          <t>Enforced callback calendaring: commitment booked at agreement time; a proactive renegotiation message is MANDATORY before any window at risk; every customer gets a fallback instruction ('if we miss X, do Y'). Owner: Team Captains (Baynos/Dona) + workflow tooling request.</t>
        </is>
      </c>
    </row>
    <row r="42" ht="88" customHeight="1">
      <c r="B42" s="90" t="inlineStr">
        <is>
          <t>2. Closure &amp; status discipline (Documentation/Ownership)</t>
        </is>
      </c>
      <c r="C42" s="91" t="inlineStr">
        <is>
          <t>RESOLVED set 5× (Apr 28, May 1, May 4, May 18, May 19) by 4 different agents while the streaming complaint was never confirmed fixed; final closure had no documented reason. Multiple agents using RESOLVED as 'I'm done', not 'customer is fixed.'</t>
        </is>
      </c>
      <c r="D42" s="91" t="inlineStr">
        <is>
          <t>Reinforce 'Linksys CAT Case Management and Closure Process': RESOLVED requires customer confirmation or a documented closure reason; otherwise CALLBACK/PENDING. Spot-audit closures weekly for a month. Owner: TCs Baynos &amp; Dona.</t>
        </is>
      </c>
    </row>
    <row r="43" ht="88" customHeight="1">
      <c r="B43" s="88" t="inlineStr">
        <is>
          <t>3. Continuity &amp; ticket linking (Documentation)</t>
        </is>
      </c>
      <c r="C43" s="89" t="inlineStr">
        <is>
          <t>Six pre-ticket contacts (incl. the $30 paid session and the advice that drove the purchase) were invisible to every agent on TE00127492; Aysah logged '4 calls' when 7+ existed; each new agent restarted discovery and the customer re-told the story every time.</t>
        </is>
      </c>
      <c r="D43" s="89" t="inlineStr">
        <is>
          <t>Process: when a new ticket is opened for an existing customer/issue, prior tickets are searched and cross-linked before first response; contact counts come from records, not memory. Owner: QA + HappyFox admin (tooling: auto-suggest related tickets).</t>
        </is>
      </c>
    </row>
    <row r="44" ht="88" customHeight="1">
      <c r="B44" s="90" t="inlineStr">
        <is>
          <t>4. Vulnerable-customer standard (Communication/CX)</t>
        </is>
      </c>
      <c r="C44" s="91" t="inlineStr">
        <is>
          <t>The SAME coaching note — simplify, slow down, one instruction at a time, adapt to hearing aids — appears for Charmaigne, Nathan, Paolo (both), Joziel, Girly Joy, and Eric. When 6 agents share a gap, the team was never trained on it.</t>
        </is>
      </c>
      <c r="D44" s="91" t="inlineStr">
        <is>
          <t>Build and train a vulnerable-customer interaction standard: pace rules, one-step instructions, comprehension checks, session-length checkpoints with offer to pause/resume, large-home/elderly setup playbook. Owner: Training; QA monitors the indicator now on the form.</t>
        </is>
      </c>
    </row>
    <row r="45" ht="88" customHeight="1">
      <c r="B45" s="88" t="inlineStr">
        <is>
          <t>5. Policy vs. active-issue balance (Resolution)</t>
        </is>
      </c>
      <c r="C45" s="89" t="inlineStr">
        <is>
          <t>May 1: troubleshooting refused pending a warranty receipt while the customer sat in 5-min drop cycles — and the receipt requirement came AFTER the team had advised the purchase. Policy execution beat customer outcome.</t>
        </is>
      </c>
      <c r="D45" s="89" t="inlineStr">
        <is>
          <t>Clarify sequencing: warranty validation may run IN PARALLEL with troubleshooting an active issue, never instead of it. Add to L1 playbook with examples. Owner: Team Captains + Process/PMO.</t>
        </is>
      </c>
    </row>
    <row r="46" ht="88" customHeight="1">
      <c r="B46" s="90" t="inlineStr">
        <is>
          <t>6. Complaint &amp; legal-risk escalation path (Escalation)</t>
        </is>
      </c>
      <c r="C46" s="91" t="inlineStr">
        <is>
          <t>An explicit 'I want management before I talk to a lawyer' email from an 80-year-old customer produced a wording consultation, not an escalation. No DSAT/management record until PMO intervened 8 days later. No agent knew or used the trigger.</t>
        </is>
      </c>
      <c r="D46" s="91" t="inlineStr">
        <is>
          <t>Same-day mandatory escalation for management requests, legal references, and vulnerable-customer harm; one-click DSAT path; a TC consult does NOT substitute for escalation. Owner: Operations leadership; QA enforces via the critical-failure checklist (already on the form).</t>
        </is>
      </c>
    </row>
    <row r="47" ht="88" customHeight="1">
      <c r="B47" s="88" t="inlineStr">
        <is>
          <t>7. Compliance: payment handling (Critical)</t>
        </is>
      </c>
      <c r="C47" s="89" t="inlineStr">
        <is>
          <t>Card number, CVV, and expiry spoken on a recorded line and captured in a plaintext transcript during the $30 paid session; the charge itself never documented in any ticket — a PCI DSS violation plus a billing-audit gap.</t>
        </is>
      </c>
      <c r="D47" s="89" t="inlineStr">
        <is>
          <t>Immediate: restrict Rec 3 artifacts and run compliance review. Structural: PCI-safe payment flow (IVR/secure link — never card data on a recorded line); paid-support charges logged to the ticket. Owner: Compliance + Operations.</t>
        </is>
      </c>
    </row>
    <row r="48" ht="88" customHeight="1">
      <c r="B48" s="90" t="inlineStr">
        <is>
          <t>8. Product-advice feedback loop (Org/Product)</t>
        </is>
      </c>
      <c r="C48" s="91" t="inlineStr">
        <is>
          <t>Support advice drove 6 MX4200 purchases into a 7,000 sq ft home with legacy WHW03 nodes without a coverage/topology consult; mixed-mesh instability then consumed ~15 hours of support and ended in churn anyway.</t>
        </is>
      </c>
      <c r="D48" s="91" t="inlineStr">
        <is>
          <t>Feed back to sales-advice scripts and KB: large-home upgrade recommendations require a node-count/placement consult and written mixed-generation compatibility caveats. Owner: KB team + Product feedback channel.</t>
        </is>
      </c>
    </row>
    <row r="50">
      <c r="B50" s="116" t="inlineStr">
        <is>
          <t>6 · HOW TO RUN A TEAM REVIEW FOR YOUR OWN JOURNEYS (~30 min once touches are scored)</t>
        </is>
      </c>
    </row>
    <row r="51" ht="40" customHeight="1">
      <c r="B51" s="122" t="inlineStr">
        <is>
          <t>Step 1</t>
        </is>
      </c>
      <c r="C51" s="89" t="inlineStr">
        <is>
          <t>Score every touch individually first (Scoring Form per agent) and log all rows in the Case Tracker under the same Case ID.</t>
        </is>
      </c>
    </row>
    <row r="52" ht="40" customHeight="1">
      <c r="B52" s="123" t="inlineStr">
        <is>
          <t>Step 2</t>
        </is>
      </c>
      <c r="C52" s="91" t="inlineStr">
        <is>
          <t>In the Team/Journey Scores section (Case Tracker, row 53+), enter the Case ID — Touches and Avg Touch % auto-fill. Judge Outcome (0-5) and Continuity (0-5) with the anchors in section 2. The Team Score computes; the hero scorecard at the top of this sheet mirrors it.</t>
        </is>
      </c>
    </row>
    <row r="53" ht="40" customHeight="1">
      <c r="B53" s="122" t="inlineStr">
        <is>
          <t>Step 3</t>
        </is>
      </c>
      <c r="C53" s="89" t="inlineStr">
        <is>
          <t>Compare Team Score vs Execution average (section 3). A big negative gap = process problem; flag it as such in your report.</t>
        </is>
      </c>
    </row>
    <row r="54" ht="40" customHeight="1">
      <c r="B54" s="123" t="inlineStr">
        <is>
          <t>Step 4</t>
        </is>
      </c>
      <c r="C54" s="91" t="inlineStr">
        <is>
          <t>Build the category heatmap: average each category column across the journey's tracker rows (copy the section-4 formulas, adjusting the row range). Bottom two categories = your team coaching themes.</t>
        </is>
      </c>
    </row>
    <row r="55" ht="40" customHeight="1">
      <c r="B55" s="122" t="inlineStr">
        <is>
          <t>Step 5</t>
        </is>
      </c>
      <c r="C55" s="89" t="inlineStr">
        <is>
          <t>Scan for recurring patterns: same coaching note on 3+ agents (training gap) · same broken-promise type on 2+ touches (process gap) · any premature closure, lost history, or unescalated complaint (critical — name it).</t>
        </is>
      </c>
    </row>
    <row r="56" ht="40" customHeight="1">
      <c r="B56" s="123" t="inlineStr">
        <is>
          <t>Step 6</t>
        </is>
      </c>
      <c r="C56" s="91" t="inlineStr">
        <is>
          <t>Write the team action plan: every opportunity gets an action, a NAMED owner, and a date (section 5 is the model). Recognize the chain's best touches explicitly — including small continuity saves. Deliver individual feedback separately from this team review.</t>
        </is>
      </c>
    </row>
    <row r="58" ht="36" customHeight="1">
      <c r="B58" s="93"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row>
  </sheetData>
  <mergeCells count="25">
    <mergeCell ref="C24:D24"/>
    <mergeCell ref="B1:D1"/>
    <mergeCell ref="B13:D13"/>
    <mergeCell ref="B10:D10"/>
    <mergeCell ref="B28:D28"/>
    <mergeCell ref="B37:D37"/>
    <mergeCell ref="C54:D54"/>
    <mergeCell ref="C25:D25"/>
    <mergeCell ref="C53:D53"/>
    <mergeCell ref="B9:D9"/>
    <mergeCell ref="C55:D55"/>
    <mergeCell ref="B15:D15"/>
    <mergeCell ref="C56:D56"/>
    <mergeCell ref="B20:D20"/>
    <mergeCell ref="C51:D51"/>
    <mergeCell ref="B4:D4"/>
    <mergeCell ref="B50:D50"/>
    <mergeCell ref="C52:D52"/>
    <mergeCell ref="C23:D23"/>
    <mergeCell ref="B22:D22"/>
    <mergeCell ref="B27:D27"/>
    <mergeCell ref="B58:D58"/>
    <mergeCell ref="B12:D12"/>
    <mergeCell ref="B39:D39"/>
    <mergeCell ref="B2:D2"/>
  </mergeCells>
  <conditionalFormatting sqref="B6">
    <cfRule type="cellIs" priority="1" operator="greaterThanOrEqual" dxfId="9">
      <formula>'Case Tracker'!G56&gt;=0.85</formula>
    </cfRule>
    <cfRule type="cellIs" priority="3" operator="greaterThanOrEqual" dxfId="9">
      <formula>0.85</formula>
    </cfRule>
    <cfRule type="cellIs" priority="4" operator="between" dxfId="10">
      <formula>0.70</formula>
      <formula>0.8499</formula>
    </cfRule>
    <cfRule type="cellIs" priority="5" operator="lessThan" dxfId="11">
      <formula>0.70</formula>
    </cfRule>
  </conditionalFormatting>
  <conditionalFormatting sqref="C6">
    <cfRule type="cellIs" priority="2" operator="greaterThanOrEqual" dxfId="12">
      <formula>'Case Tracker'!G56&gt;=0.85</formula>
    </cfRule>
  </conditionalFormatting>
  <conditionalFormatting sqref="C30:C36">
    <cfRule type="cellIs" priority="6" operator="lessThan" dxfId="2">
      <formula>2.75</formula>
    </cfRule>
    <cfRule type="cellIs" priority="7" operator="between" dxfId="1">
      <formula>2.75</formula>
      <formula>3.49</formula>
    </cfRule>
    <cfRule type="cellIs" priority="8" operator="greaterThanOrEqual" dxfId="0">
      <formula>3.5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73" t="inlineStr">
        <is>
          <t>SUPPORT QA — SCORING FORM  (WORKED EXAMPLE — FINAL TOUCH OF A MULTI-TOUCH CASE)</t>
        </is>
      </c>
      <c r="C1" s="67" t="n"/>
      <c r="D1" s="67" t="n"/>
      <c r="E1" s="67" t="n"/>
      <c r="F1" s="68" t="n"/>
    </row>
    <row r="2" ht="18" customHeight="1">
      <c r="B2" s="2" t="inlineStr">
        <is>
          <t>Resolution-Focused Coaching &amp; Performance Framework  |  Rate each behavior: Met / Partial / Missed / N.A. — then assign the 0-5 category score (suggested score is advisory).</t>
        </is>
      </c>
      <c r="C2" s="67" t="n"/>
      <c r="D2" s="67" t="n"/>
      <c r="E2" s="67" t="n"/>
      <c r="F2" s="68" t="n"/>
    </row>
    <row r="4">
      <c r="B4" s="71" t="inlineStr">
        <is>
          <t>1 · CASE INFORMATION</t>
        </is>
      </c>
      <c r="C4" s="67" t="n"/>
      <c r="D4" s="67" t="n"/>
      <c r="E4" s="67" t="n"/>
      <c r="F4" s="68" t="n"/>
    </row>
    <row r="5">
      <c r="B5" s="4" t="inlineStr">
        <is>
          <t>Agent Name</t>
        </is>
      </c>
      <c r="C5" s="81" t="inlineStr">
        <is>
          <t>Eric Marbella (L2 / CAT)</t>
        </is>
      </c>
      <c r="D5" s="6" t="inlineStr">
        <is>
          <t>Case / Ticket ID</t>
        </is>
      </c>
      <c r="E5" s="81" t="inlineStr">
        <is>
          <t>TE00127492 (prior: TE00124020)</t>
        </is>
      </c>
      <c r="F5" s="69" t="n"/>
    </row>
    <row r="6">
      <c r="B6" s="4" t="inlineStr">
        <is>
          <t>Evaluator (QA)</t>
        </is>
      </c>
      <c r="C6" s="81" t="inlineStr">
        <is>
          <t>QA Specialist</t>
        </is>
      </c>
      <c r="D6" s="6" t="inlineStr">
        <is>
          <t>Interaction Date</t>
        </is>
      </c>
      <c r="E6" s="81" t="inlineStr">
        <is>
          <t>2026-05-18 to 2026-05-19</t>
        </is>
      </c>
      <c r="F6" s="69" t="n"/>
    </row>
    <row r="7">
      <c r="B7" s="4" t="inlineStr">
        <is>
          <t>Product</t>
        </is>
      </c>
      <c r="C7" s="81" t="inlineStr">
        <is>
          <t>Linksys MX4200 Velop Mesh (6× MX4200 + 5× WHW03)</t>
        </is>
      </c>
      <c r="D7" s="6" t="inlineStr">
        <is>
          <t>Channel</t>
        </is>
      </c>
      <c r="E7" s="81" t="inlineStr">
        <is>
          <t>Phone</t>
        </is>
      </c>
      <c r="F7" s="69" t="n"/>
    </row>
    <row r="8">
      <c r="B8" s="4" t="inlineStr">
        <is>
          <t>Warranty Status</t>
        </is>
      </c>
      <c r="C8" s="81" t="inlineStr">
        <is>
          <t>In-Warranty</t>
        </is>
      </c>
      <c r="D8" s="6" t="inlineStr">
        <is>
          <t>Review Date</t>
        </is>
      </c>
      <c r="E8" s="81" t="inlineStr">
        <is>
          <t>2026-05-25</t>
        </is>
      </c>
      <c r="F8" s="69" t="n"/>
    </row>
    <row r="9">
      <c r="B9" s="4" t="inlineStr">
        <is>
          <t>Case Type</t>
        </is>
      </c>
      <c r="C9" s="81" t="inlineStr">
        <is>
          <t>Connectivity</t>
        </is>
      </c>
      <c r="D9" s="6" t="inlineStr">
        <is>
          <t>Interaction Duration</t>
        </is>
      </c>
      <c r="E9" s="81" t="inlineStr">
        <is>
          <t>3 hr 26 min (session) + May 19 follow-up</t>
        </is>
      </c>
      <c r="F9" s="69" t="n"/>
    </row>
    <row r="10">
      <c r="B10" s="4" t="inlineStr">
        <is>
          <t>Touch # (multi-touch case)</t>
        </is>
      </c>
      <c r="C10" s="81" t="inlineStr">
        <is>
          <t>13 of 13 (final)</t>
        </is>
      </c>
      <c r="D10" s="6" t="inlineStr">
        <is>
          <t>Prior touches reviewed?</t>
        </is>
      </c>
      <c r="E10" s="81" t="inlineStr">
        <is>
          <t>Yes</t>
        </is>
      </c>
      <c r="F10" s="69" t="n"/>
    </row>
    <row r="11">
      <c r="B11" s="4" t="inlineStr">
        <is>
          <t>CSAT / Survey result</t>
        </is>
      </c>
      <c r="C11" s="81" t="inlineStr">
        <is>
          <t>1 / 5 — Resolution Rate: No</t>
        </is>
      </c>
      <c r="D11" s="6" t="inlineStr">
        <is>
          <t>FCR / total contacts</t>
        </is>
      </c>
      <c r="E11" s="81" t="inlineStr">
        <is>
          <t>4+ contacts (survey); 13+ recorded touches</t>
        </is>
      </c>
      <c r="F11" s="69" t="n"/>
    </row>
    <row r="12">
      <c r="B12" s="4" t="inlineStr">
        <is>
          <t>Total case time</t>
        </is>
      </c>
      <c r="C12" s="81" t="inlineStr">
        <is>
          <t>15 hr 12 min (ticket)</t>
        </is>
      </c>
      <c r="D12" s="6" t="inlineStr">
        <is>
          <t>SLA status</t>
        </is>
      </c>
      <c r="E12" s="81" t="inlineStr">
        <is>
          <t>Breached</t>
        </is>
      </c>
      <c r="F12" s="69" t="n"/>
    </row>
    <row r="13" ht="58" customHeight="1">
      <c r="B13" s="6" t="inlineStr">
        <is>
          <t>Case Summary (customer issue &amp; goal)</t>
        </is>
      </c>
      <c r="C13" s="7"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70" t="n"/>
      <c r="E13" s="70" t="n"/>
      <c r="F13" s="69" t="n"/>
    </row>
    <row r="14" ht="46" customHeight="1">
      <c r="B14" s="6" t="inlineStr">
        <is>
          <t>Inherited context (what this agent received from prior touches)</t>
        </is>
      </c>
      <c r="C14" s="7"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70" t="n"/>
      <c r="E14" s="70" t="n"/>
      <c r="F14" s="69" t="n"/>
    </row>
    <row r="16">
      <c r="B16" s="8" t="inlineStr">
        <is>
          <t>2 · CATEGORY ASSESSMENTS</t>
        </is>
      </c>
      <c r="C16" s="67" t="n"/>
      <c r="D16" s="67" t="n"/>
      <c r="E16" s="67" t="n"/>
      <c r="F16" s="68" t="n"/>
    </row>
    <row r="17" ht="18" customHeight="1">
      <c r="B17" s="71" t="inlineStr">
        <is>
          <t>1. RESOLUTION / PROGRESS TOWARD RESOLUTION</t>
        </is>
      </c>
      <c r="C17" s="67" t="n"/>
      <c r="D17" s="67" t="n"/>
      <c r="E17" s="68" t="n"/>
      <c r="F17" s="9" t="inlineStr">
        <is>
          <t>Weight: 30%</t>
        </is>
      </c>
    </row>
    <row r="18" ht="28" customHeight="1">
      <c r="B18" s="10" t="inlineStr">
        <is>
          <t>Objective: Determine whether the interaction moved the customer meaningfully closer to resolution.</t>
        </is>
      </c>
      <c r="C18" s="70" t="n"/>
      <c r="D18" s="70" t="n"/>
      <c r="E18" s="70" t="n"/>
      <c r="F18" s="69" t="n"/>
    </row>
    <row r="19">
      <c r="B19" s="4" t="inlineStr">
        <is>
          <t>Behavioral Indicator</t>
        </is>
      </c>
      <c r="C19" s="11" t="inlineStr">
        <is>
          <t>Assessment</t>
        </is>
      </c>
      <c r="D19" s="4" t="inlineStr">
        <is>
          <t>Evidence / Observation (quote or timestamp where possible)</t>
        </is>
      </c>
      <c r="E19" s="70" t="n"/>
      <c r="F19" s="69" t="n"/>
    </row>
    <row r="20" ht="28" customHeight="1">
      <c r="B20" s="12" t="inlineStr">
        <is>
          <t>Issue resolved, or the strongest available outcome was achieved (RMA, valid escalation, limitation explained, education)</t>
        </is>
      </c>
      <c r="C20" s="79" t="inlineStr">
        <is>
          <t>Partial</t>
        </is>
      </c>
      <c r="D20" s="12" t="inlineStr">
        <is>
          <t>Internet restored May 18 (482-530 Mbps down); but primary complaint — streaming stability — never confirmed; TV still flashing red at session end; case closed RESOLVED May 19 anyway</t>
        </is>
      </c>
      <c r="E20" s="70" t="n"/>
      <c r="F20" s="69" t="n"/>
    </row>
    <row r="21" ht="28" customHeight="1">
      <c r="B21" s="14" t="inlineStr">
        <is>
          <t>Reasonable troubleshooting was completed before any conclusion was reached</t>
        </is>
      </c>
      <c r="C21" s="79" t="inlineStr">
        <is>
          <t>Met</t>
        </is>
      </c>
      <c r="D21" s="14" t="inlineStr">
        <is>
          <t>Confirmed modem install, isolated fault away from ISP to MX4200 parent node before acting</t>
        </is>
      </c>
      <c r="E21" s="70" t="n"/>
      <c r="F21" s="69" t="n"/>
    </row>
    <row r="22" ht="28" customHeight="1">
      <c r="B22" s="12" t="inlineStr">
        <is>
          <t>Clear, actionable next steps were provided to the customer</t>
        </is>
      </c>
      <c r="C22" s="79" t="inlineStr">
        <is>
          <t>Partial</t>
        </is>
      </c>
      <c r="D22" s="12" t="inlineStr">
        <is>
          <t>Callback agreed 4-5 PM CT May 19 — then missed; final email only asked customer to propose a new time</t>
        </is>
      </c>
      <c r="E22" s="70" t="n"/>
      <c r="F22" s="69" t="n"/>
    </row>
    <row r="23" ht="28" customHeight="1">
      <c r="B23" s="14" t="inlineStr">
        <is>
          <t>Resolution path was appropriate for the situation and warranty status</t>
        </is>
      </c>
      <c r="C23" s="79" t="inlineStr">
        <is>
          <t>Partial</t>
        </is>
      </c>
      <c r="D23" s="14" t="inlineStr">
        <is>
          <t>Restoration path correct; closure path was not (RESOLVED on an unresolved case)</t>
        </is>
      </c>
      <c r="E23" s="70" t="n"/>
      <c r="F23" s="69" t="n"/>
    </row>
    <row r="24" ht="28" customHeight="1">
      <c r="B24" s="12" t="inlineStr">
        <is>
          <t>Customer was moved meaningfully closer to a solution</t>
        </is>
      </c>
      <c r="C24" s="79" t="inlineStr">
        <is>
          <t>Met</t>
        </is>
      </c>
      <c r="D24" s="12" t="inlineStr">
        <is>
          <t>4 child nodes added with documented RSSI; 1st-floor optimization and sequence reboot still outstanding</t>
        </is>
      </c>
      <c r="E24" s="70" t="n"/>
      <c r="F24" s="69" t="n"/>
    </row>
    <row r="25" ht="28" customHeight="1">
      <c r="B25" s="1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70" t="n"/>
      <c r="D25" s="70" t="n"/>
      <c r="E25" s="70" t="n"/>
      <c r="F25" s="69" t="n"/>
    </row>
    <row r="26">
      <c r="B26" s="16" t="inlineStr">
        <is>
          <t>Suggested score (auto from indicators — advisory only; evaluator judgment prevails)</t>
        </is>
      </c>
      <c r="C26" s="17">
        <f>IF((COUNTIF(C20:C24,"Met")+COUNTIF(C20:C24,"Partial")+COUNTIF(C20:C24,"Missed"))=0,"",ROUND((COUNTIF(C20:C24,"Met")*5+COUNTIF(C20:C24,"Partial")*2.5)/(COUNTIF(C20:C24,"Met")+COUNTIF(C20:C24,"Partial")+COUNTIF(C20:C24,"Missed")),1))</f>
        <v/>
      </c>
      <c r="D26" s="18" t="inlineStr"/>
      <c r="E26" s="70" t="n"/>
      <c r="F26" s="69" t="n"/>
    </row>
    <row r="27" ht="24" customHeight="1">
      <c r="B27" s="19" t="inlineStr">
        <is>
          <t>FINAL CATEGORY SCORE (0–5)</t>
        </is>
      </c>
      <c r="C27" s="20" t="n">
        <v>3</v>
      </c>
      <c r="D27" s="2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70" t="n"/>
      <c r="F27" s="69" t="n"/>
    </row>
    <row r="28" ht="36" customHeight="1">
      <c r="B28" s="19" t="inlineStr">
        <is>
          <t>Category comments / coaching notes</t>
        </is>
      </c>
      <c r="C28" s="7" t="inlineStr">
        <is>
          <t>Real technical progress (internet restored) — judged in inherited context, a genuine recovery. Capped by unconfirmed primary complaint and premature closure.</t>
        </is>
      </c>
      <c r="D28" s="70" t="n"/>
      <c r="E28" s="70" t="n"/>
      <c r="F28" s="69" t="n"/>
    </row>
    <row r="30" ht="18" customHeight="1">
      <c r="B30" s="71" t="inlineStr">
        <is>
          <t>2. TECHNICAL ACCURACY</t>
        </is>
      </c>
      <c r="C30" s="67" t="n"/>
      <c r="D30" s="67" t="n"/>
      <c r="E30" s="68" t="n"/>
      <c r="F30" s="9" t="inlineStr">
        <is>
          <t>Weight: 20%</t>
        </is>
      </c>
    </row>
    <row r="31" ht="28" customHeight="1">
      <c r="B31" s="10" t="inlineStr">
        <is>
          <t>Objective: Evaluate the quality of troubleshooting and technical guidance.</t>
        </is>
      </c>
      <c r="C31" s="70" t="n"/>
      <c r="D31" s="70" t="n"/>
      <c r="E31" s="70" t="n"/>
      <c r="F31" s="69" t="n"/>
    </row>
    <row r="32">
      <c r="B32" s="4" t="inlineStr">
        <is>
          <t>Behavioral Indicator</t>
        </is>
      </c>
      <c r="C32" s="11" t="inlineStr">
        <is>
          <t>Assessment</t>
        </is>
      </c>
      <c r="D32" s="4" t="inlineStr">
        <is>
          <t>Evidence / Observation (quote or timestamp where possible)</t>
        </is>
      </c>
      <c r="E32" s="70" t="n"/>
      <c r="F32" s="69" t="n"/>
    </row>
    <row r="33" ht="28" customHeight="1">
      <c r="B33" s="12" t="inlineStr">
        <is>
          <t>Symptoms were identified correctly</t>
        </is>
      </c>
      <c r="C33" s="79" t="inlineStr">
        <is>
          <t>Met</t>
        </is>
      </c>
      <c r="D33" s="12" t="inlineStr">
        <is>
          <t>Correctly framed issue as wireless coverage/stability, not internet speed</t>
        </is>
      </c>
      <c r="E33" s="70" t="n"/>
      <c r="F33" s="69" t="n"/>
    </row>
    <row r="34" ht="28" customHeight="1">
      <c r="B34" s="14" t="inlineStr">
        <is>
          <t>Relevant diagnostic questions were asked</t>
        </is>
      </c>
      <c r="C34" s="79" t="inlineStr">
        <is>
          <t>Met</t>
        </is>
      </c>
      <c r="D34" s="14" t="inlineStr">
        <is>
          <t>Verified inventory (6× MX4200), modem state, node placement before troubleshooting</t>
        </is>
      </c>
      <c r="E34" s="70" t="n"/>
      <c r="F34" s="69" t="n"/>
    </row>
    <row r="35" ht="28" customHeight="1">
      <c r="B35" s="12" t="inlineStr">
        <is>
          <t>Logical troubleshooting methodology was followed</t>
        </is>
      </c>
      <c r="C35" s="79" t="inlineStr">
        <is>
          <t>Met</t>
        </is>
      </c>
      <c r="D35" s="12" t="inlineStr">
        <is>
          <t>Logical narrowing: modem supplying internet → fault domain = parent node config</t>
        </is>
      </c>
      <c r="E35" s="70" t="n"/>
      <c r="F35" s="69" t="n"/>
    </row>
    <row r="36" ht="28" customHeight="1">
      <c r="B36" s="14" t="inlineStr">
        <is>
          <t>Available tools were used appropriately</t>
        </is>
      </c>
      <c r="C36" s="79" t="inlineStr">
        <is>
          <t>Met</t>
        </is>
      </c>
      <c r="D36" s="14" t="inlineStr">
        <is>
          <t>ZOHO remote session 480107042; RSSI per node: 04512 -68, 02733 -61, 02853 -56, 16475 -59 dBm</t>
        </is>
      </c>
      <c r="E36" s="70" t="n"/>
      <c r="F36" s="69" t="n"/>
    </row>
    <row r="37" ht="28" customHeight="1">
      <c r="B37" s="12" t="inlineStr">
        <is>
          <t>Information provided was technically accurate</t>
        </is>
      </c>
      <c r="C37" s="79" t="inlineStr">
        <is>
          <t>Met</t>
        </is>
      </c>
      <c r="D37" s="12" t="inlineStr">
        <is>
          <t>Speed and topology explanations accurate; overlap node (16267, -18 dBm) correctly identified</t>
        </is>
      </c>
      <c r="E37" s="70" t="n"/>
      <c r="F37" s="69" t="n"/>
    </row>
    <row r="38" ht="28" customHeight="1">
      <c r="B38" s="14" t="inlineStr">
        <is>
          <t>Assumptions were validated; no unsupported conclusions</t>
        </is>
      </c>
      <c r="C38" s="79" t="inlineStr">
        <is>
          <t>Partial</t>
        </is>
      </c>
      <c r="D38" s="14" t="inlineStr">
        <is>
          <t>AT&amp;T SSID disabling — prior touch's open isolation step — never confirmed during the session</t>
        </is>
      </c>
      <c r="E38" s="70" t="n"/>
      <c r="F38" s="69" t="n"/>
    </row>
    <row r="39" ht="28" customHeight="1">
      <c r="B39" s="12" t="inlineStr">
        <is>
          <t>Root cause (or likely cause) was identified when possible</t>
        </is>
      </c>
      <c r="C39" s="79" t="inlineStr">
        <is>
          <t>Partial</t>
        </is>
      </c>
      <c r="D39" s="12" t="inlineStr">
        <is>
          <t>Overlap node found, but stability root cause left unconfirmed at close</t>
        </is>
      </c>
      <c r="E39" s="70" t="n"/>
      <c r="F39" s="69" t="n"/>
    </row>
    <row r="40" ht="28" customHeight="1">
      <c r="B40" s="15" t="inlineStr">
        <is>
          <t>⚠ Deduct for: incorrect technical information; skipped critical troubleshooting; misdiagnosis; unnecessary actions recommended; ISP or customer blamed without evidence; repeating basic steps the customer already completed.</t>
        </is>
      </c>
      <c r="C40" s="70" t="n"/>
      <c r="D40" s="70" t="n"/>
      <c r="E40" s="70" t="n"/>
      <c r="F40" s="69" t="n"/>
    </row>
    <row r="41">
      <c r="B41" s="16" t="inlineStr">
        <is>
          <t>Suggested score (auto from indicators — advisory only; evaluator judgment prevails)</t>
        </is>
      </c>
      <c r="C41" s="17">
        <f>IF((COUNTIF(C33:C39,"Met")+COUNTIF(C33:C39,"Partial")+COUNTIF(C33:C39,"Missed"))=0,"",ROUND((COUNTIF(C33:C39,"Met")*5+COUNTIF(C33:C39,"Partial")*2.5)/(COUNTIF(C33:C39,"Met")+COUNTIF(C33:C39,"Partial")+COUNTIF(C33:C39,"Missed")),1))</f>
        <v/>
      </c>
      <c r="D41" s="18" t="inlineStr"/>
      <c r="E41" s="70" t="n"/>
      <c r="F41" s="69" t="n"/>
    </row>
    <row r="42" ht="24" customHeight="1">
      <c r="B42" s="19" t="inlineStr">
        <is>
          <t>FINAL CATEGORY SCORE (0–5)</t>
        </is>
      </c>
      <c r="C42" s="20" t="n">
        <v>4</v>
      </c>
      <c r="D42" s="2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70" t="n"/>
      <c r="F42" s="69" t="n"/>
    </row>
    <row r="43" ht="36" customHeight="1">
      <c r="B43" s="19" t="inlineStr">
        <is>
          <t>Category comments / coaching notes</t>
        </is>
      </c>
      <c r="C43" s="7" t="inlineStr">
        <is>
          <t>Strongest technical touch of the journey alongside Paolo Ebora's May 4 session. Close the loop on inherited open steps (AT&amp;T SSID) next time.</t>
        </is>
      </c>
      <c r="D43" s="70" t="n"/>
      <c r="E43" s="70" t="n"/>
      <c r="F43" s="69" t="n"/>
    </row>
    <row r="45" ht="18" customHeight="1">
      <c r="B45" s="71" t="inlineStr">
        <is>
          <t>3. COMMUNICATION &amp; CALL CONTROL</t>
        </is>
      </c>
      <c r="C45" s="67" t="n"/>
      <c r="D45" s="67" t="n"/>
      <c r="E45" s="68" t="n"/>
      <c r="F45" s="9" t="inlineStr">
        <is>
          <t>Weight: 15%</t>
        </is>
      </c>
    </row>
    <row r="46" ht="28" customHeight="1">
      <c r="B46" s="10" t="inlineStr">
        <is>
          <t>Objective: Evaluate how effectively the agent managed the interaction.</t>
        </is>
      </c>
      <c r="C46" s="70" t="n"/>
      <c r="D46" s="70" t="n"/>
      <c r="E46" s="70" t="n"/>
      <c r="F46" s="69" t="n"/>
    </row>
    <row r="47">
      <c r="B47" s="4" t="inlineStr">
        <is>
          <t>Behavioral Indicator</t>
        </is>
      </c>
      <c r="C47" s="11" t="inlineStr">
        <is>
          <t>Assessment</t>
        </is>
      </c>
      <c r="D47" s="4" t="inlineStr">
        <is>
          <t>Evidence / Observation (quote or timestamp where possible)</t>
        </is>
      </c>
      <c r="E47" s="70" t="n"/>
      <c r="F47" s="69" t="n"/>
    </row>
    <row r="48" ht="28" customHeight="1">
      <c r="B48" s="12" t="inlineStr">
        <is>
          <t>Expectations were set clearly from the start</t>
        </is>
      </c>
      <c r="C48" s="79" t="inlineStr">
        <is>
          <t>Partial</t>
        </is>
      </c>
      <c r="D48" s="12" t="inlineStr">
        <is>
          <t>Callback window agreed clearly — then broken without proactive renegotiation</t>
        </is>
      </c>
      <c r="E48" s="70" t="n"/>
      <c r="F48" s="69" t="n"/>
    </row>
    <row r="49" ht="28" customHeight="1">
      <c r="B49" s="14" t="inlineStr">
        <is>
          <t>Agent maintained control of the troubleshooting flow</t>
        </is>
      </c>
      <c r="C49" s="79" t="inlineStr">
        <is>
          <t>Met</t>
        </is>
      </c>
      <c r="D49" s="14" t="inlineStr">
        <is>
          <t>Drove a focused 3h26m session; investigation: 'more focused than earlier contacts'</t>
        </is>
      </c>
      <c r="E49" s="70" t="n"/>
      <c r="F49" s="69" t="n"/>
    </row>
    <row r="50" ht="28" customHeight="1">
      <c r="B50" s="12" t="inlineStr">
        <is>
          <t>Actions were explained in understandable, jargon-free language</t>
        </is>
      </c>
      <c r="C50" s="79" t="inlineStr">
        <is>
          <t>Partial</t>
        </is>
      </c>
      <c r="D50" s="12" t="inlineStr">
        <is>
          <t>Investigation: 'simplify technical explanations' — terms like RSSI/SSID needed clarification</t>
        </is>
      </c>
      <c r="E50" s="70" t="n"/>
      <c r="F50" s="69" t="n"/>
    </row>
    <row r="51" ht="28" customHeight="1">
      <c r="B51" s="14" t="inlineStr">
        <is>
          <t>Questions were purposeful (no repetitive questioning)</t>
        </is>
      </c>
      <c r="C51" s="79" t="inlineStr">
        <is>
          <t>Met</t>
        </is>
      </c>
      <c r="D51" s="14" t="inlineStr">
        <is>
          <t>Questions tied to isolation; no redundant re-asking of inherited facts</t>
        </is>
      </c>
      <c r="E51" s="70" t="n"/>
      <c r="F51" s="69" t="n"/>
    </row>
    <row r="52" ht="28" customHeight="1">
      <c r="B52" s="12" t="inlineStr">
        <is>
          <t>Customer understanding was confirmed at key points</t>
        </is>
      </c>
      <c r="C52" s="79" t="inlineStr">
        <is>
          <t>Partial</t>
        </is>
      </c>
      <c r="D52" s="12" t="inlineStr">
        <is>
          <t>Investigation: 'strengthen recap and final action ownership'</t>
        </is>
      </c>
      <c r="E52" s="70" t="n"/>
      <c r="F52" s="69" t="n"/>
    </row>
    <row r="53" ht="28" customHeight="1">
      <c r="B53" s="14" t="inlineStr">
        <is>
          <t>Clear transitions between troubleshooting steps; effective time management</t>
        </is>
      </c>
      <c r="C53" s="79" t="inlineStr">
        <is>
          <t>Partial</t>
        </is>
      </c>
      <c r="D53" s="14" t="inlineStr">
        <is>
          <t>Session ran ~6 PM to 11 PM for an 80-year-old couple; no checkpoint offered to pause/resume</t>
        </is>
      </c>
      <c r="E53" s="70" t="n"/>
      <c r="F53" s="69" t="n"/>
    </row>
    <row r="54" ht="28" customHeight="1">
      <c r="B54" s="12" t="inlineStr">
        <is>
          <t>Difficult moments were managed professionally</t>
        </is>
      </c>
      <c r="C54" s="79" t="inlineStr">
        <is>
          <t>Met</t>
        </is>
      </c>
      <c r="D54" s="12" t="inlineStr">
        <is>
          <t>Stayed professional with an exhausted, frustrated customer</t>
        </is>
      </c>
      <c r="E54" s="70" t="n"/>
      <c r="F54" s="69" t="n"/>
    </row>
    <row r="55" ht="28" customHeight="1">
      <c r="B55" s="14" t="inlineStr">
        <is>
          <t>Communication adapted to the customer's accessibility needs (hearing, vision, age)</t>
        </is>
      </c>
      <c r="C55" s="79" t="inlineStr">
        <is>
          <t>Missed</t>
        </is>
      </c>
      <c r="D55" s="14" t="inlineStr">
        <is>
          <t>Hearing-difficulty adaptation cited as opportunity for this and 3 prior agents; pace unchanged</t>
        </is>
      </c>
      <c r="E55" s="70" t="n"/>
      <c r="F55" s="69" t="n"/>
    </row>
    <row r="56" ht="28" customHeight="1">
      <c r="B56" s="15" t="inlineStr">
        <is>
          <t>⚠ High performance: customer always knows what is happening and the agent drives the call confidently. One instruction at a time for customers who need it.</t>
        </is>
      </c>
      <c r="C56" s="70" t="n"/>
      <c r="D56" s="70" t="n"/>
      <c r="E56" s="70" t="n"/>
      <c r="F56" s="69" t="n"/>
    </row>
    <row r="57">
      <c r="B57" s="16" t="inlineStr">
        <is>
          <t>Suggested score (auto from indicators — advisory only; evaluator judgment prevails)</t>
        </is>
      </c>
      <c r="C57" s="17">
        <f>IF((COUNTIF(C48:C55,"Met")+COUNTIF(C48:C55,"Partial")+COUNTIF(C48:C55,"Missed"))=0,"",ROUND((COUNTIF(C48:C55,"Met")*5+COUNTIF(C48:C55,"Partial")*2.5)/(COUNTIF(C48:C55,"Met")+COUNTIF(C48:C55,"Partial")+COUNTIF(C48:C55,"Missed")),1))</f>
        <v/>
      </c>
      <c r="D57" s="18" t="inlineStr"/>
      <c r="E57" s="70" t="n"/>
      <c r="F57" s="69" t="n"/>
    </row>
    <row r="58" ht="24" customHeight="1">
      <c r="B58" s="19" t="inlineStr">
        <is>
          <t>FINAL CATEGORY SCORE (0–5)</t>
        </is>
      </c>
      <c r="C58" s="20" t="n">
        <v>3</v>
      </c>
      <c r="D58" s="2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70" t="n"/>
      <c r="F58" s="69" t="n"/>
    </row>
    <row r="59" ht="36" customHeight="1">
      <c r="B59" s="19" t="inlineStr">
        <is>
          <t>Category comments / coaching notes</t>
        </is>
      </c>
      <c r="C59" s="7" t="inlineStr">
        <is>
          <t>Focused and professional; needs accessibility adaptation and a stronger recap/next-step close (per investigation findings).</t>
        </is>
      </c>
      <c r="D59" s="70" t="n"/>
      <c r="E59" s="70" t="n"/>
      <c r="F59" s="69" t="n"/>
    </row>
    <row r="61" ht="18" customHeight="1">
      <c r="B61" s="71" t="inlineStr">
        <is>
          <t>4. CUSTOMER OWNERSHIP</t>
        </is>
      </c>
      <c r="C61" s="67" t="n"/>
      <c r="D61" s="67" t="n"/>
      <c r="E61" s="68" t="n"/>
      <c r="F61" s="9" t="inlineStr">
        <is>
          <t>Weight: 15%</t>
        </is>
      </c>
    </row>
    <row r="62" ht="28" customHeight="1">
      <c r="B62" s="10" t="inlineStr">
        <is>
          <t>Objective: Measure the degree to which the agent accepted responsibility for moving the customer forward.</t>
        </is>
      </c>
      <c r="C62" s="70" t="n"/>
      <c r="D62" s="70" t="n"/>
      <c r="E62" s="70" t="n"/>
      <c r="F62" s="69" t="n"/>
    </row>
    <row r="63">
      <c r="B63" s="4" t="inlineStr">
        <is>
          <t>Behavioral Indicator</t>
        </is>
      </c>
      <c r="C63" s="11" t="inlineStr">
        <is>
          <t>Assessment</t>
        </is>
      </c>
      <c r="D63" s="4" t="inlineStr">
        <is>
          <t>Evidence / Observation (quote or timestamp where possible)</t>
        </is>
      </c>
      <c r="E63" s="70" t="n"/>
      <c r="F63" s="69" t="n"/>
    </row>
    <row r="64" ht="28" customHeight="1">
      <c r="B64" s="12" t="inlineStr">
        <is>
          <t>Agent demonstrated accountability for the customer's outcome</t>
        </is>
      </c>
      <c r="C64" s="79" t="inlineStr">
        <is>
          <t>Partial</t>
        </is>
      </c>
      <c r="D64" s="12" t="inlineStr">
        <is>
          <t>Claimed queue, drove session, attempted callbacks + emails — but closure undermined accountability</t>
        </is>
      </c>
      <c r="E64" s="70" t="n"/>
      <c r="F64" s="69" t="n"/>
    </row>
    <row r="65" ht="28" customHeight="1">
      <c r="B65" s="14" t="inlineStr">
        <is>
          <t>Unnecessary transfers were avoided</t>
        </is>
      </c>
      <c r="C65" s="79" t="inlineStr">
        <is>
          <t>Met</t>
        </is>
      </c>
      <c r="D65" s="14" t="inlineStr">
        <is>
          <t>Owned at L2 end-to-end; no bouncing</t>
        </is>
      </c>
      <c r="E65" s="70" t="n"/>
      <c r="F65" s="69" t="n"/>
    </row>
    <row r="66" ht="28" customHeight="1">
      <c r="B66" s="12" t="inlineStr">
        <is>
          <t>Commitments made during the interaction were followed through</t>
        </is>
      </c>
      <c r="C66" s="79" t="inlineStr">
        <is>
          <t>Missed</t>
        </is>
      </c>
      <c r="D66" s="12" t="inlineStr">
        <is>
          <t>Agreed 4-5 PM CT callback missed: calls at 5:42 &amp; 6:06 PM (42-66 min late); customer: 'you called at 5:45 — 1 and 3/4 hours late'</t>
        </is>
      </c>
      <c r="E66" s="70" t="n"/>
      <c r="F66" s="69" t="n"/>
    </row>
    <row r="67" ht="28" customHeight="1">
      <c r="B67" s="14" t="inlineStr">
        <is>
          <t>A clear path forward was created for the customer</t>
        </is>
      </c>
      <c r="C67" s="79" t="inlineStr">
        <is>
          <t>Partial</t>
        </is>
      </c>
      <c r="D67" s="14" t="inlineStr">
        <is>
          <t>Replacement plan after missed callback = customer must propose a time; weak for a 7-week case</t>
        </is>
      </c>
      <c r="E67" s="70" t="n"/>
      <c r="F67" s="69" t="n"/>
    </row>
    <row r="68" ht="28" customHeight="1">
      <c r="B68" s="12" t="inlineStr">
        <is>
          <t>Next actions were documented</t>
        </is>
      </c>
      <c r="C68" s="79" t="inlineStr">
        <is>
          <t>Met</t>
        </is>
      </c>
      <c r="D68" s="12" t="inlineStr">
        <is>
          <t>Session notes detailed: speeds, RSSI per node, declined reboot, agreed window — all recorded</t>
        </is>
      </c>
      <c r="E68" s="70" t="n"/>
      <c r="F68" s="69" t="n"/>
    </row>
    <row r="69" ht="28" customHeight="1">
      <c r="B69" s="14" t="inlineStr">
        <is>
          <t>Realistic expectations were set</t>
        </is>
      </c>
      <c r="C69" s="79" t="inlineStr">
        <is>
          <t>Partial</t>
        </is>
      </c>
      <c r="D69" s="14" t="inlineStr">
        <is>
          <t>Knew 4-5 PM window conflicted with TC/OM meetings (private notes 13:48/14:42) yet did not renegotiate in advance</t>
        </is>
      </c>
      <c r="E69" s="70" t="n"/>
      <c r="F69" s="69" t="n"/>
    </row>
    <row r="70" ht="28" customHeight="1">
      <c r="B70" s="12" t="inlineStr">
        <is>
          <t>Disconnect follow-up completed (callback / email / note) — mark N.A. if no disconnect</t>
        </is>
      </c>
      <c r="C70" s="79" t="inlineStr">
        <is>
          <t>N.A.</t>
        </is>
      </c>
      <c r="D70" s="12" t="inlineStr">
        <is>
          <t>No disconnect on this touch</t>
        </is>
      </c>
      <c r="E70" s="70" t="n"/>
      <c r="F70" s="69" t="n"/>
    </row>
    <row r="71" ht="28" customHeight="1">
      <c r="B71" s="14" t="inlineStr">
        <is>
          <t>Callback commitments were met within the agreed window (or proactively renegotiated before it lapsed)</t>
        </is>
      </c>
      <c r="C71" s="79" t="inlineStr">
        <is>
          <t>Missed</t>
        </is>
      </c>
      <c r="D71" s="14" t="inlineStr">
        <is>
          <t>Window missed; conflicting explanations later ('meeting' vs 'engaged with another task')</t>
        </is>
      </c>
      <c r="E71" s="70" t="n"/>
      <c r="F71" s="69" t="n"/>
    </row>
    <row r="72" ht="28" customHeight="1">
      <c r="B72" s="15" t="inlineStr">
        <is>
          <t>⚠ Automatic deductions: no documented follow-up after disconnect; unclear next steps; passing responsibility without context; failure to complete promised actions; missed or late callbacks without proactive renegotiation.</t>
        </is>
      </c>
      <c r="C72" s="70" t="n"/>
      <c r="D72" s="70" t="n"/>
      <c r="E72" s="70" t="n"/>
      <c r="F72" s="69" t="n"/>
    </row>
    <row r="73">
      <c r="B73" s="16" t="inlineStr">
        <is>
          <t>Suggested score (auto from indicators — advisory only; evaluator judgment prevails)</t>
        </is>
      </c>
      <c r="C73" s="17">
        <f>IF((COUNTIF(C64:C71,"Met")+COUNTIF(C64:C71,"Partial")+COUNTIF(C64:C71,"Missed"))=0,"",ROUND((COUNTIF(C64:C71,"Met")*5+COUNTIF(C64:C71,"Partial")*2.5)/(COUNTIF(C64:C71,"Met")+COUNTIF(C64:C71,"Partial")+COUNTIF(C64:C71,"Missed")),1))</f>
        <v/>
      </c>
      <c r="D73" s="18" t="inlineStr"/>
      <c r="E73" s="70" t="n"/>
      <c r="F73" s="69" t="n"/>
    </row>
    <row r="74" ht="24" customHeight="1">
      <c r="B74" s="19" t="inlineStr">
        <is>
          <t>FINAL CATEGORY SCORE (0–5)</t>
        </is>
      </c>
      <c r="C74" s="20" t="n">
        <v>1</v>
      </c>
      <c r="D74" s="2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70" t="n"/>
      <c r="F74" s="69" t="n"/>
    </row>
    <row r="75" ht="36" customHeight="1">
      <c r="B75" s="19" t="inlineStr">
        <is>
          <t>Category comments / coaching notes</t>
        </is>
      </c>
      <c r="C75" s="7" t="inlineStr">
        <is>
          <t>Automatic deductions applied: missed agreed callback window without proactive renegotiation + premature RESOLVED. The calendar conflict was visible in advance.</t>
        </is>
      </c>
      <c r="D75" s="70" t="n"/>
      <c r="E75" s="70" t="n"/>
      <c r="F75" s="69" t="n"/>
    </row>
    <row r="77" ht="18" customHeight="1">
      <c r="B77" s="71" t="inlineStr">
        <is>
          <t>5. ESCALATION JUDGMENT</t>
        </is>
      </c>
      <c r="C77" s="67" t="n"/>
      <c r="D77" s="67" t="n"/>
      <c r="E77" s="68" t="n"/>
      <c r="F77" s="9" t="inlineStr">
        <is>
          <t>Weight: 10%</t>
        </is>
      </c>
    </row>
    <row r="78" ht="28" customHeight="1">
      <c r="B78" s="10" t="inlineStr">
        <is>
          <t>Objective: Determine whether escalation decisions were appropriate — including UPWARD escalations the customer requested (management, complaint, legal). Mark all N.A. if no escalation was involved and none was warranted.</t>
        </is>
      </c>
      <c r="C78" s="70" t="n"/>
      <c r="D78" s="70" t="n"/>
      <c r="E78" s="70" t="n"/>
      <c r="F78" s="69" t="n"/>
    </row>
    <row r="79">
      <c r="B79" s="4" t="inlineStr">
        <is>
          <t>Behavioral Indicator</t>
        </is>
      </c>
      <c r="C79" s="11" t="inlineStr">
        <is>
          <t>Assessment</t>
        </is>
      </c>
      <c r="D79" s="4" t="inlineStr">
        <is>
          <t>Evidence / Observation (quote or timestamp where possible)</t>
        </is>
      </c>
      <c r="E79" s="70" t="n"/>
      <c r="F79" s="69" t="n"/>
    </row>
    <row r="80" ht="28" customHeight="1">
      <c r="B80" s="12" t="inlineStr">
        <is>
          <t>Reasonable troubleshooting was completed before escalating</t>
        </is>
      </c>
      <c r="C80" s="79" t="inlineStr">
        <is>
          <t>N.A.</t>
        </is>
      </c>
      <c r="D80" s="12" t="inlineStr">
        <is>
          <t>No technical escalation needed — agent is the L2 endpoint</t>
        </is>
      </c>
      <c r="E80" s="70" t="n"/>
      <c r="F80" s="69" t="n"/>
    </row>
    <row r="81" ht="28" customHeight="1">
      <c r="B81" s="14" t="inlineStr">
        <is>
          <t>Legitimate escalation criteria were identified (incl. complaint / management / legal-risk triggers)</t>
        </is>
      </c>
      <c r="C81" s="79" t="inlineStr">
        <is>
          <t>Missed</t>
        </is>
      </c>
      <c r="D81" s="14" t="inlineStr">
        <is>
          <t>May 19, 3:33 PM customer email: 'I would like to talk to your management, before I talk to a lawyer' — a textbook management/legal-risk trigger, not actioned</t>
        </is>
      </c>
      <c r="E81" s="70" t="n"/>
      <c r="F81" s="69" t="n"/>
    </row>
    <row r="82" ht="28" customHeight="1">
      <c r="B82" s="12" t="inlineStr">
        <is>
          <t>Escalation contained complete, useful details (logs, findings, steps tried)</t>
        </is>
      </c>
      <c r="C82" s="79" t="inlineStr">
        <is>
          <t>N.A.</t>
        </is>
      </c>
      <c r="D82" s="12" t="inlineStr">
        <is>
          <t>No management/DSAT escalation record until PMO intervened May 27</t>
        </is>
      </c>
      <c r="E82" s="70" t="n"/>
      <c r="F82" s="69" t="n"/>
    </row>
    <row r="83" ht="28" customHeight="1">
      <c r="B83" s="14" t="inlineStr">
        <is>
          <t>Correct escalation path was chosen</t>
        </is>
      </c>
      <c r="C83" s="79" t="inlineStr">
        <is>
          <t>Missed</t>
        </is>
      </c>
      <c r="D83" s="14" t="inlineStr">
        <is>
          <t>Consulted TC Marc Baynos about how to WORD the reply — not to escalate the complaint</t>
        </is>
      </c>
      <c r="E83" s="70" t="n"/>
      <c r="F83" s="69" t="n"/>
    </row>
    <row r="84" ht="28" customHeight="1">
      <c r="B84" s="12" t="inlineStr">
        <is>
          <t>Customer expectations about the escalation were set appropriately</t>
        </is>
      </c>
      <c r="C84" s="79" t="inlineStr">
        <is>
          <t>Missed</t>
        </is>
      </c>
      <c r="D84" s="12" t="inlineStr">
        <is>
          <t>Final email never acknowledged the management request</t>
        </is>
      </c>
      <c r="E84" s="70" t="n"/>
      <c r="F84" s="69" t="n"/>
    </row>
    <row r="85" ht="28" customHeight="1">
      <c r="B85" s="15" t="inlineStr">
        <is>
          <t>⚠ Low score: premature, avoidable, poorly documented, used as a substitute for troubleshooting — or a warranted escalation (incl. a customer's management request) that was NOT made.</t>
        </is>
      </c>
      <c r="C85" s="70" t="n"/>
      <c r="D85" s="70" t="n"/>
      <c r="E85" s="70" t="n"/>
      <c r="F85" s="69" t="n"/>
    </row>
    <row r="86">
      <c r="B86" s="16" t="inlineStr">
        <is>
          <t>Suggested score (auto from indicators — advisory only; evaluator judgment prevails)</t>
        </is>
      </c>
      <c r="C86" s="17">
        <f>IF((COUNTIF(C80:C84,"Met")+COUNTIF(C80:C84,"Partial")+COUNTIF(C80:C84,"Missed"))=0,"",ROUND((COUNTIF(C80:C84,"Met")*5+COUNTIF(C80:C84,"Partial")*2.5)/(COUNTIF(C80:C84,"Met")+COUNTIF(C80:C84,"Partial")+COUNTIF(C80:C84,"Missed")),1))</f>
        <v/>
      </c>
      <c r="D86" s="18" t="inlineStr"/>
      <c r="E86" s="70" t="n"/>
      <c r="F86" s="69" t="n"/>
    </row>
    <row r="87" ht="24" customHeight="1">
      <c r="B87" s="19" t="inlineStr">
        <is>
          <t>FINAL CATEGORY SCORE (0–5)</t>
        </is>
      </c>
      <c r="C87" s="20" t="n">
        <v>1</v>
      </c>
      <c r="D87" s="2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70" t="n"/>
      <c r="F87" s="69" t="n"/>
    </row>
    <row r="88" ht="36" customHeight="1">
      <c r="B88" s="19" t="inlineStr">
        <is>
          <t>Category comments / coaching notes</t>
        </is>
      </c>
      <c r="C88" s="7" t="inlineStr">
        <is>
          <t>The escalation that mattered was upward: an explicit management request with a legal threat from a vulnerable customer. It was not made. Scored 1 (TC consult occurred) rather than 0.</t>
        </is>
      </c>
      <c r="D88" s="70" t="n"/>
      <c r="E88" s="70" t="n"/>
      <c r="F88" s="69" t="n"/>
    </row>
    <row r="90" ht="18" customHeight="1">
      <c r="B90" s="71" t="inlineStr">
        <is>
          <t>6. CUSTOMER EXPERIENCE</t>
        </is>
      </c>
      <c r="C90" s="67" t="n"/>
      <c r="D90" s="67" t="n"/>
      <c r="E90" s="68" t="n"/>
      <c r="F90" s="9" t="inlineStr">
        <is>
          <t>Weight: 5%</t>
        </is>
      </c>
    </row>
    <row r="91" ht="28" customHeight="1">
      <c r="B91" s="10" t="inlineStr">
        <is>
          <t>Objective: Measure the overall customer experience delivered during the interaction.</t>
        </is>
      </c>
      <c r="C91" s="70" t="n"/>
      <c r="D91" s="70" t="n"/>
      <c r="E91" s="70" t="n"/>
      <c r="F91" s="69" t="n"/>
    </row>
    <row r="92">
      <c r="B92" s="4" t="inlineStr">
        <is>
          <t>Behavioral Indicator</t>
        </is>
      </c>
      <c r="C92" s="11" t="inlineStr">
        <is>
          <t>Assessment</t>
        </is>
      </c>
      <c r="D92" s="4" t="inlineStr">
        <is>
          <t>Evidence / Observation (quote or timestamp where possible)</t>
        </is>
      </c>
      <c r="E92" s="70" t="n"/>
      <c r="F92" s="69" t="n"/>
    </row>
    <row r="93" ht="28" customHeight="1">
      <c r="B93" s="12" t="inlineStr">
        <is>
          <t>Empathy was demonstrated (incl. acknowledging cumulative effort and fatigue on repeat contacts)</t>
        </is>
      </c>
      <c r="C93" s="79" t="inlineStr">
        <is>
          <t>Partial</t>
        </is>
      </c>
      <c r="D93" s="12" t="inlineStr">
        <is>
          <t>Apologies sent, but investigation: 'acknowledge customer effort and fatigue more explicitly' (20-30 hrs, no dinner, age 80)</t>
        </is>
      </c>
      <c r="E93" s="70" t="n"/>
      <c r="F93" s="69" t="n"/>
    </row>
    <row r="94" ht="28" customHeight="1">
      <c r="B94" s="14" t="inlineStr">
        <is>
          <t>Professionalism was maintained throughout</t>
        </is>
      </c>
      <c r="C94" s="79" t="inlineStr">
        <is>
          <t>Met</t>
        </is>
      </c>
      <c r="D94" s="14" t="inlineStr">
        <is>
          <t>Courteous and calm in all calls and emails</t>
        </is>
      </c>
      <c r="E94" s="70" t="n"/>
      <c r="F94" s="69" t="n"/>
    </row>
    <row r="95" ht="28" customHeight="1">
      <c r="B95" s="12" t="inlineStr">
        <is>
          <t>Communication style was adapted to the customer</t>
        </is>
      </c>
      <c r="C95" s="79" t="inlineStr">
        <is>
          <t>Partial</t>
        </is>
      </c>
      <c r="D95" s="12" t="inlineStr">
        <is>
          <t>Some simplification, but pace/jargon unadjusted for hearing difficulty</t>
        </is>
      </c>
      <c r="E95" s="70" t="n"/>
      <c r="F95" s="69" t="n"/>
    </row>
    <row r="96" ht="28" customHeight="1">
      <c r="B96" s="14" t="inlineStr">
        <is>
          <t>Patience was maintained, even under pressure</t>
        </is>
      </c>
      <c r="C96" s="79" t="inlineStr">
        <is>
          <t>Met</t>
        </is>
      </c>
      <c r="D96" s="14" t="inlineStr">
        <is>
          <t>Patient through a 3h26m session</t>
        </is>
      </c>
      <c r="E96" s="70" t="n"/>
      <c r="F96" s="69" t="n"/>
    </row>
    <row r="97" ht="28" customHeight="1">
      <c r="B97" s="12" t="inlineStr">
        <is>
          <t>Customer effort was reduced where possible</t>
        </is>
      </c>
      <c r="C97" s="79" t="inlineStr">
        <is>
          <t>Missed</t>
        </is>
      </c>
      <c r="D97" s="12" t="inlineStr">
        <is>
          <t>11 PM finish, then customer expected to chase the reschedule; survey: 'almost impossible to get a technician who can help'</t>
        </is>
      </c>
      <c r="E97" s="70" t="n"/>
      <c r="F97" s="69" t="n"/>
    </row>
    <row r="98" ht="28" customHeight="1">
      <c r="B98" s="14" t="inlineStr">
        <is>
          <t>Customer felt heard, understood next steps, and remained engaged</t>
        </is>
      </c>
      <c r="C98" s="79" t="inlineStr">
        <is>
          <t>Missed</t>
        </is>
      </c>
      <c r="D98" s="14" t="inlineStr">
        <is>
          <t>CSAT 1/5; 'worst customer service I have ever had'; customer scrapped Linksys for Eero</t>
        </is>
      </c>
      <c r="E98" s="70" t="n"/>
      <c r="F98" s="69" t="n"/>
    </row>
    <row r="99" ht="28" customHeight="1">
      <c r="B99" s="15" t="inlineStr">
        <is>
          <t>⚠ Negative indicators: dismissive responses; robotic interactions; frustration escalation caused by agent behavior; marathon sessions pushed onto vulnerable customers without offering to pause and resume.</t>
        </is>
      </c>
      <c r="C99" s="70" t="n"/>
      <c r="D99" s="70" t="n"/>
      <c r="E99" s="70" t="n"/>
      <c r="F99" s="69" t="n"/>
    </row>
    <row r="100">
      <c r="B100" s="16" t="inlineStr">
        <is>
          <t>Suggested score (auto from indicators — advisory only; evaluator judgment prevails)</t>
        </is>
      </c>
      <c r="C100" s="17">
        <f>IF((COUNTIF(C93:C98,"Met")+COUNTIF(C93:C98,"Partial")+COUNTIF(C93:C98,"Missed"))=0,"",ROUND((COUNTIF(C93:C98,"Met")*5+COUNTIF(C93:C98,"Partial")*2.5)/(COUNTIF(C93:C98,"Met")+COUNTIF(C93:C98,"Partial")+COUNTIF(C93:C98,"Missed")),1))</f>
        <v/>
      </c>
      <c r="D100" s="18" t="inlineStr"/>
      <c r="E100" s="70" t="n"/>
      <c r="F100" s="69" t="n"/>
    </row>
    <row r="101" ht="24" customHeight="1">
      <c r="B101" s="19" t="inlineStr">
        <is>
          <t>FINAL CATEGORY SCORE (0–5)</t>
        </is>
      </c>
      <c r="C101" s="20" t="n">
        <v>2</v>
      </c>
      <c r="D101" s="2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70" t="n"/>
      <c r="F101" s="69" t="n"/>
    </row>
    <row r="102" ht="36" customHeight="1">
      <c r="B102" s="19" t="inlineStr">
        <is>
          <t>Category comments / coaching notes</t>
        </is>
      </c>
      <c r="C102" s="7" t="inlineStr">
        <is>
          <t>Patience and courtesy present; effort-reduction and fatigue acknowledgment absent. The outcome data (CSAT 1, churn) reflects the journey, but this touch's choices contributed directly.</t>
        </is>
      </c>
      <c r="D102" s="70" t="n"/>
      <c r="E102" s="70" t="n"/>
      <c r="F102" s="69" t="n"/>
    </row>
    <row r="104" ht="18" customHeight="1">
      <c r="B104" s="71" t="inlineStr">
        <is>
          <t>7. DOCUMENTATION &amp; NOTES</t>
        </is>
      </c>
      <c r="C104" s="67" t="n"/>
      <c r="D104" s="67" t="n"/>
      <c r="E104" s="68" t="n"/>
      <c r="F104" s="9" t="inlineStr">
        <is>
          <t>Weight: 5%</t>
        </is>
      </c>
    </row>
    <row r="105" ht="28" customHeight="1">
      <c r="B105" s="10" t="inlineStr">
        <is>
          <t>Objective: Ensure future agents can quickly understand the case. Purpose is continuity, not compliance.</t>
        </is>
      </c>
      <c r="C105" s="70" t="n"/>
      <c r="D105" s="70" t="n"/>
      <c r="E105" s="70" t="n"/>
      <c r="F105" s="69" t="n"/>
    </row>
    <row r="106">
      <c r="B106" s="4" t="inlineStr">
        <is>
          <t>Behavioral Indicator</t>
        </is>
      </c>
      <c r="C106" s="11" t="inlineStr">
        <is>
          <t>Assessment</t>
        </is>
      </c>
      <c r="D106" s="4" t="inlineStr">
        <is>
          <t>Evidence / Observation (quote or timestamp where possible)</t>
        </is>
      </c>
      <c r="E106" s="70" t="n"/>
      <c r="F106" s="69" t="n"/>
    </row>
    <row r="107" ht="28" customHeight="1">
      <c r="B107" s="12" t="inlineStr">
        <is>
          <t>Customer issue summary recorded</t>
        </is>
      </c>
      <c r="C107" s="79" t="inlineStr">
        <is>
          <t>Met</t>
        </is>
      </c>
      <c r="D107" s="12" t="inlineStr">
        <is>
          <t>Issue and modem-replacement context captured on claim</t>
        </is>
      </c>
      <c r="E107" s="70" t="n"/>
      <c r="F107" s="69" t="n"/>
    </row>
    <row r="108" ht="28" customHeight="1">
      <c r="B108" s="14" t="inlineStr">
        <is>
          <t>Troubleshooting performed is documented</t>
        </is>
      </c>
      <c r="C108" s="79" t="inlineStr">
        <is>
          <t>Met</t>
        </is>
      </c>
      <c r="D108" s="14" t="inlineStr">
        <is>
          <t>Session note: speeds, 4 child nodes, RSSI per node, overlap node, declined sequence reboot</t>
        </is>
      </c>
      <c r="E108" s="70" t="n"/>
      <c r="F108" s="69" t="n"/>
    </row>
    <row r="109" ht="28" customHeight="1">
      <c r="B109" s="12" t="inlineStr">
        <is>
          <t>Key findings / discoveries noted</t>
        </is>
      </c>
      <c r="C109" s="79" t="inlineStr">
        <is>
          <t>Met</t>
        </is>
      </c>
      <c r="D109" s="12" t="inlineStr">
        <is>
          <t>Key findings recorded incl. 16267 overlap at -18 dBm</t>
        </is>
      </c>
      <c r="E109" s="70" t="n"/>
      <c r="F109" s="69" t="n"/>
    </row>
    <row r="110" ht="28" customHeight="1">
      <c r="B110" s="14" t="inlineStr">
        <is>
          <t>Agent reasoning is captured</t>
        </is>
      </c>
      <c r="C110" s="79" t="inlineStr">
        <is>
          <t>Partial</t>
        </is>
      </c>
      <c r="D110" s="14" t="inlineStr">
        <is>
          <t>Why RESOLVED was chosen is nowhere — investigation: 'no private note indicating the reason for closing the unresolved case'</t>
        </is>
      </c>
      <c r="E110" s="70" t="n"/>
      <c r="F110" s="69" t="n"/>
    </row>
    <row r="111" ht="28" customHeight="1">
      <c r="B111" s="12" t="inlineStr">
        <is>
          <t>Escalation justification included — mark N.A. if no escalation</t>
        </is>
      </c>
      <c r="C111" s="79" t="inlineStr">
        <is>
          <t>Missed</t>
        </is>
      </c>
      <c r="D111" s="12" t="inlineStr">
        <is>
          <t>Customer's management/legal request never documented as an escalation item</t>
        </is>
      </c>
      <c r="E111" s="70" t="n"/>
      <c r="F111" s="69" t="n"/>
    </row>
    <row r="112" ht="28" customHeight="1">
      <c r="B112" s="14" t="inlineStr">
        <is>
          <t>Next steps and follow-up actions listed (incl. callback records)</t>
        </is>
      </c>
      <c r="C112" s="79" t="inlineStr">
        <is>
          <t>Partial</t>
        </is>
      </c>
      <c r="D112" s="14" t="inlineStr">
        <is>
          <t>Callback agreement noted; post-miss plan vague ('reply with preferred date/time')</t>
        </is>
      </c>
      <c r="E112" s="70" t="n"/>
      <c r="F112" s="69" t="n"/>
    </row>
    <row r="113" ht="28" customHeight="1">
      <c r="B113" s="12" t="inlineStr">
        <is>
          <t>Ticket status accurately reflects case state (no premature RESOLVED; closure reason documented)</t>
        </is>
      </c>
      <c r="C113" s="79" t="inlineStr">
        <is>
          <t>Missed</t>
        </is>
      </c>
      <c r="D113" s="12" t="inlineStr">
        <is>
          <t>RESOLVED set May 19 on a known-unresolved case — 5th premature closure on this ticket; NTE requested by investigation</t>
        </is>
      </c>
      <c r="E113" s="70" t="n"/>
      <c r="F113" s="69" t="n"/>
    </row>
    <row r="114" ht="28" customHeight="1">
      <c r="B114" s="15" t="inlineStr">
        <is>
          <t>⚠ Documentation supports outcomes but should not outweigh troubleshooting quality, communication, or ownership. Notes must carry the FULL history — including pre-ticket contacts — so no agent treats a long-running case as new.</t>
        </is>
      </c>
      <c r="C114" s="70" t="n"/>
      <c r="D114" s="70" t="n"/>
      <c r="E114" s="70" t="n"/>
      <c r="F114" s="69" t="n"/>
    </row>
    <row r="115">
      <c r="B115" s="16" t="inlineStr">
        <is>
          <t>Suggested score (auto from indicators — advisory only; evaluator judgment prevails)</t>
        </is>
      </c>
      <c r="C115" s="17">
        <f>IF((COUNTIF(C107:C113,"Met")+COUNTIF(C107:C113,"Partial")+COUNTIF(C107:C113,"Missed"))=0,"",ROUND((COUNTIF(C107:C113,"Met")*5+COUNTIF(C107:C113,"Partial")*2.5)/(COUNTIF(C107:C113,"Met")+COUNTIF(C107:C113,"Partial")+COUNTIF(C107:C113,"Missed")),1))</f>
        <v/>
      </c>
      <c r="D115" s="18" t="inlineStr"/>
      <c r="E115" s="70" t="n"/>
      <c r="F115" s="69" t="n"/>
    </row>
    <row r="116" ht="24" customHeight="1">
      <c r="B116" s="19" t="inlineStr">
        <is>
          <t>FINAL CATEGORY SCORE (0–5)</t>
        </is>
      </c>
      <c r="C116" s="20" t="n">
        <v>2</v>
      </c>
      <c r="D116" s="2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70" t="n"/>
      <c r="F116" s="69" t="n"/>
    </row>
    <row r="117" ht="36" customHeight="1">
      <c r="B117" s="19" t="inlineStr">
        <is>
          <t>Category comments / coaching notes</t>
        </is>
      </c>
      <c r="C117" s="7" t="inlineStr">
        <is>
          <t>Technical notes excellent; closure documentation failed — no reason for RESOLVED, conflicting missed-callback explanations across notes.</t>
        </is>
      </c>
      <c r="D117" s="70" t="n"/>
      <c r="E117" s="70" t="n"/>
      <c r="F117" s="69" t="n"/>
    </row>
    <row r="119">
      <c r="B119" s="8" t="inlineStr">
        <is>
          <t>3 · SCORE SUMMARY</t>
        </is>
      </c>
      <c r="C119" s="67" t="n"/>
      <c r="D119" s="67" t="n"/>
      <c r="E119" s="67" t="n"/>
      <c r="F119" s="68" t="n"/>
    </row>
    <row r="120">
      <c r="B120" s="75" t="inlineStr">
        <is>
          <t>Category</t>
        </is>
      </c>
      <c r="C120" s="75" t="inlineStr">
        <is>
          <t>Weight</t>
        </is>
      </c>
      <c r="D120" s="75" t="inlineStr">
        <is>
          <t>Score (0-5)</t>
        </is>
      </c>
      <c r="E120" s="75" t="inlineStr">
        <is>
          <t>Weighted</t>
        </is>
      </c>
      <c r="F120" s="75" t="inlineStr">
        <is>
          <t>Band</t>
        </is>
      </c>
    </row>
    <row r="121">
      <c r="B121" s="23" t="inlineStr">
        <is>
          <t>Resolution / Progress Toward Resolution</t>
        </is>
      </c>
      <c r="C121" s="24" t="n">
        <v>0.3</v>
      </c>
      <c r="D121" s="25">
        <f>C27</f>
        <v/>
      </c>
      <c r="E121" s="83">
        <f>IF(D121="","",(D121/5)*C121)</f>
        <v/>
      </c>
      <c r="F121" s="82">
        <f>IF(D121="","",IF(D121&gt;=4,"Strong",IF(D121=3,"Developing","Needs Focus")))</f>
        <v/>
      </c>
    </row>
    <row r="122">
      <c r="B122" s="28" t="inlineStr">
        <is>
          <t>Technical Accuracy</t>
        </is>
      </c>
      <c r="C122" s="29" t="n">
        <v>0.2</v>
      </c>
      <c r="D122" s="30">
        <f>C42</f>
        <v/>
      </c>
      <c r="E122" s="78">
        <f>IF(D122="","",(D122/5)*C122)</f>
        <v/>
      </c>
      <c r="F122" s="77">
        <f>IF(D122="","",IF(D122&gt;=4,"Strong",IF(D122=3,"Developing","Needs Focus")))</f>
        <v/>
      </c>
    </row>
    <row r="123">
      <c r="B123" s="23" t="inlineStr">
        <is>
          <t>Communication &amp; Call Control</t>
        </is>
      </c>
      <c r="C123" s="24" t="n">
        <v>0.15</v>
      </c>
      <c r="D123" s="25">
        <f>C58</f>
        <v/>
      </c>
      <c r="E123" s="83">
        <f>IF(D123="","",(D123/5)*C123)</f>
        <v/>
      </c>
      <c r="F123" s="82">
        <f>IF(D123="","",IF(D123&gt;=4,"Strong",IF(D123=3,"Developing","Needs Focus")))</f>
        <v/>
      </c>
    </row>
    <row r="124">
      <c r="B124" s="28" t="inlineStr">
        <is>
          <t>Customer Ownership</t>
        </is>
      </c>
      <c r="C124" s="29" t="n">
        <v>0.15</v>
      </c>
      <c r="D124" s="30">
        <f>C74</f>
        <v/>
      </c>
      <c r="E124" s="78">
        <f>IF(D124="","",(D124/5)*C124)</f>
        <v/>
      </c>
      <c r="F124" s="77">
        <f>IF(D124="","",IF(D124&gt;=4,"Strong",IF(D124=3,"Developing","Needs Focus")))</f>
        <v/>
      </c>
    </row>
    <row r="125">
      <c r="B125" s="23" t="inlineStr">
        <is>
          <t>Escalation Judgment</t>
        </is>
      </c>
      <c r="C125" s="24" t="n">
        <v>0.1</v>
      </c>
      <c r="D125" s="25">
        <f>C87</f>
        <v/>
      </c>
      <c r="E125" s="83">
        <f>IF(D125="","",(D125/5)*C125)</f>
        <v/>
      </c>
      <c r="F125" s="82">
        <f>IF(D125="","",IF(D125&gt;=4,"Strong",IF(D125=3,"Developing","Needs Focus")))</f>
        <v/>
      </c>
    </row>
    <row r="126">
      <c r="B126" s="28" t="inlineStr">
        <is>
          <t>Customer Experience</t>
        </is>
      </c>
      <c r="C126" s="29" t="n">
        <v>0.05</v>
      </c>
      <c r="D126" s="30">
        <f>C101</f>
        <v/>
      </c>
      <c r="E126" s="78">
        <f>IF(D126="","",(D126/5)*C126)</f>
        <v/>
      </c>
      <c r="F126" s="77">
        <f>IF(D126="","",IF(D126&gt;=4,"Strong",IF(D126=3,"Developing","Needs Focus")))</f>
        <v/>
      </c>
    </row>
    <row r="127">
      <c r="B127" s="23" t="inlineStr">
        <is>
          <t>Documentation &amp; Notes</t>
        </is>
      </c>
      <c r="C127" s="24" t="n">
        <v>0.05</v>
      </c>
      <c r="D127" s="25">
        <f>C116</f>
        <v/>
      </c>
      <c r="E127" s="83">
        <f>IF(D127="","",(D127/5)*C127)</f>
        <v/>
      </c>
      <c r="F127" s="82">
        <f>IF(D127="","",IF(D127&gt;=4,"Strong",IF(D127=3,"Developing","Needs Focus")))</f>
        <v/>
      </c>
    </row>
    <row r="128" ht="24" customHeight="1">
      <c r="B128" s="8" t="inlineStr">
        <is>
          <t>WEIGHTED TOTAL SCORE</t>
        </is>
      </c>
      <c r="C128" s="33">
        <f>SUM(C121:C127)</f>
        <v/>
      </c>
      <c r="D128" s="34" t="inlineStr"/>
      <c r="E128" s="35">
        <f>SUM(E121:E127)</f>
        <v/>
      </c>
      <c r="F128" s="36">
        <f>IF(E128="","",IF(E128&gt;=0.85,"MEETS / EXCEEDS",IF(E128&gt;=0.7,"DEVELOPING","NEEDS IMPROVEMENT")))</f>
        <v/>
      </c>
    </row>
    <row r="130">
      <c r="B130" s="71" t="inlineStr">
        <is>
          <t>4 · RESOLUTION OUTCOME</t>
        </is>
      </c>
      <c r="C130" s="67" t="n"/>
      <c r="D130" s="67" t="n"/>
      <c r="E130" s="67" t="n"/>
      <c r="F130" s="68" t="n"/>
    </row>
    <row r="131">
      <c r="B131" s="4" t="inlineStr">
        <is>
          <t>Outcome classification</t>
        </is>
      </c>
      <c r="C131" s="37" t="inlineStr">
        <is>
          <t>Ownership Gap</t>
        </is>
      </c>
      <c r="D131" s="70" t="n"/>
      <c r="E131" s="70" t="n"/>
      <c r="F131" s="69" t="n"/>
    </row>
    <row r="132">
      <c r="B132" s="6" t="inlineStr">
        <is>
          <t>Primary positive outcome achieved</t>
        </is>
      </c>
      <c r="C132" s="81" t="inlineStr">
        <is>
          <t>None achieved</t>
        </is>
      </c>
      <c r="D132" s="70" t="n"/>
      <c r="E132" s="70" t="n"/>
      <c r="F132" s="69" t="n"/>
    </row>
    <row r="133" ht="52" customHeight="1">
      <c r="B133" s="4" t="inlineStr">
        <is>
          <t>Justification</t>
        </is>
      </c>
      <c r="C133" s="7"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70" t="n"/>
      <c r="E133" s="70" t="n"/>
      <c r="F133" s="69" t="n"/>
    </row>
    <row r="135">
      <c r="B135" s="71" t="inlineStr">
        <is>
          <t>5 · DISCONNECTED CALL FOLLOW-UP</t>
        </is>
      </c>
      <c r="C135" s="67" t="n"/>
      <c r="D135" s="67" t="n"/>
      <c r="E135" s="67" t="n"/>
      <c r="F135" s="68" t="n"/>
    </row>
    <row r="136">
      <c r="B136" s="6" t="inlineStr">
        <is>
          <t>Did the interaction disconnect before completion?</t>
        </is>
      </c>
      <c r="C136" s="79" t="inlineStr">
        <is>
          <t>No</t>
        </is>
      </c>
      <c r="D136" s="15" t="inlineStr">
        <is>
          <t>If Yes, at least one documented follow-up action is required.</t>
        </is>
      </c>
      <c r="E136" s="70" t="n"/>
      <c r="F136" s="69" t="n"/>
    </row>
    <row r="137" ht="30" customHeight="1">
      <c r="B137" s="4" t="inlineStr">
        <is>
          <t>Follow-up action taken</t>
        </is>
      </c>
      <c r="C137" s="81" t="inlineStr">
        <is>
          <t>N.A. — no disconnect</t>
        </is>
      </c>
      <c r="D137" s="69" t="n"/>
      <c r="E137" s="38">
        <f>IF(AND(C136="Yes",OR(C137="None",C137="N.A. — no disconnect")),"⚠ MISSED OWNERSHIP OPPORTUNITY — flag in Customer Ownership and Critical Failures","OK")</f>
        <v/>
      </c>
      <c r="F137" s="69" t="n"/>
    </row>
    <row r="139">
      <c r="B139" s="39" t="inlineStr">
        <is>
          <t>6 · CRITICAL FAILURE CONDITIONS  (any 'Yes' triggers automatic review / coaching / QA failure regardless of score)</t>
        </is>
      </c>
      <c r="C139" s="67" t="n"/>
      <c r="D139" s="67" t="n"/>
      <c r="E139" s="67" t="n"/>
      <c r="F139" s="68" t="n"/>
    </row>
    <row r="140">
      <c r="B140" s="71" t="inlineStr">
        <is>
          <t>Condition</t>
        </is>
      </c>
      <c r="C140" s="75" t="inlineStr">
        <is>
          <t>Present?</t>
        </is>
      </c>
      <c r="D140" s="71" t="inlineStr">
        <is>
          <t>Notes / Evidence</t>
        </is>
      </c>
      <c r="E140" s="67" t="n"/>
      <c r="F140" s="68" t="n"/>
    </row>
    <row r="141" ht="26" customHeight="1">
      <c r="B141" s="12" t="inlineStr">
        <is>
          <t>Harmful or incorrect troubleshooting provided</t>
        </is>
      </c>
      <c r="C141" s="79" t="inlineStr">
        <is>
          <t>No</t>
        </is>
      </c>
      <c r="D141" s="12" t="inlineStr"/>
      <c r="E141" s="70" t="n"/>
      <c r="F141" s="69" t="n"/>
    </row>
    <row r="142" ht="26" customHeight="1">
      <c r="B142" s="14" t="inlineStr">
        <is>
          <t>Misrepresented product capabilities</t>
        </is>
      </c>
      <c r="C142" s="79" t="inlineStr">
        <is>
          <t>No</t>
        </is>
      </c>
      <c r="D142" s="14" t="inlineStr"/>
      <c r="E142" s="70" t="n"/>
      <c r="F142" s="69" t="n"/>
    </row>
    <row r="143" ht="26" customHeight="1">
      <c r="B143" s="12" t="inlineStr">
        <is>
          <t>Unsupported root-cause claims (e.g., ISP/customer blame w/o evidence)</t>
        </is>
      </c>
      <c r="C143" s="79" t="inlineStr">
        <is>
          <t>No</t>
        </is>
      </c>
      <c r="D143" s="12" t="inlineStr"/>
      <c r="E143" s="70" t="n"/>
      <c r="F143" s="69" t="n"/>
    </row>
    <row r="144" ht="26" customHeight="1">
      <c r="B144" s="14" t="inlineStr">
        <is>
          <t>No follow-up after disconnected call</t>
        </is>
      </c>
      <c r="C144" s="79" t="inlineStr">
        <is>
          <t>No</t>
        </is>
      </c>
      <c r="D144" s="14" t="inlineStr"/>
      <c r="E144" s="70" t="n"/>
      <c r="F144" s="69" t="n"/>
    </row>
    <row r="145" ht="26" customHeight="1">
      <c r="B145" s="12" t="inlineStr">
        <is>
          <t>Failed to complete a promised action (incl. missed agreed callback window)</t>
        </is>
      </c>
      <c r="C145" s="79" t="inlineStr">
        <is>
          <t>Yes</t>
        </is>
      </c>
      <c r="D145" s="12" t="inlineStr">
        <is>
          <t>Agreed 4-5 PM CT window May 19; calls placed 5:42 &amp; 6:06 PM (42-66 min late). Conflicting explanations in notes.</t>
        </is>
      </c>
      <c r="E145" s="70" t="n"/>
      <c r="F145" s="69" t="n"/>
    </row>
    <row r="146" ht="26" customHeight="1">
      <c r="B146" s="14" t="inlineStr">
        <is>
          <t>Abandoned customer without a path forward</t>
        </is>
      </c>
      <c r="C146" s="79" t="inlineStr">
        <is>
          <t>No</t>
        </is>
      </c>
      <c r="D146" s="14" t="inlineStr"/>
      <c r="E146" s="70" t="n"/>
      <c r="F146" s="69" t="n"/>
    </row>
    <row r="147" ht="26" customHeight="1">
      <c r="B147" s="12" t="inlineStr">
        <is>
          <t>Escalated without reasonable troubleshooting / to avoid ownership</t>
        </is>
      </c>
      <c r="C147" s="79" t="inlineStr">
        <is>
          <t>No</t>
        </is>
      </c>
      <c r="D147" s="12" t="inlineStr"/>
      <c r="E147" s="70" t="n"/>
      <c r="F147" s="69" t="n"/>
    </row>
    <row r="148" ht="26" customHeight="1">
      <c r="B148" s="14" t="inlineStr">
        <is>
          <t>Unprofessional, rude, or dismissive conduct / policy violation</t>
        </is>
      </c>
      <c r="C148" s="79" t="inlineStr">
        <is>
          <t>No</t>
        </is>
      </c>
      <c r="D148" s="14" t="inlineStr"/>
      <c r="E148" s="70" t="n"/>
      <c r="F148" s="69" t="n"/>
    </row>
    <row r="149" ht="26" customHeight="1">
      <c r="B149" s="12" t="inlineStr">
        <is>
          <t>Compliance / security violation (e.g., payment card data spoken or stored in plaintext — PCI DSS)</t>
        </is>
      </c>
      <c r="C149" s="79" t="inlineStr">
        <is>
          <t>No</t>
        </is>
      </c>
      <c r="D149" s="12" t="inlineStr"/>
      <c r="E149" s="70" t="n"/>
      <c r="F149" s="69" t="n"/>
    </row>
    <row r="150" ht="26" customHeight="1">
      <c r="B150" s="14" t="inlineStr">
        <is>
          <t>Case marked Resolved while issue known to be unresolved (premature closure / no closure reason)</t>
        </is>
      </c>
      <c r="C150" s="79" t="inlineStr">
        <is>
          <t>Yes</t>
        </is>
      </c>
      <c r="D150" s="14" t="inlineStr">
        <is>
          <t>RESOLVED set May 19 after apology email; no private note with closure reason; survey 3 days later: Resolution Rate = No. 5th premature RESOLVED on this ticket.</t>
        </is>
      </c>
      <c r="E150" s="70" t="n"/>
      <c r="F150" s="69" t="n"/>
    </row>
    <row r="151" ht="26" customHeight="1">
      <c r="B151" s="12" t="inlineStr">
        <is>
          <t>Customer complaint, management-contact, or legal-risk request not escalated</t>
        </is>
      </c>
      <c r="C151" s="79" t="inlineStr">
        <is>
          <t>Yes</t>
        </is>
      </c>
      <c r="D151" s="12" t="inlineStr">
        <is>
          <t>Customer email 3:33 PM May 19 requested management contact and referenced a lawyer; no management/DSAT escalation until PMO intervention May 27.</t>
        </is>
      </c>
      <c r="E151" s="70" t="n"/>
      <c r="F151" s="69" t="n"/>
    </row>
    <row r="152">
      <c r="B152" s="39" t="inlineStr">
        <is>
          <t>CRITICAL FAILURE FLAGGED?</t>
        </is>
      </c>
      <c r="C152" s="40">
        <f>IF(COUNTIF(C141:C151,"Yes")&gt;0,"YES — "&amp;COUNTIF(C141:C151,"Yes")&amp;" condition(s) flagged — automatic review required regardless of weighted score","No critical failures")</f>
        <v/>
      </c>
      <c r="D152" s="67" t="n"/>
      <c r="E152" s="67" t="n"/>
      <c r="F152" s="68" t="n"/>
    </row>
    <row r="154">
      <c r="B154" s="8" t="inlineStr">
        <is>
          <t>7 · COACHING &amp; FEEDBACK  (every review must produce at least one actionable coaching opportunity)</t>
        </is>
      </c>
      <c r="C154" s="67" t="n"/>
      <c r="D154" s="67" t="n"/>
      <c r="E154" s="67" t="n"/>
      <c r="F154" s="68" t="n"/>
    </row>
    <row r="155">
      <c r="B155" s="71" t="inlineStr">
        <is>
          <t>WHAT WENT WELL — behaviors to repeat</t>
        </is>
      </c>
      <c r="C155" s="67" t="n"/>
      <c r="D155" s="67" t="n"/>
      <c r="E155" s="67" t="n"/>
      <c r="F155" s="68" t="n"/>
    </row>
    <row r="156" ht="32" customHeight="1">
      <c r="B156" s="11" t="inlineStr">
        <is>
          <t>1.</t>
        </is>
      </c>
      <c r="C156" s="7" t="inlineStr">
        <is>
          <t>Took over a collapsing case and delivered the journey's decisive technical win: fault isolated away from the ISP to the MX4200 parent node, internet restored, 4 child nodes configured with per-node RSSI documented</t>
        </is>
      </c>
      <c r="D156" s="70" t="n"/>
      <c r="E156" s="70" t="n"/>
      <c r="F156" s="69" t="n"/>
    </row>
    <row r="157" ht="32" customHeight="1">
      <c r="B157" s="11" t="inlineStr">
        <is>
          <t>2.</t>
        </is>
      </c>
      <c r="C157" s="7" t="inlineStr">
        <is>
          <t>End-to-end L2 ownership of the technical work — no bouncing, 3h26m of focused troubleshooting with remote tooling (ZOHO)</t>
        </is>
      </c>
      <c r="D157" s="70" t="n"/>
      <c r="E157" s="70" t="n"/>
      <c r="F157" s="69" t="n"/>
    </row>
    <row r="158" ht="32" customHeight="1">
      <c r="B158" s="11" t="inlineStr">
        <is>
          <t>3.</t>
        </is>
      </c>
      <c r="C158" s="7" t="inlineStr">
        <is>
          <t>Recovery attempts after the miss (2 calls, voicemails, 2 emails with reference number and hotline) show the follow-up instinct exists — the failure was timing and closure, not absence</t>
        </is>
      </c>
      <c r="D158" s="70" t="n"/>
      <c r="E158" s="70" t="n"/>
      <c r="F158" s="69" t="n"/>
    </row>
    <row r="159">
      <c r="B159" s="71" t="inlineStr">
        <is>
          <t>IMPROVEMENT OPPORTUNITIES — behaviors to improve</t>
        </is>
      </c>
      <c r="C159" s="67" t="n"/>
      <c r="D159" s="67" t="n"/>
      <c r="E159" s="67" t="n"/>
      <c r="F159" s="68" t="n"/>
    </row>
    <row r="160" ht="32" customHeight="1">
      <c r="B160" s="11" t="inlineStr">
        <is>
          <t>1.</t>
        </is>
      </c>
      <c r="C160" s="7" t="inlineStr">
        <is>
          <t>Protect or renegotiate callback commitments: the May 19 TC/OM meetings were known before the 4-5 PM window — a 2-minute proactive 'can we move to 6 PM?' email would have prevented the complaint</t>
        </is>
      </c>
      <c r="D160" s="70" t="n"/>
      <c r="E160" s="70" t="n"/>
      <c r="F160" s="69" t="n"/>
    </row>
    <row r="161" ht="32" customHeight="1">
      <c r="B161" s="11" t="inlineStr">
        <is>
          <t>2.</t>
        </is>
      </c>
      <c r="C161" s="7" t="inlineStr">
        <is>
          <t>Never set RESOLVED on a known-unresolved case: use CALLBACK/PENDING and document a closure reason; this ticket's 5th premature closure triggered an NTE</t>
        </is>
      </c>
      <c r="D161" s="70" t="n"/>
      <c r="E161" s="70" t="n"/>
      <c r="F161" s="69" t="n"/>
    </row>
    <row r="162" ht="32" customHeight="1">
      <c r="B162" s="11" t="inlineStr">
        <is>
          <t>3.</t>
        </is>
      </c>
      <c r="C162" s="7" t="inlineStr">
        <is>
          <t>Treat an explicit management request + legal reference from a vulnerable customer as a same-day mandatory escalation, independent of any apology email</t>
        </is>
      </c>
      <c r="D162" s="70" t="n"/>
      <c r="E162" s="70" t="n"/>
      <c r="F162" s="69" t="n"/>
    </row>
    <row r="163">
      <c r="B163" s="71" t="inlineStr">
        <is>
          <t>COACHING RECOMMENDATION — specific actions the agent should apply going forward</t>
        </is>
      </c>
      <c r="C163" s="67" t="n"/>
      <c r="D163" s="67" t="n"/>
      <c r="E163" s="67" t="n"/>
      <c r="F163" s="68" t="n"/>
    </row>
    <row r="164" ht="58" customHeight="1">
      <c r="B164" s="7"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70" t="n"/>
      <c r="D164" s="70" t="n"/>
      <c r="E164" s="70" t="n"/>
      <c r="F164" s="69" t="n"/>
    </row>
    <row r="165">
      <c r="B165" s="71" t="inlineStr">
        <is>
          <t>ORGANIZATIONAL INSIGHTS — training / process / KB / chatbot / tooling / product gaps discovered</t>
        </is>
      </c>
      <c r="C165" s="67" t="n"/>
      <c r="D165" s="67" t="n"/>
      <c r="E165" s="67" t="n"/>
      <c r="F165" s="68" t="n"/>
    </row>
    <row r="166" ht="70" customHeight="1">
      <c r="B166" s="7"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70" t="n"/>
      <c r="D166" s="70" t="n"/>
      <c r="E166" s="70" t="n"/>
      <c r="F166" s="69" t="n"/>
    </row>
    <row r="167">
      <c r="B167" s="71" t="inlineStr">
        <is>
          <t>MULTI-TOUCH / JOURNEY NOTES — handoff quality received &amp; passed, continuity, where the chain stands</t>
        </is>
      </c>
      <c r="C167" s="67" t="n"/>
      <c r="D167" s="67" t="n"/>
      <c r="E167" s="67" t="n"/>
      <c r="F167" s="68" t="n"/>
    </row>
    <row r="168" ht="58" customHeight="1">
      <c r="B168" s="7"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70" t="n"/>
      <c r="D168" s="70" t="n"/>
      <c r="E168" s="70" t="n"/>
      <c r="F168" s="69" t="n"/>
    </row>
    <row r="169">
      <c r="B169" s="71" t="inlineStr">
        <is>
          <t>FINAL QA ASSESSMENT — customer outcome, support quality, and coaching value</t>
        </is>
      </c>
      <c r="C169" s="67" t="n"/>
      <c r="D169" s="67" t="n"/>
      <c r="E169" s="67" t="n"/>
      <c r="F169" s="68" t="n"/>
    </row>
    <row r="170" ht="58" customHeight="1">
      <c r="B170" s="7"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70" t="n"/>
      <c r="D170" s="70" t="n"/>
      <c r="E170" s="70" t="n"/>
      <c r="F170" s="69"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E9:F9"/>
    <mergeCell ref="C156:F156"/>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0">
      <formula>"Met"</formula>
    </cfRule>
    <cfRule type="cellIs" priority="2" operator="equal" dxfId="1">
      <formula>"Partial"</formula>
    </cfRule>
    <cfRule type="cellIs" priority="3" operator="equal" dxfId="2">
      <formula>"Missed"</formula>
    </cfRule>
  </conditionalFormatting>
  <conditionalFormatting sqref="C27">
    <cfRule type="cellIs" priority="4" operator="lessThanOrEqual" dxfId="2">
      <formula>2</formula>
    </cfRule>
    <cfRule type="cellIs" priority="5" operator="equal" dxfId="1">
      <formula>3</formula>
    </cfRule>
    <cfRule type="cellIs" priority="6" operator="greaterThanOrEqual" dxfId="0">
      <formula>4</formula>
    </cfRule>
  </conditionalFormatting>
  <conditionalFormatting sqref="C33:C39">
    <cfRule type="cellIs" priority="7" operator="equal" dxfId="0">
      <formula>"Met"</formula>
    </cfRule>
    <cfRule type="cellIs" priority="8" operator="equal" dxfId="1">
      <formula>"Partial"</formula>
    </cfRule>
    <cfRule type="cellIs" priority="9" operator="equal" dxfId="2">
      <formula>"Missed"</formula>
    </cfRule>
  </conditionalFormatting>
  <conditionalFormatting sqref="C42">
    <cfRule type="cellIs" priority="10" operator="lessThanOrEqual" dxfId="2">
      <formula>2</formula>
    </cfRule>
    <cfRule type="cellIs" priority="11" operator="equal" dxfId="1">
      <formula>3</formula>
    </cfRule>
    <cfRule type="cellIs" priority="12" operator="greaterThanOrEqual" dxfId="0">
      <formula>4</formula>
    </cfRule>
  </conditionalFormatting>
  <conditionalFormatting sqref="C48:C55">
    <cfRule type="cellIs" priority="13" operator="equal" dxfId="0">
      <formula>"Met"</formula>
    </cfRule>
    <cfRule type="cellIs" priority="14" operator="equal" dxfId="1">
      <formula>"Partial"</formula>
    </cfRule>
    <cfRule type="cellIs" priority="15" operator="equal" dxfId="2">
      <formula>"Missed"</formula>
    </cfRule>
  </conditionalFormatting>
  <conditionalFormatting sqref="C58">
    <cfRule type="cellIs" priority="16" operator="lessThanOrEqual" dxfId="2">
      <formula>2</formula>
    </cfRule>
    <cfRule type="cellIs" priority="17" operator="equal" dxfId="1">
      <formula>3</formula>
    </cfRule>
    <cfRule type="cellIs" priority="18" operator="greaterThanOrEqual" dxfId="0">
      <formula>4</formula>
    </cfRule>
  </conditionalFormatting>
  <conditionalFormatting sqref="C64:C71">
    <cfRule type="cellIs" priority="19" operator="equal" dxfId="0">
      <formula>"Met"</formula>
    </cfRule>
    <cfRule type="cellIs" priority="20" operator="equal" dxfId="1">
      <formula>"Partial"</formula>
    </cfRule>
    <cfRule type="cellIs" priority="21" operator="equal" dxfId="2">
      <formula>"Missed"</formula>
    </cfRule>
  </conditionalFormatting>
  <conditionalFormatting sqref="C74">
    <cfRule type="cellIs" priority="22" operator="lessThanOrEqual" dxfId="2">
      <formula>2</formula>
    </cfRule>
    <cfRule type="cellIs" priority="23" operator="equal" dxfId="1">
      <formula>3</formula>
    </cfRule>
    <cfRule type="cellIs" priority="24" operator="greaterThanOrEqual" dxfId="0">
      <formula>4</formula>
    </cfRule>
  </conditionalFormatting>
  <conditionalFormatting sqref="C80:C84">
    <cfRule type="cellIs" priority="25" operator="equal" dxfId="0">
      <formula>"Met"</formula>
    </cfRule>
    <cfRule type="cellIs" priority="26" operator="equal" dxfId="1">
      <formula>"Partial"</formula>
    </cfRule>
    <cfRule type="cellIs" priority="27" operator="equal" dxfId="2">
      <formula>"Missed"</formula>
    </cfRule>
  </conditionalFormatting>
  <conditionalFormatting sqref="C87">
    <cfRule type="cellIs" priority="28" operator="lessThanOrEqual" dxfId="2">
      <formula>2</formula>
    </cfRule>
    <cfRule type="cellIs" priority="29" operator="equal" dxfId="1">
      <formula>3</formula>
    </cfRule>
    <cfRule type="cellIs" priority="30" operator="greaterThanOrEqual" dxfId="0">
      <formula>4</formula>
    </cfRule>
  </conditionalFormatting>
  <conditionalFormatting sqref="C93:C98">
    <cfRule type="cellIs" priority="31" operator="equal" dxfId="0">
      <formula>"Met"</formula>
    </cfRule>
    <cfRule type="cellIs" priority="32" operator="equal" dxfId="1">
      <formula>"Partial"</formula>
    </cfRule>
    <cfRule type="cellIs" priority="33" operator="equal" dxfId="2">
      <formula>"Missed"</formula>
    </cfRule>
  </conditionalFormatting>
  <conditionalFormatting sqref="C101">
    <cfRule type="cellIs" priority="34" operator="lessThanOrEqual" dxfId="2">
      <formula>2</formula>
    </cfRule>
    <cfRule type="cellIs" priority="35" operator="equal" dxfId="1">
      <formula>3</formula>
    </cfRule>
    <cfRule type="cellIs" priority="36" operator="greaterThanOrEqual" dxfId="0">
      <formula>4</formula>
    </cfRule>
  </conditionalFormatting>
  <conditionalFormatting sqref="C107:C113">
    <cfRule type="cellIs" priority="37" operator="equal" dxfId="0">
      <formula>"Met"</formula>
    </cfRule>
    <cfRule type="cellIs" priority="38" operator="equal" dxfId="1">
      <formula>"Partial"</formula>
    </cfRule>
    <cfRule type="cellIs" priority="39" operator="equal" dxfId="2">
      <formula>"Missed"</formula>
    </cfRule>
  </conditionalFormatting>
  <conditionalFormatting sqref="C116">
    <cfRule type="cellIs" priority="40" operator="lessThanOrEqual" dxfId="2">
      <formula>2</formula>
    </cfRule>
    <cfRule type="cellIs" priority="41" operator="equal" dxfId="1">
      <formula>3</formula>
    </cfRule>
    <cfRule type="cellIs" priority="42" operator="greaterThanOrEqual" dxfId="0">
      <formula>4</formula>
    </cfRule>
  </conditionalFormatting>
  <conditionalFormatting sqref="E128">
    <cfRule type="cellIs" priority="43" operator="greaterThanOrEqual" dxfId="3">
      <formula>0.85</formula>
    </cfRule>
    <cfRule type="cellIs" priority="44" operator="between" dxfId="4">
      <formula>0.70</formula>
      <formula>0.8499</formula>
    </cfRule>
    <cfRule type="cellIs" priority="45" operator="lessThan" dxfId="5">
      <formula>0.70</formula>
    </cfRule>
  </conditionalFormatting>
  <conditionalFormatting sqref="F121:F127">
    <cfRule type="cellIs" priority="46" operator="equal" dxfId="6">
      <formula>"Strong"</formula>
    </cfRule>
    <cfRule type="cellIs" priority="47" operator="equal" dxfId="7">
      <formula>"Developing"</formula>
    </cfRule>
    <cfRule type="cellIs" priority="48" operator="equal" dxfId="8">
      <formula>"Needs Focus"</formula>
    </cfRule>
  </conditionalFormatting>
  <conditionalFormatting sqref="E137">
    <cfRule type="expression" priority="49" dxfId="2">
      <formula>E137&lt;&gt;"OK"</formula>
    </cfRule>
    <cfRule type="expression" priority="50" dxfId="0">
      <formula>E137="OK"</formula>
    </cfRule>
  </conditionalFormatting>
  <conditionalFormatting sqref="C141:C151">
    <cfRule type="cellIs" priority="51" operator="equal" dxfId="2">
      <formula>"Yes"</formula>
    </cfRule>
  </conditionalFormatting>
  <conditionalFormatting sqref="C152">
    <cfRule type="expression" priority="52" dxfId="2">
      <formula>ISNUMBER(SEARCH("YES",C152))</formula>
    </cfRule>
    <cfRule type="expression" priority="53" dxfId="0">
      <formula>NOT(ISNUMBER(SEARCH("YES",C152)))</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operator="between">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0"/>
  <sheetViews>
    <sheetView showGridLines="0" workbookViewId="0">
      <pane ySplit="4" topLeftCell="A5" activePane="bottomLeft" state="frozen"/>
      <selection pane="bottomLeft" activeCell="A1" sqref="A1"/>
    </sheetView>
  </sheetViews>
  <sheetFormatPr baseColWidth="8" defaultRowHeight="15"/>
  <cols>
    <col width="11" customWidth="1" min="1" max="1"/>
    <col width="13" customWidth="1" min="2" max="2"/>
    <col width="1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10" customWidth="1" min="12" max="12"/>
    <col width="13" customWidth="1" min="13" max="13"/>
    <col width="60" customWidth="1" min="14" max="14"/>
  </cols>
  <sheetData>
    <row r="1" ht="26" customHeight="1">
      <c r="A1" s="1" t="inlineStr">
        <is>
          <t>CASE TRACKER — Multi-Case &amp; Multi-Touch Log</t>
        </is>
      </c>
      <c r="B1" s="67" t="n"/>
      <c r="C1" s="67" t="n"/>
      <c r="D1" s="67" t="n"/>
      <c r="E1" s="67" t="n"/>
      <c r="F1" s="67" t="n"/>
      <c r="G1" s="67" t="n"/>
      <c r="H1" s="67" t="n"/>
      <c r="I1" s="67" t="n"/>
      <c r="J1" s="67" t="n"/>
      <c r="K1" s="67" t="n"/>
      <c r="L1" s="67" t="n"/>
      <c r="M1" s="67" t="n"/>
      <c r="N1" s="68" t="n"/>
    </row>
    <row r="2" ht="16" customHeight="1">
      <c r="A2" s="59" t="inlineStr">
        <is>
          <t>One row per touch. Reuse a Case ID across rows to track a multi-touch journey. Scores 0-5; Weighted % and Result calculate automatically. Pre-loaded: the TE00124020 / TE00127492 journey (see Multi-Touch Guide).</t>
        </is>
      </c>
      <c r="B2" s="67" t="n"/>
      <c r="C2" s="67" t="n"/>
      <c r="D2" s="67" t="n"/>
      <c r="E2" s="67" t="n"/>
      <c r="F2" s="67" t="n"/>
      <c r="G2" s="67" t="n"/>
      <c r="H2" s="67" t="n"/>
      <c r="I2" s="67" t="n"/>
      <c r="J2" s="67" t="n"/>
      <c r="K2" s="67" t="n"/>
      <c r="L2" s="67" t="n"/>
      <c r="M2" s="67" t="n"/>
      <c r="N2" s="68" t="n"/>
    </row>
    <row r="3" ht="24" customHeight="1">
      <c r="A3" s="124">
        <f>" LOADED JOURNEY TEAM SCORE  ▸  TE00127492 (Stell):  "&amp;TEXT(G56,"0.0%")&amp;"   "&amp;UPPER(H56)&amp;"     —  full team analysis on the Team Scoring sheet;  scoring section below at row 53 "</f>
        <v/>
      </c>
    </row>
    <row r="4" ht="26" customHeight="1">
      <c r="A4" s="60" t="inlineStr">
        <is>
          <t>Date</t>
        </is>
      </c>
      <c r="B4" s="60" t="inlineStr">
        <is>
          <t>Case ID</t>
        </is>
      </c>
      <c r="C4" s="60" t="inlineStr">
        <is>
          <t>Agent</t>
        </is>
      </c>
      <c r="D4" s="60" t="inlineStr">
        <is>
          <t>Touch #</t>
        </is>
      </c>
      <c r="E4" s="60" t="inlineStr">
        <is>
          <t>Res 30%</t>
        </is>
      </c>
      <c r="F4" s="60" t="inlineStr">
        <is>
          <t>Tech 20%</t>
        </is>
      </c>
      <c r="G4" s="60" t="inlineStr">
        <is>
          <t>Comm 15%</t>
        </is>
      </c>
      <c r="H4" s="60" t="inlineStr">
        <is>
          <t>Own 15%</t>
        </is>
      </c>
      <c r="I4" s="60" t="inlineStr">
        <is>
          <t>Esc 10%</t>
        </is>
      </c>
      <c r="J4" s="60" t="inlineStr">
        <is>
          <t>CX 5%</t>
        </is>
      </c>
      <c r="K4" s="60" t="inlineStr">
        <is>
          <t>Doc 5%</t>
        </is>
      </c>
      <c r="L4" s="60" t="inlineStr">
        <is>
          <t>Weighted</t>
        </is>
      </c>
      <c r="M4" s="60" t="inlineStr">
        <is>
          <t>Result</t>
        </is>
      </c>
      <c r="N4" s="60" t="inlineStr">
        <is>
          <t>Outcome / Notes</t>
        </is>
      </c>
    </row>
    <row r="5" ht="40" customHeight="1">
      <c r="A5" s="61" t="inlineStr">
        <is>
          <t>2026-04-01</t>
        </is>
      </c>
      <c r="B5" s="61" t="inlineStr">
        <is>
          <t>TE00124020</t>
        </is>
      </c>
      <c r="C5" s="61" t="inlineStr">
        <is>
          <t>Dorothy Belle Oraiz</t>
        </is>
      </c>
      <c r="D5" s="61" t="n">
        <v>1</v>
      </c>
      <c r="E5" s="61" t="n">
        <v>3</v>
      </c>
      <c r="F5" s="61" t="n">
        <v>3</v>
      </c>
      <c r="G5" s="61" t="n">
        <v>3</v>
      </c>
      <c r="H5" s="61" t="n">
        <v>2</v>
      </c>
      <c r="I5" s="61" t="n">
        <v>4</v>
      </c>
      <c r="J5" s="61" t="n">
        <v>3</v>
      </c>
      <c r="K5" s="61" t="n">
        <v>2</v>
      </c>
      <c r="L5" s="62">
        <f>IF((COUNT(E5)+COUNT(F5)+COUNT(G5)+COUNT(H5)+COUNT(I5)+COUNT(J5)+COUNT(K5))=0,"",IFERROR(E5/5*0.3,0)+IFERROR(F5/5*0.2,0)+IFERROR(G5/5*0.15,0)+IFERROR(H5/5*0.15,0)+IFERROR(I5/5*0.1,0)+IFERROR(J5/5*0.05,0)+IFERROR(K5/5*0.05,0))</f>
        <v/>
      </c>
      <c r="M5" s="82">
        <f>IF(L5="","",IF(L5&gt;=0.85,"Meets/Exceeds",IF(L5&gt;=0.70,"Developing","Needs Improv.")))</f>
        <v/>
      </c>
      <c r="N5" s="12" t="inlineStr">
        <is>
          <t>$30 paid session (76m): node power isolation, error 2298, escalated to L2. CRITICAL: card data spoken aloud (PCI) + $30 charge never documented. Promised 2-3h callback vs 24-48h process.</t>
        </is>
      </c>
    </row>
    <row r="6" ht="40" customHeight="1">
      <c r="A6" s="61" t="inlineStr">
        <is>
          <t>2026-04-01</t>
        </is>
      </c>
      <c r="B6" s="61" t="inlineStr">
        <is>
          <t>TE00124020</t>
        </is>
      </c>
      <c r="C6" s="61" t="inlineStr">
        <is>
          <t>Joziel Licmoan</t>
        </is>
      </c>
      <c r="D6" s="61" t="n">
        <v>2</v>
      </c>
      <c r="E6" s="61" t="n">
        <v>2</v>
      </c>
      <c r="F6" s="61" t="n">
        <v>2</v>
      </c>
      <c r="G6" s="61" t="n">
        <v>3</v>
      </c>
      <c r="H6" s="61" t="n">
        <v>2</v>
      </c>
      <c r="I6" s="61" t="n">
        <v>3</v>
      </c>
      <c r="J6" s="61" t="n">
        <v>3</v>
      </c>
      <c r="K6" s="61" t="n">
        <v>3</v>
      </c>
      <c r="L6" s="63">
        <f>IF((COUNT(E6)+COUNT(F6)+COUNT(G6)+COUNT(H6)+COUNT(I6)+COUNT(J6)+COUNT(K6))=0,"",IFERROR(E6/5*0.3,0)+IFERROR(F6/5*0.2,0)+IFERROR(G6/5*0.15,0)+IFERROR(H6/5*0.15,0)+IFERROR(I6/5*0.1,0)+IFERROR(J6/5*0.05,0)+IFERROR(K6/5*0.05,0))</f>
        <v/>
      </c>
      <c r="M6" s="77">
        <f>IF(L6="","",IF(L6&gt;=0.85,"Meets/Exceeds",IF(L6&gt;=0.70,"Developing","Needs Improv.")))</f>
        <v/>
      </c>
      <c r="N6" s="14" t="inlineStr">
        <is>
          <t>Follow-up: no callback received, household offline. Promised L2 callback in 10-15 min without naming a technician. Administrative only.</t>
        </is>
      </c>
    </row>
    <row r="7" ht="40" customHeight="1">
      <c r="A7" s="61" t="inlineStr">
        <is>
          <t>2026-04-01</t>
        </is>
      </c>
      <c r="B7" s="61" t="inlineStr">
        <is>
          <t>TE00124020</t>
        </is>
      </c>
      <c r="C7" s="61" t="inlineStr">
        <is>
          <t>Paolo Real</t>
        </is>
      </c>
      <c r="D7" s="61" t="n">
        <v>3</v>
      </c>
      <c r="E7" s="61" t="n">
        <v>5</v>
      </c>
      <c r="F7" s="61" t="n">
        <v>4</v>
      </c>
      <c r="G7" s="61" t="n">
        <v>2</v>
      </c>
      <c r="H7" s="61" t="n">
        <v>3</v>
      </c>
      <c r="I7" s="61" t="n">
        <v>4</v>
      </c>
      <c r="J7" s="61" t="n">
        <v>3</v>
      </c>
      <c r="K7" s="61" t="n">
        <v>3</v>
      </c>
      <c r="L7" s="62">
        <f>IF((COUNT(E7)+COUNT(F7)+COUNT(G7)+COUNT(H7)+COUNT(I7)+COUNT(J7)+COUNT(K7))=0,"",IFERROR(E7/5*0.3,0)+IFERROR(F7/5*0.2,0)+IFERROR(G7/5*0.15,0)+IFERROR(H7/5*0.15,0)+IFERROR(I7/5*0.1,0)+IFERROR(J7/5*0.05,0)+IFERROR(K7/5*0.05,0))</f>
        <v/>
      </c>
      <c r="M7" s="82">
        <f>IF(L7="","",IF(L7&gt;=0.85,"Meets/Exceeds",IF(L7&gt;=0.70,"Developing","Needs Improv.")))</f>
        <v/>
      </c>
      <c r="N7" s="12" t="inlineStr">
        <is>
          <t>Delayed L2 callback (4h, internal 'weekly meeting' excuse) but RESTORED Wi-Fi: recovery key, admin reset, new SSID. Comm gaps: pace, terminology, hearing adaptation.</t>
        </is>
      </c>
    </row>
    <row r="8" ht="40" customHeight="1">
      <c r="A8" s="61" t="inlineStr">
        <is>
          <t>2026-04-21</t>
        </is>
      </c>
      <c r="B8" s="61" t="inlineStr">
        <is>
          <t>TE00124020</t>
        </is>
      </c>
      <c r="C8" s="61" t="inlineStr">
        <is>
          <t>Joziel Licmoan</t>
        </is>
      </c>
      <c r="D8" s="61" t="n">
        <v>4</v>
      </c>
      <c r="E8" s="61" t="n">
        <v>3</v>
      </c>
      <c r="F8" s="61" t="n">
        <v>4</v>
      </c>
      <c r="G8" s="61" t="n">
        <v>2</v>
      </c>
      <c r="H8" s="61" t="n">
        <v>3</v>
      </c>
      <c r="I8" s="61" t="n">
        <v>3</v>
      </c>
      <c r="J8" s="61" t="n">
        <v>3</v>
      </c>
      <c r="K8" s="61" t="n">
        <v>3</v>
      </c>
      <c r="L8" s="63">
        <f>IF((COUNT(E8)+COUNT(F8)+COUNT(G8)+COUNT(H8)+COUNT(I8)+COUNT(J8)+COUNT(K8))=0,"",IFERROR(E8/5*0.3,0)+IFERROR(F8/5*0.2,0)+IFERROR(G8/5*0.15,0)+IFERROR(H8/5*0.15,0)+IFERROR(I8/5*0.1,0)+IFERROR(J8/5*0.05,0)+IFERROR(K8/5*0.05,0))</f>
        <v/>
      </c>
      <c r="M8" s="77">
        <f>IF(L8="","",IF(L8&gt;=0.85,"Meets/Exceeds",IF(L8&gt;=0.70,"Developing","Needs Improv.")))</f>
        <v/>
      </c>
      <c r="N8" s="14" t="inlineStr">
        <is>
          <t>88-min session on drop cycles: 2 child nodes restored via reset/re-add; 1 node unstable at end. Solid effort; instructions too compound for the customer.</t>
        </is>
      </c>
    </row>
    <row r="9" ht="40" customHeight="1">
      <c r="A9" s="61" t="inlineStr">
        <is>
          <t>2026-04-23</t>
        </is>
      </c>
      <c r="B9" s="61" t="inlineStr">
        <is>
          <t>TE00124020</t>
        </is>
      </c>
      <c r="C9" s="61" t="inlineStr">
        <is>
          <t>Charmaigne Awitan</t>
        </is>
      </c>
      <c r="D9" s="61" t="n">
        <v>5</v>
      </c>
      <c r="E9" s="61" t="n">
        <v>3</v>
      </c>
      <c r="F9" s="61" t="n">
        <v>3</v>
      </c>
      <c r="G9" s="61" t="n">
        <v>2</v>
      </c>
      <c r="H9" s="61" t="n">
        <v>2</v>
      </c>
      <c r="I9" s="61" t="n">
        <v>3</v>
      </c>
      <c r="J9" s="61" t="n">
        <v>3</v>
      </c>
      <c r="K9" s="61" t="n">
        <v>1</v>
      </c>
      <c r="L9" s="62">
        <f>IF((COUNT(E9)+COUNT(F9)+COUNT(G9)+COUNT(H9)+COUNT(I9)+COUNT(J9)+COUNT(K9))=0,"",IFERROR(E9/5*0.3,0)+IFERROR(F9/5*0.2,0)+IFERROR(G9/5*0.15,0)+IFERROR(H9/5*0.15,0)+IFERROR(I9/5*0.1,0)+IFERROR(J9/5*0.05,0)+IFERROR(K9/5*0.05,0))</f>
        <v/>
      </c>
      <c r="M9" s="82">
        <f>IF(L9="","",IF(L9&gt;=0.85,"Meets/Exceeds",IF(L9&gt;=0.70,"Developing","Needs Improv.")))</f>
        <v/>
      </c>
      <c r="N9" s="12" t="inlineStr">
        <is>
          <t>WHW03 no-light call: warranty check, child-node-as-parent advice, self-help email offered. Email address mis-captured despite phonetic spelling → promised guide never arrived.</t>
        </is>
      </c>
    </row>
    <row r="10" ht="40" customHeight="1">
      <c r="A10" s="61" t="inlineStr">
        <is>
          <t>2026-04-23</t>
        </is>
      </c>
      <c r="B10" s="61" t="inlineStr">
        <is>
          <t>TE00124020</t>
        </is>
      </c>
      <c r="C10" s="61" t="inlineStr">
        <is>
          <t>Venn-Emir Calvin</t>
        </is>
      </c>
      <c r="D10" s="61" t="n">
        <v>6</v>
      </c>
      <c r="E10" s="61" t="n">
        <v>4</v>
      </c>
      <c r="F10" s="61" t="n">
        <v>4</v>
      </c>
      <c r="G10" s="61" t="n">
        <v>5</v>
      </c>
      <c r="H10" s="61" t="n">
        <v>4</v>
      </c>
      <c r="I10" s="61" t="n">
        <v>4</v>
      </c>
      <c r="J10" s="61" t="n">
        <v>4</v>
      </c>
      <c r="K10" s="61" t="n">
        <v>4</v>
      </c>
      <c r="L10" s="63">
        <f>IF((COUNT(E10)+COUNT(F10)+COUNT(G10)+COUNT(H10)+COUNT(I10)+COUNT(J10)+COUNT(K10))=0,"",IFERROR(E10/5*0.3,0)+IFERROR(F10/5*0.2,0)+IFERROR(G10/5*0.15,0)+IFERROR(H10/5*0.15,0)+IFERROR(I10/5*0.1,0)+IFERROR(J10/5*0.05,0)+IFERROR(K10/5*0.05,0))</f>
        <v/>
      </c>
      <c r="M10" s="77">
        <f>IF(L10="","",IF(L10&gt;=0.85,"Meets/Exceeds",IF(L10&gt;=0.70,"Developing","Needs Improv.")))</f>
        <v/>
      </c>
      <c r="N10" s="14" t="inlineStr">
        <is>
          <t>Caught and corrected the wrong email in under 2 min, re-sent guide. Clean recovery; investigation: no opportunities observed.</t>
        </is>
      </c>
    </row>
    <row r="11" ht="40" customHeight="1">
      <c r="A11" s="61" t="inlineStr">
        <is>
          <t>2026-04-28</t>
        </is>
      </c>
      <c r="B11" s="61" t="inlineStr">
        <is>
          <t>TE00127492</t>
        </is>
      </c>
      <c r="C11" s="61" t="inlineStr">
        <is>
          <t>Nathan Amores</t>
        </is>
      </c>
      <c r="D11" s="61" t="n">
        <v>7</v>
      </c>
      <c r="E11" s="61" t="n">
        <v>2</v>
      </c>
      <c r="F11" s="61" t="n">
        <v>4</v>
      </c>
      <c r="G11" s="61" t="n">
        <v>2</v>
      </c>
      <c r="H11" s="61" t="n">
        <v>2</v>
      </c>
      <c r="I11" s="61" t="n">
        <v>3</v>
      </c>
      <c r="J11" s="61" t="n">
        <v>3</v>
      </c>
      <c r="K11" s="61" t="n">
        <v>2</v>
      </c>
      <c r="L11" s="62">
        <f>IF((COUNT(E11)+COUNT(F11)+COUNT(G11)+COUNT(H11)+COUNT(I11)+COUNT(J11)+COUNT(K11))=0,"",IFERROR(E11/5*0.3,0)+IFERROR(F11/5*0.2,0)+IFERROR(G11/5*0.15,0)+IFERROR(H11/5*0.15,0)+IFERROR(I11/5*0.1,0)+IFERROR(J11/5*0.05,0)+IFERROR(K11/5*0.05,0))</f>
        <v/>
      </c>
      <c r="M11" s="82">
        <f>IF(L11="","",IF(L11&gt;=0.85,"Meets/Exceeds",IF(L11&gt;=0.70,"Developing","Needs Improv.")))</f>
        <v/>
      </c>
      <c r="N11" s="12" t="inlineStr">
        <is>
          <t>100-min MX4200 setup (3 new + old nodes). Marked RESOLVED 10 min after note; issue returned in 3 days. CRITICAL: premature closure. Hearing adaptation cited 8×.</t>
        </is>
      </c>
    </row>
    <row r="12" ht="40" customHeight="1">
      <c r="A12" s="61" t="inlineStr">
        <is>
          <t>2026-05-01</t>
        </is>
      </c>
      <c r="B12" s="61" t="inlineStr">
        <is>
          <t>TE00127492</t>
        </is>
      </c>
      <c r="C12" s="61" t="inlineStr">
        <is>
          <t>Riojene Ladera</t>
        </is>
      </c>
      <c r="D12" s="61" t="n">
        <v>8</v>
      </c>
      <c r="E12" s="61" t="n">
        <v>1</v>
      </c>
      <c r="F12" s="61" t="n">
        <v>2</v>
      </c>
      <c r="G12" s="61" t="n">
        <v>2</v>
      </c>
      <c r="H12" s="61" t="n">
        <v>1</v>
      </c>
      <c r="I12" s="61" t="n">
        <v>2</v>
      </c>
      <c r="J12" s="61" t="n">
        <v>2</v>
      </c>
      <c r="K12" s="61" t="n">
        <v>2</v>
      </c>
      <c r="L12" s="63">
        <f>IF((COUNT(E12)+COUNT(F12)+COUNT(G12)+COUNT(H12)+COUNT(I12)+COUNT(J12)+COUNT(K12))=0,"",IFERROR(E12/5*0.3,0)+IFERROR(F12/5*0.2,0)+IFERROR(G12/5*0.15,0)+IFERROR(H12/5*0.15,0)+IFERROR(I12/5*0.1,0)+IFERROR(J12/5*0.05,0)+IFERROR(K12/5*0.05,0))</f>
        <v/>
      </c>
      <c r="M12" s="77">
        <f>IF(L12="","",IF(L12&gt;=0.85,"Meets/Exceeds",IF(L12&gt;=0.70,"Developing","Needs Improv.")))</f>
        <v/>
      </c>
      <c r="N12" s="14" t="inlineStr">
        <is>
          <t>Active 5-min drop cycles, but troubleshooting refused pending warranty receipt; note: 'No trouble shooting made.' Receipt-gate replaced support on an active issue.</t>
        </is>
      </c>
    </row>
    <row r="13" ht="40" customHeight="1">
      <c r="A13" s="61" t="inlineStr">
        <is>
          <t>2026-05-01</t>
        </is>
      </c>
      <c r="B13" s="61" t="inlineStr">
        <is>
          <t>TE00127492</t>
        </is>
      </c>
      <c r="C13" s="61" t="inlineStr">
        <is>
          <t>Girly Joy Pocot</t>
        </is>
      </c>
      <c r="D13" s="61" t="n">
        <v>9</v>
      </c>
      <c r="E13" s="61" t="n">
        <v>3</v>
      </c>
      <c r="F13" s="61" t="n">
        <v>4</v>
      </c>
      <c r="G13" s="61" t="n">
        <v>3</v>
      </c>
      <c r="H13" s="61" t="n">
        <v>3</v>
      </c>
      <c r="I13" s="61" t="n">
        <v>3</v>
      </c>
      <c r="J13" s="61" t="n">
        <v>3</v>
      </c>
      <c r="K13" s="61" t="n">
        <v>3</v>
      </c>
      <c r="L13" s="62">
        <f>IF((COUNT(E13)+COUNT(F13)+COUNT(G13)+COUNT(H13)+COUNT(I13)+COUNT(J13)+COUNT(K13))=0,"",IFERROR(E13/5*0.3,0)+IFERROR(F13/5*0.2,0)+IFERROR(G13/5*0.15,0)+IFERROR(H13/5*0.15,0)+IFERROR(I13/5*0.1,0)+IFERROR(J13/5*0.05,0)+IFERROR(K13/5*0.05,0))</f>
        <v/>
      </c>
      <c r="M13" s="82">
        <f>IF(L13="","",IF(L13&gt;=0.85,"Meets/Exceeds",IF(L13&gt;=0.70,"Developing","Needs Improv.")))</f>
        <v/>
      </c>
      <c r="N13" s="12" t="inlineStr">
        <is>
          <t>Channel Finder, firmware, RSSI (-62/-71), sequence reboot, logs collected. Ended 'observe 1 hour' + RESOLVED again; note says 'cx appreciate the help' masking exhaustion.</t>
        </is>
      </c>
    </row>
    <row r="14" ht="40" customHeight="1">
      <c r="A14" s="61" t="inlineStr">
        <is>
          <t>2026-05-04</t>
        </is>
      </c>
      <c r="B14" s="61" t="inlineStr">
        <is>
          <t>TE00127492</t>
        </is>
      </c>
      <c r="C14" s="61" t="inlineStr">
        <is>
          <t>Aysah Bagumbaran</t>
        </is>
      </c>
      <c r="D14" s="61" t="n">
        <v>10</v>
      </c>
      <c r="E14" s="61" t="n">
        <v>2</v>
      </c>
      <c r="F14" s="61" t="n">
        <v>2</v>
      </c>
      <c r="G14" s="61" t="n">
        <v>3</v>
      </c>
      <c r="H14" s="61" t="n">
        <v>3</v>
      </c>
      <c r="I14" s="61" t="n">
        <v>4</v>
      </c>
      <c r="J14" s="61" t="n">
        <v>3</v>
      </c>
      <c r="K14" s="61" t="n">
        <v>3</v>
      </c>
      <c r="L14" s="63">
        <f>IF((COUNT(E14)+COUNT(F14)+COUNT(G14)+COUNT(H14)+COUNT(I14)+COUNT(J14)+COUNT(K14))=0,"",IFERROR(E14/5*0.3,0)+IFERROR(F14/5*0.2,0)+IFERROR(G14/5*0.15,0)+IFERROR(H14/5*0.15,0)+IFERROR(I14/5*0.1,0)+IFERROR(J14/5*0.05,0)+IFERROR(K14/5*0.05,0))</f>
        <v/>
      </c>
      <c r="M14" s="77">
        <f>IF(L14="","",IF(L14&gt;=0.85,"Meets/Exceeds",IF(L14&gt;=0.70,"Developing","Needs Improv.")))</f>
        <v/>
      </c>
      <c r="N14" s="14" t="inlineStr">
        <is>
          <t>Repeated power-cycle the customer had already done; -76 dBm clue not isolated. Escalation to L2 appropriate; callback expectation changed 24h → 2h. Understated contact count (4 vs 7+).</t>
        </is>
      </c>
    </row>
    <row r="15" ht="40" customHeight="1">
      <c r="A15" s="61" t="inlineStr">
        <is>
          <t>2026-05-04</t>
        </is>
      </c>
      <c r="B15" s="61" t="inlineStr">
        <is>
          <t>TE00127492</t>
        </is>
      </c>
      <c r="C15" s="61" t="inlineStr">
        <is>
          <t>Paolo Ebora</t>
        </is>
      </c>
      <c r="D15" s="61" t="n">
        <v>11</v>
      </c>
      <c r="E15" s="61" t="n">
        <v>3</v>
      </c>
      <c r="F15" s="61" t="n">
        <v>5</v>
      </c>
      <c r="G15" s="61" t="n">
        <v>3</v>
      </c>
      <c r="H15" s="61" t="n">
        <v>4</v>
      </c>
      <c r="I15" s="61" t="n">
        <v>3</v>
      </c>
      <c r="J15" s="61" t="n">
        <v>3</v>
      </c>
      <c r="K15" s="61" t="n">
        <v>3</v>
      </c>
      <c r="L15" s="62">
        <f>IF((COUNT(E15)+COUNT(F15)+COUNT(G15)+COUNT(H15)+COUNT(I15)+COUNT(J15)+COUNT(K15))=0,"",IFERROR(E15/5*0.3,0)+IFERROR(F15/5*0.2,0)+IFERROR(G15/5*0.15,0)+IFERROR(H15/5*0.15,0)+IFERROR(I15/5*0.1,0)+IFERROR(J15/5*0.05,0)+IFERROR(K15/5*0.05,0))</f>
        <v/>
      </c>
      <c r="M15" s="82">
        <f>IF(L15="","",IF(L15&gt;=0.85,"Meets/Exceeds",IF(L15&gt;=0.70,"Developing","Needs Improv.")))</f>
        <v/>
      </c>
      <c r="N15" s="12" t="inlineStr">
        <is>
          <t>Best diagnostics of journey (98m): HomeKit isolation, AT&amp;T SSID interference theory, firmware validation, sysinfo logs captured, 2 bad nodes (-90/-93 dBm), L2 hotline given. Still closed RESOLVED on an observed-only state.</t>
        </is>
      </c>
    </row>
    <row r="16" ht="40" customHeight="1">
      <c r="A16" s="61" t="inlineStr">
        <is>
          <t>2026-05-18</t>
        </is>
      </c>
      <c r="B16" s="61" t="inlineStr">
        <is>
          <t>TE00127492</t>
        </is>
      </c>
      <c r="C16" s="61" t="inlineStr">
        <is>
          <t>Jerald Jun Villanubos</t>
        </is>
      </c>
      <c r="D16" s="61" t="n">
        <v>12</v>
      </c>
      <c r="E16" s="61" t="n">
        <v>2</v>
      </c>
      <c r="F16" s="61" t="n">
        <v>2</v>
      </c>
      <c r="G16" s="61" t="n">
        <v>2</v>
      </c>
      <c r="H16" s="61" t="n">
        <v>3</v>
      </c>
      <c r="I16" s="61" t="n">
        <v>4</v>
      </c>
      <c r="J16" s="61" t="n">
        <v>2</v>
      </c>
      <c r="K16" s="61" t="n">
        <v>3</v>
      </c>
      <c r="L16" s="63">
        <f>IF((COUNT(E16)+COUNT(F16)+COUNT(G16)+COUNT(H16)+COUNT(I16)+COUNT(J16)+COUNT(K16))=0,"",IFERROR(E16/5*0.3,0)+IFERROR(F16/5*0.2,0)+IFERROR(G16/5*0.15,0)+IFERROR(H16/5*0.15,0)+IFERROR(I16/5*0.1,0)+IFERROR(J16/5*0.05,0)+IFERROR(K16/5*0.05,0))</f>
        <v/>
      </c>
      <c r="M16" s="77">
        <f>IF(L16="","",IF(L16&gt;=0.85,"Meets/Exceeds",IF(L16&gt;=0.70,"Developing","Needs Improv.")))</f>
        <v/>
      </c>
      <c r="N16" s="14" t="inlineStr">
        <is>
          <t>Customer 3+ hours into wait, third shifting callback promise of the day. Did re-escalate with CAT approval. No fallback plan offered; customer: 'I don't believe anything I've been told today.'</t>
        </is>
      </c>
    </row>
    <row r="17" ht="40" customHeight="1">
      <c r="A17" s="61" t="inlineStr">
        <is>
          <t>2026-05-18</t>
        </is>
      </c>
      <c r="B17" s="61" t="inlineStr">
        <is>
          <t>TE00127492</t>
        </is>
      </c>
      <c r="C17" s="61" t="inlineStr">
        <is>
          <t>Eric Marbella</t>
        </is>
      </c>
      <c r="D17" s="61" t="n">
        <v>13</v>
      </c>
      <c r="E17" s="61" t="n">
        <v>3</v>
      </c>
      <c r="F17" s="61" t="n">
        <v>4</v>
      </c>
      <c r="G17" s="61" t="n">
        <v>3</v>
      </c>
      <c r="H17" s="61" t="n">
        <v>1</v>
      </c>
      <c r="I17" s="61" t="n">
        <v>1</v>
      </c>
      <c r="J17" s="61" t="n">
        <v>2</v>
      </c>
      <c r="K17" s="61" t="n">
        <v>2</v>
      </c>
      <c r="L17" s="62">
        <f>IF((COUNT(E17)+COUNT(F17)+COUNT(G17)+COUNT(H17)+COUNT(I17)+COUNT(J17)+COUNT(K17))=0,"",IFERROR(E17/5*0.3,0)+IFERROR(F17/5*0.2,0)+IFERROR(G17/5*0.15,0)+IFERROR(H17/5*0.15,0)+IFERROR(I17/5*0.1,0)+IFERROR(J17/5*0.05,0)+IFERROR(K17/5*0.05,0))</f>
        <v/>
      </c>
      <c r="M17" s="82">
        <f>IF(L17="","",IF(L17&gt;=0.85,"Meets/Exceeds",IF(L17&gt;=0.70,"Developing","Needs Improv.")))</f>
        <v/>
      </c>
      <c r="N17" s="12" t="inlineStr">
        <is>
          <t>FINAL TOUCH — full form on Example (Filled). 3h26m session restored internet (482-530 Mbps), 4 child nodes + RSSI documented. Then: agreed 4-5 PM callback missed by 42-66 min; RESOLVED with no closure note; management/legal request not escalated. CSAT 1/5; customer switched to Eero.</t>
        </is>
      </c>
    </row>
    <row r="18">
      <c r="A18" s="61" t="inlineStr"/>
      <c r="B18" s="61" t="inlineStr"/>
      <c r="C18" s="61" t="inlineStr"/>
      <c r="D18" s="61" t="inlineStr"/>
      <c r="E18" s="61" t="n"/>
      <c r="F18" s="61" t="n"/>
      <c r="G18" s="61" t="n"/>
      <c r="H18" s="61" t="n"/>
      <c r="I18" s="61" t="n"/>
      <c r="J18" s="61" t="n"/>
      <c r="K18" s="61" t="n"/>
      <c r="L18" s="63">
        <f>IF((COUNT(E18)+COUNT(F18)+COUNT(G18)+COUNT(H18)+COUNT(I18)+COUNT(J18)+COUNT(K18))=0,"",IFERROR(E18/5*0.3,0)+IFERROR(F18/5*0.2,0)+IFERROR(G18/5*0.15,0)+IFERROR(H18/5*0.15,0)+IFERROR(I18/5*0.1,0)+IFERROR(J18/5*0.05,0)+IFERROR(K18/5*0.05,0))</f>
        <v/>
      </c>
      <c r="M18" s="77">
        <f>IF(L18="","",IF(L18&gt;=0.85,"Meets/Exceeds",IF(L18&gt;=0.70,"Developing","Needs Improv.")))</f>
        <v/>
      </c>
      <c r="N18" s="14" t="inlineStr"/>
    </row>
    <row r="19">
      <c r="A19" s="61" t="inlineStr"/>
      <c r="B19" s="61" t="inlineStr"/>
      <c r="C19" s="61" t="inlineStr"/>
      <c r="D19" s="61" t="inlineStr"/>
      <c r="E19" s="61" t="n"/>
      <c r="F19" s="61" t="n"/>
      <c r="G19" s="61" t="n"/>
      <c r="H19" s="61" t="n"/>
      <c r="I19" s="61" t="n"/>
      <c r="J19" s="61" t="n"/>
      <c r="K19" s="61" t="n"/>
      <c r="L19" s="62">
        <f>IF((COUNT(E19)+COUNT(F19)+COUNT(G19)+COUNT(H19)+COUNT(I19)+COUNT(J19)+COUNT(K19))=0,"",IFERROR(E19/5*0.3,0)+IFERROR(F19/5*0.2,0)+IFERROR(G19/5*0.15,0)+IFERROR(H19/5*0.15,0)+IFERROR(I19/5*0.1,0)+IFERROR(J19/5*0.05,0)+IFERROR(K19/5*0.05,0))</f>
        <v/>
      </c>
      <c r="M19" s="82">
        <f>IF(L19="","",IF(L19&gt;=0.85,"Meets/Exceeds",IF(L19&gt;=0.70,"Developing","Needs Improv.")))</f>
        <v/>
      </c>
      <c r="N19" s="12" t="inlineStr"/>
    </row>
    <row r="20">
      <c r="A20" s="61" t="inlineStr"/>
      <c r="B20" s="61" t="inlineStr"/>
      <c r="C20" s="61" t="inlineStr"/>
      <c r="D20" s="61" t="inlineStr"/>
      <c r="E20" s="61" t="n"/>
      <c r="F20" s="61" t="n"/>
      <c r="G20" s="61" t="n"/>
      <c r="H20" s="61" t="n"/>
      <c r="I20" s="61" t="n"/>
      <c r="J20" s="61" t="n"/>
      <c r="K20" s="61" t="n"/>
      <c r="L20" s="63">
        <f>IF((COUNT(E20)+COUNT(F20)+COUNT(G20)+COUNT(H20)+COUNT(I20)+COUNT(J20)+COUNT(K20))=0,"",IFERROR(E20/5*0.3,0)+IFERROR(F20/5*0.2,0)+IFERROR(G20/5*0.15,0)+IFERROR(H20/5*0.15,0)+IFERROR(I20/5*0.1,0)+IFERROR(J20/5*0.05,0)+IFERROR(K20/5*0.05,0))</f>
        <v/>
      </c>
      <c r="M20" s="77">
        <f>IF(L20="","",IF(L20&gt;=0.85,"Meets/Exceeds",IF(L20&gt;=0.70,"Developing","Needs Improv.")))</f>
        <v/>
      </c>
      <c r="N20" s="14" t="inlineStr"/>
    </row>
    <row r="21">
      <c r="A21" s="61" t="inlineStr"/>
      <c r="B21" s="61" t="inlineStr"/>
      <c r="C21" s="61" t="inlineStr"/>
      <c r="D21" s="61" t="inlineStr"/>
      <c r="E21" s="61" t="n"/>
      <c r="F21" s="61" t="n"/>
      <c r="G21" s="61" t="n"/>
      <c r="H21" s="61" t="n"/>
      <c r="I21" s="61" t="n"/>
      <c r="J21" s="61" t="n"/>
      <c r="K21" s="61" t="n"/>
      <c r="L21" s="62">
        <f>IF((COUNT(E21)+COUNT(F21)+COUNT(G21)+COUNT(H21)+COUNT(I21)+COUNT(J21)+COUNT(K21))=0,"",IFERROR(E21/5*0.3,0)+IFERROR(F21/5*0.2,0)+IFERROR(G21/5*0.15,0)+IFERROR(H21/5*0.15,0)+IFERROR(I21/5*0.1,0)+IFERROR(J21/5*0.05,0)+IFERROR(K21/5*0.05,0))</f>
        <v/>
      </c>
      <c r="M21" s="82">
        <f>IF(L21="","",IF(L21&gt;=0.85,"Meets/Exceeds",IF(L21&gt;=0.70,"Developing","Needs Improv.")))</f>
        <v/>
      </c>
      <c r="N21" s="12" t="inlineStr"/>
    </row>
    <row r="22">
      <c r="A22" s="61" t="inlineStr"/>
      <c r="B22" s="61" t="inlineStr"/>
      <c r="C22" s="61" t="inlineStr"/>
      <c r="D22" s="61" t="inlineStr"/>
      <c r="E22" s="61" t="n"/>
      <c r="F22" s="61" t="n"/>
      <c r="G22" s="61" t="n"/>
      <c r="H22" s="61" t="n"/>
      <c r="I22" s="61" t="n"/>
      <c r="J22" s="61" t="n"/>
      <c r="K22" s="61" t="n"/>
      <c r="L22" s="63">
        <f>IF((COUNT(E22)+COUNT(F22)+COUNT(G22)+COUNT(H22)+COUNT(I22)+COUNT(J22)+COUNT(K22))=0,"",IFERROR(E22/5*0.3,0)+IFERROR(F22/5*0.2,0)+IFERROR(G22/5*0.15,0)+IFERROR(H22/5*0.15,0)+IFERROR(I22/5*0.1,0)+IFERROR(J22/5*0.05,0)+IFERROR(K22/5*0.05,0))</f>
        <v/>
      </c>
      <c r="M22" s="77">
        <f>IF(L22="","",IF(L22&gt;=0.85,"Meets/Exceeds",IF(L22&gt;=0.70,"Developing","Needs Improv.")))</f>
        <v/>
      </c>
      <c r="N22" s="14" t="inlineStr"/>
    </row>
    <row r="23">
      <c r="A23" s="61" t="inlineStr"/>
      <c r="B23" s="61" t="inlineStr"/>
      <c r="C23" s="61" t="inlineStr"/>
      <c r="D23" s="61" t="inlineStr"/>
      <c r="E23" s="61" t="n"/>
      <c r="F23" s="61" t="n"/>
      <c r="G23" s="61" t="n"/>
      <c r="H23" s="61" t="n"/>
      <c r="I23" s="61" t="n"/>
      <c r="J23" s="61" t="n"/>
      <c r="K23" s="61" t="n"/>
      <c r="L23" s="62">
        <f>IF((COUNT(E23)+COUNT(F23)+COUNT(G23)+COUNT(H23)+COUNT(I23)+COUNT(J23)+COUNT(K23))=0,"",IFERROR(E23/5*0.3,0)+IFERROR(F23/5*0.2,0)+IFERROR(G23/5*0.15,0)+IFERROR(H23/5*0.15,0)+IFERROR(I23/5*0.1,0)+IFERROR(J23/5*0.05,0)+IFERROR(K23/5*0.05,0))</f>
        <v/>
      </c>
      <c r="M23" s="82">
        <f>IF(L23="","",IF(L23&gt;=0.85,"Meets/Exceeds",IF(L23&gt;=0.70,"Developing","Needs Improv.")))</f>
        <v/>
      </c>
      <c r="N23" s="12" t="inlineStr"/>
    </row>
    <row r="24">
      <c r="A24" s="61" t="inlineStr"/>
      <c r="B24" s="61" t="inlineStr"/>
      <c r="C24" s="61" t="inlineStr"/>
      <c r="D24" s="61" t="inlineStr"/>
      <c r="E24" s="61" t="n"/>
      <c r="F24" s="61" t="n"/>
      <c r="G24" s="61" t="n"/>
      <c r="H24" s="61" t="n"/>
      <c r="I24" s="61" t="n"/>
      <c r="J24" s="61" t="n"/>
      <c r="K24" s="61" t="n"/>
      <c r="L24" s="63">
        <f>IF((COUNT(E24)+COUNT(F24)+COUNT(G24)+COUNT(H24)+COUNT(I24)+COUNT(J24)+COUNT(K24))=0,"",IFERROR(E24/5*0.3,0)+IFERROR(F24/5*0.2,0)+IFERROR(G24/5*0.15,0)+IFERROR(H24/5*0.15,0)+IFERROR(I24/5*0.1,0)+IFERROR(J24/5*0.05,0)+IFERROR(K24/5*0.05,0))</f>
        <v/>
      </c>
      <c r="M24" s="77">
        <f>IF(L24="","",IF(L24&gt;=0.85,"Meets/Exceeds",IF(L24&gt;=0.70,"Developing","Needs Improv.")))</f>
        <v/>
      </c>
      <c r="N24" s="14" t="inlineStr"/>
    </row>
    <row r="25">
      <c r="A25" s="61" t="inlineStr"/>
      <c r="B25" s="61" t="inlineStr"/>
      <c r="C25" s="61" t="inlineStr"/>
      <c r="D25" s="61" t="inlineStr"/>
      <c r="E25" s="61" t="n"/>
      <c r="F25" s="61" t="n"/>
      <c r="G25" s="61" t="n"/>
      <c r="H25" s="61" t="n"/>
      <c r="I25" s="61" t="n"/>
      <c r="J25" s="61" t="n"/>
      <c r="K25" s="61" t="n"/>
      <c r="L25" s="62">
        <f>IF((COUNT(E25)+COUNT(F25)+COUNT(G25)+COUNT(H25)+COUNT(I25)+COUNT(J25)+COUNT(K25))=0,"",IFERROR(E25/5*0.3,0)+IFERROR(F25/5*0.2,0)+IFERROR(G25/5*0.15,0)+IFERROR(H25/5*0.15,0)+IFERROR(I25/5*0.1,0)+IFERROR(J25/5*0.05,0)+IFERROR(K25/5*0.05,0))</f>
        <v/>
      </c>
      <c r="M25" s="82">
        <f>IF(L25="","",IF(L25&gt;=0.85,"Meets/Exceeds",IF(L25&gt;=0.70,"Developing","Needs Improv.")))</f>
        <v/>
      </c>
      <c r="N25" s="12" t="inlineStr"/>
    </row>
    <row r="26">
      <c r="A26" s="61" t="inlineStr"/>
      <c r="B26" s="61" t="inlineStr"/>
      <c r="C26" s="61" t="inlineStr"/>
      <c r="D26" s="61" t="inlineStr"/>
      <c r="E26" s="61" t="n"/>
      <c r="F26" s="61" t="n"/>
      <c r="G26" s="61" t="n"/>
      <c r="H26" s="61" t="n"/>
      <c r="I26" s="61" t="n"/>
      <c r="J26" s="61" t="n"/>
      <c r="K26" s="61" t="n"/>
      <c r="L26" s="63">
        <f>IF((COUNT(E26)+COUNT(F26)+COUNT(G26)+COUNT(H26)+COUNT(I26)+COUNT(J26)+COUNT(K26))=0,"",IFERROR(E26/5*0.3,0)+IFERROR(F26/5*0.2,0)+IFERROR(G26/5*0.15,0)+IFERROR(H26/5*0.15,0)+IFERROR(I26/5*0.1,0)+IFERROR(J26/5*0.05,0)+IFERROR(K26/5*0.05,0))</f>
        <v/>
      </c>
      <c r="M26" s="77">
        <f>IF(L26="","",IF(L26&gt;=0.85,"Meets/Exceeds",IF(L26&gt;=0.70,"Developing","Needs Improv.")))</f>
        <v/>
      </c>
      <c r="N26" s="14" t="inlineStr"/>
    </row>
    <row r="27">
      <c r="A27" s="61" t="inlineStr"/>
      <c r="B27" s="61" t="inlineStr"/>
      <c r="C27" s="61" t="inlineStr"/>
      <c r="D27" s="61" t="inlineStr"/>
      <c r="E27" s="61" t="n"/>
      <c r="F27" s="61" t="n"/>
      <c r="G27" s="61" t="n"/>
      <c r="H27" s="61" t="n"/>
      <c r="I27" s="61" t="n"/>
      <c r="J27" s="61" t="n"/>
      <c r="K27" s="61" t="n"/>
      <c r="L27" s="62">
        <f>IF((COUNT(E27)+COUNT(F27)+COUNT(G27)+COUNT(H27)+COUNT(I27)+COUNT(J27)+COUNT(K27))=0,"",IFERROR(E27/5*0.3,0)+IFERROR(F27/5*0.2,0)+IFERROR(G27/5*0.15,0)+IFERROR(H27/5*0.15,0)+IFERROR(I27/5*0.1,0)+IFERROR(J27/5*0.05,0)+IFERROR(K27/5*0.05,0))</f>
        <v/>
      </c>
      <c r="M27" s="82">
        <f>IF(L27="","",IF(L27&gt;=0.85,"Meets/Exceeds",IF(L27&gt;=0.70,"Developing","Needs Improv.")))</f>
        <v/>
      </c>
      <c r="N27" s="12" t="inlineStr"/>
    </row>
    <row r="28">
      <c r="A28" s="61" t="inlineStr"/>
      <c r="B28" s="61" t="inlineStr"/>
      <c r="C28" s="61" t="inlineStr"/>
      <c r="D28" s="61" t="inlineStr"/>
      <c r="E28" s="61" t="n"/>
      <c r="F28" s="61" t="n"/>
      <c r="G28" s="61" t="n"/>
      <c r="H28" s="61" t="n"/>
      <c r="I28" s="61" t="n"/>
      <c r="J28" s="61" t="n"/>
      <c r="K28" s="61" t="n"/>
      <c r="L28" s="63">
        <f>IF((COUNT(E28)+COUNT(F28)+COUNT(G28)+COUNT(H28)+COUNT(I28)+COUNT(J28)+COUNT(K28))=0,"",IFERROR(E28/5*0.3,0)+IFERROR(F28/5*0.2,0)+IFERROR(G28/5*0.15,0)+IFERROR(H28/5*0.15,0)+IFERROR(I28/5*0.1,0)+IFERROR(J28/5*0.05,0)+IFERROR(K28/5*0.05,0))</f>
        <v/>
      </c>
      <c r="M28" s="77">
        <f>IF(L28="","",IF(L28&gt;=0.85,"Meets/Exceeds",IF(L28&gt;=0.70,"Developing","Needs Improv.")))</f>
        <v/>
      </c>
      <c r="N28" s="14" t="inlineStr"/>
    </row>
    <row r="29">
      <c r="A29" s="61" t="inlineStr"/>
      <c r="B29" s="61" t="inlineStr"/>
      <c r="C29" s="61" t="inlineStr"/>
      <c r="D29" s="61" t="inlineStr"/>
      <c r="E29" s="61" t="n"/>
      <c r="F29" s="61" t="n"/>
      <c r="G29" s="61" t="n"/>
      <c r="H29" s="61" t="n"/>
      <c r="I29" s="61" t="n"/>
      <c r="J29" s="61" t="n"/>
      <c r="K29" s="61" t="n"/>
      <c r="L29" s="62">
        <f>IF((COUNT(E29)+COUNT(F29)+COUNT(G29)+COUNT(H29)+COUNT(I29)+COUNT(J29)+COUNT(K29))=0,"",IFERROR(E29/5*0.3,0)+IFERROR(F29/5*0.2,0)+IFERROR(G29/5*0.15,0)+IFERROR(H29/5*0.15,0)+IFERROR(I29/5*0.1,0)+IFERROR(J29/5*0.05,0)+IFERROR(K29/5*0.05,0))</f>
        <v/>
      </c>
      <c r="M29" s="82">
        <f>IF(L29="","",IF(L29&gt;=0.85,"Meets/Exceeds",IF(L29&gt;=0.70,"Developing","Needs Improv.")))</f>
        <v/>
      </c>
      <c r="N29" s="12" t="inlineStr"/>
    </row>
    <row r="30">
      <c r="A30" s="61" t="inlineStr"/>
      <c r="B30" s="61" t="inlineStr"/>
      <c r="C30" s="61" t="inlineStr"/>
      <c r="D30" s="61" t="inlineStr"/>
      <c r="E30" s="61" t="n"/>
      <c r="F30" s="61" t="n"/>
      <c r="G30" s="61" t="n"/>
      <c r="H30" s="61" t="n"/>
      <c r="I30" s="61" t="n"/>
      <c r="J30" s="61" t="n"/>
      <c r="K30" s="61" t="n"/>
      <c r="L30" s="63">
        <f>IF((COUNT(E30)+COUNT(F30)+COUNT(G30)+COUNT(H30)+COUNT(I30)+COUNT(J30)+COUNT(K30))=0,"",IFERROR(E30/5*0.3,0)+IFERROR(F30/5*0.2,0)+IFERROR(G30/5*0.15,0)+IFERROR(H30/5*0.15,0)+IFERROR(I30/5*0.1,0)+IFERROR(J30/5*0.05,0)+IFERROR(K30/5*0.05,0))</f>
        <v/>
      </c>
      <c r="M30" s="77">
        <f>IF(L30="","",IF(L30&gt;=0.85,"Meets/Exceeds",IF(L30&gt;=0.70,"Developing","Needs Improv.")))</f>
        <v/>
      </c>
      <c r="N30" s="14" t="inlineStr"/>
    </row>
    <row r="31">
      <c r="A31" s="61" t="inlineStr"/>
      <c r="B31" s="61" t="inlineStr"/>
      <c r="C31" s="61" t="inlineStr"/>
      <c r="D31" s="61" t="inlineStr"/>
      <c r="E31" s="61" t="n"/>
      <c r="F31" s="61" t="n"/>
      <c r="G31" s="61" t="n"/>
      <c r="H31" s="61" t="n"/>
      <c r="I31" s="61" t="n"/>
      <c r="J31" s="61" t="n"/>
      <c r="K31" s="61" t="n"/>
      <c r="L31" s="62">
        <f>IF((COUNT(E31)+COUNT(F31)+COUNT(G31)+COUNT(H31)+COUNT(I31)+COUNT(J31)+COUNT(K31))=0,"",IFERROR(E31/5*0.3,0)+IFERROR(F31/5*0.2,0)+IFERROR(G31/5*0.15,0)+IFERROR(H31/5*0.15,0)+IFERROR(I31/5*0.1,0)+IFERROR(J31/5*0.05,0)+IFERROR(K31/5*0.05,0))</f>
        <v/>
      </c>
      <c r="M31" s="82">
        <f>IF(L31="","",IF(L31&gt;=0.85,"Meets/Exceeds",IF(L31&gt;=0.70,"Developing","Needs Improv.")))</f>
        <v/>
      </c>
      <c r="N31" s="12" t="inlineStr"/>
    </row>
    <row r="32">
      <c r="A32" s="61" t="inlineStr"/>
      <c r="B32" s="61" t="inlineStr"/>
      <c r="C32" s="61" t="inlineStr"/>
      <c r="D32" s="61" t="inlineStr"/>
      <c r="E32" s="61" t="n"/>
      <c r="F32" s="61" t="n"/>
      <c r="G32" s="61" t="n"/>
      <c r="H32" s="61" t="n"/>
      <c r="I32" s="61" t="n"/>
      <c r="J32" s="61" t="n"/>
      <c r="K32" s="61" t="n"/>
      <c r="L32" s="63">
        <f>IF((COUNT(E32)+COUNT(F32)+COUNT(G32)+COUNT(H32)+COUNT(I32)+COUNT(J32)+COUNT(K32))=0,"",IFERROR(E32/5*0.3,0)+IFERROR(F32/5*0.2,0)+IFERROR(G32/5*0.15,0)+IFERROR(H32/5*0.15,0)+IFERROR(I32/5*0.1,0)+IFERROR(J32/5*0.05,0)+IFERROR(K32/5*0.05,0))</f>
        <v/>
      </c>
      <c r="M32" s="77">
        <f>IF(L32="","",IF(L32&gt;=0.85,"Meets/Exceeds",IF(L32&gt;=0.70,"Developing","Needs Improv.")))</f>
        <v/>
      </c>
      <c r="N32" s="14" t="inlineStr"/>
    </row>
    <row r="33">
      <c r="A33" s="61" t="inlineStr"/>
      <c r="B33" s="61" t="inlineStr"/>
      <c r="C33" s="61" t="inlineStr"/>
      <c r="D33" s="61" t="inlineStr"/>
      <c r="E33" s="61" t="n"/>
      <c r="F33" s="61" t="n"/>
      <c r="G33" s="61" t="n"/>
      <c r="H33" s="61" t="n"/>
      <c r="I33" s="61" t="n"/>
      <c r="J33" s="61" t="n"/>
      <c r="K33" s="61" t="n"/>
      <c r="L33" s="62">
        <f>IF((COUNT(E33)+COUNT(F33)+COUNT(G33)+COUNT(H33)+COUNT(I33)+COUNT(J33)+COUNT(K33))=0,"",IFERROR(E33/5*0.3,0)+IFERROR(F33/5*0.2,0)+IFERROR(G33/5*0.15,0)+IFERROR(H33/5*0.15,0)+IFERROR(I33/5*0.1,0)+IFERROR(J33/5*0.05,0)+IFERROR(K33/5*0.05,0))</f>
        <v/>
      </c>
      <c r="M33" s="82">
        <f>IF(L33="","",IF(L33&gt;=0.85,"Meets/Exceeds",IF(L33&gt;=0.70,"Developing","Needs Improv.")))</f>
        <v/>
      </c>
      <c r="N33" s="12" t="inlineStr"/>
    </row>
    <row r="34">
      <c r="A34" s="61" t="inlineStr"/>
      <c r="B34" s="61" t="inlineStr"/>
      <c r="C34" s="61" t="inlineStr"/>
      <c r="D34" s="61" t="inlineStr"/>
      <c r="E34" s="61" t="n"/>
      <c r="F34" s="61" t="n"/>
      <c r="G34" s="61" t="n"/>
      <c r="H34" s="61" t="n"/>
      <c r="I34" s="61" t="n"/>
      <c r="J34" s="61" t="n"/>
      <c r="K34" s="61" t="n"/>
      <c r="L34" s="63">
        <f>IF((COUNT(E34)+COUNT(F34)+COUNT(G34)+COUNT(H34)+COUNT(I34)+COUNT(J34)+COUNT(K34))=0,"",IFERROR(E34/5*0.3,0)+IFERROR(F34/5*0.2,0)+IFERROR(G34/5*0.15,0)+IFERROR(H34/5*0.15,0)+IFERROR(I34/5*0.1,0)+IFERROR(J34/5*0.05,0)+IFERROR(K34/5*0.05,0))</f>
        <v/>
      </c>
      <c r="M34" s="77">
        <f>IF(L34="","",IF(L34&gt;=0.85,"Meets/Exceeds",IF(L34&gt;=0.70,"Developing","Needs Improv.")))</f>
        <v/>
      </c>
      <c r="N34" s="14" t="inlineStr"/>
    </row>
    <row r="35">
      <c r="A35" s="61" t="inlineStr"/>
      <c r="B35" s="61" t="inlineStr"/>
      <c r="C35" s="61" t="inlineStr"/>
      <c r="D35" s="61" t="inlineStr"/>
      <c r="E35" s="61" t="n"/>
      <c r="F35" s="61" t="n"/>
      <c r="G35" s="61" t="n"/>
      <c r="H35" s="61" t="n"/>
      <c r="I35" s="61" t="n"/>
      <c r="J35" s="61" t="n"/>
      <c r="K35" s="61" t="n"/>
      <c r="L35" s="62">
        <f>IF((COUNT(E35)+COUNT(F35)+COUNT(G35)+COUNT(H35)+COUNT(I35)+COUNT(J35)+COUNT(K35))=0,"",IFERROR(E35/5*0.3,0)+IFERROR(F35/5*0.2,0)+IFERROR(G35/5*0.15,0)+IFERROR(H35/5*0.15,0)+IFERROR(I35/5*0.1,0)+IFERROR(J35/5*0.05,0)+IFERROR(K35/5*0.05,0))</f>
        <v/>
      </c>
      <c r="M35" s="82">
        <f>IF(L35="","",IF(L35&gt;=0.85,"Meets/Exceeds",IF(L35&gt;=0.70,"Developing","Needs Improv.")))</f>
        <v/>
      </c>
      <c r="N35" s="12" t="inlineStr"/>
    </row>
    <row r="36">
      <c r="A36" s="61" t="inlineStr"/>
      <c r="B36" s="61" t="inlineStr"/>
      <c r="C36" s="61" t="inlineStr"/>
      <c r="D36" s="61" t="inlineStr"/>
      <c r="E36" s="61" t="n"/>
      <c r="F36" s="61" t="n"/>
      <c r="G36" s="61" t="n"/>
      <c r="H36" s="61" t="n"/>
      <c r="I36" s="61" t="n"/>
      <c r="J36" s="61" t="n"/>
      <c r="K36" s="61" t="n"/>
      <c r="L36" s="63">
        <f>IF((COUNT(E36)+COUNT(F36)+COUNT(G36)+COUNT(H36)+COUNT(I36)+COUNT(J36)+COUNT(K36))=0,"",IFERROR(E36/5*0.3,0)+IFERROR(F36/5*0.2,0)+IFERROR(G36/5*0.15,0)+IFERROR(H36/5*0.15,0)+IFERROR(I36/5*0.1,0)+IFERROR(J36/5*0.05,0)+IFERROR(K36/5*0.05,0))</f>
        <v/>
      </c>
      <c r="M36" s="77">
        <f>IF(L36="","",IF(L36&gt;=0.85,"Meets/Exceeds",IF(L36&gt;=0.70,"Developing","Needs Improv.")))</f>
        <v/>
      </c>
      <c r="N36" s="14" t="inlineStr"/>
    </row>
    <row r="37">
      <c r="A37" s="61" t="inlineStr"/>
      <c r="B37" s="61" t="inlineStr"/>
      <c r="C37" s="61" t="inlineStr"/>
      <c r="D37" s="61" t="inlineStr"/>
      <c r="E37" s="61" t="n"/>
      <c r="F37" s="61" t="n"/>
      <c r="G37" s="61" t="n"/>
      <c r="H37" s="61" t="n"/>
      <c r="I37" s="61" t="n"/>
      <c r="J37" s="61" t="n"/>
      <c r="K37" s="61" t="n"/>
      <c r="L37" s="62">
        <f>IF((COUNT(E37)+COUNT(F37)+COUNT(G37)+COUNT(H37)+COUNT(I37)+COUNT(J37)+COUNT(K37))=0,"",IFERROR(E37/5*0.3,0)+IFERROR(F37/5*0.2,0)+IFERROR(G37/5*0.15,0)+IFERROR(H37/5*0.15,0)+IFERROR(I37/5*0.1,0)+IFERROR(J37/5*0.05,0)+IFERROR(K37/5*0.05,0))</f>
        <v/>
      </c>
      <c r="M37" s="82">
        <f>IF(L37="","",IF(L37&gt;=0.85,"Meets/Exceeds",IF(L37&gt;=0.70,"Developing","Needs Improv.")))</f>
        <v/>
      </c>
      <c r="N37" s="12" t="inlineStr"/>
    </row>
    <row r="38">
      <c r="A38" s="61" t="inlineStr"/>
      <c r="B38" s="61" t="inlineStr"/>
      <c r="C38" s="61" t="inlineStr"/>
      <c r="D38" s="61" t="inlineStr"/>
      <c r="E38" s="61" t="n"/>
      <c r="F38" s="61" t="n"/>
      <c r="G38" s="61" t="n"/>
      <c r="H38" s="61" t="n"/>
      <c r="I38" s="61" t="n"/>
      <c r="J38" s="61" t="n"/>
      <c r="K38" s="61" t="n"/>
      <c r="L38" s="63">
        <f>IF((COUNT(E38)+COUNT(F38)+COUNT(G38)+COUNT(H38)+COUNT(I38)+COUNT(J38)+COUNT(K38))=0,"",IFERROR(E38/5*0.3,0)+IFERROR(F38/5*0.2,0)+IFERROR(G38/5*0.15,0)+IFERROR(H38/5*0.15,0)+IFERROR(I38/5*0.1,0)+IFERROR(J38/5*0.05,0)+IFERROR(K38/5*0.05,0))</f>
        <v/>
      </c>
      <c r="M38" s="77">
        <f>IF(L38="","",IF(L38&gt;=0.85,"Meets/Exceeds",IF(L38&gt;=0.70,"Developing","Needs Improv.")))</f>
        <v/>
      </c>
      <c r="N38" s="14" t="inlineStr"/>
    </row>
    <row r="39">
      <c r="A39" s="61" t="inlineStr"/>
      <c r="B39" s="61" t="inlineStr"/>
      <c r="C39" s="61" t="inlineStr"/>
      <c r="D39" s="61" t="inlineStr"/>
      <c r="E39" s="61" t="n"/>
      <c r="F39" s="61" t="n"/>
      <c r="G39" s="61" t="n"/>
      <c r="H39" s="61" t="n"/>
      <c r="I39" s="61" t="n"/>
      <c r="J39" s="61" t="n"/>
      <c r="K39" s="61" t="n"/>
      <c r="L39" s="62">
        <f>IF((COUNT(E39)+COUNT(F39)+COUNT(G39)+COUNT(H39)+COUNT(I39)+COUNT(J39)+COUNT(K39))=0,"",IFERROR(E39/5*0.3,0)+IFERROR(F39/5*0.2,0)+IFERROR(G39/5*0.15,0)+IFERROR(H39/5*0.15,0)+IFERROR(I39/5*0.1,0)+IFERROR(J39/5*0.05,0)+IFERROR(K39/5*0.05,0))</f>
        <v/>
      </c>
      <c r="M39" s="82">
        <f>IF(L39="","",IF(L39&gt;=0.85,"Meets/Exceeds",IF(L39&gt;=0.70,"Developing","Needs Improv.")))</f>
        <v/>
      </c>
      <c r="N39" s="12" t="inlineStr"/>
    </row>
    <row r="40">
      <c r="A40" s="61" t="inlineStr"/>
      <c r="B40" s="61" t="inlineStr"/>
      <c r="C40" s="61" t="inlineStr"/>
      <c r="D40" s="61" t="inlineStr"/>
      <c r="E40" s="61" t="n"/>
      <c r="F40" s="61" t="n"/>
      <c r="G40" s="61" t="n"/>
      <c r="H40" s="61" t="n"/>
      <c r="I40" s="61" t="n"/>
      <c r="J40" s="61" t="n"/>
      <c r="K40" s="61" t="n"/>
      <c r="L40" s="63">
        <f>IF((COUNT(E40)+COUNT(F40)+COUNT(G40)+COUNT(H40)+COUNT(I40)+COUNT(J40)+COUNT(K40))=0,"",IFERROR(E40/5*0.3,0)+IFERROR(F40/5*0.2,0)+IFERROR(G40/5*0.15,0)+IFERROR(H40/5*0.15,0)+IFERROR(I40/5*0.1,0)+IFERROR(J40/5*0.05,0)+IFERROR(K40/5*0.05,0))</f>
        <v/>
      </c>
      <c r="M40" s="77">
        <f>IF(L40="","",IF(L40&gt;=0.85,"Meets/Exceeds",IF(L40&gt;=0.70,"Developing","Needs Improv.")))</f>
        <v/>
      </c>
      <c r="N40" s="14" t="inlineStr"/>
    </row>
    <row r="41">
      <c r="A41" s="61" t="inlineStr"/>
      <c r="B41" s="61" t="inlineStr"/>
      <c r="C41" s="61" t="inlineStr"/>
      <c r="D41" s="61" t="inlineStr"/>
      <c r="E41" s="61" t="n"/>
      <c r="F41" s="61" t="n"/>
      <c r="G41" s="61" t="n"/>
      <c r="H41" s="61" t="n"/>
      <c r="I41" s="61" t="n"/>
      <c r="J41" s="61" t="n"/>
      <c r="K41" s="61" t="n"/>
      <c r="L41" s="62">
        <f>IF((COUNT(E41)+COUNT(F41)+COUNT(G41)+COUNT(H41)+COUNT(I41)+COUNT(J41)+COUNT(K41))=0,"",IFERROR(E41/5*0.3,0)+IFERROR(F41/5*0.2,0)+IFERROR(G41/5*0.15,0)+IFERROR(H41/5*0.15,0)+IFERROR(I41/5*0.1,0)+IFERROR(J41/5*0.05,0)+IFERROR(K41/5*0.05,0))</f>
        <v/>
      </c>
      <c r="M41" s="82">
        <f>IF(L41="","",IF(L41&gt;=0.85,"Meets/Exceeds",IF(L41&gt;=0.70,"Developing","Needs Improv.")))</f>
        <v/>
      </c>
      <c r="N41" s="12" t="inlineStr"/>
    </row>
    <row r="42">
      <c r="A42" s="61" t="inlineStr"/>
      <c r="B42" s="61" t="inlineStr"/>
      <c r="C42" s="61" t="inlineStr"/>
      <c r="D42" s="61" t="inlineStr"/>
      <c r="E42" s="61" t="n"/>
      <c r="F42" s="61" t="n"/>
      <c r="G42" s="61" t="n"/>
      <c r="H42" s="61" t="n"/>
      <c r="I42" s="61" t="n"/>
      <c r="J42" s="61" t="n"/>
      <c r="K42" s="61" t="n"/>
      <c r="L42" s="63">
        <f>IF((COUNT(E42)+COUNT(F42)+COUNT(G42)+COUNT(H42)+COUNT(I42)+COUNT(J42)+COUNT(K42))=0,"",IFERROR(E42/5*0.3,0)+IFERROR(F42/5*0.2,0)+IFERROR(G42/5*0.15,0)+IFERROR(H42/5*0.15,0)+IFERROR(I42/5*0.1,0)+IFERROR(J42/5*0.05,0)+IFERROR(K42/5*0.05,0))</f>
        <v/>
      </c>
      <c r="M42" s="77">
        <f>IF(L42="","",IF(L42&gt;=0.85,"Meets/Exceeds",IF(L42&gt;=0.70,"Developing","Needs Improv.")))</f>
        <v/>
      </c>
      <c r="N42" s="14" t="inlineStr"/>
    </row>
    <row r="43">
      <c r="A43" s="61" t="inlineStr"/>
      <c r="B43" s="61" t="inlineStr"/>
      <c r="C43" s="61" t="inlineStr"/>
      <c r="D43" s="61" t="inlineStr"/>
      <c r="E43" s="61" t="n"/>
      <c r="F43" s="61" t="n"/>
      <c r="G43" s="61" t="n"/>
      <c r="H43" s="61" t="n"/>
      <c r="I43" s="61" t="n"/>
      <c r="J43" s="61" t="n"/>
      <c r="K43" s="61" t="n"/>
      <c r="L43" s="62">
        <f>IF((COUNT(E43)+COUNT(F43)+COUNT(G43)+COUNT(H43)+COUNT(I43)+COUNT(J43)+COUNT(K43))=0,"",IFERROR(E43/5*0.3,0)+IFERROR(F43/5*0.2,0)+IFERROR(G43/5*0.15,0)+IFERROR(H43/5*0.15,0)+IFERROR(I43/5*0.1,0)+IFERROR(J43/5*0.05,0)+IFERROR(K43/5*0.05,0))</f>
        <v/>
      </c>
      <c r="M43" s="82">
        <f>IF(L43="","",IF(L43&gt;=0.85,"Meets/Exceeds",IF(L43&gt;=0.70,"Developing","Needs Improv.")))</f>
        <v/>
      </c>
      <c r="N43" s="12" t="inlineStr"/>
    </row>
    <row r="44">
      <c r="A44" s="61" t="inlineStr"/>
      <c r="B44" s="61" t="inlineStr"/>
      <c r="C44" s="61" t="inlineStr"/>
      <c r="D44" s="61" t="inlineStr"/>
      <c r="E44" s="61" t="n"/>
      <c r="F44" s="61" t="n"/>
      <c r="G44" s="61" t="n"/>
      <c r="H44" s="61" t="n"/>
      <c r="I44" s="61" t="n"/>
      <c r="J44" s="61" t="n"/>
      <c r="K44" s="61" t="n"/>
      <c r="L44" s="63">
        <f>IF((COUNT(E44)+COUNT(F44)+COUNT(G44)+COUNT(H44)+COUNT(I44)+COUNT(J44)+COUNT(K44))=0,"",IFERROR(E44/5*0.3,0)+IFERROR(F44/5*0.2,0)+IFERROR(G44/5*0.15,0)+IFERROR(H44/5*0.15,0)+IFERROR(I44/5*0.1,0)+IFERROR(J44/5*0.05,0)+IFERROR(K44/5*0.05,0))</f>
        <v/>
      </c>
      <c r="M44" s="77">
        <f>IF(L44="","",IF(L44&gt;=0.85,"Meets/Exceeds",IF(L44&gt;=0.70,"Developing","Needs Improv.")))</f>
        <v/>
      </c>
      <c r="N44" s="14" t="inlineStr"/>
    </row>
    <row r="45">
      <c r="A45" s="61" t="inlineStr"/>
      <c r="B45" s="61" t="inlineStr"/>
      <c r="C45" s="61" t="inlineStr"/>
      <c r="D45" s="61" t="inlineStr"/>
      <c r="E45" s="61" t="n"/>
      <c r="F45" s="61" t="n"/>
      <c r="G45" s="61" t="n"/>
      <c r="H45" s="61" t="n"/>
      <c r="I45" s="61" t="n"/>
      <c r="J45" s="61" t="n"/>
      <c r="K45" s="61" t="n"/>
      <c r="L45" s="62">
        <f>IF((COUNT(E45)+COUNT(F45)+COUNT(G45)+COUNT(H45)+COUNT(I45)+COUNT(J45)+COUNT(K45))=0,"",IFERROR(E45/5*0.3,0)+IFERROR(F45/5*0.2,0)+IFERROR(G45/5*0.15,0)+IFERROR(H45/5*0.15,0)+IFERROR(I45/5*0.1,0)+IFERROR(J45/5*0.05,0)+IFERROR(K45/5*0.05,0))</f>
        <v/>
      </c>
      <c r="M45" s="82">
        <f>IF(L45="","",IF(L45&gt;=0.85,"Meets/Exceeds",IF(L45&gt;=0.70,"Developing","Needs Improv.")))</f>
        <v/>
      </c>
      <c r="N45" s="12" t="inlineStr"/>
    </row>
    <row r="46">
      <c r="A46" s="61" t="inlineStr"/>
      <c r="B46" s="61" t="inlineStr"/>
      <c r="C46" s="61" t="inlineStr"/>
      <c r="D46" s="61" t="inlineStr"/>
      <c r="E46" s="61" t="n"/>
      <c r="F46" s="61" t="n"/>
      <c r="G46" s="61" t="n"/>
      <c r="H46" s="61" t="n"/>
      <c r="I46" s="61" t="n"/>
      <c r="J46" s="61" t="n"/>
      <c r="K46" s="61" t="n"/>
      <c r="L46" s="63">
        <f>IF((COUNT(E46)+COUNT(F46)+COUNT(G46)+COUNT(H46)+COUNT(I46)+COUNT(J46)+COUNT(K46))=0,"",IFERROR(E46/5*0.3,0)+IFERROR(F46/5*0.2,0)+IFERROR(G46/5*0.15,0)+IFERROR(H46/5*0.15,0)+IFERROR(I46/5*0.1,0)+IFERROR(J46/5*0.05,0)+IFERROR(K46/5*0.05,0))</f>
        <v/>
      </c>
      <c r="M46" s="77">
        <f>IF(L46="","",IF(L46&gt;=0.85,"Meets/Exceeds",IF(L46&gt;=0.70,"Developing","Needs Improv.")))</f>
        <v/>
      </c>
      <c r="N46" s="14" t="inlineStr"/>
    </row>
    <row r="47">
      <c r="A47" s="61" t="inlineStr"/>
      <c r="B47" s="61" t="inlineStr"/>
      <c r="C47" s="61" t="inlineStr"/>
      <c r="D47" s="61" t="inlineStr"/>
      <c r="E47" s="61" t="n"/>
      <c r="F47" s="61" t="n"/>
      <c r="G47" s="61" t="n"/>
      <c r="H47" s="61" t="n"/>
      <c r="I47" s="61" t="n"/>
      <c r="J47" s="61" t="n"/>
      <c r="K47" s="61" t="n"/>
      <c r="L47" s="62">
        <f>IF((COUNT(E47)+COUNT(F47)+COUNT(G47)+COUNT(H47)+COUNT(I47)+COUNT(J47)+COUNT(K47))=0,"",IFERROR(E47/5*0.3,0)+IFERROR(F47/5*0.2,0)+IFERROR(G47/5*0.15,0)+IFERROR(H47/5*0.15,0)+IFERROR(I47/5*0.1,0)+IFERROR(J47/5*0.05,0)+IFERROR(K47/5*0.05,0))</f>
        <v/>
      </c>
      <c r="M47" s="82">
        <f>IF(L47="","",IF(L47&gt;=0.85,"Meets/Exceeds",IF(L47&gt;=0.70,"Developing","Needs Improv.")))</f>
        <v/>
      </c>
      <c r="N47" s="12" t="inlineStr"/>
    </row>
    <row r="48">
      <c r="A48" s="61" t="inlineStr"/>
      <c r="B48" s="61" t="inlineStr"/>
      <c r="C48" s="61" t="inlineStr"/>
      <c r="D48" s="61" t="inlineStr"/>
      <c r="E48" s="61" t="n"/>
      <c r="F48" s="61" t="n"/>
      <c r="G48" s="61" t="n"/>
      <c r="H48" s="61" t="n"/>
      <c r="I48" s="61" t="n"/>
      <c r="J48" s="61" t="n"/>
      <c r="K48" s="61" t="n"/>
      <c r="L48" s="63">
        <f>IF((COUNT(E48)+COUNT(F48)+COUNT(G48)+COUNT(H48)+COUNT(I48)+COUNT(J48)+COUNT(K48))=0,"",IFERROR(E48/5*0.3,0)+IFERROR(F48/5*0.2,0)+IFERROR(G48/5*0.15,0)+IFERROR(H48/5*0.15,0)+IFERROR(I48/5*0.1,0)+IFERROR(J48/5*0.05,0)+IFERROR(K48/5*0.05,0))</f>
        <v/>
      </c>
      <c r="M48" s="77">
        <f>IF(L48="","",IF(L48&gt;=0.85,"Meets/Exceeds",IF(L48&gt;=0.70,"Developing","Needs Improv.")))</f>
        <v/>
      </c>
      <c r="N48" s="14" t="inlineStr"/>
    </row>
    <row r="49">
      <c r="A49" s="61" t="inlineStr"/>
      <c r="B49" s="61" t="inlineStr"/>
      <c r="C49" s="61" t="inlineStr"/>
      <c r="D49" s="61" t="inlineStr"/>
      <c r="E49" s="61" t="n"/>
      <c r="F49" s="61" t="n"/>
      <c r="G49" s="61" t="n"/>
      <c r="H49" s="61" t="n"/>
      <c r="I49" s="61" t="n"/>
      <c r="J49" s="61" t="n"/>
      <c r="K49" s="61" t="n"/>
      <c r="L49" s="62">
        <f>IF((COUNT(E49)+COUNT(F49)+COUNT(G49)+COUNT(H49)+COUNT(I49)+COUNT(J49)+COUNT(K49))=0,"",IFERROR(E49/5*0.3,0)+IFERROR(F49/5*0.2,0)+IFERROR(G49/5*0.15,0)+IFERROR(H49/5*0.15,0)+IFERROR(I49/5*0.1,0)+IFERROR(J49/5*0.05,0)+IFERROR(K49/5*0.05,0))</f>
        <v/>
      </c>
      <c r="M49" s="82">
        <f>IF(L49="","",IF(L49&gt;=0.85,"Meets/Exceeds",IF(L49&gt;=0.70,"Developing","Needs Improv.")))</f>
        <v/>
      </c>
      <c r="N49" s="12" t="inlineStr"/>
    </row>
    <row r="51">
      <c r="A51" s="8" t="inlineStr">
        <is>
          <t>TEAM AVERAGE</t>
        </is>
      </c>
      <c r="B51" s="67" t="n"/>
      <c r="C51" s="67" t="n"/>
      <c r="D51" s="68" t="n"/>
      <c r="E51" s="64">
        <f>IFERROR(AVERAGE(E5:E49),"")</f>
        <v/>
      </c>
      <c r="F51" s="64">
        <f>IFERROR(AVERAGE(F5:F49),"")</f>
        <v/>
      </c>
      <c r="G51" s="64">
        <f>IFERROR(AVERAGE(G5:G49),"")</f>
        <v/>
      </c>
      <c r="H51" s="64">
        <f>IFERROR(AVERAGE(H5:H49),"")</f>
        <v/>
      </c>
      <c r="I51" s="64">
        <f>IFERROR(AVERAGE(I5:I49),"")</f>
        <v/>
      </c>
      <c r="J51" s="64">
        <f>IFERROR(AVERAGE(J5:J49),"")</f>
        <v/>
      </c>
      <c r="K51" s="64">
        <f>IFERROR(AVERAGE(K5:K49),"")</f>
        <v/>
      </c>
      <c r="L51" s="65">
        <f>IFERROR(AVERAGE(L5:L49),"")</f>
        <v/>
      </c>
      <c r="M51" s="34" t="inlineStr"/>
      <c r="N51" s="66" t="inlineStr">
        <is>
          <t>Average of logged touches</t>
        </is>
      </c>
    </row>
    <row r="53" ht="22" customHeight="1">
      <c r="A53" s="73" t="inlineStr">
        <is>
          <t>TEAM / JOURNEY SCORES — MULTI-TOUCH CASES</t>
        </is>
      </c>
      <c r="B53" s="67" t="n"/>
      <c r="C53" s="67" t="n"/>
      <c r="D53" s="67" t="n"/>
      <c r="E53" s="67" t="n"/>
      <c r="F53" s="67" t="n"/>
      <c r="G53" s="67" t="n"/>
      <c r="H53" s="67" t="n"/>
      <c r="I53" s="67" t="n"/>
      <c r="J53" s="67" t="n"/>
      <c r="K53" s="67" t="n"/>
      <c r="L53" s="67" t="n"/>
      <c r="M53" s="67" t="n"/>
      <c r="N53" s="68" t="n"/>
    </row>
    <row r="54" ht="32" customHeight="1">
      <c r="A54" s="74"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67" t="n"/>
      <c r="C54" s="67" t="n"/>
      <c r="D54" s="67" t="n"/>
      <c r="E54" s="67" t="n"/>
      <c r="F54" s="67" t="n"/>
      <c r="G54" s="67" t="n"/>
      <c r="H54" s="67" t="n"/>
      <c r="I54" s="67" t="n"/>
      <c r="J54" s="67" t="n"/>
      <c r="K54" s="67" t="n"/>
      <c r="L54" s="67" t="n"/>
      <c r="M54" s="67" t="n"/>
      <c r="N54" s="68" t="n"/>
    </row>
    <row r="55" ht="26" customHeight="1">
      <c r="A55" s="75" t="inlineStr">
        <is>
          <t>Journey / Case ID(s)</t>
        </is>
      </c>
      <c r="B55" s="68" t="n"/>
      <c r="C55" s="75" t="inlineStr">
        <is>
          <t>Touches</t>
        </is>
      </c>
      <c r="D55" s="60" t="inlineStr">
        <is>
          <t>Avg Touch %</t>
        </is>
      </c>
      <c r="E55" s="60" t="inlineStr">
        <is>
          <t>Outcome (0-5)</t>
        </is>
      </c>
      <c r="F55" s="60" t="inlineStr">
        <is>
          <t>Continuity (0-5)</t>
        </is>
      </c>
      <c r="G55" s="60" t="inlineStr">
        <is>
          <t>TEAM SCORE</t>
        </is>
      </c>
      <c r="H55" s="75" t="inlineStr">
        <is>
          <t>Band</t>
        </is>
      </c>
      <c r="I55" s="71" t="inlineStr">
        <is>
          <t>Journey notes (where the chain broke / recovered)</t>
        </is>
      </c>
      <c r="J55" s="67" t="n"/>
      <c r="K55" s="67" t="n"/>
      <c r="L55" s="67" t="n"/>
      <c r="M55" s="67" t="n"/>
      <c r="N55" s="68" t="n"/>
    </row>
    <row r="56" ht="48" customHeight="1">
      <c r="A56" s="76" t="inlineStr">
        <is>
          <t>TE00124020 + TE00127492</t>
        </is>
      </c>
      <c r="B56" s="69" t="n"/>
      <c r="C56" s="77">
        <f>COUNT(L5:L17)</f>
        <v/>
      </c>
      <c r="D56" s="78">
        <f>AVERAGE(L5:L17)</f>
        <v/>
      </c>
      <c r="E56" s="79" t="n">
        <v>0</v>
      </c>
      <c r="F56" s="79" t="n">
        <v>1</v>
      </c>
      <c r="G56" s="80">
        <f>IF(D56="","",0.5*D56+0.3*(E56/5)+0.2*(F56/5))</f>
        <v/>
      </c>
      <c r="H56" s="77">
        <f>IF(G56="","",IF(G56&gt;=0.85,"Meets/Exceeds",IF(G56&gt;=0.70,"Developing","Needs Improv.")))</f>
        <v/>
      </c>
      <c r="I56" s="14" t="inlineStr">
        <is>
          <t>Outcome 0/5: unresolved, CSAT 1/5, SLA breach, legal threat, customer churned to Eero. Continuity 1/5: pre-ticket history lost across tickets, 5 premature RESOLVED closures, callback chaos; one clean handoff (Venn-Emir) and two technical recoveries (Paolo E., Eric M.) prevent a 0. Full analysis: Multi-Touch Guide.</t>
        </is>
      </c>
      <c r="J56" s="70" t="n"/>
      <c r="K56" s="70" t="n"/>
      <c r="L56" s="70" t="n"/>
      <c r="M56" s="70" t="n"/>
      <c r="N56" s="69" t="n"/>
    </row>
    <row r="57" ht="28" customHeight="1">
      <c r="A57" s="81" t="inlineStr"/>
      <c r="B57" s="69" t="n"/>
      <c r="C57" s="77">
        <f>IF(A57="","",COUNTIF(B5:B49,A57))</f>
        <v/>
      </c>
      <c r="D57" s="78">
        <f>IF(A57="","",IFERROR(AVERAGEIF(B5:B49,A57,L5:L49),""))</f>
        <v/>
      </c>
      <c r="E57" s="79" t="n"/>
      <c r="F57" s="79" t="n"/>
      <c r="G57" s="80">
        <f>IF(OR(A57="",D57="",E57="",F57=""),"",0.5*D57+0.3*(E57/5)+0.2*(F57/5))</f>
        <v/>
      </c>
      <c r="H57" s="77">
        <f>IF(G57="","",IF(G57&gt;=0.85,"Meets/Exceeds",IF(G57&gt;=0.70,"Developing","Needs Improv.")))</f>
        <v/>
      </c>
      <c r="I57" s="7" t="inlineStr"/>
      <c r="J57" s="70" t="n"/>
      <c r="K57" s="70" t="n"/>
      <c r="L57" s="70" t="n"/>
      <c r="M57" s="70" t="n"/>
      <c r="N57" s="69" t="n"/>
    </row>
    <row r="58" ht="28" customHeight="1">
      <c r="A58" s="81" t="inlineStr"/>
      <c r="B58" s="69" t="n"/>
      <c r="C58" s="82">
        <f>IF(A58="","",COUNTIF(B5:B49,A58))</f>
        <v/>
      </c>
      <c r="D58" s="83">
        <f>IF(A58="","",IFERROR(AVERAGEIF(B5:B49,A58,L5:L49),""))</f>
        <v/>
      </c>
      <c r="E58" s="79" t="n"/>
      <c r="F58" s="79" t="n"/>
      <c r="G58" s="84">
        <f>IF(OR(A58="",D58="",E58="",F58=""),"",0.5*D58+0.3*(E58/5)+0.2*(F58/5))</f>
        <v/>
      </c>
      <c r="H58" s="82">
        <f>IF(G58="","",IF(G58&gt;=0.85,"Meets/Exceeds",IF(G58&gt;=0.70,"Developing","Needs Improv.")))</f>
        <v/>
      </c>
      <c r="I58" s="7" t="inlineStr"/>
      <c r="J58" s="70" t="n"/>
      <c r="K58" s="70" t="n"/>
      <c r="L58" s="70" t="n"/>
      <c r="M58" s="70" t="n"/>
      <c r="N58" s="69" t="n"/>
    </row>
    <row r="59" ht="28" customHeight="1">
      <c r="A59" s="81" t="inlineStr"/>
      <c r="B59" s="69" t="n"/>
      <c r="C59" s="77">
        <f>IF(A59="","",COUNTIF(B5:B49,A59))</f>
        <v/>
      </c>
      <c r="D59" s="78">
        <f>IF(A59="","",IFERROR(AVERAGEIF(B5:B49,A59,L5:L49),""))</f>
        <v/>
      </c>
      <c r="E59" s="79" t="n"/>
      <c r="F59" s="79" t="n"/>
      <c r="G59" s="80">
        <f>IF(OR(A59="",D59="",E59="",F59=""),"",0.5*D59+0.3*(E59/5)+0.2*(F59/5))</f>
        <v/>
      </c>
      <c r="H59" s="77">
        <f>IF(G59="","",IF(G59&gt;=0.85,"Meets/Exceeds",IF(G59&gt;=0.70,"Developing","Needs Improv.")))</f>
        <v/>
      </c>
      <c r="I59" s="7" t="inlineStr"/>
      <c r="J59" s="70" t="n"/>
      <c r="K59" s="70" t="n"/>
      <c r="L59" s="70" t="n"/>
      <c r="M59" s="70" t="n"/>
      <c r="N59" s="69" t="n"/>
    </row>
    <row r="60" ht="28" customHeight="1">
      <c r="A60" s="1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70" t="n"/>
      <c r="C60" s="70" t="n"/>
      <c r="D60" s="70" t="n"/>
      <c r="E60" s="70" t="n"/>
      <c r="F60" s="70" t="n"/>
      <c r="G60" s="70" t="n"/>
      <c r="H60" s="70" t="n"/>
      <c r="I60" s="70" t="n"/>
      <c r="J60" s="70" t="n"/>
      <c r="K60" s="70" t="n"/>
      <c r="L60" s="70" t="n"/>
      <c r="M60" s="70" t="n"/>
      <c r="N60" s="69" t="n"/>
    </row>
  </sheetData>
  <mergeCells count="17">
    <mergeCell ref="I57:N57"/>
    <mergeCell ref="A3:N3"/>
    <mergeCell ref="A53:N53"/>
    <mergeCell ref="I55:N55"/>
    <mergeCell ref="A59:B59"/>
    <mergeCell ref="A57:B57"/>
    <mergeCell ref="I59:N59"/>
    <mergeCell ref="A54:N54"/>
    <mergeCell ref="A2:N2"/>
    <mergeCell ref="I56:N56"/>
    <mergeCell ref="A60:N60"/>
    <mergeCell ref="A51:D51"/>
    <mergeCell ref="A56:B56"/>
    <mergeCell ref="I58:N58"/>
    <mergeCell ref="A58:B58"/>
    <mergeCell ref="A55:B55"/>
    <mergeCell ref="A1:N1"/>
  </mergeCells>
  <conditionalFormatting sqref="L5:L49">
    <cfRule type="cellIs" priority="1" operator="greaterThanOrEqual" dxfId="0">
      <formula>0.85</formula>
    </cfRule>
    <cfRule type="cellIs" priority="2" operator="between" dxfId="1">
      <formula>0.70</formula>
      <formula>0.8499</formula>
    </cfRule>
    <cfRule type="cellIs" priority="3" operator="lessThan" dxfId="2">
      <formula>0.70</formula>
    </cfRule>
  </conditionalFormatting>
  <conditionalFormatting sqref="M5:M49">
    <cfRule type="cellIs" priority="4" operator="equal" dxfId="6">
      <formula>"Meets/Exceeds"</formula>
    </cfRule>
    <cfRule type="cellIs" priority="5" operator="equal" dxfId="7">
      <formula>"Developing"</formula>
    </cfRule>
    <cfRule type="cellIs" priority="6" operator="equal" dxfId="8">
      <formula>"Needs Improv."</formula>
    </cfRule>
  </conditionalFormatting>
  <conditionalFormatting sqref="G56:G59">
    <cfRule type="cellIs" priority="7" operator="greaterThanOrEqual" dxfId="0">
      <formula>0.85</formula>
    </cfRule>
    <cfRule type="cellIs" priority="8" operator="between" dxfId="1">
      <formula>0.70</formula>
      <formula>0.8499</formula>
    </cfRule>
    <cfRule type="cellIs" priority="9" operator="lessThan" dxfId="2">
      <formula>0.70</formula>
    </cfRule>
  </conditionalFormatting>
  <conditionalFormatting sqref="H56:H59">
    <cfRule type="cellIs" priority="10" operator="equal" dxfId="6">
      <formula>"Meets/Exceeds"</formula>
    </cfRule>
    <cfRule type="cellIs" priority="11" operator="equal" dxfId="7">
      <formula>"Developing"</formula>
    </cfRule>
    <cfRule type="cellIs" priority="12" operator="equal" dxfId="8">
      <formula>"Needs Improv."</formula>
    </cfRule>
  </conditionalFormatting>
  <conditionalFormatting sqref="A3">
    <cfRule type="cellIs" priority="13" operator="greaterThanOrEqual" dxfId="13">
      <formula>$G$56&gt;=0.85</formula>
    </cfRule>
    <cfRule type="expression" priority="14" dxfId="14">
      <formula>$G$56&gt;=0.85</formula>
    </cfRule>
    <cfRule type="expression" priority="15" dxfId="15">
      <formula>AND($G$56&gt;=0.7,$G$56&lt;0.85)</formula>
    </cfRule>
    <cfRule type="expression" priority="16" dxfId="16">
      <formula>$G$56&lt;0.7</formula>
    </cfRule>
  </conditionalFormatting>
  <dataValidations count="2">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operator="between">
      <formula1>0</formula1>
      <formula2>5</formula2>
    </dataValidation>
    <dataValidation sqref="E56:F56 E57:F57 E58:F58 E59:F59" showDropDown="0" showInputMessage="0" showErrorMessage="1" allowBlank="1" errorTitle="Invalid score" error="Enter 0 to 5 (anchors on Multi-Touch Guide)." type="whole" operator="between">
      <formula1>0</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2026-06-10T02:24:58Z</dcterms:modified>
</cp:coreProperties>
</file>