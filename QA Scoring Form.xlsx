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27">
    <font>
      <name val="Calibri"/>
      <family val="2"/>
      <color theme="1"/>
      <sz val="11"/>
      <scheme val="minor"/>
    </font>
    <font>
      <b val="1"/>
      <color rgb="00FFFFFF"/>
      <sz val="16"/>
    </font>
    <font>
      <i val="1"/>
      <color rgb="00FFFFFF"/>
      <sz val="10"/>
    </font>
    <font>
      <b val="1"/>
      <color rgb="00FFFFFF"/>
    </font>
    <font>
      <b val="1"/>
      <color rgb="001F3864"/>
    </font>
    <font>
      <color rgb="00000000"/>
    </font>
    <font>
      <i val="1"/>
      <color rgb="001F3864"/>
    </font>
    <font>
      <b val="1"/>
      <color rgb="00000000"/>
    </font>
    <font>
      <i val="1"/>
      <color rgb="00595959"/>
      <sz val="9"/>
    </font>
    <font>
      <b val="1"/>
      <color rgb="00000000"/>
      <sz val="12"/>
    </font>
    <font>
      <i val="1"/>
      <color rgb="00595959"/>
    </font>
    <font>
      <b val="1"/>
      <color rgb="00FFFFFF"/>
      <sz val="13"/>
    </font>
    <font>
      <b val="1"/>
      <color rgb="00006100"/>
    </font>
    <font>
      <color rgb="00006100"/>
    </font>
    <font>
      <b val="1"/>
      <color rgb="009C6500"/>
    </font>
    <font>
      <color rgb="009C6500"/>
    </font>
    <font>
      <b val="1"/>
      <color rgb="009C0006"/>
    </font>
    <font>
      <color rgb="009C0006"/>
    </font>
    <font>
      <b val="1"/>
      <color rgb="00FFFFFF"/>
      <sz val="12"/>
    </font>
    <font>
      <i val="1"/>
      <color rgb="00FFFFFF"/>
    </font>
    <font>
      <b val="1"/>
      <color rgb="00595959"/>
      <sz val="11"/>
    </font>
    <font>
      <b val="1"/>
      <color rgb="009C0006"/>
      <sz val="48"/>
    </font>
    <font>
      <b val="1"/>
      <color rgb="009C0006"/>
      <sz val="22"/>
    </font>
    <font>
      <b val="1"/>
      <color rgb="009C0006"/>
      <sz val="16"/>
    </font>
    <font>
      <b val="1"/>
      <color rgb="00FFFFFF"/>
      <sz val="10"/>
    </font>
    <font>
      <b val="1"/>
      <color rgb="001F3864"/>
      <sz val="13"/>
    </font>
    <font>
      <i val="1"/>
      <color rgb="001F3864"/>
      <sz val="11"/>
    </font>
  </fonts>
  <fills count="13">
    <fill>
      <patternFill/>
    </fill>
    <fill>
      <patternFill patternType="gray125"/>
    </fill>
    <fill>
      <patternFill patternType="solid">
        <fgColor rgb="001F3864"/>
      </patternFill>
    </fill>
    <fill>
      <patternFill patternType="solid">
        <fgColor rgb="002E5496"/>
      </patternFill>
    </fill>
    <fill>
      <patternFill patternType="solid">
        <fgColor rgb="00D9E1F2"/>
      </patternFill>
    </fill>
    <fill>
      <patternFill patternType="solid">
        <fgColor rgb="00FFF2CC"/>
      </patternFill>
    </fill>
    <fill>
      <patternFill patternType="solid">
        <fgColor rgb="00EAF0FB"/>
      </patternFill>
    </fill>
    <fill>
      <patternFill patternType="solid">
        <fgColor rgb="00FFFFFF"/>
      </patternFill>
    </fill>
    <fill>
      <patternFill patternType="solid">
        <fgColor rgb="00F2F2F2"/>
      </patternFill>
    </fill>
    <fill>
      <patternFill patternType="solid">
        <fgColor rgb="00C00000"/>
      </patternFill>
    </fill>
    <fill>
      <patternFill patternType="solid">
        <fgColor rgb="00C6EFCE"/>
      </patternFill>
    </fill>
    <fill>
      <patternFill patternType="solid">
        <fgColor rgb="00FFEB9C"/>
      </patternFill>
    </fill>
    <fill>
      <patternFill patternType="solid">
        <fgColor rgb="00FFC7CE"/>
      </patternFill>
    </fill>
  </fills>
  <borders count="16">
    <border>
      <left/>
      <right/>
      <top/>
      <bottom/>
      <diagonal/>
    </border>
    <border>
      <left style="medium">
        <color rgb="00808080"/>
      </left>
      <right style="medium">
        <color rgb="00808080"/>
      </right>
      <top style="medium">
        <color rgb="00808080"/>
      </top>
      <bottom style="medium">
        <color rgb="00808080"/>
      </bottom>
    </border>
    <border>
      <left style="thin">
        <color rgb="00BFBFBF"/>
      </left>
      <right style="thin">
        <color rgb="00BFBFBF"/>
      </right>
      <top style="thin">
        <color rgb="00BFBFBF"/>
      </top>
      <bottom style="thin">
        <color rgb="00BFBFBF"/>
      </bottom>
    </border>
    <border>
      <left/>
      <right/>
      <top style="medium">
        <color rgb="00808080"/>
      </top>
      <bottom/>
      <diagonal/>
    </border>
    <border>
      <left/>
      <right style="medium">
        <color rgb="00808080"/>
      </right>
      <top style="medium">
        <color rgb="00808080"/>
      </top>
      <bottom/>
      <diagonal/>
    </border>
    <border>
      <left/>
      <right/>
      <top style="medium">
        <color rgb="00808080"/>
      </top>
      <bottom style="medium">
        <color rgb="00808080"/>
      </bottom>
      <diagonal/>
    </border>
    <border>
      <left/>
      <right style="medium">
        <color rgb="00808080"/>
      </right>
      <top style="medium">
        <color rgb="00808080"/>
      </top>
      <bottom style="medium">
        <color rgb="00808080"/>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ck">
        <color rgb="001F3864"/>
      </left>
      <right style="thick">
        <color rgb="001F3864"/>
      </right>
      <top style="thick">
        <color rgb="001F3864"/>
      </top>
      <bottom style="thick">
        <color rgb="001F3864"/>
      </bottom>
    </border>
    <border>
      <left/>
      <right/>
      <top style="thick">
        <color rgb="001F3864"/>
      </top>
      <bottom/>
      <diagonal/>
    </border>
    <border>
      <left/>
      <right style="thick">
        <color rgb="001F3864"/>
      </right>
      <top style="thick">
        <color rgb="001F3864"/>
      </top>
      <bottom/>
      <diagonal/>
    </border>
    <border>
      <left/>
      <right/>
      <top style="thick">
        <color rgb="001F3864"/>
      </top>
      <bottom style="thick">
        <color rgb="001F3864"/>
      </bottom>
      <diagonal/>
    </border>
    <border>
      <left/>
      <right style="thick">
        <color rgb="001F3864"/>
      </right>
      <top style="thick">
        <color rgb="001F3864"/>
      </top>
      <bottom style="thick">
        <color rgb="001F3864"/>
      </bottom>
      <diagonal/>
    </border>
  </borders>
  <cellStyleXfs count="1">
    <xf numFmtId="0" fontId="0" fillId="0" borderId="0"/>
  </cellStyleXfs>
  <cellXfs count="133">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5" fillId="5"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6" fillId="6" borderId="2" applyAlignment="1" pivotButton="0" quotePrefix="0" xfId="0">
      <alignment horizontal="left" vertical="center" wrapText="1"/>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7"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0" fillId="6" borderId="2" pivotButton="0" quotePrefix="0" xfId="0"/>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10" fillId="6" borderId="2" applyAlignment="1" pivotButton="0" quotePrefix="0" xfId="0">
      <alignment horizontal="left" vertical="center" wrapText="1"/>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7" fillId="5" borderId="2" applyAlignment="1" pivotButton="0" quotePrefix="0" xfId="0">
      <alignment horizontal="left" vertical="center"/>
    </xf>
    <xf numFmtId="0" fontId="7" fillId="8" borderId="2" applyAlignment="1" pivotButton="0" quotePrefix="0" xfId="0">
      <alignment horizontal="left" vertical="center" wrapText="1"/>
    </xf>
    <xf numFmtId="0" fontId="3" fillId="9" borderId="1" applyAlignment="1" pivotButton="0" quotePrefix="0" xfId="0">
      <alignment horizontal="left" vertical="center"/>
    </xf>
    <xf numFmtId="0" fontId="7" fillId="8" borderId="1" applyAlignment="1" pivotButton="0" quotePrefix="0" xfId="0">
      <alignment horizontal="left"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2" fillId="10" borderId="2" applyAlignment="1" pivotButton="0" quotePrefix="0" xfId="0">
      <alignment horizontal="center" vertical="center"/>
    </xf>
    <xf numFmtId="0" fontId="13" fillId="10" borderId="2" applyAlignment="1" pivotButton="0" quotePrefix="0" xfId="0">
      <alignment horizontal="left" vertical="center" wrapText="1"/>
    </xf>
    <xf numFmtId="0" fontId="14" fillId="11" borderId="2" applyAlignment="1" pivotButton="0" quotePrefix="0" xfId="0">
      <alignment horizontal="center" vertical="center"/>
    </xf>
    <xf numFmtId="0" fontId="15" fillId="11" borderId="2" applyAlignment="1" pivotButton="0" quotePrefix="0" xfId="0">
      <alignment horizontal="left" vertical="center" wrapText="1"/>
    </xf>
    <xf numFmtId="0" fontId="16" fillId="12" borderId="2" applyAlignment="1" pivotButton="0" quotePrefix="0" xfId="0">
      <alignment horizontal="center" vertical="center"/>
    </xf>
    <xf numFmtId="0" fontId="17" fillId="12" borderId="2" applyAlignment="1" pivotButton="0" quotePrefix="0" xfId="0">
      <alignment horizontal="left" vertical="center" wrapText="1"/>
    </xf>
    <xf numFmtId="0" fontId="6" fillId="8" borderId="1" applyAlignment="1" pivotButton="0" quotePrefix="0" xfId="0">
      <alignment horizontal="left" vertical="center" wrapText="1"/>
    </xf>
    <xf numFmtId="0" fontId="6" fillId="8" borderId="2" applyAlignment="1" pivotButton="0" quotePrefix="0" xfId="0">
      <alignment horizontal="left" vertical="center" wrapText="1"/>
    </xf>
    <xf numFmtId="0" fontId="16" fillId="7" borderId="2" applyAlignment="1" pivotButton="0" quotePrefix="0" xfId="0">
      <alignment horizontal="left" vertical="center" wrapText="1"/>
    </xf>
    <xf numFmtId="0" fontId="16"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11" fillId="2" borderId="1" applyAlignment="1" pivotButton="0" quotePrefix="0" xfId="0">
      <alignment horizontal="center" vertical="center"/>
    </xf>
    <xf numFmtId="0" fontId="2" fillId="3" borderId="1" applyAlignment="1" pivotButton="0" quotePrefix="0" xfId="0">
      <alignment horizontal="left" vertical="center"/>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8" fillId="2" borderId="1" applyAlignment="1" pivotButton="0" quotePrefix="0" xfId="0">
      <alignment horizontal="center" vertical="center"/>
    </xf>
    <xf numFmtId="0" fontId="19" fillId="2" borderId="1" applyAlignment="1" pivotButton="0" quotePrefix="0" xfId="0">
      <alignment horizontal="left" vertical="center"/>
    </xf>
    <xf numFmtId="0" fontId="0" fillId="0" borderId="5" pivotButton="0" quotePrefix="0" xfId="0"/>
    <xf numFmtId="0" fontId="0" fillId="0" borderId="6" pivotButton="0" quotePrefix="0" xfId="0"/>
    <xf numFmtId="0" fontId="0" fillId="0" borderId="10" pivotButton="0" quotePrefix="0" xfId="0"/>
    <xf numFmtId="0" fontId="0" fillId="0" borderId="9" pivotButton="0" quotePrefix="0" xfId="0"/>
    <xf numFmtId="0" fontId="3" fillId="3" borderId="1" applyAlignment="1" pivotButton="0" quotePrefix="0" xfId="0">
      <alignment horizontal="left" vertical="center"/>
    </xf>
    <xf numFmtId="0" fontId="4" fillId="6" borderId="2" applyAlignment="1" pivotButton="0" quotePrefix="0" xfId="0">
      <alignment horizontal="left" vertical="center"/>
    </xf>
    <xf numFmtId="0" fontId="11" fillId="2" borderId="1" applyAlignment="1" pivotButton="0" quotePrefix="0" xfId="0">
      <alignment horizontal="center" vertical="center"/>
    </xf>
    <xf numFmtId="0" fontId="6" fillId="6" borderId="1" applyAlignment="1" pivotButton="0" quotePrefix="0" xfId="0">
      <alignment horizontal="left" vertical="center" wrapText="1"/>
    </xf>
    <xf numFmtId="0" fontId="3" fillId="3" borderId="1" applyAlignment="1" pivotButton="0" quotePrefix="0" xfId="0">
      <alignment horizontal="center" vertical="center"/>
    </xf>
    <xf numFmtId="0" fontId="4" fillId="8" borderId="2" applyAlignment="1" pivotButton="0" quotePrefix="0" xfId="0">
      <alignment horizontal="left" vertical="center" wrapText="1"/>
    </xf>
    <xf numFmtId="0" fontId="5" fillId="8" borderId="2" applyAlignment="1" pivotButton="0" quotePrefix="0" xfId="0">
      <alignment horizontal="center" vertical="center"/>
    </xf>
    <xf numFmtId="165" fontId="5" fillId="8" borderId="2" applyAlignment="1" pivotButton="0" quotePrefix="0" xfId="0">
      <alignment horizontal="center" vertical="center"/>
    </xf>
    <xf numFmtId="0" fontId="7" fillId="5" borderId="2" applyAlignment="1" pivotButton="0" quotePrefix="0" xfId="0">
      <alignment horizontal="center" vertical="center"/>
    </xf>
    <xf numFmtId="165" fontId="9" fillId="8" borderId="2" applyAlignment="1" pivotButton="0" quotePrefix="0" xfId="0">
      <alignment horizontal="center" vertical="center"/>
    </xf>
    <xf numFmtId="0" fontId="5" fillId="5" borderId="2" applyAlignment="1" pivotButton="0" quotePrefix="0" xfId="0">
      <alignment horizontal="left" vertical="center"/>
    </xf>
    <xf numFmtId="0" fontId="5" fillId="7" borderId="2" applyAlignment="1" pivotButton="0" quotePrefix="0" xfId="0">
      <alignment horizontal="center" vertical="center"/>
    </xf>
    <xf numFmtId="165" fontId="5" fillId="7" borderId="2" applyAlignment="1" pivotButton="0" quotePrefix="0" xfId="0">
      <alignment horizontal="center" vertical="center"/>
    </xf>
    <xf numFmtId="165" fontId="9" fillId="7" borderId="2" applyAlignment="1" pivotButton="0" quotePrefix="0" xfId="0">
      <alignment horizontal="center" vertical="center"/>
    </xf>
    <xf numFmtId="0" fontId="1" fillId="2" borderId="1" applyAlignment="1" pivotButton="0" quotePrefix="0" xfId="0">
      <alignment horizontal="center" vertical="top"/>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3" fillId="9" borderId="1" applyAlignment="1" pivotButton="0" quotePrefix="0" xfId="0">
      <alignment horizontal="left" vertical="top"/>
    </xf>
    <xf numFmtId="0" fontId="6" fillId="6" borderId="1" applyAlignment="1" pivotButton="0" quotePrefix="0" xfId="0">
      <alignment horizontal="left" vertical="top" wrapText="1"/>
    </xf>
    <xf numFmtId="0" fontId="1" fillId="2" borderId="1" applyAlignment="1" pivotButton="0" quotePrefix="0" xfId="0">
      <alignment horizontal="center" vertical="top"/>
    </xf>
    <xf numFmtId="0" fontId="3" fillId="3" borderId="1" applyAlignment="1" pivotButton="0" quotePrefix="0" xfId="0">
      <alignment horizontal="left" vertical="top"/>
    </xf>
    <xf numFmtId="0" fontId="3" fillId="9" borderId="1" applyAlignment="1" pivotButton="0" quotePrefix="0" xfId="0">
      <alignment horizontal="left" vertical="top"/>
    </xf>
    <xf numFmtId="0" fontId="16" fillId="12" borderId="1" applyAlignment="1" pivotButton="0" quotePrefix="0" xfId="0">
      <alignment horizontal="left" vertical="top" wrapText="1"/>
    </xf>
    <xf numFmtId="0" fontId="6" fillId="6" borderId="2" applyAlignment="1" pivotButton="0" quotePrefix="0" xfId="0">
      <alignment horizontal="left" vertical="top" wrapText="1"/>
    </xf>
    <xf numFmtId="0" fontId="3" fillId="3" borderId="1" applyAlignment="1" pivotButton="0" quotePrefix="0" xfId="0">
      <alignment horizontal="center" vertical="top"/>
    </xf>
    <xf numFmtId="2" fontId="9" fillId="7" borderId="2" applyAlignment="1" pivotButton="0" quotePrefix="0" xfId="0">
      <alignment horizontal="center" vertical="top"/>
    </xf>
    <xf numFmtId="2" fontId="9" fillId="8" borderId="2" applyAlignment="1" pivotButton="0" quotePrefix="0" xfId="0">
      <alignment horizontal="center" vertical="top"/>
    </xf>
    <xf numFmtId="0" fontId="4" fillId="7" borderId="2" applyAlignment="1" pivotButton="0" quotePrefix="0" xfId="0">
      <alignment horizontal="left" vertical="top"/>
    </xf>
    <xf numFmtId="0" fontId="4" fillId="8" borderId="2" applyAlignment="1" pivotButton="0" quotePrefix="0" xfId="0">
      <alignment horizontal="left" vertical="top"/>
    </xf>
    <xf numFmtId="0" fontId="1" fillId="2" borderId="1" applyAlignment="1" pivotButton="0" quotePrefix="0" xfId="0">
      <alignment horizontal="center" vertical="center"/>
    </xf>
    <xf numFmtId="0" fontId="2" fillId="2" borderId="1" applyAlignment="1" pivotButton="0" quotePrefix="0" xfId="0">
      <alignment horizontal="center" vertical="center" wrapText="1"/>
    </xf>
    <xf numFmtId="0" fontId="18" fillId="2" borderId="11" applyAlignment="1" pivotButton="0" quotePrefix="0" xfId="0">
      <alignment horizontal="center" vertical="center"/>
    </xf>
    <xf numFmtId="0" fontId="20" fillId="7" borderId="11" applyAlignment="1" pivotButton="0" quotePrefix="0" xfId="0">
      <alignment horizontal="center" vertical="top"/>
    </xf>
    <xf numFmtId="9" fontId="21" fillId="7" borderId="11" applyAlignment="1" pivotButton="0" quotePrefix="0" xfId="0">
      <alignment horizontal="center" vertical="center"/>
    </xf>
    <xf numFmtId="0" fontId="22" fillId="7" borderId="11" applyAlignment="1" pivotButton="0" quotePrefix="0" xfId="0">
      <alignment horizontal="center" vertical="center"/>
    </xf>
    <xf numFmtId="0" fontId="23" fillId="7" borderId="11" applyAlignment="1" pivotButton="0" quotePrefix="0" xfId="0">
      <alignment horizontal="center" vertical="center" wrapText="1"/>
    </xf>
    <xf numFmtId="0" fontId="24" fillId="3" borderId="11" applyAlignment="1" pivotButton="0" quotePrefix="0" xfId="0">
      <alignment horizontal="center" vertical="center" wrapText="1"/>
    </xf>
    <xf numFmtId="0" fontId="25" fillId="6" borderId="11" applyAlignment="1" pivotButton="0" quotePrefix="0" xfId="0">
      <alignment horizontal="center" vertical="center" wrapText="1"/>
    </xf>
    <xf numFmtId="0" fontId="25" fillId="6" borderId="11" applyAlignment="1" pivotButton="0" quotePrefix="0" xfId="0">
      <alignment horizontal="center" vertical="center"/>
    </xf>
    <xf numFmtId="0" fontId="26" fillId="7" borderId="11" applyAlignment="1" pivotButton="0" quotePrefix="0" xfId="0">
      <alignment horizontal="center" vertical="center" wrapText="1"/>
    </xf>
    <xf numFmtId="0" fontId="8" fillId="8" borderId="2" applyAlignment="1" pivotButton="0" quotePrefix="0" xfId="0">
      <alignment horizontal="center" vertical="center" wrapText="1"/>
    </xf>
    <xf numFmtId="0" fontId="3" fillId="3" borderId="1" applyAlignment="1" pivotButton="0" quotePrefix="0" xfId="0">
      <alignment horizontal="left" vertical="center"/>
    </xf>
    <xf numFmtId="0" fontId="16" fillId="12" borderId="1" applyAlignment="1" pivotButton="0" quotePrefix="0" xfId="0">
      <alignment horizontal="left" vertical="center" wrapText="1"/>
    </xf>
    <xf numFmtId="0" fontId="3" fillId="3" borderId="1"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top"/>
    </xf>
    <xf numFmtId="0" fontId="4" fillId="8" borderId="2" applyAlignment="1" pivotButton="0" quotePrefix="0" xfId="0">
      <alignment horizontal="left" vertical="top"/>
    </xf>
    <xf numFmtId="0" fontId="18" fillId="9" borderId="1" applyAlignment="1" pivotButton="0" quotePrefix="0" xfId="0">
      <alignment horizontal="center" vertical="center"/>
    </xf>
    <xf numFmtId="0" fontId="3" fillId="3" borderId="1" applyAlignment="1" pivotButton="0" quotePrefix="0" xfId="0">
      <alignment horizontal="left" vertical="center"/>
    </xf>
    <xf numFmtId="0" fontId="0" fillId="0" borderId="14" pivotButton="0" quotePrefix="0" xfId="0"/>
    <xf numFmtId="0" fontId="0" fillId="0" borderId="15" pivotButton="0" quotePrefix="0" xfId="0"/>
    <xf numFmtId="0" fontId="4" fillId="6" borderId="1" applyAlignment="1" pivotButton="0" quotePrefix="0" xfId="0">
      <alignment horizontal="left" vertical="center" wrapText="1"/>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5" fillId="8" borderId="2" applyAlignment="1" pivotButton="0" quotePrefix="0" xfId="0">
      <alignment horizontal="center" vertical="center"/>
    </xf>
    <xf numFmtId="0" fontId="5" fillId="7" borderId="2" applyAlignment="1" pivotButton="0" quotePrefix="0" xfId="0">
      <alignment horizontal="center" vertical="center"/>
    </xf>
  </cellXfs>
  <cellStyles count="1">
    <cellStyle name="Normal" xfId="0" builtinId="0" hidden="0"/>
  </cellStyles>
  <dxfs count="18">
    <dxf>
      <font>
        <b val="1"/>
        <color rgb="00006100"/>
      </font>
      <fill>
        <patternFill patternType="solid">
          <fgColor rgb="00C6EFCE"/>
        </patternFill>
      </fill>
    </dxf>
    <dxf>
      <font>
        <b val="1"/>
        <color rgb="009C6500"/>
      </font>
      <fill>
        <patternFill patternType="solid">
          <fgColor rgb="00FFEB9C"/>
        </patternFill>
      </fill>
    </dxf>
    <dxf>
      <font>
        <b val="1"/>
        <color rgb="009C0006"/>
      </font>
      <fill>
        <patternFill patternType="solid">
          <fgColor rgb="00FFC7CE"/>
        </patternFill>
      </fill>
    </dxf>
    <dxf>
      <font>
        <b val="1"/>
        <color rgb="00006100"/>
        <sz val="13"/>
      </font>
      <fill>
        <patternFill patternType="solid">
          <fgColor rgb="00C6EFCE"/>
        </patternFill>
      </fill>
    </dxf>
    <dxf>
      <font>
        <b val="1"/>
        <color rgb="009C6500"/>
        <sz val="13"/>
      </font>
      <fill>
        <patternFill patternType="solid">
          <fgColor rgb="00FFEB9C"/>
        </patternFill>
      </fill>
    </dxf>
    <dxf>
      <font>
        <b val="1"/>
        <color rgb="009C0006"/>
        <sz val="13"/>
      </font>
      <fill>
        <patternFill patternType="solid">
          <fgColor rgb="00FFC7CE"/>
        </patternFill>
      </fill>
    </dxf>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
      <font>
        <b val="1"/>
        <color rgb="00006100"/>
        <sz val="48"/>
      </font>
      <fill>
        <patternFill patternType="solid">
          <fgColor rgb="00C6EFCE"/>
        </patternFill>
      </fill>
    </dxf>
    <dxf>
      <font>
        <b val="1"/>
        <color rgb="009C6500"/>
        <sz val="48"/>
      </font>
      <fill>
        <patternFill patternType="solid">
          <fgColor rgb="00FFEB9C"/>
        </patternFill>
      </fill>
    </dxf>
    <dxf>
      <font>
        <b val="1"/>
        <color rgb="009C0006"/>
        <sz val="48"/>
      </font>
      <fill>
        <patternFill patternType="solid">
          <fgColor rgb="00FFC7CE"/>
        </patternFill>
      </fill>
    </dxf>
    <dxf>
      <font>
        <b val="1"/>
        <color rgb="00006100"/>
        <sz val="22"/>
      </font>
      <fill>
        <patternFill patternType="solid">
          <fgColor rgb="00C6EFCE"/>
        </patternFill>
      </fill>
    </dxf>
    <dxf>
      <font>
        <b val="1"/>
        <color rgb="00FFFFFF"/>
        <sz val="12"/>
      </font>
      <fill>
        <patternFill patternType="solid">
          <fgColor rgb="00006100"/>
        </patternFill>
      </fill>
    </dxf>
    <dxf>
      <font>
        <b val="1"/>
        <color rgb="00FFFFFF"/>
        <sz val="12"/>
      </font>
      <fill>
        <patternFill patternType="solid">
          <fgColor rgb="002E7D32"/>
        </patternFill>
      </fill>
    </dxf>
    <dxf>
      <font>
        <b val="1"/>
        <color rgb="00FFFFFF"/>
        <sz val="12"/>
      </font>
      <fill>
        <patternFill patternType="solid">
          <fgColor rgb="00B7950B"/>
        </patternFill>
      </fill>
    </dxf>
    <dxf>
      <font>
        <b val="1"/>
        <color rgb="00FFFFFF"/>
        <sz val="12"/>
      </font>
      <fill>
        <patternFill patternType="solid">
          <fgColor rgb="00C00000"/>
        </patternFill>
      </fill>
    </dxf>
    <dxf>
      <font>
        <b val="1"/>
        <color rgb="001F3864"/>
      </font>
      <fill>
        <patternFill patternType="solid">
          <fgColor rgb="00D9E1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105" customWidth="1" min="3" max="3"/>
  </cols>
  <sheetData>
    <row r="1" ht="28" customHeight="1">
      <c r="B1" s="94" t="inlineStr">
        <is>
          <t>QA SCORING WORKBOOK — QUICK START GUIDE</t>
        </is>
      </c>
      <c r="C1" s="68" t="n"/>
    </row>
    <row r="2" ht="30" customHeight="1">
      <c r="B2" s="86" t="inlineStr">
        <is>
          <t>Resolution-focused coaching QA: one form per interaction, evidence-based indicator ratings, weighted 0-5 scoring, journey-level tracking and TEAM scoring for multi-touch cases. Yellow cells are YOUR inputs — everything else calculates or is reference.</t>
        </is>
      </c>
      <c r="C2" s="68" t="n"/>
    </row>
    <row r="4">
      <c r="B4" s="95" t="inlineStr">
        <is>
          <t>1 · THE WORKING SHEETS</t>
        </is>
      </c>
      <c r="C4" s="68" t="n"/>
    </row>
    <row r="5" ht="44" customHeight="1">
      <c r="B5" s="88" t="inlineStr">
        <is>
          <t>Scoring Form</t>
        </is>
      </c>
      <c r="C5" s="89" t="inlineStr">
        <is>
          <t>The blank form you fill for EVERY interaction you review. Make a copy of this sheet per review (right-click tab → Move or Copy → Create a copy) so the master stays blank.</t>
        </is>
      </c>
    </row>
    <row r="6" ht="44" customHeight="1">
      <c r="B6" s="90" t="inlineStr">
        <is>
          <t>Scoring Guide</t>
        </is>
      </c>
      <c r="C6" s="91" t="inlineStr">
        <is>
          <t>Reference: how-to steps, the 0-5 score anchors, what Met/Partial/Missed/N.A. mean, category objectives and watch-fors, and the result bands. Read once before your first review; return whenever unsure.</t>
        </is>
      </c>
    </row>
    <row r="7" ht="44" customHeight="1">
      <c r="B7" s="88" t="inlineStr">
        <is>
          <t>Multi-Touch Guide</t>
        </is>
      </c>
      <c r="C7" s="89" t="inlineStr">
        <is>
          <t>Rules for cases handled by multiple agents: how to score each touch fairly, who owns handoff failures, plus a full real-case walkthrough (the Stell journey) showing where a support chain broke and recovered.</t>
        </is>
      </c>
    </row>
    <row r="8" ht="44" customHeight="1">
      <c r="B8" s="90" t="inlineStr">
        <is>
          <t>Team Scoring</t>
        </is>
      </c>
      <c r="C8" s="91"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c r="B9" s="88" t="inlineStr">
        <is>
          <t>Example (Filled)</t>
        </is>
      </c>
      <c r="C9" s="89"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c r="B10" s="90" t="inlineStr">
        <is>
          <t>Case Tracker</t>
        </is>
      </c>
      <c r="C10" s="91" t="inlineStr">
        <is>
          <t>The log. One row per reviewed touch (date, agent, 7 scores, auto weighted % and band). Reuse a Case ID across rows for multi-touch journeys. Team Average at row 51; Team/Journey Scores section at row 53.</t>
        </is>
      </c>
    </row>
    <row r="12">
      <c r="B12" s="95" t="inlineStr">
        <is>
          <t>2 · HOW TO SCORE ONE INTERACTION (Scoring Form, ~15 min)</t>
        </is>
      </c>
      <c r="C12" s="68" t="n"/>
    </row>
    <row r="13" ht="46" customHeight="1">
      <c r="B13" s="88" t="inlineStr">
        <is>
          <t>Step 1 — Case Information</t>
        </is>
      </c>
      <c r="C13" s="89" t="inlineStr">
        <is>
          <t>Fill the yellow cells: agent, ticket, dates, product. Dropdowns: Warranty, Channel, Case Type, SLA. Write a 2-3 sentence Case Summary. Multi-touch? Set Touch # and fill 'Inherited context' (what this agent received from prior touches).</t>
        </is>
      </c>
    </row>
    <row r="14" ht="46" customHeight="1">
      <c r="B14" s="90" t="inlineStr">
        <is>
          <t>Step 2 — Rate the indicators</t>
        </is>
      </c>
      <c r="C14" s="91" t="inlineStr">
        <is>
          <t>Each of the 7 categories lists 5-8 behaviors. Rate each: Met / Partial / Missed / N.A. (dropdown). N.A. = genuinely not applicable (e.g., no escalation involved) — it is excluded from the math, never a shortcut.</t>
        </is>
      </c>
    </row>
    <row r="15" ht="46" customHeight="1">
      <c r="B15" s="88" t="inlineStr">
        <is>
          <t>Step 3 — Capture evidence</t>
        </is>
      </c>
      <c r="C15" s="89" t="inlineStr">
        <is>
          <t>Next to every rating, write WHY: a quote, timestamp, or note excerpt. 'Customer said X at 28:10' beats 'communication was good'. The Example sheet shows the standard.</t>
        </is>
      </c>
    </row>
    <row r="16" ht="46" customHeight="1">
      <c r="B16" s="90" t="inlineStr">
        <is>
          <t>Step 4 — Set the final score</t>
        </is>
      </c>
      <c r="C16" s="91"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c r="B17" s="88" t="inlineStr">
        <is>
          <t>Step 5 — Outcome &amp; disconnect</t>
        </is>
      </c>
      <c r="C17" s="89" t="inlineStr">
        <is>
          <t>Classify the Resolution Outcome (dropdown) and the primary positive outcome achieved. If the call disconnected, record the follow-up taken — 'Yes disconnect + no follow-up' auto-flags a missed ownership opportunity in red.</t>
        </is>
      </c>
    </row>
    <row r="18" ht="46" customHeight="1">
      <c r="B18" s="90" t="inlineStr">
        <is>
          <t>Step 6 — Critical failures</t>
        </is>
      </c>
      <c r="C18" s="91" t="inlineStr">
        <is>
          <t>Answer Yes/No on all 11 conditions. ANY Yes turns the banner red: automatic review, regardless of the score. These include premature RESOLVED closure, PCI/compliance breaches, and unescalated management/legal requests.</t>
        </is>
      </c>
    </row>
    <row r="19" ht="46" customHeight="1">
      <c r="B19" s="88" t="inlineStr">
        <is>
          <t>Step 7 — Coaching sections</t>
        </is>
      </c>
      <c r="C19" s="89" t="inlineStr">
        <is>
          <t>3 strengths, 3 improvements, a specific coaching recommendation (at least one is mandatory per review), organizational insights, journey notes (multi-touch), and the final assessment.</t>
        </is>
      </c>
    </row>
    <row r="20" ht="46" customHeight="1">
      <c r="B20" s="90" t="inlineStr">
        <is>
          <t>Step 8 — Log it</t>
        </is>
      </c>
      <c r="C20" s="91" t="inlineStr">
        <is>
          <t>Add one row in the Case Tracker: date, Case ID, agent, touch #, and your 7 final scores. Weighted % and band compute themselves.</t>
        </is>
      </c>
    </row>
    <row r="22">
      <c r="B22" s="95" t="inlineStr">
        <is>
          <t>3 · WHAT YOU TYPE vs WHAT CALCULATES ITSELF</t>
        </is>
      </c>
      <c r="C22" s="68" t="n"/>
    </row>
    <row r="23" ht="54" customHeight="1">
      <c r="B23" s="88" t="inlineStr">
        <is>
          <t>You type (yellow cells)</t>
        </is>
      </c>
      <c r="C23" s="89" t="inlineStr">
        <is>
          <t>Case info · indicator ratings (dropdowns) · evidence text · the 7 final 0-5 scores · outcome dropdowns · critical-failure Yes/No · coaching text · tracker rows · Team Score's Outcome and Continuity (0-5).</t>
        </is>
      </c>
    </row>
    <row r="24" ht="54" customHeight="1">
      <c r="B24" s="90" t="inlineStr">
        <is>
          <t>Calculates automatically</t>
        </is>
      </c>
      <c r="C24" s="91"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c r="B25" s="88" t="inlineStr">
        <is>
          <t>Color language</t>
        </is>
      </c>
      <c r="C25" s="89"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95" t="inlineStr">
        <is>
          <t>4 · MULTI-TOUCH CASES IN SIX LINES (full rules: Multi-Touch Guide + Team Scoring)</t>
        </is>
      </c>
      <c r="C27" s="68" t="n"/>
    </row>
    <row r="28" ht="40" customHeight="1">
      <c r="B28" s="88" t="inlineStr">
        <is>
          <t>One form per touch</t>
        </is>
      </c>
      <c r="C28" s="89" t="inlineStr">
        <is>
          <t>Every agent gets their own form. Read all prior touches first; record what the agent inherited.</t>
        </is>
      </c>
    </row>
    <row r="29" ht="40" customHeight="1">
      <c r="B29" s="90" t="inlineStr">
        <is>
          <t>Score the contribution</t>
        </is>
      </c>
      <c r="C29" s="91" t="inlineStr">
        <is>
          <t>Did THIS touch move the customer forward, given what it inherited? Agents aren't punished for inherited messes — only for what they pass downstream (thin notes, false RESOLVED, missed callbacks).</t>
        </is>
      </c>
    </row>
    <row r="30" ht="40" customHeight="1">
      <c r="B30" s="88" t="inlineStr">
        <is>
          <t>Handoffs belong to the sender</t>
        </is>
      </c>
      <c r="C30" s="89" t="inlineStr">
        <is>
          <t>Bad notes that force rework = deduction for the earlier agent. Ignoring good notes and re-asking everything = deduction for the later agent.</t>
        </is>
      </c>
    </row>
    <row r="31" ht="40" customHeight="1">
      <c r="B31" s="90" t="inlineStr">
        <is>
          <t>Log every touch, same Case ID</t>
        </is>
      </c>
      <c r="C31" s="91" t="inlineStr">
        <is>
          <t>Tracker rows side by side show exactly where the chain broke or recovered.</t>
        </is>
      </c>
    </row>
    <row r="32" ht="40" customHeight="1">
      <c r="B32" s="88" t="inlineStr">
        <is>
          <t>Score the chain</t>
        </is>
      </c>
      <c r="C32" s="89" t="inlineStr">
        <is>
          <t>Bottom of the Case Tracker: type the Case ID in a Team/Journey row, judge Outcome (0-5) and Continuity (0-5) — the Team Score computes. Drives process fixes and team recognition, never individual discipline.</t>
        </is>
      </c>
    </row>
    <row r="33" ht="40" customHeight="1">
      <c r="B33" s="90" t="inlineStr">
        <is>
          <t>Find the TEAM opportunities</t>
        </is>
      </c>
      <c r="C33" s="91"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96" t="inlineStr">
        <is>
          <t>5 · GOLDEN RULES</t>
        </is>
      </c>
      <c r="C35" s="68" t="n"/>
    </row>
    <row r="36" ht="26" customHeight="1">
      <c r="B36" s="89" t="inlineStr">
        <is>
          <t>• A closed case is NOT automatically a resolved case — and RESOLVED on a known-unresolved issue is a critical failure.</t>
        </is>
      </c>
      <c r="C36" s="69" t="n"/>
    </row>
    <row r="37" ht="26" customHeight="1">
      <c r="B37" s="91" t="inlineStr">
        <is>
          <t>• Any critical failure = automatic review, no matter how good the weighted score looks.</t>
        </is>
      </c>
      <c r="C37" s="69" t="n"/>
    </row>
    <row r="38" ht="26" customHeight="1">
      <c r="B38" s="89" t="inlineStr">
        <is>
          <t>• Resolution isn't only 'fixed': a proper RMA, a valid escalation, or an accurately explained limitation all count as positive outcomes.</t>
        </is>
      </c>
      <c r="C38" s="69" t="n"/>
    </row>
    <row r="39" ht="26" customHeight="1">
      <c r="B39" s="91" t="inlineStr">
        <is>
          <t>• Every review must produce at least one actionable coaching opportunity — and an operational improvement recommendation where applicable.</t>
        </is>
      </c>
      <c r="C39" s="69" t="n"/>
    </row>
    <row r="40" ht="26" customHeight="1">
      <c r="B40" s="89" t="inlineStr">
        <is>
          <t>• Evidence over opinion: every rating should be defensible with a quote, timestamp, or note excerpt.</t>
        </is>
      </c>
      <c r="C40" s="69" t="n"/>
    </row>
    <row r="41" ht="26" customHeight="1">
      <c r="B41" s="91" t="inlineStr">
        <is>
          <t>• Documentation supports outcomes but never outweighs troubleshooting, communication, or ownership — continuity, not compliance.</t>
        </is>
      </c>
      <c r="C41" s="69" t="n"/>
    </row>
    <row r="42" ht="26" customHeight="1">
      <c r="B42" s="89" t="inlineStr">
        <is>
          <t>• Reward judgment: an unresolved case with correct next steps and full ownership can still score well.</t>
        </is>
      </c>
      <c r="C42" s="69" t="n"/>
    </row>
    <row r="43" ht="26" customHeight="1">
      <c r="B43" s="91" t="inlineStr">
        <is>
          <t>• Team Scores coach the chain; individual forms coach the agent. Never mix the two purposes.</t>
        </is>
      </c>
      <c r="C43" s="69" t="n"/>
    </row>
    <row r="45" ht="30" customHeight="1">
      <c r="B45" s="93" t="inlineStr">
        <is>
          <t>Questions while reviewing? Order of reference: this sheet → Scoring Guide (anchors &amp; criteria) → Multi-Touch Guide (journey rules) → Team Scoring (team layer &amp; heatmap) → Example (Filled) (what good looks like).</t>
        </is>
      </c>
      <c r="C45" s="68"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104" t="inlineStr">
        <is>
          <t>SUPPORT QUALITY ASSURANCE — SCORING FORM</t>
        </is>
      </c>
      <c r="C1" s="67" t="n"/>
      <c r="D1" s="67" t="n"/>
      <c r="E1" s="67" t="n"/>
      <c r="F1" s="68" t="n"/>
    </row>
    <row r="2" ht="18" customHeight="1">
      <c r="B2" s="2" t="inlineStr">
        <is>
          <t>Resolution-Focused Coaching &amp; Performance Framework  |  Rate each behavior: Met / Partial / Missed / N.A. — then assign the 0-5 category score (suggested score is advisory).</t>
        </is>
      </c>
      <c r="C2" s="67" t="n"/>
      <c r="D2" s="67" t="n"/>
      <c r="E2" s="67" t="n"/>
      <c r="F2" s="68" t="n"/>
    </row>
    <row r="4">
      <c r="B4" s="125" t="inlineStr">
        <is>
          <t>1 · CASE INFORMATION</t>
        </is>
      </c>
      <c r="C4" s="67" t="n"/>
      <c r="D4" s="67" t="n"/>
      <c r="E4" s="67" t="n"/>
      <c r="F4" s="68" t="n"/>
    </row>
    <row r="5">
      <c r="B5" s="4" t="inlineStr">
        <is>
          <t>Agent Name</t>
        </is>
      </c>
      <c r="C5" s="81" t="inlineStr"/>
      <c r="D5" s="6" t="inlineStr">
        <is>
          <t>Case / Ticket ID</t>
        </is>
      </c>
      <c r="E5" s="81" t="inlineStr"/>
      <c r="F5" s="69" t="n"/>
    </row>
    <row r="6">
      <c r="B6" s="4" t="inlineStr">
        <is>
          <t>Evaluator (QA)</t>
        </is>
      </c>
      <c r="C6" s="81" t="inlineStr"/>
      <c r="D6" s="6" t="inlineStr">
        <is>
          <t>Interaction Date</t>
        </is>
      </c>
      <c r="E6" s="81" t="inlineStr"/>
      <c r="F6" s="69" t="n"/>
    </row>
    <row r="7">
      <c r="B7" s="4" t="inlineStr">
        <is>
          <t>Product</t>
        </is>
      </c>
      <c r="C7" s="81" t="inlineStr"/>
      <c r="D7" s="6" t="inlineStr">
        <is>
          <t>Channel</t>
        </is>
      </c>
      <c r="E7" s="81" t="inlineStr"/>
      <c r="F7" s="69" t="n"/>
    </row>
    <row r="8">
      <c r="B8" s="4" t="inlineStr">
        <is>
          <t>Warranty Status</t>
        </is>
      </c>
      <c r="C8" s="81" t="inlineStr"/>
      <c r="D8" s="6" t="inlineStr">
        <is>
          <t>Review Date</t>
        </is>
      </c>
      <c r="E8" s="81" t="inlineStr"/>
      <c r="F8" s="69" t="n"/>
    </row>
    <row r="9">
      <c r="B9" s="4" t="inlineStr">
        <is>
          <t>Case Type</t>
        </is>
      </c>
      <c r="C9" s="81" t="inlineStr"/>
      <c r="D9" s="6" t="inlineStr">
        <is>
          <t>Interaction Duration</t>
        </is>
      </c>
      <c r="E9" s="81" t="inlineStr"/>
      <c r="F9" s="69" t="n"/>
    </row>
    <row r="10">
      <c r="B10" s="4" t="inlineStr">
        <is>
          <t>Touch # (multi-touch case)</t>
        </is>
      </c>
      <c r="C10" s="81" t="inlineStr"/>
      <c r="D10" s="6" t="inlineStr">
        <is>
          <t>Prior touches reviewed?</t>
        </is>
      </c>
      <c r="E10" s="81" t="inlineStr"/>
      <c r="F10" s="69" t="n"/>
    </row>
    <row r="11">
      <c r="B11" s="4" t="inlineStr">
        <is>
          <t>CSAT / Survey result</t>
        </is>
      </c>
      <c r="C11" s="81" t="inlineStr"/>
      <c r="D11" s="6" t="inlineStr">
        <is>
          <t>FCR / total contacts</t>
        </is>
      </c>
      <c r="E11" s="81" t="inlineStr"/>
      <c r="F11" s="69" t="n"/>
    </row>
    <row r="12">
      <c r="B12" s="4" t="inlineStr">
        <is>
          <t>Total case time</t>
        </is>
      </c>
      <c r="C12" s="81" t="inlineStr"/>
      <c r="D12" s="6" t="inlineStr">
        <is>
          <t>SLA status</t>
        </is>
      </c>
      <c r="E12" s="81" t="inlineStr"/>
      <c r="F12" s="69" t="n"/>
    </row>
    <row r="13" ht="58" customHeight="1">
      <c r="B13" s="6" t="inlineStr">
        <is>
          <t>Case Summary (customer issue &amp; goal)</t>
        </is>
      </c>
      <c r="C13" s="7" t="inlineStr"/>
      <c r="D13" s="70" t="n"/>
      <c r="E13" s="70" t="n"/>
      <c r="F13" s="69" t="n"/>
    </row>
    <row r="14" ht="46" customHeight="1">
      <c r="B14" s="6" t="inlineStr">
        <is>
          <t>Inherited context (what this agent received from prior touches)</t>
        </is>
      </c>
      <c r="C14" s="7" t="inlineStr"/>
      <c r="D14" s="70" t="n"/>
      <c r="E14" s="70" t="n"/>
      <c r="F14" s="69" t="n"/>
    </row>
    <row r="16">
      <c r="B16" s="8" t="inlineStr">
        <is>
          <t>2 · CATEGORY ASSESSMENTS</t>
        </is>
      </c>
      <c r="C16" s="67" t="n"/>
      <c r="D16" s="67" t="n"/>
      <c r="E16" s="67" t="n"/>
      <c r="F16" s="68" t="n"/>
    </row>
    <row r="17" ht="18" customHeight="1">
      <c r="B17" s="125" t="inlineStr">
        <is>
          <t>1. RESOLUTION / PROGRESS TOWARD RESOLUTION</t>
        </is>
      </c>
      <c r="C17" s="67" t="n"/>
      <c r="D17" s="67" t="n"/>
      <c r="E17" s="68" t="n"/>
      <c r="F17" s="9" t="inlineStr">
        <is>
          <t>Weight: 30%</t>
        </is>
      </c>
    </row>
    <row r="18" ht="28" customHeight="1">
      <c r="B18" s="10" t="inlineStr">
        <is>
          <t>Objective: Determine whether the interaction moved the customer meaningfully closer to resolution.</t>
        </is>
      </c>
      <c r="C18" s="70" t="n"/>
      <c r="D18" s="70" t="n"/>
      <c r="E18" s="70" t="n"/>
      <c r="F18" s="69" t="n"/>
    </row>
    <row r="19">
      <c r="B19" s="4" t="inlineStr">
        <is>
          <t>Behavioral Indicator</t>
        </is>
      </c>
      <c r="C19" s="11" t="inlineStr">
        <is>
          <t>Assessment</t>
        </is>
      </c>
      <c r="D19" s="4" t="inlineStr">
        <is>
          <t>Evidence / Observation (quote or timestamp where possible)</t>
        </is>
      </c>
      <c r="E19" s="70" t="n"/>
      <c r="F19" s="69" t="n"/>
    </row>
    <row r="20" ht="28" customHeight="1">
      <c r="B20" s="12" t="inlineStr">
        <is>
          <t>Issue resolved, or the strongest available outcome was achieved (RMA, valid escalation, limitation explained, education)</t>
        </is>
      </c>
      <c r="C20" s="79" t="inlineStr"/>
      <c r="D20" s="12" t="inlineStr"/>
      <c r="E20" s="70" t="n"/>
      <c r="F20" s="69" t="n"/>
    </row>
    <row r="21" ht="28" customHeight="1">
      <c r="B21" s="14" t="inlineStr">
        <is>
          <t>Reasonable troubleshooting was completed before any conclusion was reached</t>
        </is>
      </c>
      <c r="C21" s="79" t="inlineStr"/>
      <c r="D21" s="14" t="inlineStr"/>
      <c r="E21" s="70" t="n"/>
      <c r="F21" s="69" t="n"/>
    </row>
    <row r="22" ht="28" customHeight="1">
      <c r="B22" s="12" t="inlineStr">
        <is>
          <t>Clear, actionable next steps were provided to the customer</t>
        </is>
      </c>
      <c r="C22" s="79" t="inlineStr"/>
      <c r="D22" s="12" t="inlineStr"/>
      <c r="E22" s="70" t="n"/>
      <c r="F22" s="69" t="n"/>
    </row>
    <row r="23" ht="28" customHeight="1">
      <c r="B23" s="14" t="inlineStr">
        <is>
          <t>Resolution path was appropriate for the situation and warranty status</t>
        </is>
      </c>
      <c r="C23" s="79" t="inlineStr"/>
      <c r="D23" s="14" t="inlineStr"/>
      <c r="E23" s="70" t="n"/>
      <c r="F23" s="69" t="n"/>
    </row>
    <row r="24" ht="28" customHeight="1">
      <c r="B24" s="12" t="inlineStr">
        <is>
          <t>Customer was moved meaningfully closer to a solution</t>
        </is>
      </c>
      <c r="C24" s="79" t="inlineStr"/>
      <c r="D24" s="12" t="inlineStr"/>
      <c r="E24" s="70" t="n"/>
      <c r="F24" s="69" t="n"/>
    </row>
    <row r="25" ht="28" customHeight="1">
      <c r="B25" s="1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70" t="n"/>
      <c r="D25" s="70" t="n"/>
      <c r="E25" s="70" t="n"/>
      <c r="F25" s="69" t="n"/>
    </row>
    <row r="26">
      <c r="B26" s="16" t="inlineStr">
        <is>
          <t>Suggested score (auto from indicators — advisory only; evaluator judgment prevails)</t>
        </is>
      </c>
      <c r="C26" s="17">
        <f>IF((COUNTIF(C20:C24,"Met")+COUNTIF(C20:C24,"Partial")+COUNTIF(C20:C24,"Missed"))=0,"",ROUND((COUNTIF(C20:C24,"Met")*5+COUNTIF(C20:C24,"Partial")*2.5)/(COUNTIF(C20:C24,"Met")+COUNTIF(C20:C24,"Partial")+COUNTIF(C20:C24,"Missed")),1))</f>
        <v/>
      </c>
      <c r="D26" s="18" t="inlineStr"/>
      <c r="E26" s="70" t="n"/>
      <c r="F26" s="69" t="n"/>
    </row>
    <row r="27" ht="24" customHeight="1">
      <c r="B27" s="19" t="inlineStr">
        <is>
          <t>FINAL CATEGORY SCORE (0–5)</t>
        </is>
      </c>
      <c r="C27" s="20" t="n"/>
      <c r="D27" s="2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70" t="n"/>
      <c r="F27" s="69" t="n"/>
    </row>
    <row r="28" ht="36" customHeight="1">
      <c r="B28" s="19" t="inlineStr">
        <is>
          <t>Category comments / coaching notes</t>
        </is>
      </c>
      <c r="C28" s="7" t="inlineStr"/>
      <c r="D28" s="70" t="n"/>
      <c r="E28" s="70" t="n"/>
      <c r="F28" s="69" t="n"/>
    </row>
    <row r="30" ht="18" customHeight="1">
      <c r="B30" s="125" t="inlineStr">
        <is>
          <t>2. TECHNICAL ACCURACY</t>
        </is>
      </c>
      <c r="C30" s="67" t="n"/>
      <c r="D30" s="67" t="n"/>
      <c r="E30" s="68" t="n"/>
      <c r="F30" s="9" t="inlineStr">
        <is>
          <t>Weight: 20%</t>
        </is>
      </c>
    </row>
    <row r="31" ht="28" customHeight="1">
      <c r="B31" s="10" t="inlineStr">
        <is>
          <t>Objective: Evaluate the quality of troubleshooting and technical guidance.</t>
        </is>
      </c>
      <c r="C31" s="70" t="n"/>
      <c r="D31" s="70" t="n"/>
      <c r="E31" s="70" t="n"/>
      <c r="F31" s="69" t="n"/>
    </row>
    <row r="32">
      <c r="B32" s="4" t="inlineStr">
        <is>
          <t>Behavioral Indicator</t>
        </is>
      </c>
      <c r="C32" s="11" t="inlineStr">
        <is>
          <t>Assessment</t>
        </is>
      </c>
      <c r="D32" s="4" t="inlineStr">
        <is>
          <t>Evidence / Observation (quote or timestamp where possible)</t>
        </is>
      </c>
      <c r="E32" s="70" t="n"/>
      <c r="F32" s="69" t="n"/>
    </row>
    <row r="33" ht="28" customHeight="1">
      <c r="B33" s="12" t="inlineStr">
        <is>
          <t>Symptoms were identified correctly</t>
        </is>
      </c>
      <c r="C33" s="79" t="inlineStr"/>
      <c r="D33" s="12" t="inlineStr"/>
      <c r="E33" s="70" t="n"/>
      <c r="F33" s="69" t="n"/>
    </row>
    <row r="34" ht="28" customHeight="1">
      <c r="B34" s="14" t="inlineStr">
        <is>
          <t>Relevant diagnostic questions were asked</t>
        </is>
      </c>
      <c r="C34" s="79" t="inlineStr"/>
      <c r="D34" s="14" t="inlineStr"/>
      <c r="E34" s="70" t="n"/>
      <c r="F34" s="69" t="n"/>
    </row>
    <row r="35" ht="28" customHeight="1">
      <c r="B35" s="12" t="inlineStr">
        <is>
          <t>Logical troubleshooting methodology was followed</t>
        </is>
      </c>
      <c r="C35" s="79" t="inlineStr"/>
      <c r="D35" s="12" t="inlineStr"/>
      <c r="E35" s="70" t="n"/>
      <c r="F35" s="69" t="n"/>
    </row>
    <row r="36" ht="28" customHeight="1">
      <c r="B36" s="14" t="inlineStr">
        <is>
          <t>Available tools were used appropriately</t>
        </is>
      </c>
      <c r="C36" s="79" t="inlineStr"/>
      <c r="D36" s="14" t="inlineStr"/>
      <c r="E36" s="70" t="n"/>
      <c r="F36" s="69" t="n"/>
    </row>
    <row r="37" ht="28" customHeight="1">
      <c r="B37" s="12" t="inlineStr">
        <is>
          <t>Information provided was technically accurate</t>
        </is>
      </c>
      <c r="C37" s="79" t="inlineStr"/>
      <c r="D37" s="12" t="inlineStr"/>
      <c r="E37" s="70" t="n"/>
      <c r="F37" s="69" t="n"/>
    </row>
    <row r="38" ht="28" customHeight="1">
      <c r="B38" s="14" t="inlineStr">
        <is>
          <t>Assumptions were validated; no unsupported conclusions</t>
        </is>
      </c>
      <c r="C38" s="79" t="inlineStr"/>
      <c r="D38" s="14" t="inlineStr"/>
      <c r="E38" s="70" t="n"/>
      <c r="F38" s="69" t="n"/>
    </row>
    <row r="39" ht="28" customHeight="1">
      <c r="B39" s="12" t="inlineStr">
        <is>
          <t>Root cause (or likely cause) was identified when possible</t>
        </is>
      </c>
      <c r="C39" s="79" t="inlineStr"/>
      <c r="D39" s="12" t="inlineStr"/>
      <c r="E39" s="70" t="n"/>
      <c r="F39" s="69" t="n"/>
    </row>
    <row r="40" ht="28" customHeight="1">
      <c r="B40" s="15" t="inlineStr">
        <is>
          <t>⚠ Deduct for: incorrect technical information; skipped critical troubleshooting; misdiagnosis; unnecessary actions recommended; ISP or customer blamed without evidence; repeating basic steps the customer already completed.</t>
        </is>
      </c>
      <c r="C40" s="70" t="n"/>
      <c r="D40" s="70" t="n"/>
      <c r="E40" s="70" t="n"/>
      <c r="F40" s="69" t="n"/>
    </row>
    <row r="41">
      <c r="B41" s="16" t="inlineStr">
        <is>
          <t>Suggested score (auto from indicators — advisory only; evaluator judgment prevails)</t>
        </is>
      </c>
      <c r="C41" s="17">
        <f>IF((COUNTIF(C33:C39,"Met")+COUNTIF(C33:C39,"Partial")+COUNTIF(C33:C39,"Missed"))=0,"",ROUND((COUNTIF(C33:C39,"Met")*5+COUNTIF(C33:C39,"Partial")*2.5)/(COUNTIF(C33:C39,"Met")+COUNTIF(C33:C39,"Partial")+COUNTIF(C33:C39,"Missed")),1))</f>
        <v/>
      </c>
      <c r="D41" s="18" t="inlineStr"/>
      <c r="E41" s="70" t="n"/>
      <c r="F41" s="69" t="n"/>
    </row>
    <row r="42" ht="24" customHeight="1">
      <c r="B42" s="19" t="inlineStr">
        <is>
          <t>FINAL CATEGORY SCORE (0–5)</t>
        </is>
      </c>
      <c r="C42" s="20" t="n"/>
      <c r="D42" s="2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70" t="n"/>
      <c r="F42" s="69" t="n"/>
    </row>
    <row r="43" ht="36" customHeight="1">
      <c r="B43" s="19" t="inlineStr">
        <is>
          <t>Category comments / coaching notes</t>
        </is>
      </c>
      <c r="C43" s="7" t="inlineStr"/>
      <c r="D43" s="70" t="n"/>
      <c r="E43" s="70" t="n"/>
      <c r="F43" s="69" t="n"/>
    </row>
    <row r="45" ht="18" customHeight="1">
      <c r="B45" s="125" t="inlineStr">
        <is>
          <t>3. COMMUNICATION &amp; CALL CONTROL</t>
        </is>
      </c>
      <c r="C45" s="67" t="n"/>
      <c r="D45" s="67" t="n"/>
      <c r="E45" s="68" t="n"/>
      <c r="F45" s="9" t="inlineStr">
        <is>
          <t>Weight: 15%</t>
        </is>
      </c>
    </row>
    <row r="46" ht="28" customHeight="1">
      <c r="B46" s="10" t="inlineStr">
        <is>
          <t>Objective: Evaluate how effectively the agent managed the interaction.</t>
        </is>
      </c>
      <c r="C46" s="70" t="n"/>
      <c r="D46" s="70" t="n"/>
      <c r="E46" s="70" t="n"/>
      <c r="F46" s="69" t="n"/>
    </row>
    <row r="47">
      <c r="B47" s="4" t="inlineStr">
        <is>
          <t>Behavioral Indicator</t>
        </is>
      </c>
      <c r="C47" s="11" t="inlineStr">
        <is>
          <t>Assessment</t>
        </is>
      </c>
      <c r="D47" s="4" t="inlineStr">
        <is>
          <t>Evidence / Observation (quote or timestamp where possible)</t>
        </is>
      </c>
      <c r="E47" s="70" t="n"/>
      <c r="F47" s="69" t="n"/>
    </row>
    <row r="48" ht="28" customHeight="1">
      <c r="B48" s="12" t="inlineStr">
        <is>
          <t>Expectations were set clearly from the start</t>
        </is>
      </c>
      <c r="C48" s="79" t="inlineStr"/>
      <c r="D48" s="12" t="inlineStr"/>
      <c r="E48" s="70" t="n"/>
      <c r="F48" s="69" t="n"/>
    </row>
    <row r="49" ht="28" customHeight="1">
      <c r="B49" s="14" t="inlineStr">
        <is>
          <t>Agent maintained control of the troubleshooting flow</t>
        </is>
      </c>
      <c r="C49" s="79" t="inlineStr"/>
      <c r="D49" s="14" t="inlineStr"/>
      <c r="E49" s="70" t="n"/>
      <c r="F49" s="69" t="n"/>
    </row>
    <row r="50" ht="28" customHeight="1">
      <c r="B50" s="12" t="inlineStr">
        <is>
          <t>Actions were explained in understandable, jargon-free language</t>
        </is>
      </c>
      <c r="C50" s="79" t="inlineStr"/>
      <c r="D50" s="12" t="inlineStr"/>
      <c r="E50" s="70" t="n"/>
      <c r="F50" s="69" t="n"/>
    </row>
    <row r="51" ht="28" customHeight="1">
      <c r="B51" s="14" t="inlineStr">
        <is>
          <t>Questions were purposeful (no repetitive questioning)</t>
        </is>
      </c>
      <c r="C51" s="79" t="inlineStr"/>
      <c r="D51" s="14" t="inlineStr"/>
      <c r="E51" s="70" t="n"/>
      <c r="F51" s="69" t="n"/>
    </row>
    <row r="52" ht="28" customHeight="1">
      <c r="B52" s="12" t="inlineStr">
        <is>
          <t>Customer understanding was confirmed at key points</t>
        </is>
      </c>
      <c r="C52" s="79" t="inlineStr"/>
      <c r="D52" s="12" t="inlineStr"/>
      <c r="E52" s="70" t="n"/>
      <c r="F52" s="69" t="n"/>
    </row>
    <row r="53" ht="28" customHeight="1">
      <c r="B53" s="14" t="inlineStr">
        <is>
          <t>Clear transitions between troubleshooting steps; effective time management</t>
        </is>
      </c>
      <c r="C53" s="79" t="inlineStr"/>
      <c r="D53" s="14" t="inlineStr"/>
      <c r="E53" s="70" t="n"/>
      <c r="F53" s="69" t="n"/>
    </row>
    <row r="54" ht="28" customHeight="1">
      <c r="B54" s="12" t="inlineStr">
        <is>
          <t>Difficult moments were managed professionally</t>
        </is>
      </c>
      <c r="C54" s="79" t="inlineStr"/>
      <c r="D54" s="12" t="inlineStr"/>
      <c r="E54" s="70" t="n"/>
      <c r="F54" s="69" t="n"/>
    </row>
    <row r="55" ht="28" customHeight="1">
      <c r="B55" s="14" t="inlineStr">
        <is>
          <t>Communication adapted to the customer's accessibility needs (hearing, vision, age)</t>
        </is>
      </c>
      <c r="C55" s="79" t="inlineStr"/>
      <c r="D55" s="14" t="inlineStr"/>
      <c r="E55" s="70" t="n"/>
      <c r="F55" s="69" t="n"/>
    </row>
    <row r="56" ht="28" customHeight="1">
      <c r="B56" s="15" t="inlineStr">
        <is>
          <t>⚠ High performance: customer always knows what is happening and the agent drives the call confidently. One instruction at a time for customers who need it.</t>
        </is>
      </c>
      <c r="C56" s="70" t="n"/>
      <c r="D56" s="70" t="n"/>
      <c r="E56" s="70" t="n"/>
      <c r="F56" s="69" t="n"/>
    </row>
    <row r="57">
      <c r="B57" s="16" t="inlineStr">
        <is>
          <t>Suggested score (auto from indicators — advisory only; evaluator judgment prevails)</t>
        </is>
      </c>
      <c r="C57" s="17">
        <f>IF((COUNTIF(C48:C55,"Met")+COUNTIF(C48:C55,"Partial")+COUNTIF(C48:C55,"Missed"))=0,"",ROUND((COUNTIF(C48:C55,"Met")*5+COUNTIF(C48:C55,"Partial")*2.5)/(COUNTIF(C48:C55,"Met")+COUNTIF(C48:C55,"Partial")+COUNTIF(C48:C55,"Missed")),1))</f>
        <v/>
      </c>
      <c r="D57" s="18" t="inlineStr"/>
      <c r="E57" s="70" t="n"/>
      <c r="F57" s="69" t="n"/>
    </row>
    <row r="58" ht="24" customHeight="1">
      <c r="B58" s="19" t="inlineStr">
        <is>
          <t>FINAL CATEGORY SCORE (0–5)</t>
        </is>
      </c>
      <c r="C58" s="20" t="n"/>
      <c r="D58" s="2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70" t="n"/>
      <c r="F58" s="69" t="n"/>
    </row>
    <row r="59" ht="36" customHeight="1">
      <c r="B59" s="19" t="inlineStr">
        <is>
          <t>Category comments / coaching notes</t>
        </is>
      </c>
      <c r="C59" s="7" t="inlineStr"/>
      <c r="D59" s="70" t="n"/>
      <c r="E59" s="70" t="n"/>
      <c r="F59" s="69" t="n"/>
    </row>
    <row r="61" ht="18" customHeight="1">
      <c r="B61" s="125" t="inlineStr">
        <is>
          <t>4. CUSTOMER OWNERSHIP</t>
        </is>
      </c>
      <c r="C61" s="67" t="n"/>
      <c r="D61" s="67" t="n"/>
      <c r="E61" s="68" t="n"/>
      <c r="F61" s="9" t="inlineStr">
        <is>
          <t>Weight: 15%</t>
        </is>
      </c>
    </row>
    <row r="62" ht="28" customHeight="1">
      <c r="B62" s="10" t="inlineStr">
        <is>
          <t>Objective: Measure the degree to which the agent accepted responsibility for moving the customer forward.</t>
        </is>
      </c>
      <c r="C62" s="70" t="n"/>
      <c r="D62" s="70" t="n"/>
      <c r="E62" s="70" t="n"/>
      <c r="F62" s="69" t="n"/>
    </row>
    <row r="63">
      <c r="B63" s="4" t="inlineStr">
        <is>
          <t>Behavioral Indicator</t>
        </is>
      </c>
      <c r="C63" s="11" t="inlineStr">
        <is>
          <t>Assessment</t>
        </is>
      </c>
      <c r="D63" s="4" t="inlineStr">
        <is>
          <t>Evidence / Observation (quote or timestamp where possible)</t>
        </is>
      </c>
      <c r="E63" s="70" t="n"/>
      <c r="F63" s="69" t="n"/>
    </row>
    <row r="64" ht="28" customHeight="1">
      <c r="B64" s="12" t="inlineStr">
        <is>
          <t>Agent demonstrated accountability for the customer's outcome</t>
        </is>
      </c>
      <c r="C64" s="79" t="inlineStr"/>
      <c r="D64" s="12" t="inlineStr"/>
      <c r="E64" s="70" t="n"/>
      <c r="F64" s="69" t="n"/>
    </row>
    <row r="65" ht="28" customHeight="1">
      <c r="B65" s="14" t="inlineStr">
        <is>
          <t>Unnecessary transfers were avoided</t>
        </is>
      </c>
      <c r="C65" s="79" t="inlineStr"/>
      <c r="D65" s="14" t="inlineStr"/>
      <c r="E65" s="70" t="n"/>
      <c r="F65" s="69" t="n"/>
    </row>
    <row r="66" ht="28" customHeight="1">
      <c r="B66" s="12" t="inlineStr">
        <is>
          <t>Commitments made during the interaction were followed through</t>
        </is>
      </c>
      <c r="C66" s="79" t="inlineStr"/>
      <c r="D66" s="12" t="inlineStr"/>
      <c r="E66" s="70" t="n"/>
      <c r="F66" s="69" t="n"/>
    </row>
    <row r="67" ht="28" customHeight="1">
      <c r="B67" s="14" t="inlineStr">
        <is>
          <t>A clear path forward was created for the customer</t>
        </is>
      </c>
      <c r="C67" s="79" t="inlineStr"/>
      <c r="D67" s="14" t="inlineStr"/>
      <c r="E67" s="70" t="n"/>
      <c r="F67" s="69" t="n"/>
    </row>
    <row r="68" ht="28" customHeight="1">
      <c r="B68" s="12" t="inlineStr">
        <is>
          <t>Next actions were documented</t>
        </is>
      </c>
      <c r="C68" s="79" t="inlineStr"/>
      <c r="D68" s="12" t="inlineStr"/>
      <c r="E68" s="70" t="n"/>
      <c r="F68" s="69" t="n"/>
    </row>
    <row r="69" ht="28" customHeight="1">
      <c r="B69" s="14" t="inlineStr">
        <is>
          <t>Realistic expectations were set</t>
        </is>
      </c>
      <c r="C69" s="79" t="inlineStr"/>
      <c r="D69" s="14" t="inlineStr"/>
      <c r="E69" s="70" t="n"/>
      <c r="F69" s="69" t="n"/>
    </row>
    <row r="70" ht="28" customHeight="1">
      <c r="B70" s="12" t="inlineStr">
        <is>
          <t>Disconnect follow-up completed (callback / email / note) — mark N.A. if no disconnect</t>
        </is>
      </c>
      <c r="C70" s="79" t="inlineStr"/>
      <c r="D70" s="12" t="inlineStr"/>
      <c r="E70" s="70" t="n"/>
      <c r="F70" s="69" t="n"/>
    </row>
    <row r="71" ht="28" customHeight="1">
      <c r="B71" s="14" t="inlineStr">
        <is>
          <t>Callback commitments were met within the agreed window (or proactively renegotiated before it lapsed)</t>
        </is>
      </c>
      <c r="C71" s="79" t="inlineStr"/>
      <c r="D71" s="14" t="inlineStr"/>
      <c r="E71" s="70" t="n"/>
      <c r="F71" s="69" t="n"/>
    </row>
    <row r="72" ht="28" customHeight="1">
      <c r="B72" s="15" t="inlineStr">
        <is>
          <t>⚠ Automatic deductions: no documented follow-up after disconnect; unclear next steps; passing responsibility without context; failure to complete promised actions; missed or late callbacks without proactive renegotiation.</t>
        </is>
      </c>
      <c r="C72" s="70" t="n"/>
      <c r="D72" s="70" t="n"/>
      <c r="E72" s="70" t="n"/>
      <c r="F72" s="69" t="n"/>
    </row>
    <row r="73">
      <c r="B73" s="16" t="inlineStr">
        <is>
          <t>Suggested score (auto from indicators — advisory only; evaluator judgment prevails)</t>
        </is>
      </c>
      <c r="C73" s="17">
        <f>IF((COUNTIF(C64:C71,"Met")+COUNTIF(C64:C71,"Partial")+COUNTIF(C64:C71,"Missed"))=0,"",ROUND((COUNTIF(C64:C71,"Met")*5+COUNTIF(C64:C71,"Partial")*2.5)/(COUNTIF(C64:C71,"Met")+COUNTIF(C64:C71,"Partial")+COUNTIF(C64:C71,"Missed")),1))</f>
        <v/>
      </c>
      <c r="D73" s="18" t="inlineStr"/>
      <c r="E73" s="70" t="n"/>
      <c r="F73" s="69" t="n"/>
    </row>
    <row r="74" ht="24" customHeight="1">
      <c r="B74" s="19" t="inlineStr">
        <is>
          <t>FINAL CATEGORY SCORE (0–5)</t>
        </is>
      </c>
      <c r="C74" s="20" t="n"/>
      <c r="D74" s="2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70" t="n"/>
      <c r="F74" s="69" t="n"/>
    </row>
    <row r="75" ht="36" customHeight="1">
      <c r="B75" s="19" t="inlineStr">
        <is>
          <t>Category comments / coaching notes</t>
        </is>
      </c>
      <c r="C75" s="7" t="inlineStr"/>
      <c r="D75" s="70" t="n"/>
      <c r="E75" s="70" t="n"/>
      <c r="F75" s="69" t="n"/>
    </row>
    <row r="77" ht="18" customHeight="1">
      <c r="B77" s="125" t="inlineStr">
        <is>
          <t>5. ESCALATION JUDGMENT</t>
        </is>
      </c>
      <c r="C77" s="67" t="n"/>
      <c r="D77" s="67" t="n"/>
      <c r="E77" s="68" t="n"/>
      <c r="F77" s="9" t="inlineStr">
        <is>
          <t>Weight: 10%</t>
        </is>
      </c>
    </row>
    <row r="78" ht="28" customHeight="1">
      <c r="B78" s="10" t="inlineStr">
        <is>
          <t>Objective: Determine whether escalation decisions were appropriate — including UPWARD escalations the customer requested (management, complaint, legal). Mark all N.A. if no escalation was involved and none was warranted.</t>
        </is>
      </c>
      <c r="C78" s="70" t="n"/>
      <c r="D78" s="70" t="n"/>
      <c r="E78" s="70" t="n"/>
      <c r="F78" s="69" t="n"/>
    </row>
    <row r="79">
      <c r="B79" s="4" t="inlineStr">
        <is>
          <t>Behavioral Indicator</t>
        </is>
      </c>
      <c r="C79" s="11" t="inlineStr">
        <is>
          <t>Assessment</t>
        </is>
      </c>
      <c r="D79" s="4" t="inlineStr">
        <is>
          <t>Evidence / Observation (quote or timestamp where possible)</t>
        </is>
      </c>
      <c r="E79" s="70" t="n"/>
      <c r="F79" s="69" t="n"/>
    </row>
    <row r="80" ht="28" customHeight="1">
      <c r="B80" s="12" t="inlineStr">
        <is>
          <t>Reasonable troubleshooting was completed before escalating</t>
        </is>
      </c>
      <c r="C80" s="79" t="inlineStr"/>
      <c r="D80" s="12" t="inlineStr"/>
      <c r="E80" s="70" t="n"/>
      <c r="F80" s="69" t="n"/>
    </row>
    <row r="81" ht="28" customHeight="1">
      <c r="B81" s="14" t="inlineStr">
        <is>
          <t>Legitimate escalation criteria were identified (incl. complaint / management / legal-risk triggers)</t>
        </is>
      </c>
      <c r="C81" s="79" t="inlineStr"/>
      <c r="D81" s="14" t="inlineStr"/>
      <c r="E81" s="70" t="n"/>
      <c r="F81" s="69" t="n"/>
    </row>
    <row r="82" ht="28" customHeight="1">
      <c r="B82" s="12" t="inlineStr">
        <is>
          <t>Escalation contained complete, useful details (logs, findings, steps tried)</t>
        </is>
      </c>
      <c r="C82" s="79" t="inlineStr"/>
      <c r="D82" s="12" t="inlineStr"/>
      <c r="E82" s="70" t="n"/>
      <c r="F82" s="69" t="n"/>
    </row>
    <row r="83" ht="28" customHeight="1">
      <c r="B83" s="14" t="inlineStr">
        <is>
          <t>Correct escalation path was chosen</t>
        </is>
      </c>
      <c r="C83" s="79" t="inlineStr"/>
      <c r="D83" s="14" t="inlineStr"/>
      <c r="E83" s="70" t="n"/>
      <c r="F83" s="69" t="n"/>
    </row>
    <row r="84" ht="28" customHeight="1">
      <c r="B84" s="12" t="inlineStr">
        <is>
          <t>Customer expectations about the escalation were set appropriately</t>
        </is>
      </c>
      <c r="C84" s="79" t="inlineStr"/>
      <c r="D84" s="12" t="inlineStr"/>
      <c r="E84" s="70" t="n"/>
      <c r="F84" s="69" t="n"/>
    </row>
    <row r="85" ht="28" customHeight="1">
      <c r="B85" s="15" t="inlineStr">
        <is>
          <t>⚠ Low score: premature, avoidable, poorly documented, used as a substitute for troubleshooting — or a warranted escalation (incl. a customer's management request) that was NOT made.</t>
        </is>
      </c>
      <c r="C85" s="70" t="n"/>
      <c r="D85" s="70" t="n"/>
      <c r="E85" s="70" t="n"/>
      <c r="F85" s="69" t="n"/>
    </row>
    <row r="86">
      <c r="B86" s="16" t="inlineStr">
        <is>
          <t>Suggested score (auto from indicators — advisory only; evaluator judgment prevails)</t>
        </is>
      </c>
      <c r="C86" s="17">
        <f>IF((COUNTIF(C80:C84,"Met")+COUNTIF(C80:C84,"Partial")+COUNTIF(C80:C84,"Missed"))=0,"",ROUND((COUNTIF(C80:C84,"Met")*5+COUNTIF(C80:C84,"Partial")*2.5)/(COUNTIF(C80:C84,"Met")+COUNTIF(C80:C84,"Partial")+COUNTIF(C80:C84,"Missed")),1))</f>
        <v/>
      </c>
      <c r="D86" s="18" t="inlineStr"/>
      <c r="E86" s="70" t="n"/>
      <c r="F86" s="69" t="n"/>
    </row>
    <row r="87" ht="24" customHeight="1">
      <c r="B87" s="19" t="inlineStr">
        <is>
          <t>FINAL CATEGORY SCORE (0–5)</t>
        </is>
      </c>
      <c r="C87" s="20" t="n"/>
      <c r="D87" s="2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70" t="n"/>
      <c r="F87" s="69" t="n"/>
    </row>
    <row r="88" ht="36" customHeight="1">
      <c r="B88" s="19" t="inlineStr">
        <is>
          <t>Category comments / coaching notes</t>
        </is>
      </c>
      <c r="C88" s="7" t="inlineStr"/>
      <c r="D88" s="70" t="n"/>
      <c r="E88" s="70" t="n"/>
      <c r="F88" s="69" t="n"/>
    </row>
    <row r="90" ht="18" customHeight="1">
      <c r="B90" s="125" t="inlineStr">
        <is>
          <t>6. CUSTOMER EXPERIENCE</t>
        </is>
      </c>
      <c r="C90" s="67" t="n"/>
      <c r="D90" s="67" t="n"/>
      <c r="E90" s="68" t="n"/>
      <c r="F90" s="9" t="inlineStr">
        <is>
          <t>Weight: 5%</t>
        </is>
      </c>
    </row>
    <row r="91" ht="28" customHeight="1">
      <c r="B91" s="10" t="inlineStr">
        <is>
          <t>Objective: Measure the overall customer experience delivered during the interaction.</t>
        </is>
      </c>
      <c r="C91" s="70" t="n"/>
      <c r="D91" s="70" t="n"/>
      <c r="E91" s="70" t="n"/>
      <c r="F91" s="69" t="n"/>
    </row>
    <row r="92">
      <c r="B92" s="4" t="inlineStr">
        <is>
          <t>Behavioral Indicator</t>
        </is>
      </c>
      <c r="C92" s="11" t="inlineStr">
        <is>
          <t>Assessment</t>
        </is>
      </c>
      <c r="D92" s="4" t="inlineStr">
        <is>
          <t>Evidence / Observation (quote or timestamp where possible)</t>
        </is>
      </c>
      <c r="E92" s="70" t="n"/>
      <c r="F92" s="69" t="n"/>
    </row>
    <row r="93" ht="28" customHeight="1">
      <c r="B93" s="12" t="inlineStr">
        <is>
          <t>Empathy was demonstrated (incl. acknowledging cumulative effort and fatigue on repeat contacts)</t>
        </is>
      </c>
      <c r="C93" s="79" t="inlineStr"/>
      <c r="D93" s="12" t="inlineStr"/>
      <c r="E93" s="70" t="n"/>
      <c r="F93" s="69" t="n"/>
    </row>
    <row r="94" ht="28" customHeight="1">
      <c r="B94" s="14" t="inlineStr">
        <is>
          <t>Professionalism was maintained throughout</t>
        </is>
      </c>
      <c r="C94" s="79" t="inlineStr"/>
      <c r="D94" s="14" t="inlineStr"/>
      <c r="E94" s="70" t="n"/>
      <c r="F94" s="69" t="n"/>
    </row>
    <row r="95" ht="28" customHeight="1">
      <c r="B95" s="12" t="inlineStr">
        <is>
          <t>Communication style was adapted to the customer</t>
        </is>
      </c>
      <c r="C95" s="79" t="inlineStr"/>
      <c r="D95" s="12" t="inlineStr"/>
      <c r="E95" s="70" t="n"/>
      <c r="F95" s="69" t="n"/>
    </row>
    <row r="96" ht="28" customHeight="1">
      <c r="B96" s="14" t="inlineStr">
        <is>
          <t>Patience was maintained, even under pressure</t>
        </is>
      </c>
      <c r="C96" s="79" t="inlineStr"/>
      <c r="D96" s="14" t="inlineStr"/>
      <c r="E96" s="70" t="n"/>
      <c r="F96" s="69" t="n"/>
    </row>
    <row r="97" ht="28" customHeight="1">
      <c r="B97" s="12" t="inlineStr">
        <is>
          <t>Customer effort was reduced where possible</t>
        </is>
      </c>
      <c r="C97" s="79" t="inlineStr"/>
      <c r="D97" s="12" t="inlineStr"/>
      <c r="E97" s="70" t="n"/>
      <c r="F97" s="69" t="n"/>
    </row>
    <row r="98" ht="28" customHeight="1">
      <c r="B98" s="14" t="inlineStr">
        <is>
          <t>Customer felt heard, understood next steps, and remained engaged</t>
        </is>
      </c>
      <c r="C98" s="79" t="inlineStr"/>
      <c r="D98" s="14" t="inlineStr"/>
      <c r="E98" s="70" t="n"/>
      <c r="F98" s="69" t="n"/>
    </row>
    <row r="99" ht="28" customHeight="1">
      <c r="B99" s="15" t="inlineStr">
        <is>
          <t>⚠ Negative indicators: dismissive responses; robotic interactions; frustration escalation caused by agent behavior; marathon sessions pushed onto vulnerable customers without offering to pause and resume.</t>
        </is>
      </c>
      <c r="C99" s="70" t="n"/>
      <c r="D99" s="70" t="n"/>
      <c r="E99" s="70" t="n"/>
      <c r="F99" s="69" t="n"/>
    </row>
    <row r="100">
      <c r="B100" s="16" t="inlineStr">
        <is>
          <t>Suggested score (auto from indicators — advisory only; evaluator judgment prevails)</t>
        </is>
      </c>
      <c r="C100" s="17">
        <f>IF((COUNTIF(C93:C98,"Met")+COUNTIF(C93:C98,"Partial")+COUNTIF(C93:C98,"Missed"))=0,"",ROUND((COUNTIF(C93:C98,"Met")*5+COUNTIF(C93:C98,"Partial")*2.5)/(COUNTIF(C93:C98,"Met")+COUNTIF(C93:C98,"Partial")+COUNTIF(C93:C98,"Missed")),1))</f>
        <v/>
      </c>
      <c r="D100" s="18" t="inlineStr"/>
      <c r="E100" s="70" t="n"/>
      <c r="F100" s="69" t="n"/>
    </row>
    <row r="101" ht="24" customHeight="1">
      <c r="B101" s="19" t="inlineStr">
        <is>
          <t>FINAL CATEGORY SCORE (0–5)</t>
        </is>
      </c>
      <c r="C101" s="20" t="n"/>
      <c r="D101" s="2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70" t="n"/>
      <c r="F101" s="69" t="n"/>
    </row>
    <row r="102" ht="36" customHeight="1">
      <c r="B102" s="19" t="inlineStr">
        <is>
          <t>Category comments / coaching notes</t>
        </is>
      </c>
      <c r="C102" s="7" t="inlineStr"/>
      <c r="D102" s="70" t="n"/>
      <c r="E102" s="70" t="n"/>
      <c r="F102" s="69" t="n"/>
    </row>
    <row r="104" ht="18" customHeight="1">
      <c r="B104" s="125" t="inlineStr">
        <is>
          <t>7. DOCUMENTATION &amp; NOTES</t>
        </is>
      </c>
      <c r="C104" s="67" t="n"/>
      <c r="D104" s="67" t="n"/>
      <c r="E104" s="68" t="n"/>
      <c r="F104" s="9" t="inlineStr">
        <is>
          <t>Weight: 5%</t>
        </is>
      </c>
    </row>
    <row r="105" ht="28" customHeight="1">
      <c r="B105" s="10" t="inlineStr">
        <is>
          <t>Objective: Ensure future agents can quickly understand the case. Purpose is continuity, not compliance.</t>
        </is>
      </c>
      <c r="C105" s="70" t="n"/>
      <c r="D105" s="70" t="n"/>
      <c r="E105" s="70" t="n"/>
      <c r="F105" s="69" t="n"/>
    </row>
    <row r="106">
      <c r="B106" s="4" t="inlineStr">
        <is>
          <t>Behavioral Indicator</t>
        </is>
      </c>
      <c r="C106" s="11" t="inlineStr">
        <is>
          <t>Assessment</t>
        </is>
      </c>
      <c r="D106" s="4" t="inlineStr">
        <is>
          <t>Evidence / Observation (quote or timestamp where possible)</t>
        </is>
      </c>
      <c r="E106" s="70" t="n"/>
      <c r="F106" s="69" t="n"/>
    </row>
    <row r="107" ht="28" customHeight="1">
      <c r="B107" s="12" t="inlineStr">
        <is>
          <t>Customer issue summary recorded</t>
        </is>
      </c>
      <c r="C107" s="79" t="inlineStr"/>
      <c r="D107" s="12" t="inlineStr"/>
      <c r="E107" s="70" t="n"/>
      <c r="F107" s="69" t="n"/>
    </row>
    <row r="108" ht="28" customHeight="1">
      <c r="B108" s="14" t="inlineStr">
        <is>
          <t>Troubleshooting performed is documented</t>
        </is>
      </c>
      <c r="C108" s="79" t="inlineStr"/>
      <c r="D108" s="14" t="inlineStr"/>
      <c r="E108" s="70" t="n"/>
      <c r="F108" s="69" t="n"/>
    </row>
    <row r="109" ht="28" customHeight="1">
      <c r="B109" s="12" t="inlineStr">
        <is>
          <t>Key findings / discoveries noted</t>
        </is>
      </c>
      <c r="C109" s="79" t="inlineStr"/>
      <c r="D109" s="12" t="inlineStr"/>
      <c r="E109" s="70" t="n"/>
      <c r="F109" s="69" t="n"/>
    </row>
    <row r="110" ht="28" customHeight="1">
      <c r="B110" s="14" t="inlineStr">
        <is>
          <t>Agent reasoning is captured</t>
        </is>
      </c>
      <c r="C110" s="79" t="inlineStr"/>
      <c r="D110" s="14" t="inlineStr"/>
      <c r="E110" s="70" t="n"/>
      <c r="F110" s="69" t="n"/>
    </row>
    <row r="111" ht="28" customHeight="1">
      <c r="B111" s="12" t="inlineStr">
        <is>
          <t>Escalation justification included — mark N.A. if no escalation</t>
        </is>
      </c>
      <c r="C111" s="79" t="inlineStr"/>
      <c r="D111" s="12" t="inlineStr"/>
      <c r="E111" s="70" t="n"/>
      <c r="F111" s="69" t="n"/>
    </row>
    <row r="112" ht="28" customHeight="1">
      <c r="B112" s="14" t="inlineStr">
        <is>
          <t>Next steps and follow-up actions listed (incl. callback records)</t>
        </is>
      </c>
      <c r="C112" s="79" t="inlineStr"/>
      <c r="D112" s="14" t="inlineStr"/>
      <c r="E112" s="70" t="n"/>
      <c r="F112" s="69" t="n"/>
    </row>
    <row r="113" ht="28" customHeight="1">
      <c r="B113" s="12" t="inlineStr">
        <is>
          <t>Ticket status accurately reflects case state (no premature RESOLVED; closure reason documented)</t>
        </is>
      </c>
      <c r="C113" s="79" t="inlineStr"/>
      <c r="D113" s="12" t="inlineStr"/>
      <c r="E113" s="70" t="n"/>
      <c r="F113" s="69" t="n"/>
    </row>
    <row r="114" ht="28" customHeight="1">
      <c r="B114" s="15" t="inlineStr">
        <is>
          <t>⚠ Documentation supports outcomes but should not outweigh troubleshooting quality, communication, or ownership. Notes must carry the FULL history — including pre-ticket contacts — so no agent treats a long-running case as new.</t>
        </is>
      </c>
      <c r="C114" s="70" t="n"/>
      <c r="D114" s="70" t="n"/>
      <c r="E114" s="70" t="n"/>
      <c r="F114" s="69" t="n"/>
    </row>
    <row r="115">
      <c r="B115" s="16" t="inlineStr">
        <is>
          <t>Suggested score (auto from indicators — advisory only; evaluator judgment prevails)</t>
        </is>
      </c>
      <c r="C115" s="17">
        <f>IF((COUNTIF(C107:C113,"Met")+COUNTIF(C107:C113,"Partial")+COUNTIF(C107:C113,"Missed"))=0,"",ROUND((COUNTIF(C107:C113,"Met")*5+COUNTIF(C107:C113,"Partial")*2.5)/(COUNTIF(C107:C113,"Met")+COUNTIF(C107:C113,"Partial")+COUNTIF(C107:C113,"Missed")),1))</f>
        <v/>
      </c>
      <c r="D115" s="18" t="inlineStr"/>
      <c r="E115" s="70" t="n"/>
      <c r="F115" s="69" t="n"/>
    </row>
    <row r="116" ht="24" customHeight="1">
      <c r="B116" s="19" t="inlineStr">
        <is>
          <t>FINAL CATEGORY SCORE (0–5)</t>
        </is>
      </c>
      <c r="C116" s="20" t="n"/>
      <c r="D116" s="2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70" t="n"/>
      <c r="F116" s="69" t="n"/>
    </row>
    <row r="117" ht="36" customHeight="1">
      <c r="B117" s="19" t="inlineStr">
        <is>
          <t>Category comments / coaching notes</t>
        </is>
      </c>
      <c r="C117" s="7" t="inlineStr"/>
      <c r="D117" s="70" t="n"/>
      <c r="E117" s="70" t="n"/>
      <c r="F117" s="69" t="n"/>
    </row>
    <row r="119">
      <c r="B119" s="8" t="inlineStr">
        <is>
          <t>3 · SCORE SUMMARY</t>
        </is>
      </c>
      <c r="C119" s="67" t="n"/>
      <c r="D119" s="67" t="n"/>
      <c r="E119" s="67" t="n"/>
      <c r="F119" s="68" t="n"/>
    </row>
    <row r="120">
      <c r="B120" s="118" t="inlineStr">
        <is>
          <t>Category</t>
        </is>
      </c>
      <c r="C120" s="118" t="inlineStr">
        <is>
          <t>Weight</t>
        </is>
      </c>
      <c r="D120" s="118" t="inlineStr">
        <is>
          <t>Score (0-5)</t>
        </is>
      </c>
      <c r="E120" s="118" t="inlineStr">
        <is>
          <t>Weighted</t>
        </is>
      </c>
      <c r="F120" s="118" t="inlineStr">
        <is>
          <t>Band</t>
        </is>
      </c>
    </row>
    <row r="121">
      <c r="B121" s="23" t="inlineStr">
        <is>
          <t>Resolution / Progress Toward Resolution</t>
        </is>
      </c>
      <c r="C121" s="24" t="n">
        <v>0.3</v>
      </c>
      <c r="D121" s="25">
        <f>C27</f>
        <v/>
      </c>
      <c r="E121" s="83">
        <f>IF(D121="","",(D121/5)*C121)</f>
        <v/>
      </c>
      <c r="F121" s="132">
        <f>IF(D121="","",IF(D121&gt;=4,"Strong",IF(D121=3,"Developing","Needs Focus")))</f>
        <v/>
      </c>
    </row>
    <row r="122">
      <c r="B122" s="28" t="inlineStr">
        <is>
          <t>Technical Accuracy</t>
        </is>
      </c>
      <c r="C122" s="29" t="n">
        <v>0.2</v>
      </c>
      <c r="D122" s="30">
        <f>C42</f>
        <v/>
      </c>
      <c r="E122" s="78">
        <f>IF(D122="","",(D122/5)*C122)</f>
        <v/>
      </c>
      <c r="F122" s="131">
        <f>IF(D122="","",IF(D122&gt;=4,"Strong",IF(D122=3,"Developing","Needs Focus")))</f>
        <v/>
      </c>
    </row>
    <row r="123">
      <c r="B123" s="23" t="inlineStr">
        <is>
          <t>Communication &amp; Call Control</t>
        </is>
      </c>
      <c r="C123" s="24" t="n">
        <v>0.15</v>
      </c>
      <c r="D123" s="25">
        <f>C58</f>
        <v/>
      </c>
      <c r="E123" s="83">
        <f>IF(D123="","",(D123/5)*C123)</f>
        <v/>
      </c>
      <c r="F123" s="132">
        <f>IF(D123="","",IF(D123&gt;=4,"Strong",IF(D123=3,"Developing","Needs Focus")))</f>
        <v/>
      </c>
    </row>
    <row r="124">
      <c r="B124" s="28" t="inlineStr">
        <is>
          <t>Customer Ownership</t>
        </is>
      </c>
      <c r="C124" s="29" t="n">
        <v>0.15</v>
      </c>
      <c r="D124" s="30">
        <f>C74</f>
        <v/>
      </c>
      <c r="E124" s="78">
        <f>IF(D124="","",(D124/5)*C124)</f>
        <v/>
      </c>
      <c r="F124" s="131">
        <f>IF(D124="","",IF(D124&gt;=4,"Strong",IF(D124=3,"Developing","Needs Focus")))</f>
        <v/>
      </c>
    </row>
    <row r="125">
      <c r="B125" s="23" t="inlineStr">
        <is>
          <t>Escalation Judgment</t>
        </is>
      </c>
      <c r="C125" s="24" t="n">
        <v>0.1</v>
      </c>
      <c r="D125" s="25">
        <f>C87</f>
        <v/>
      </c>
      <c r="E125" s="83">
        <f>IF(D125="","",(D125/5)*C125)</f>
        <v/>
      </c>
      <c r="F125" s="132">
        <f>IF(D125="","",IF(D125&gt;=4,"Strong",IF(D125=3,"Developing","Needs Focus")))</f>
        <v/>
      </c>
    </row>
    <row r="126">
      <c r="B126" s="28" t="inlineStr">
        <is>
          <t>Customer Experience</t>
        </is>
      </c>
      <c r="C126" s="29" t="n">
        <v>0.05</v>
      </c>
      <c r="D126" s="30">
        <f>C101</f>
        <v/>
      </c>
      <c r="E126" s="78">
        <f>IF(D126="","",(D126/5)*C126)</f>
        <v/>
      </c>
      <c r="F126" s="131">
        <f>IF(D126="","",IF(D126&gt;=4,"Strong",IF(D126=3,"Developing","Needs Focus")))</f>
        <v/>
      </c>
    </row>
    <row r="127">
      <c r="B127" s="23" t="inlineStr">
        <is>
          <t>Documentation &amp; Notes</t>
        </is>
      </c>
      <c r="C127" s="24" t="n">
        <v>0.05</v>
      </c>
      <c r="D127" s="25">
        <f>C116</f>
        <v/>
      </c>
      <c r="E127" s="83">
        <f>IF(D127="","",(D127/5)*C127)</f>
        <v/>
      </c>
      <c r="F127" s="132">
        <f>IF(D127="","",IF(D127&gt;=4,"Strong",IF(D127=3,"Developing","Needs Focus")))</f>
        <v/>
      </c>
    </row>
    <row r="128" ht="24" customHeight="1">
      <c r="B128" s="8" t="inlineStr">
        <is>
          <t>WEIGHTED TOTAL SCORE</t>
        </is>
      </c>
      <c r="C128" s="33">
        <f>SUM(C121:C127)</f>
        <v/>
      </c>
      <c r="D128" s="34" t="inlineStr"/>
      <c r="E128" s="35">
        <f>SUM(E121:E127)</f>
        <v/>
      </c>
      <c r="F128" s="36">
        <f>IF(E128="","",IF(E128&gt;=0.85,"MEETS / EXCEEDS",IF(E128&gt;=0.7,"DEVELOPING","NEEDS IMPROVEMENT")))</f>
        <v/>
      </c>
    </row>
    <row r="130">
      <c r="B130" s="125" t="inlineStr">
        <is>
          <t>4 · RESOLUTION OUTCOME</t>
        </is>
      </c>
      <c r="C130" s="67" t="n"/>
      <c r="D130" s="67" t="n"/>
      <c r="E130" s="67" t="n"/>
      <c r="F130" s="68" t="n"/>
    </row>
    <row r="131">
      <c r="B131" s="4" t="inlineStr">
        <is>
          <t>Outcome classification</t>
        </is>
      </c>
      <c r="C131" s="37" t="inlineStr"/>
      <c r="D131" s="70" t="n"/>
      <c r="E131" s="70" t="n"/>
      <c r="F131" s="69" t="n"/>
    </row>
    <row r="132">
      <c r="B132" s="6" t="inlineStr">
        <is>
          <t>Primary positive outcome achieved</t>
        </is>
      </c>
      <c r="C132" s="81" t="inlineStr"/>
      <c r="D132" s="70" t="n"/>
      <c r="E132" s="70" t="n"/>
      <c r="F132" s="69" t="n"/>
    </row>
    <row r="133" ht="52" customHeight="1">
      <c r="B133" s="4" t="inlineStr">
        <is>
          <t>Justification</t>
        </is>
      </c>
      <c r="C133" s="7" t="inlineStr"/>
      <c r="D133" s="70" t="n"/>
      <c r="E133" s="70" t="n"/>
      <c r="F133" s="69" t="n"/>
    </row>
    <row r="135">
      <c r="B135" s="125" t="inlineStr">
        <is>
          <t>5 · DISCONNECTED CALL FOLLOW-UP</t>
        </is>
      </c>
      <c r="C135" s="67" t="n"/>
      <c r="D135" s="67" t="n"/>
      <c r="E135" s="67" t="n"/>
      <c r="F135" s="68" t="n"/>
    </row>
    <row r="136">
      <c r="B136" s="6" t="inlineStr">
        <is>
          <t>Did the interaction disconnect before completion?</t>
        </is>
      </c>
      <c r="C136" s="79" t="inlineStr">
        <is>
          <t>No</t>
        </is>
      </c>
      <c r="D136" s="15" t="inlineStr">
        <is>
          <t>If Yes, at least one documented follow-up action is required.</t>
        </is>
      </c>
      <c r="E136" s="70" t="n"/>
      <c r="F136" s="69" t="n"/>
    </row>
    <row r="137" ht="30" customHeight="1">
      <c r="B137" s="4" t="inlineStr">
        <is>
          <t>Follow-up action taken</t>
        </is>
      </c>
      <c r="C137" s="81" t="inlineStr">
        <is>
          <t>N.A. — no disconnect</t>
        </is>
      </c>
      <c r="D137" s="69" t="n"/>
      <c r="E137" s="38">
        <f>IF(AND(C136="Yes",OR(C137="None",C137="N.A. — no disconnect")),"⚠ MISSED OWNERSHIP OPPORTUNITY — flag in Customer Ownership and Critical Failures","OK")</f>
        <v/>
      </c>
      <c r="F137" s="69" t="n"/>
    </row>
    <row r="139">
      <c r="B139" s="121" t="inlineStr">
        <is>
          <t>6 · CRITICAL FAILURE CONDITIONS  (any 'Yes' triggers automatic review / coaching / QA failure regardless of score)</t>
        </is>
      </c>
      <c r="C139" s="67" t="n"/>
      <c r="D139" s="67" t="n"/>
      <c r="E139" s="67" t="n"/>
      <c r="F139" s="68" t="n"/>
    </row>
    <row r="140">
      <c r="B140" s="125" t="inlineStr">
        <is>
          <t>Condition</t>
        </is>
      </c>
      <c r="C140" s="118" t="inlineStr">
        <is>
          <t>Present?</t>
        </is>
      </c>
      <c r="D140" s="125" t="inlineStr">
        <is>
          <t>Notes / Evidence</t>
        </is>
      </c>
      <c r="E140" s="67" t="n"/>
      <c r="F140" s="68" t="n"/>
    </row>
    <row r="141" ht="26" customHeight="1">
      <c r="B141" s="12" t="inlineStr">
        <is>
          <t>Harmful or incorrect troubleshooting provided</t>
        </is>
      </c>
      <c r="C141" s="79" t="inlineStr">
        <is>
          <t>No</t>
        </is>
      </c>
      <c r="D141" s="12" t="inlineStr"/>
      <c r="E141" s="70" t="n"/>
      <c r="F141" s="69" t="n"/>
    </row>
    <row r="142" ht="26" customHeight="1">
      <c r="B142" s="14" t="inlineStr">
        <is>
          <t>Misrepresented product capabilities</t>
        </is>
      </c>
      <c r="C142" s="79" t="inlineStr">
        <is>
          <t>No</t>
        </is>
      </c>
      <c r="D142" s="14" t="inlineStr"/>
      <c r="E142" s="70" t="n"/>
      <c r="F142" s="69" t="n"/>
    </row>
    <row r="143" ht="26" customHeight="1">
      <c r="B143" s="12" t="inlineStr">
        <is>
          <t>Unsupported root-cause claims (e.g., ISP/customer blame w/o evidence)</t>
        </is>
      </c>
      <c r="C143" s="79" t="inlineStr">
        <is>
          <t>No</t>
        </is>
      </c>
      <c r="D143" s="12" t="inlineStr"/>
      <c r="E143" s="70" t="n"/>
      <c r="F143" s="69" t="n"/>
    </row>
    <row r="144" ht="26" customHeight="1">
      <c r="B144" s="14" t="inlineStr">
        <is>
          <t>No follow-up after disconnected call</t>
        </is>
      </c>
      <c r="C144" s="79" t="inlineStr">
        <is>
          <t>No</t>
        </is>
      </c>
      <c r="D144" s="14" t="inlineStr"/>
      <c r="E144" s="70" t="n"/>
      <c r="F144" s="69" t="n"/>
    </row>
    <row r="145" ht="26" customHeight="1">
      <c r="B145" s="12" t="inlineStr">
        <is>
          <t>Failed to complete a promised action (incl. missed agreed callback window)</t>
        </is>
      </c>
      <c r="C145" s="79" t="inlineStr">
        <is>
          <t>No</t>
        </is>
      </c>
      <c r="D145" s="12" t="inlineStr"/>
      <c r="E145" s="70" t="n"/>
      <c r="F145" s="69" t="n"/>
    </row>
    <row r="146" ht="26" customHeight="1">
      <c r="B146" s="14" t="inlineStr">
        <is>
          <t>Abandoned customer without a path forward</t>
        </is>
      </c>
      <c r="C146" s="79" t="inlineStr">
        <is>
          <t>No</t>
        </is>
      </c>
      <c r="D146" s="14" t="inlineStr"/>
      <c r="E146" s="70" t="n"/>
      <c r="F146" s="69" t="n"/>
    </row>
    <row r="147" ht="26" customHeight="1">
      <c r="B147" s="12" t="inlineStr">
        <is>
          <t>Escalated without reasonable troubleshooting / to avoid ownership</t>
        </is>
      </c>
      <c r="C147" s="79" t="inlineStr">
        <is>
          <t>No</t>
        </is>
      </c>
      <c r="D147" s="12" t="inlineStr"/>
      <c r="E147" s="70" t="n"/>
      <c r="F147" s="69" t="n"/>
    </row>
    <row r="148" ht="26" customHeight="1">
      <c r="B148" s="14" t="inlineStr">
        <is>
          <t>Unprofessional, rude, or dismissive conduct / policy violation</t>
        </is>
      </c>
      <c r="C148" s="79" t="inlineStr">
        <is>
          <t>No</t>
        </is>
      </c>
      <c r="D148" s="14" t="inlineStr"/>
      <c r="E148" s="70" t="n"/>
      <c r="F148" s="69" t="n"/>
    </row>
    <row r="149" ht="26" customHeight="1">
      <c r="B149" s="12" t="inlineStr">
        <is>
          <t>Compliance / security violation (e.g., payment card data spoken or stored in plaintext — PCI DSS)</t>
        </is>
      </c>
      <c r="C149" s="79" t="inlineStr">
        <is>
          <t>No</t>
        </is>
      </c>
      <c r="D149" s="12" t="inlineStr"/>
      <c r="E149" s="70" t="n"/>
      <c r="F149" s="69" t="n"/>
    </row>
    <row r="150" ht="26" customHeight="1">
      <c r="B150" s="14" t="inlineStr">
        <is>
          <t>Case marked Resolved while issue known to be unresolved (premature closure / no closure reason)</t>
        </is>
      </c>
      <c r="C150" s="79" t="inlineStr">
        <is>
          <t>No</t>
        </is>
      </c>
      <c r="D150" s="14" t="inlineStr"/>
      <c r="E150" s="70" t="n"/>
      <c r="F150" s="69" t="n"/>
    </row>
    <row r="151" ht="26" customHeight="1">
      <c r="B151" s="12" t="inlineStr">
        <is>
          <t>Customer complaint, management-contact, or legal-risk request not escalated</t>
        </is>
      </c>
      <c r="C151" s="79" t="inlineStr">
        <is>
          <t>No</t>
        </is>
      </c>
      <c r="D151" s="12" t="inlineStr"/>
      <c r="E151" s="70" t="n"/>
      <c r="F151" s="69" t="n"/>
    </row>
    <row r="152">
      <c r="B152" s="121" t="inlineStr">
        <is>
          <t>CRITICAL FAILURE FLAGGED?</t>
        </is>
      </c>
      <c r="C152" s="40">
        <f>IF(COUNTIF(C141:C151,"Yes")&gt;0,"YES — "&amp;COUNTIF(C141:C151,"Yes")&amp;" condition(s) flagged — automatic review required regardless of weighted score","No critical failures")</f>
        <v/>
      </c>
      <c r="D152" s="67" t="n"/>
      <c r="E152" s="67" t="n"/>
      <c r="F152" s="68" t="n"/>
    </row>
    <row r="154">
      <c r="B154" s="8" t="inlineStr">
        <is>
          <t>7 · COACHING &amp; FEEDBACK  (every review must produce at least one actionable coaching opportunity)</t>
        </is>
      </c>
      <c r="C154" s="67" t="n"/>
      <c r="D154" s="67" t="n"/>
      <c r="E154" s="67" t="n"/>
      <c r="F154" s="68" t="n"/>
    </row>
    <row r="155">
      <c r="B155" s="125" t="inlineStr">
        <is>
          <t>WHAT WENT WELL — behaviors to repeat</t>
        </is>
      </c>
      <c r="C155" s="67" t="n"/>
      <c r="D155" s="67" t="n"/>
      <c r="E155" s="67" t="n"/>
      <c r="F155" s="68" t="n"/>
    </row>
    <row r="156" ht="32" customHeight="1">
      <c r="B156" s="11" t="inlineStr">
        <is>
          <t>1.</t>
        </is>
      </c>
      <c r="C156" s="7" t="inlineStr"/>
      <c r="D156" s="70" t="n"/>
      <c r="E156" s="70" t="n"/>
      <c r="F156" s="69" t="n"/>
    </row>
    <row r="157" ht="32" customHeight="1">
      <c r="B157" s="11" t="inlineStr">
        <is>
          <t>2.</t>
        </is>
      </c>
      <c r="C157" s="7" t="inlineStr"/>
      <c r="D157" s="70" t="n"/>
      <c r="E157" s="70" t="n"/>
      <c r="F157" s="69" t="n"/>
    </row>
    <row r="158" ht="32" customHeight="1">
      <c r="B158" s="11" t="inlineStr">
        <is>
          <t>3.</t>
        </is>
      </c>
      <c r="C158" s="7" t="inlineStr"/>
      <c r="D158" s="70" t="n"/>
      <c r="E158" s="70" t="n"/>
      <c r="F158" s="69" t="n"/>
    </row>
    <row r="159">
      <c r="B159" s="125" t="inlineStr">
        <is>
          <t>IMPROVEMENT OPPORTUNITIES — behaviors to improve</t>
        </is>
      </c>
      <c r="C159" s="67" t="n"/>
      <c r="D159" s="67" t="n"/>
      <c r="E159" s="67" t="n"/>
      <c r="F159" s="68" t="n"/>
    </row>
    <row r="160" ht="32" customHeight="1">
      <c r="B160" s="11" t="inlineStr">
        <is>
          <t>1.</t>
        </is>
      </c>
      <c r="C160" s="7" t="inlineStr"/>
      <c r="D160" s="70" t="n"/>
      <c r="E160" s="70" t="n"/>
      <c r="F160" s="69" t="n"/>
    </row>
    <row r="161" ht="32" customHeight="1">
      <c r="B161" s="11" t="inlineStr">
        <is>
          <t>2.</t>
        </is>
      </c>
      <c r="C161" s="7" t="inlineStr"/>
      <c r="D161" s="70" t="n"/>
      <c r="E161" s="70" t="n"/>
      <c r="F161" s="69" t="n"/>
    </row>
    <row r="162" ht="32" customHeight="1">
      <c r="B162" s="11" t="inlineStr">
        <is>
          <t>3.</t>
        </is>
      </c>
      <c r="C162" s="7" t="inlineStr"/>
      <c r="D162" s="70" t="n"/>
      <c r="E162" s="70" t="n"/>
      <c r="F162" s="69" t="n"/>
    </row>
    <row r="163">
      <c r="B163" s="125" t="inlineStr">
        <is>
          <t>COACHING RECOMMENDATION — specific actions the agent should apply going forward</t>
        </is>
      </c>
      <c r="C163" s="67" t="n"/>
      <c r="D163" s="67" t="n"/>
      <c r="E163" s="67" t="n"/>
      <c r="F163" s="68" t="n"/>
    </row>
    <row r="164" ht="58" customHeight="1">
      <c r="B164" s="7" t="inlineStr"/>
      <c r="C164" s="70" t="n"/>
      <c r="D164" s="70" t="n"/>
      <c r="E164" s="70" t="n"/>
      <c r="F164" s="69" t="n"/>
    </row>
    <row r="165">
      <c r="B165" s="125" t="inlineStr">
        <is>
          <t>ORGANIZATIONAL INSIGHTS — training / process / KB / chatbot / tooling / product gaps discovered</t>
        </is>
      </c>
      <c r="C165" s="67" t="n"/>
      <c r="D165" s="67" t="n"/>
      <c r="E165" s="67" t="n"/>
      <c r="F165" s="68" t="n"/>
    </row>
    <row r="166" ht="70" customHeight="1">
      <c r="B166" s="7" t="inlineStr"/>
      <c r="C166" s="70" t="n"/>
      <c r="D166" s="70" t="n"/>
      <c r="E166" s="70" t="n"/>
      <c r="F166" s="69" t="n"/>
    </row>
    <row r="167">
      <c r="B167" s="125" t="inlineStr">
        <is>
          <t>MULTI-TOUCH / JOURNEY NOTES — handoff quality received &amp; passed, continuity, where the chain stands</t>
        </is>
      </c>
      <c r="C167" s="67" t="n"/>
      <c r="D167" s="67" t="n"/>
      <c r="E167" s="67" t="n"/>
      <c r="F167" s="68" t="n"/>
    </row>
    <row r="168" ht="58" customHeight="1">
      <c r="B168" s="7" t="inlineStr"/>
      <c r="C168" s="70" t="n"/>
      <c r="D168" s="70" t="n"/>
      <c r="E168" s="70" t="n"/>
      <c r="F168" s="69" t="n"/>
    </row>
    <row r="169">
      <c r="B169" s="125" t="inlineStr">
        <is>
          <t>FINAL QA ASSESSMENT — customer outcome, support quality, and coaching value</t>
        </is>
      </c>
      <c r="C169" s="67" t="n"/>
      <c r="D169" s="67" t="n"/>
      <c r="E169" s="67" t="n"/>
      <c r="F169" s="68" t="n"/>
    </row>
    <row r="170" ht="58" customHeight="1">
      <c r="B170" s="7" t="inlineStr"/>
      <c r="C170" s="70" t="n"/>
      <c r="D170" s="70" t="n"/>
      <c r="E170" s="70" t="n"/>
      <c r="F170" s="69"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E9:F9"/>
    <mergeCell ref="C156:F156"/>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0">
      <formula>"Met"</formula>
    </cfRule>
    <cfRule type="cellIs" priority="2" operator="equal" dxfId="1">
      <formula>"Partial"</formula>
    </cfRule>
    <cfRule type="cellIs" priority="3" operator="equal" dxfId="2">
      <formula>"Missed"</formula>
    </cfRule>
  </conditionalFormatting>
  <conditionalFormatting sqref="C27">
    <cfRule type="cellIs" priority="4" operator="lessThanOrEqual" dxfId="2">
      <formula>2</formula>
    </cfRule>
    <cfRule type="cellIs" priority="5" operator="equal" dxfId="1">
      <formula>3</formula>
    </cfRule>
    <cfRule type="cellIs" priority="6" operator="greaterThanOrEqual" dxfId="0">
      <formula>4</formula>
    </cfRule>
  </conditionalFormatting>
  <conditionalFormatting sqref="C33:C39">
    <cfRule type="cellIs" priority="7" operator="equal" dxfId="0">
      <formula>"Met"</formula>
    </cfRule>
    <cfRule type="cellIs" priority="8" operator="equal" dxfId="1">
      <formula>"Partial"</formula>
    </cfRule>
    <cfRule type="cellIs" priority="9" operator="equal" dxfId="2">
      <formula>"Missed"</formula>
    </cfRule>
  </conditionalFormatting>
  <conditionalFormatting sqref="C42">
    <cfRule type="cellIs" priority="10" operator="lessThanOrEqual" dxfId="2">
      <formula>2</formula>
    </cfRule>
    <cfRule type="cellIs" priority="11" operator="equal" dxfId="1">
      <formula>3</formula>
    </cfRule>
    <cfRule type="cellIs" priority="12" operator="greaterThanOrEqual" dxfId="0">
      <formula>4</formula>
    </cfRule>
  </conditionalFormatting>
  <conditionalFormatting sqref="C48:C55">
    <cfRule type="cellIs" priority="13" operator="equal" dxfId="0">
      <formula>"Met"</formula>
    </cfRule>
    <cfRule type="cellIs" priority="14" operator="equal" dxfId="1">
      <formula>"Partial"</formula>
    </cfRule>
    <cfRule type="cellIs" priority="15" operator="equal" dxfId="2">
      <formula>"Missed"</formula>
    </cfRule>
  </conditionalFormatting>
  <conditionalFormatting sqref="C58">
    <cfRule type="cellIs" priority="16" operator="lessThanOrEqual" dxfId="2">
      <formula>2</formula>
    </cfRule>
    <cfRule type="cellIs" priority="17" operator="equal" dxfId="1">
      <formula>3</formula>
    </cfRule>
    <cfRule type="cellIs" priority="18" operator="greaterThanOrEqual" dxfId="0">
      <formula>4</formula>
    </cfRule>
  </conditionalFormatting>
  <conditionalFormatting sqref="C64:C71">
    <cfRule type="cellIs" priority="19" operator="equal" dxfId="0">
      <formula>"Met"</formula>
    </cfRule>
    <cfRule type="cellIs" priority="20" operator="equal" dxfId="1">
      <formula>"Partial"</formula>
    </cfRule>
    <cfRule type="cellIs" priority="21" operator="equal" dxfId="2">
      <formula>"Missed"</formula>
    </cfRule>
  </conditionalFormatting>
  <conditionalFormatting sqref="C74">
    <cfRule type="cellIs" priority="22" operator="lessThanOrEqual" dxfId="2">
      <formula>2</formula>
    </cfRule>
    <cfRule type="cellIs" priority="23" operator="equal" dxfId="1">
      <formula>3</formula>
    </cfRule>
    <cfRule type="cellIs" priority="24" operator="greaterThanOrEqual" dxfId="0">
      <formula>4</formula>
    </cfRule>
  </conditionalFormatting>
  <conditionalFormatting sqref="C80:C84">
    <cfRule type="cellIs" priority="25" operator="equal" dxfId="0">
      <formula>"Met"</formula>
    </cfRule>
    <cfRule type="cellIs" priority="26" operator="equal" dxfId="1">
      <formula>"Partial"</formula>
    </cfRule>
    <cfRule type="cellIs" priority="27" operator="equal" dxfId="2">
      <formula>"Missed"</formula>
    </cfRule>
  </conditionalFormatting>
  <conditionalFormatting sqref="C87">
    <cfRule type="cellIs" priority="28" operator="lessThanOrEqual" dxfId="2">
      <formula>2</formula>
    </cfRule>
    <cfRule type="cellIs" priority="29" operator="equal" dxfId="1">
      <formula>3</formula>
    </cfRule>
    <cfRule type="cellIs" priority="30" operator="greaterThanOrEqual" dxfId="0">
      <formula>4</formula>
    </cfRule>
  </conditionalFormatting>
  <conditionalFormatting sqref="C93:C98">
    <cfRule type="cellIs" priority="31" operator="equal" dxfId="0">
      <formula>"Met"</formula>
    </cfRule>
    <cfRule type="cellIs" priority="32" operator="equal" dxfId="1">
      <formula>"Partial"</formula>
    </cfRule>
    <cfRule type="cellIs" priority="33" operator="equal" dxfId="2">
      <formula>"Missed"</formula>
    </cfRule>
  </conditionalFormatting>
  <conditionalFormatting sqref="C101">
    <cfRule type="cellIs" priority="34" operator="lessThanOrEqual" dxfId="2">
      <formula>2</formula>
    </cfRule>
    <cfRule type="cellIs" priority="35" operator="equal" dxfId="1">
      <formula>3</formula>
    </cfRule>
    <cfRule type="cellIs" priority="36" operator="greaterThanOrEqual" dxfId="0">
      <formula>4</formula>
    </cfRule>
  </conditionalFormatting>
  <conditionalFormatting sqref="C107:C113">
    <cfRule type="cellIs" priority="37" operator="equal" dxfId="0">
      <formula>"Met"</formula>
    </cfRule>
    <cfRule type="cellIs" priority="38" operator="equal" dxfId="1">
      <formula>"Partial"</formula>
    </cfRule>
    <cfRule type="cellIs" priority="39" operator="equal" dxfId="2">
      <formula>"Missed"</formula>
    </cfRule>
  </conditionalFormatting>
  <conditionalFormatting sqref="C116">
    <cfRule type="cellIs" priority="40" operator="lessThanOrEqual" dxfId="2">
      <formula>2</formula>
    </cfRule>
    <cfRule type="cellIs" priority="41" operator="equal" dxfId="1">
      <formula>3</formula>
    </cfRule>
    <cfRule type="cellIs" priority="42" operator="greaterThanOrEqual" dxfId="0">
      <formula>4</formula>
    </cfRule>
  </conditionalFormatting>
  <conditionalFormatting sqref="E128">
    <cfRule type="cellIs" priority="43" operator="greaterThanOrEqual" dxfId="3">
      <formula>0.85</formula>
    </cfRule>
    <cfRule type="cellIs" priority="44" operator="between" dxfId="4">
      <formula>0.70</formula>
      <formula>0.8499</formula>
    </cfRule>
    <cfRule type="cellIs" priority="45" operator="lessThan" dxfId="5">
      <formula>0.70</formula>
    </cfRule>
  </conditionalFormatting>
  <conditionalFormatting sqref="F121:F127">
    <cfRule type="cellIs" priority="46" operator="equal" dxfId="6">
      <formula>"Strong"</formula>
    </cfRule>
    <cfRule type="cellIs" priority="47" operator="equal" dxfId="7">
      <formula>"Developing"</formula>
    </cfRule>
    <cfRule type="cellIs" priority="48" operator="equal" dxfId="8">
      <formula>"Needs Focus"</formula>
    </cfRule>
  </conditionalFormatting>
  <conditionalFormatting sqref="E137">
    <cfRule type="expression" priority="49" dxfId="2">
      <formula>E137&lt;&gt;"OK"</formula>
    </cfRule>
    <cfRule type="expression" priority="50" dxfId="0">
      <formula>E137="OK"</formula>
    </cfRule>
  </conditionalFormatting>
  <conditionalFormatting sqref="C141:C151">
    <cfRule type="cellIs" priority="51" operator="equal" dxfId="2">
      <formula>"Yes"</formula>
    </cfRule>
  </conditionalFormatting>
  <conditionalFormatting sqref="C152">
    <cfRule type="expression" priority="52" dxfId="2">
      <formula>ISNUMBER(SEARCH("YES",C152))</formula>
    </cfRule>
    <cfRule type="expression" priority="53" dxfId="0">
      <formula>NOT(ISNUMBER(SEARCH("YES",C152)))</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operator="between">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D42"/>
  <sheetViews>
    <sheetView showGridLines="0" workbookViewId="0">
      <selection activeCell="A1" sqref="A1"/>
    </sheetView>
  </sheetViews>
  <sheetFormatPr baseColWidth="8" defaultRowHeight="15"/>
  <cols>
    <col width="4" customWidth="1" min="1" max="1"/>
    <col width="30" customWidth="1" min="2" max="2"/>
    <col width="10" customWidth="1" min="3" max="3"/>
    <col width="80" customWidth="1" min="4" max="4"/>
  </cols>
  <sheetData>
    <row r="1" ht="26" customHeight="1">
      <c r="B1" s="104" t="inlineStr">
        <is>
          <t>SCORING GUIDE &amp; CATEGORY CRITERIA</t>
        </is>
      </c>
      <c r="C1" s="67" t="n"/>
      <c r="D1" s="68" t="n"/>
    </row>
    <row r="3">
      <c r="B3" s="125" t="inlineStr">
        <is>
          <t>How to use this form</t>
        </is>
      </c>
      <c r="C3" s="67" t="n"/>
      <c r="D3" s="68" t="n"/>
    </row>
    <row r="4">
      <c r="B4" s="12" t="inlineStr">
        <is>
          <t>1. Fill in Case Information, the Case Summary, and (for multi-touch cases) the Inherited Context field.</t>
        </is>
      </c>
      <c r="C4" s="70" t="n"/>
      <c r="D4" s="69" t="n"/>
    </row>
    <row r="5">
      <c r="B5" s="14" t="inlineStr">
        <is>
          <t>2. For each category, rate every behavioral indicator: Met / Partial / Missed / N.A. (N.A. excludes it from the suggested score).</t>
        </is>
      </c>
      <c r="C5" s="70" t="n"/>
      <c r="D5" s="69" t="n"/>
    </row>
    <row r="6">
      <c r="B6" s="12" t="inlineStr">
        <is>
          <t>3. Record evidence — quotes, timestamps, or note excerpts — beside each indicator.</t>
        </is>
      </c>
      <c r="C6" s="70" t="n"/>
      <c r="D6" s="69" t="n"/>
    </row>
    <row r="7">
      <c r="B7" s="14" t="inlineStr">
        <is>
          <t>4. Review the auto-suggested score, then assign the FINAL 0-5 score using evaluator judgment and the anchors below.</t>
        </is>
      </c>
      <c r="C7" s="70" t="n"/>
      <c r="D7" s="69" t="n"/>
    </row>
    <row r="8">
      <c r="B8" s="12" t="inlineStr">
        <is>
          <t>5. Classify the Resolution Outcome and the primary positive outcome achieved.</t>
        </is>
      </c>
      <c r="C8" s="70" t="n"/>
      <c r="D8" s="69" t="n"/>
    </row>
    <row r="9">
      <c r="B9" s="14" t="inlineStr">
        <is>
          <t>6. Complete the Disconnect Follow-Up check and the Critical Failure checklist.</t>
        </is>
      </c>
      <c r="C9" s="70" t="n"/>
      <c r="D9" s="69" t="n"/>
    </row>
    <row r="10">
      <c r="B10" s="12" t="inlineStr">
        <is>
          <t>7. Write coaching feedback: at least one actionable coaching opportunity is required; add an operational improvement recommendation where applicable.</t>
        </is>
      </c>
      <c r="C10" s="70" t="n"/>
      <c r="D10" s="69" t="n"/>
    </row>
    <row r="11">
      <c r="B11" s="14" t="inlineStr">
        <is>
          <t>8. For multi-touch cases, also read the Multi-Touch Guide sheet and log every touch in the Case Tracker under the same Case ID.</t>
        </is>
      </c>
      <c r="C11" s="70" t="n"/>
      <c r="D11" s="69" t="n"/>
    </row>
    <row r="13">
      <c r="B13" s="125" t="inlineStr">
        <is>
          <t>Score Anchors (0–5 scale)</t>
        </is>
      </c>
      <c r="C13" s="67" t="n"/>
      <c r="D13" s="68" t="n"/>
    </row>
    <row r="14">
      <c r="B14" s="118" t="inlineStr">
        <is>
          <t>Score</t>
        </is>
      </c>
      <c r="C14" s="125" t="inlineStr">
        <is>
          <t>Description</t>
        </is>
      </c>
      <c r="D14" s="68" t="n"/>
    </row>
    <row r="15">
      <c r="B15" s="41" t="inlineStr">
        <is>
          <t>5</t>
        </is>
      </c>
      <c r="C15" s="12" t="inlineStr">
        <is>
          <t>Issue resolved or strongest available outcome achieved</t>
        </is>
      </c>
      <c r="D15" s="69" t="n"/>
    </row>
    <row r="16">
      <c r="B16" s="42" t="inlineStr">
        <is>
          <t>4</t>
        </is>
      </c>
      <c r="C16" s="14" t="inlineStr">
        <is>
          <t>Significant progress made with clear next steps</t>
        </is>
      </c>
      <c r="D16" s="69" t="n"/>
    </row>
    <row r="17">
      <c r="B17" s="41" t="inlineStr">
        <is>
          <t>3</t>
        </is>
      </c>
      <c r="C17" s="12" t="inlineStr">
        <is>
          <t>Partial progress made but opportunities missed</t>
        </is>
      </c>
      <c r="D17" s="69" t="n"/>
    </row>
    <row r="18">
      <c r="B18" s="42" t="inlineStr">
        <is>
          <t>2</t>
        </is>
      </c>
      <c r="C18" s="14" t="inlineStr">
        <is>
          <t>Limited progress despite available troubleshooting paths</t>
        </is>
      </c>
      <c r="D18" s="69" t="n"/>
    </row>
    <row r="19">
      <c r="B19" s="41" t="inlineStr">
        <is>
          <t>1</t>
        </is>
      </c>
      <c r="C19" s="12" t="inlineStr">
        <is>
          <t>Little or no meaningful progress</t>
        </is>
      </c>
      <c r="D19" s="69" t="n"/>
    </row>
    <row r="20">
      <c r="B20" s="42" t="inlineStr">
        <is>
          <t>0</t>
        </is>
      </c>
      <c r="C20" s="14" t="inlineStr">
        <is>
          <t>Agent actions delayed, prevented, or negatively impacted resolution</t>
        </is>
      </c>
      <c r="D20" s="69" t="n"/>
    </row>
    <row r="22">
      <c r="B22" s="125" t="inlineStr">
        <is>
          <t>Indicator ratings</t>
        </is>
      </c>
      <c r="C22" s="67" t="n"/>
      <c r="D22" s="68" t="n"/>
    </row>
    <row r="23">
      <c r="B23" s="41" t="inlineStr">
        <is>
          <t>Met</t>
        </is>
      </c>
      <c r="C23" s="12" t="inlineStr">
        <is>
          <t>Behavior fully demonstrated (counts as 5 toward the suggested score)</t>
        </is>
      </c>
      <c r="D23" s="69" t="n"/>
    </row>
    <row r="24">
      <c r="B24" s="42" t="inlineStr">
        <is>
          <t>Partial</t>
        </is>
      </c>
      <c r="C24" s="14" t="inlineStr">
        <is>
          <t>Behavior attempted but incomplete or inconsistent (counts as 2.5)</t>
        </is>
      </c>
      <c r="D24" s="69" t="n"/>
    </row>
    <row r="25">
      <c r="B25" s="41" t="inlineStr">
        <is>
          <t>Missed</t>
        </is>
      </c>
      <c r="C25" s="12" t="inlineStr">
        <is>
          <t>Behavior expected but not demonstrated (counts as 0)</t>
        </is>
      </c>
      <c r="D25" s="69" t="n"/>
    </row>
    <row r="26">
      <c r="B26" s="42" t="inlineStr">
        <is>
          <t>N.A.</t>
        </is>
      </c>
      <c r="C26" s="14" t="inlineStr">
        <is>
          <t>Not applicable to this interaction (excluded from the suggested score)</t>
        </is>
      </c>
      <c r="D26" s="69" t="n"/>
    </row>
    <row r="28">
      <c r="B28" s="125" t="inlineStr">
        <is>
          <t>Category Objectives &amp; Watch-Fors</t>
        </is>
      </c>
      <c r="C28" s="67" t="n"/>
      <c r="D28" s="68" t="n"/>
    </row>
    <row r="29" ht="60" customHeight="1">
      <c r="B29" s="43" t="inlineStr">
        <is>
          <t>Resolution / Progress Toward Resolution (30%)</t>
        </is>
      </c>
      <c r="C29" s="12" t="inlineStr">
        <is>
          <t>Determine whether the interaction moved the customer meaningfully closer to resolution. Does NOT count: customer simply ends call; generic KB sent without troubleshooting; warranty used as reason to stop helping; escalation as shortcut; unsupported ISP blame; 'monitor &amp; call back' with no plan; ownership transferred without expectations or documentation.</t>
        </is>
      </c>
      <c r="D29" s="69" t="n"/>
    </row>
    <row r="30" ht="60" customHeight="1">
      <c r="B30" s="44" t="inlineStr">
        <is>
          <t>Technical Accuracy (20%)</t>
        </is>
      </c>
      <c r="C30" s="45" t="inlineStr">
        <is>
          <t>Evaluate the quality of troubleshooting and technical guidance. Deduct for: incorrect technical information; skipped critical troubleshooting; misdiagnosis; unnecessary actions recommended; ISP or customer blamed without evidence; repeating basic steps the customer already completed.</t>
        </is>
      </c>
      <c r="D30" s="69" t="n"/>
    </row>
    <row r="31" ht="60" customHeight="1">
      <c r="B31" s="43" t="inlineStr">
        <is>
          <t>Communication &amp; Call Control (15%)</t>
        </is>
      </c>
      <c r="C31" s="12" t="inlineStr">
        <is>
          <t>Evaluate how effectively the agent managed the interaction. High performance: customer always knows what is happening and the agent drives the call confidently. One instruction at a time for customers who need it.</t>
        </is>
      </c>
      <c r="D31" s="69" t="n"/>
    </row>
    <row r="32" ht="60" customHeight="1">
      <c r="B32" s="44" t="inlineStr">
        <is>
          <t>Customer Ownership (15%)</t>
        </is>
      </c>
      <c r="C32" s="45" t="inlineStr">
        <is>
          <t>Measure the degree to which the agent accepted responsibility for moving the customer forward. Automatic deductions: no documented follow-up after disconnect; unclear next steps; passing responsibility without context; failure to complete promised actions; missed or late callbacks without proactive renegotiation.</t>
        </is>
      </c>
      <c r="D32" s="69" t="n"/>
    </row>
    <row r="33" ht="60" customHeight="1">
      <c r="B33" s="43" t="inlineStr">
        <is>
          <t>Escalation Judgment (10%)</t>
        </is>
      </c>
      <c r="C33" s="12" t="inlineStr">
        <is>
          <t>Determine whether escalation decisions were appropriate — including UPWARD escalations the customer requested (management, complaint, legal). Mark all N.A. if no escalation was involved and none was warranted. Low score: premature, avoidable, poorly documented, used as a substitute for troubleshooting — or a warranted escalation (incl. a customer's management request) that was NOT made.</t>
        </is>
      </c>
      <c r="D33" s="69" t="n"/>
    </row>
    <row r="34" ht="60" customHeight="1">
      <c r="B34" s="44" t="inlineStr">
        <is>
          <t>Customer Experience (5%)</t>
        </is>
      </c>
      <c r="C34" s="45" t="inlineStr">
        <is>
          <t>Measure the overall customer experience delivered during the interaction. Negative indicators: dismissive responses; robotic interactions; frustration escalation caused by agent behavior; marathon sessions pushed onto vulnerable customers without offering to pause and resume.</t>
        </is>
      </c>
      <c r="D34" s="69" t="n"/>
    </row>
    <row r="35" ht="60" customHeight="1">
      <c r="B35" s="43" t="inlineStr">
        <is>
          <t>Documentation &amp; Notes (5%)</t>
        </is>
      </c>
      <c r="C35" s="12" t="inlineStr">
        <is>
          <t>Ensure future agents can quickly understand the case. Purpose is continuity, not compliance. Documentation supports outcomes but should not outweigh troubleshooting quality, communication, or ownership. Notes must carry the FULL history — including pre-ticket contacts — so no agent treats a long-running case as new.</t>
        </is>
      </c>
      <c r="D35" s="69" t="n"/>
    </row>
    <row r="37">
      <c r="B37" s="125" t="inlineStr">
        <is>
          <t>Overall Result Bands</t>
        </is>
      </c>
      <c r="C37" s="67" t="n"/>
      <c r="D37" s="68" t="n"/>
    </row>
    <row r="38">
      <c r="B38" s="46" t="inlineStr">
        <is>
          <t>≥ 85%</t>
        </is>
      </c>
      <c r="C38" s="47" t="inlineStr">
        <is>
          <t>Meets / Exceeds — strong support behavior</t>
        </is>
      </c>
      <c r="D38" s="69" t="n"/>
    </row>
    <row r="39">
      <c r="B39" s="48" t="inlineStr">
        <is>
          <t>70–84%</t>
        </is>
      </c>
      <c r="C39" s="49" t="inlineStr">
        <is>
          <t>Developing — coaching opportunities present</t>
        </is>
      </c>
      <c r="D39" s="69" t="n"/>
    </row>
    <row r="40">
      <c r="B40" s="50" t="inlineStr">
        <is>
          <t>&lt; 70%</t>
        </is>
      </c>
      <c r="C40" s="51" t="inlineStr">
        <is>
          <t>Needs improvement — prioritized coaching required</t>
        </is>
      </c>
      <c r="D40" s="69" t="n"/>
    </row>
    <row r="42" ht="40" customHeight="1">
      <c r="B42" s="52" t="inlineStr">
        <is>
          <t>A critical failure overrides the band: any flagged condition requires automatic review regardless of the weighted total. Every review must produce at least one actionable coaching opportunity and, where applicable, one operational improvement recommendation.</t>
        </is>
      </c>
      <c r="C42" s="67" t="n"/>
      <c r="D42" s="68" t="n"/>
    </row>
  </sheetData>
  <mergeCells count="36">
    <mergeCell ref="B11:D11"/>
    <mergeCell ref="C34:D34"/>
    <mergeCell ref="B42:D42"/>
    <mergeCell ref="C24:D24"/>
    <mergeCell ref="C30:D30"/>
    <mergeCell ref="C15:D15"/>
    <mergeCell ref="C33:D33"/>
    <mergeCell ref="B1:D1"/>
    <mergeCell ref="B8:D8"/>
    <mergeCell ref="B13:D13"/>
    <mergeCell ref="C14:D14"/>
    <mergeCell ref="C26:D26"/>
    <mergeCell ref="C35:D35"/>
    <mergeCell ref="B10:D10"/>
    <mergeCell ref="C20:D20"/>
    <mergeCell ref="B28:D28"/>
    <mergeCell ref="C29:D29"/>
    <mergeCell ref="B37:D37"/>
    <mergeCell ref="C16:D16"/>
    <mergeCell ref="C25:D25"/>
    <mergeCell ref="B9:D9"/>
    <mergeCell ref="C40:D40"/>
    <mergeCell ref="C31:D31"/>
    <mergeCell ref="B6:D6"/>
    <mergeCell ref="B5:D5"/>
    <mergeCell ref="B4:D4"/>
    <mergeCell ref="B7:D7"/>
    <mergeCell ref="C17:D17"/>
    <mergeCell ref="C23:D23"/>
    <mergeCell ref="C39:D39"/>
    <mergeCell ref="B3:D3"/>
    <mergeCell ref="C32:D32"/>
    <mergeCell ref="C38:D38"/>
    <mergeCell ref="B22:D22"/>
    <mergeCell ref="C19:D19"/>
    <mergeCell ref="C18:D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5"/>
  <cols>
    <col width="4" customWidth="1" min="1" max="1"/>
    <col width="34" customWidth="1" min="2" max="2"/>
    <col width="110" customWidth="1" min="3" max="3"/>
  </cols>
  <sheetData>
    <row r="1" ht="26" customHeight="1">
      <c r="B1" s="104" t="inlineStr">
        <is>
          <t>MULTI-TOUCH CASE SCORING — HOW IT WORKS</t>
        </is>
      </c>
      <c r="C1" s="68" t="n"/>
    </row>
    <row r="3">
      <c r="B3" s="125" t="inlineStr">
        <is>
          <t>THE MECHANICS</t>
        </is>
      </c>
      <c r="C3" s="68" t="n"/>
    </row>
    <row r="4" ht="72" customHeight="1">
      <c r="B4" s="43" t="inlineStr">
        <is>
          <t>1. One scoring form per touch, not per case</t>
        </is>
      </c>
      <c r="C4" s="12"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c r="B5" s="44" t="inlineStr">
        <is>
          <t>2. Score each agent on THEIR contribution, in the context they inherited</t>
        </is>
      </c>
      <c r="C5" s="45"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c r="B6" s="43" t="inlineStr">
        <is>
          <t>3. Handoff quality is scored on the SENDING agent</t>
        </is>
      </c>
      <c r="C6" s="12"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c r="B7" s="44" t="inlineStr">
        <is>
          <t>4. Critical failures attach to a specific touch</t>
        </is>
      </c>
      <c r="C7" s="45" t="inlineStr">
        <is>
          <t>A premature RESOLVED, a missed callback window, a compliance violation, or an unescalated complaint fails THAT touch's review regardless of how the journey ends — and regardless of that touch's weighted score.</t>
        </is>
      </c>
    </row>
    <row r="8" ht="72" customHeight="1">
      <c r="B8" s="43" t="inlineStr">
        <is>
          <t>5. The journey rolls up in the Case Tracker</t>
        </is>
      </c>
      <c r="C8" s="12"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c r="B9" s="44" t="inlineStr">
        <is>
          <t>6. Watch for journey-level failure patterns</t>
        </is>
      </c>
      <c r="C9" s="45"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25" t="inlineStr">
        <is>
          <t>WORKED JOURNEY — TE00124020 / TE00127492 (Richard &amp; Diana Stell, Linksys WHW03 → MX4200, Apr 1 – May 30, 2026)</t>
        </is>
      </c>
      <c r="C11" s="68" t="n"/>
    </row>
    <row r="12" ht="58" customHeight="1">
      <c r="B12" s="53"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69" t="n"/>
    </row>
    <row r="13">
      <c r="B13" s="121" t="inlineStr">
        <is>
          <t>WHERE THE CHAIN BROKE</t>
        </is>
      </c>
      <c r="C13" s="121" t="inlineStr">
        <is>
          <t>Scored against the touch that caused it</t>
        </is>
      </c>
    </row>
    <row r="14" ht="66" customHeight="1">
      <c r="B14" s="54" t="inlineStr">
        <is>
          <t>Pre-ticket history lost (CRITICAL)</t>
        </is>
      </c>
      <c r="C14" s="12"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c r="B15" s="55" t="inlineStr">
        <is>
          <t>PCI DSS violation (CRITICAL)</t>
        </is>
      </c>
      <c r="C15" s="14"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c r="B16" s="54" t="inlineStr">
        <is>
          <t>Receipt-gate before troubleshooting</t>
        </is>
      </c>
      <c r="C16" s="12"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c r="B17" s="55" t="inlineStr">
        <is>
          <t>Premature RESOLVED ×5</t>
        </is>
      </c>
      <c r="C17" s="14"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c r="B18" s="54" t="inlineStr">
        <is>
          <t>Callback management collapse</t>
        </is>
      </c>
      <c r="C18" s="12"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c r="B19" s="55" t="inlineStr">
        <is>
          <t>Complaint &amp; legal threat not escalated (CRITICAL)</t>
        </is>
      </c>
      <c r="C19" s="14"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c r="B20" s="54" t="inlineStr">
        <is>
          <t>Accessibility never adapted</t>
        </is>
      </c>
      <c r="C20" s="12" t="inlineStr">
        <is>
          <t>Customer stated hearing aids and age on nearly every call; investigation cites the same 'simplify, slow down, one step at a time' opportunity for 4+ different agents. → Communication finding per touch + training-level organizational insight.</t>
        </is>
      </c>
    </row>
    <row r="22">
      <c r="B22" s="125" t="inlineStr">
        <is>
          <t>WHERE THE CHAIN RECOVERED (recognize these touches)</t>
        </is>
      </c>
      <c r="C22" s="68" t="n"/>
    </row>
    <row r="23" ht="50" customHeight="1">
      <c r="B23" s="56" t="inlineStr">
        <is>
          <t>Venn-Emir Calvin (Apr 23)</t>
        </is>
      </c>
      <c r="C23" s="12" t="inlineStr">
        <is>
          <t>Caught the mis-captured email address in under 2 minutes, corrected it, re-sent the guide — clean continuity fix; investigation found no opportunities.</t>
        </is>
      </c>
    </row>
    <row r="24" ht="50" customHeight="1">
      <c r="B24" s="57" t="inlineStr">
        <is>
          <t>Paolo Ebora (May 4)</t>
        </is>
      </c>
      <c r="C24" s="45" t="inlineStr">
        <is>
          <t>98-minute deep dive: HomeKit isolation, interference analysis, firmware validation, captured sysinfo/network logs via remote access, identified 2 bad-RSSI nodes (-90/-93 dBm), provided L2 hotline. Best diagnostics of the journey.</t>
        </is>
      </c>
    </row>
    <row r="25" ht="50" customHeight="1">
      <c r="B25" s="56" t="inlineStr">
        <is>
          <t>Eric Marbella (May 18, technical leg)</t>
        </is>
      </c>
      <c r="C25" s="12"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25" t="inlineStr">
        <is>
          <t>JOURNEY-LEVEL ORGANIZATIONAL INSIGHTS (do not assign to any single agent's score)</t>
        </is>
      </c>
      <c r="C27" s="68" t="n"/>
    </row>
    <row r="28" ht="40" customHeight="1">
      <c r="B28" s="12"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69" t="n"/>
    </row>
    <row r="29" ht="40" customHeight="1">
      <c r="B29" s="14" t="inlineStr">
        <is>
          <t>• Case Management &amp; Closure Process needs reinforcement (per investigation): RESOLVED requires customer-confirmed resolution or a documented closure reason; CALLBACK/PENDING states must be used while work is open.</t>
        </is>
      </c>
      <c r="C29" s="69" t="n"/>
    </row>
    <row r="30" ht="40" customHeight="1">
      <c r="B30" s="12" t="inlineStr">
        <is>
          <t>• Ticket linking: pre-purchase and pre-ticket history must be attached or cross-referenced when a new ticket is opened for the same customer/issue (TE00124020 → TE00127492 gap).</t>
        </is>
      </c>
      <c r="C30" s="69" t="n"/>
    </row>
    <row r="31" ht="40" customHeight="1">
      <c r="B31" s="14" t="inlineStr">
        <is>
          <t>• Compliance: PCI-safe payment flow required for paid support (no card data spoken on a recorded line); audit recordings/transcripts retention for Rec 3.</t>
        </is>
      </c>
      <c r="C31" s="69" t="n"/>
    </row>
    <row r="32" ht="40" customHeight="1">
      <c r="B32" s="12" t="inlineStr">
        <is>
          <t>• Product/advice loop: the MX4200 mixed-mesh recommendation for a 7,000 sq ft home with legacy WHW03 nodes drove 6 purchases without a coverage/topology consult — feed back to sales-advice scripts and KB.</t>
        </is>
      </c>
      <c r="C32" s="69" t="n"/>
    </row>
    <row r="33" ht="40" customHeight="1">
      <c r="B33" s="14" t="inlineStr">
        <is>
          <t>• Vulnerable-customer handling: a standard for elderly / hard-of-hearing customers (pace, one-step instructions, session-length checkpoints, offer to pause and resume) would have changed this journey's trajectory.</t>
        </is>
      </c>
      <c r="C33" s="69" t="n"/>
    </row>
    <row r="35">
      <c r="B35" s="125" t="inlineStr">
        <is>
          <t>THE TEAM / JOURNEY SCORE — SCORING THE CHAIN, NOT JUST THE LINKS</t>
        </is>
      </c>
      <c r="C35" s="68" t="n"/>
    </row>
    <row r="36" ht="46" customHeight="1">
      <c r="B36" s="52"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68" t="n"/>
    </row>
    <row r="37" ht="58" customHeight="1">
      <c r="B37" s="72" t="inlineStr">
        <is>
          <t>Formula</t>
        </is>
      </c>
      <c r="C37" s="12" t="inlineStr">
        <is>
          <t>Team Score = 50% × Average Touch Weighted Score  +  30% × (Journey Outcome ÷ 5)  +  20% × (Continuity &amp; Handoffs ÷ 5). Execution gets half the weight; the other half belongs to what the customer actually experienced — the end result and how well the chain held together. Same result bands as individual scores (≥85% / 70-84% / &lt;70%). Any journey containing a critical failure carries the automatic-review flag regardless of its Team Score.</t>
        </is>
      </c>
    </row>
    <row r="38" ht="52" customHeight="1">
      <c r="B38" s="44" t="inlineStr">
        <is>
          <t>Journey Outcome anchors (0-5)</t>
        </is>
      </c>
      <c r="C38" s="14" t="inlineStr">
        <is>
          <t>5 = issue resolved AND confirmed with the customer, positive close · 4 = resolved with minor friction · 3 = partial resolution or accepted workaround with a clear path · 2 = unresolved but customer holds a valid, owned next step · 1 = unresolved and the customer disengaged · 0 = customer harmed, churned, or left with legal/compliance exposure.</t>
        </is>
      </c>
    </row>
    <row r="39" ht="52" customHeight="1">
      <c r="B39" s="44" t="inlineStr">
        <is>
          <t>Continuity &amp; Handoffs anchors (0-5)</t>
        </is>
      </c>
      <c r="C39" s="12" t="inlineStr">
        <is>
          <t>5 = seamless handoffs; no agent restarted from zero; statuses always truthful · 4 = minor gaps, quickly recovered · 3 = some repeated work, but the thread held · 2 = significant rework caused by thin notes or wrong statuses · 1 = chain repeatedly broke (lost history, premature closures, shifting promises) · 0 = continuity collapse itself drove the complaint.</t>
        </is>
      </c>
    </row>
    <row r="40" ht="84" customHeight="1">
      <c r="B40" s="44" t="inlineStr">
        <is>
          <t>Worked example (Stell journey)</t>
        </is>
      </c>
      <c r="C40" s="14"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c r="B41" s="44" t="inlineStr">
        <is>
          <t>Crediting the team</t>
        </is>
      </c>
      <c r="C41" s="12"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25" t="inlineStr">
        <is>
          <t>CONTRIBUTION TYPE &amp; HANDOFF QUALITY — PER-TOUCH IMPACT TAGS</t>
        </is>
      </c>
      <c r="C43" s="68" t="n"/>
    </row>
    <row r="44" ht="46" customHeight="1">
      <c r="B44" s="52"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68" t="n"/>
    </row>
    <row r="45" ht="66" customHeight="1">
      <c r="B45" s="44" t="inlineStr">
        <is>
          <t>Contribution Type (per touch)</t>
        </is>
      </c>
      <c r="C45" s="12"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c r="B46" s="44" t="inlineStr">
        <is>
          <t>Handoff Quality (0-5, per touch)</t>
        </is>
      </c>
      <c r="C46" s="14"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c r="B47" s="44" t="inlineStr">
        <is>
          <t>Stell journey pattern</t>
        </is>
      </c>
      <c r="C47" s="12"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2" activePane="bottomLeft" state="frozen"/>
      <selection pane="bottomLeft" activeCell="A1" sqref="A1"/>
    </sheetView>
  </sheetViews>
  <sheetFormatPr baseColWidth="8" defaultRowHeight="15"/>
  <cols>
    <col width="3" customWidth="1" min="1" max="1"/>
    <col width="36" customWidth="1" min="2" max="2"/>
    <col width="52" customWidth="1" min="3" max="3"/>
    <col width="58" customWidth="1" min="4" max="4"/>
  </cols>
  <sheetData>
    <row r="1" ht="28" customHeight="1">
      <c r="B1" s="104" t="inlineStr">
        <is>
          <t>TEAM SCORING — METHODOLOGY &amp; TEAM OPPORTUNITY ANALYSIS</t>
        </is>
      </c>
      <c r="C1" s="67" t="n"/>
      <c r="D1" s="68" t="n"/>
    </row>
    <row r="2" ht="32" customHeight="1">
      <c r="B2" s="105" t="inlineStr">
        <is>
          <t>Individual forms answer 'how did this agent do?'. Team Scoring answers 'how did the CHAIN perform for the customer?' and 'what should we coach, fix, or build as a TEAM?'. The scorecard below is live from the Case Tracker; the worked example is the Stell journey (rows 5-17).</t>
        </is>
      </c>
      <c r="C2" s="67" t="n"/>
      <c r="D2" s="68" t="n"/>
    </row>
    <row r="4" ht="24" customHeight="1">
      <c r="B4" s="106" t="inlineStr">
        <is>
          <t>◆  LIVE TEAM SCORECARD  ·  TE00124020 + TE00127492 (Stell Journey)  ◆</t>
        </is>
      </c>
      <c r="C4" s="126" t="n"/>
      <c r="D4" s="127" t="n"/>
    </row>
    <row r="5" ht="16" customHeight="1">
      <c r="B5" s="107" t="inlineStr">
        <is>
          <t>TEAM SCORE</t>
        </is>
      </c>
      <c r="C5" s="107" t="inlineStr">
        <is>
          <t>RESULT BAND</t>
        </is>
      </c>
      <c r="D5" s="107" t="inlineStr">
        <is>
          <t>CONTAINS CRITICAL FAILURE?</t>
        </is>
      </c>
    </row>
    <row r="6" ht="64" customHeight="1">
      <c r="B6" s="108">
        <f>'Case Tracker'!G56</f>
        <v/>
      </c>
      <c r="C6" s="109">
        <f>UPPER('Case Tracker'!H56)</f>
        <v/>
      </c>
      <c r="D6" s="110" t="inlineStr">
        <is>
          <t>YES — automatic review</t>
        </is>
      </c>
    </row>
    <row r="7" ht="16" customHeight="1">
      <c r="B7" s="111" t="inlineStr">
        <is>
          <t>EXECUTION  (50% weight)</t>
        </is>
      </c>
      <c r="C7" s="111" t="inlineStr">
        <is>
          <t>JOURNEY OUTCOME  (30% weight)</t>
        </is>
      </c>
      <c r="D7" s="111" t="inlineStr">
        <is>
          <t>CONTINUITY &amp; HANDOFFS  (20% weight)</t>
        </is>
      </c>
    </row>
    <row r="8" ht="28" customHeight="1">
      <c r="B8" s="112">
        <f>TEXT('Case Tracker'!D56,"0.0%")&amp;"  avg of "&amp;'Case Tracker'!C56&amp;" touches"</f>
        <v/>
      </c>
      <c r="C8" s="113">
        <f>'Case Tracker'!E56&amp;" / 5"</f>
        <v/>
      </c>
      <c r="D8" s="113">
        <f>'Case Tracker'!F56&amp;" / 5"</f>
        <v/>
      </c>
    </row>
    <row r="9" ht="22" customHeight="1">
      <c r="B9" s="114">
        <f>" = 50% × "&amp;TEXT('Case Tracker'!D56,"0.0%")&amp;"  +  30% × ("&amp;'Case Tracker'!E56&amp;"÷5)  +  20% × ("&amp;'Case Tracker'!F56&amp;"÷5)  =  "&amp;TEXT('Case Tracker'!G56,"0.0%")&amp;"   (the chain, not just the links)"</f>
        <v/>
      </c>
      <c r="C9" s="126" t="n"/>
      <c r="D9" s="127" t="n"/>
    </row>
    <row r="10" ht="28" customHeight="1">
      <c r="B10" s="115" t="inlineStr">
        <is>
          <t>↑ Updates automatically from the Case Tracker (Team/Journey Scores, row 56). Edit Outcome / Continuity there and this scorecard moves with it. For your own journeys, copy this block and point it at the relevant journey row.</t>
        </is>
      </c>
      <c r="C10" s="70" t="n"/>
      <c r="D10" s="69" t="n"/>
    </row>
    <row r="12">
      <c r="B12" s="125" t="inlineStr">
        <is>
          <t>1 · WHY A TEAM SCORE EXISTS</t>
        </is>
      </c>
      <c r="C12" s="67" t="n"/>
      <c r="D12" s="68" t="n"/>
    </row>
    <row r="13" ht="72" customHeight="1">
      <c r="B13" s="89"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70" t="n"/>
      <c r="D13" s="69" t="n"/>
    </row>
    <row r="15">
      <c r="B15" s="125" t="inlineStr">
        <is>
          <t>2 · THE FORMULA, COMPONENT BY COMPONENT</t>
        </is>
      </c>
      <c r="C15" s="67" t="n"/>
      <c r="D15" s="68" t="n"/>
    </row>
    <row r="16">
      <c r="B16" s="125" t="inlineStr">
        <is>
          <t>Component</t>
        </is>
      </c>
      <c r="C16" s="125" t="inlineStr">
        <is>
          <t>What it measures &amp; why this weight</t>
        </is>
      </c>
      <c r="D16" s="125" t="inlineStr">
        <is>
          <t>Stell journey worked numbers</t>
        </is>
      </c>
    </row>
    <row r="17" ht="104" customHeight="1">
      <c r="B17" s="88" t="inlineStr">
        <is>
          <t>EXECUTION — 50%
Average of all touch weighted scores</t>
        </is>
      </c>
      <c r="C17" s="89"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89" t="inlineStr">
        <is>
          <t>13 touches averaging ≈ 57%. Two strong touches (Venn-Emir 83%, Paolo Ebora 71%), one collapse (Riojene 31%), the rest 47-64%. Verdict: a mid-performing team on paper.</t>
        </is>
      </c>
    </row>
    <row r="18" ht="104" customHeight="1">
      <c r="B18" s="90" t="inlineStr">
        <is>
          <t>JOURNEY OUTCOME — 30%
Evaluator-judged 0-5</t>
        </is>
      </c>
      <c r="C18" s="91"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91" t="inlineStr">
        <is>
          <t>0/5 — unresolved after 7 weeks and ~15 hours; CSAT 1/5; Resolution Rate: No; SLA breached (&gt;30 days); legal threat raised; customer scrapped 6 new MX4200s and switched to Eero.</t>
        </is>
      </c>
    </row>
    <row r="19" ht="104" customHeight="1">
      <c r="B19" s="88" t="inlineStr">
        <is>
          <t>CONTINUITY &amp; HANDOFFS — 20%
Evaluator-judged 0-5</t>
        </is>
      </c>
      <c r="C19" s="89"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89" t="inlineStr">
        <is>
          <t>1/5 — pre-ticket history (6 calls incl. a $30 paid session) invisible to every later agent; RESOLVED set 5× on an unresolved issue; callback promises shifted constantly; customer re-explained from scratch repeatedly. Venn-Emir's email fix and the L2 diagnostic handoffs prevent a 0.</t>
        </is>
      </c>
    </row>
    <row r="20" ht="30" customHeight="1">
      <c r="B20" s="117" t="inlineStr">
        <is>
          <t>TEAM SCORE  =  50% × 57%  +  30% × (0÷5)  +  20% × (1÷5)  ≈  33%   →   NEEDS IMPROVEMENT   (automatic-review flag also applies: the journey contains critical failures)</t>
        </is>
      </c>
      <c r="C20" s="67" t="n"/>
      <c r="D20" s="68" t="n"/>
    </row>
    <row r="22">
      <c r="B22" s="125" t="inlineStr">
        <is>
          <t>3 · READING THE RESULT — THE GAP IS THE DIAGNOSIS</t>
        </is>
      </c>
      <c r="C22" s="67" t="n"/>
      <c r="D22" s="68" t="n"/>
    </row>
    <row r="23" ht="46" customHeight="1">
      <c r="B23" s="88" t="inlineStr">
        <is>
          <t>Team Score ≈ Execution average</t>
        </is>
      </c>
      <c r="C23" s="89" t="inlineStr">
        <is>
          <t>The chain neither helped nor hurt. Coach individuals on their own findings; no major process action.</t>
        </is>
      </c>
      <c r="D23" s="69" t="n"/>
    </row>
    <row r="24" ht="46" customHeight="1">
      <c r="B24" s="90" t="inlineStr">
        <is>
          <t>Team Score WELL ABOVE Execution average</t>
        </is>
      </c>
      <c r="C24" s="91" t="inlineStr">
        <is>
          <t>Strong outcome/continuity lifted ordinary touches — the process carried the team. Recognize the chain and the process owners; capture what worked as a standard.</t>
        </is>
      </c>
      <c r="D24" s="69" t="n"/>
    </row>
    <row r="25" ht="46" customHeight="1">
      <c r="B25" s="88" t="inlineStr">
        <is>
          <t>Team Score WELL BELOW Execution average  ← Stell: 57% vs 33%</t>
        </is>
      </c>
      <c r="C25" s="89" t="inlineStr">
        <is>
          <t>Individually 'acceptable' agents, collectively a lost customer. The failure lives BETWEEN touches: handoffs, statuses, callbacks, ticket linking. Coaching individuals harder will NOT fix this — the action plan must target process, with named owners and dates.</t>
        </is>
      </c>
      <c r="D25" s="69" t="n"/>
    </row>
    <row r="27">
      <c r="B27" s="125" t="inlineStr">
        <is>
          <t>4 · TEAM CATEGORY HEATMAP — WHERE THE TEAM IS WEAK (live formulas over Case Tracker rows 5-17)</t>
        </is>
      </c>
      <c r="C27" s="67" t="n"/>
      <c r="D27" s="68" t="n"/>
    </row>
    <row r="28" ht="40" customHeight="1">
      <c r="B28" s="98" t="inlineStr">
        <is>
          <t>Averaging each category ACROSS all touches turns 13 individual reviews into one team profile. Categories below ~2.75 are team-wide coaching themes — they recur regardless of which agent is on the line, so the cause is training, process, or tooling rather than one person.</t>
        </is>
      </c>
      <c r="C28" s="70" t="n"/>
      <c r="D28" s="69" t="n"/>
    </row>
    <row r="29">
      <c r="B29" s="125" t="inlineStr">
        <is>
          <t>Category (weight)</t>
        </is>
      </c>
      <c r="C29" s="118" t="inlineStr">
        <is>
          <t>Team avg (0-5)</t>
        </is>
      </c>
      <c r="D29" s="125" t="inlineStr">
        <is>
          <t>What the journey shows</t>
        </is>
      </c>
    </row>
    <row r="30" ht="44" customHeight="1">
      <c r="B30" s="88" t="inlineStr">
        <is>
          <t>Resolution / Progress (30%)</t>
        </is>
      </c>
      <c r="C30" s="119">
        <f>ROUND(AVERAGE('Case Tracker'!E5:E17),2)</f>
        <v/>
      </c>
      <c r="D30" s="89" t="inlineStr">
        <is>
          <t>Touches repeatedly 'completed' without confirming the customer's actual complaint (streaming stability) was fixed — progress theater, not progress.</t>
        </is>
      </c>
    </row>
    <row r="31" ht="44" customHeight="1">
      <c r="B31" s="90" t="inlineStr">
        <is>
          <t>Technical Accuracy (20%)</t>
        </is>
      </c>
      <c r="C31" s="120">
        <f>ROUND(AVERAGE('Case Tracker'!F5:F17),2)</f>
        <v/>
      </c>
      <c r="D31" s="91" t="inlineStr">
        <is>
          <t>TEAM STRENGTH. Diagnostics were largely sound — RSSI analysis, isolation logic, log capture. The team did not lose this customer on technical skill.</t>
        </is>
      </c>
    </row>
    <row r="32" ht="44" customHeight="1">
      <c r="B32" s="88" t="inlineStr">
        <is>
          <t>Communication &amp; Call Control (15%)</t>
        </is>
      </c>
      <c r="C32" s="119">
        <f>ROUND(AVERAGE('Case Tracker'!G5:G17),2)</f>
        <v/>
      </c>
      <c r="D32" s="89" t="inlineStr">
        <is>
          <t>Same finding on 4+ different agents: simplify, slow down, one step at a time, adapt to hearing difficulty. Agent-independent = training gap, not attitude gap.</t>
        </is>
      </c>
    </row>
    <row r="33" ht="44" customHeight="1">
      <c r="B33" s="90" t="inlineStr">
        <is>
          <t>Customer Ownership (15%)</t>
        </is>
      </c>
      <c r="C33" s="120">
        <f>ROUND(AVERAGE('Case Tracker'!H5:H17),2)</f>
        <v/>
      </c>
      <c r="D33" s="91" t="inlineStr">
        <is>
          <t>THE WEAKEST CATEGORY. Missed/late callbacks, shifting promises, no contingency when a window slipped, premature closures. The core driver of the CSAT 1 and churn.</t>
        </is>
      </c>
    </row>
    <row r="34" ht="44" customHeight="1">
      <c r="B34" s="88" t="inlineStr">
        <is>
          <t>Escalation Judgment (10%)</t>
        </is>
      </c>
      <c r="C34" s="119">
        <f>ROUND(AVERAGE('Case Tracker'!I5:I17),2)</f>
        <v/>
      </c>
      <c r="D34" s="89" t="inlineStr">
        <is>
          <t>Technical escalations were mostly justified; the catastrophic miss was the UPWARD one — a management/legal request that never moved.</t>
        </is>
      </c>
    </row>
    <row r="35" ht="44" customHeight="1">
      <c r="B35" s="90" t="inlineStr">
        <is>
          <t>Customer Experience (5%)</t>
        </is>
      </c>
      <c r="C35" s="120">
        <f>ROUND(AVERAGE('Case Tracker'!J5:J17),2)</f>
        <v/>
      </c>
      <c r="D35" s="91" t="inlineStr">
        <is>
          <t>Politeness was consistent; effort-reduction was not. 80-year-old customers ran marathon sessions, repeated their story, and chased their own callbacks.</t>
        </is>
      </c>
    </row>
    <row r="36" ht="44" customHeight="1">
      <c r="B36" s="88" t="inlineStr">
        <is>
          <t>Documentation &amp; Notes (5%)</t>
        </is>
      </c>
      <c r="C36" s="119">
        <f>ROUND(AVERAGE('Case Tracker'!K5:K17),2)</f>
        <v/>
      </c>
      <c r="D36" s="89" t="inlineStr">
        <is>
          <t>Second-weakest. Wrong email captured, 'no troubleshooting made', history not linked, closure reasons absent, status toggled RESOLVED 5×.</t>
        </is>
      </c>
    </row>
    <row r="37" ht="44" customHeight="1">
      <c r="B37" s="93" t="inlineStr">
        <is>
          <t>Reading: red (&lt;2.75) = team coaching theme · yellow (2.75-3.49) = monitor &amp; spot-coach · green (≥3.5) = team strength to protect. Stell profile: a technically capable team losing cases on Ownership, Documentation, and Communication — exactly the 'systemic breakdown in callback management, case ownership, and documentation control' the Concentrix investigation named.</t>
        </is>
      </c>
      <c r="C37" s="67" t="n"/>
      <c r="D37" s="68" t="n"/>
    </row>
    <row r="39">
      <c r="B39" s="121" t="inlineStr">
        <is>
          <t>5 · TEAM OPPORTUNITIES IDENTIFIED — STELL JOURNEY (the team action plan)</t>
        </is>
      </c>
      <c r="C39" s="67" t="n"/>
      <c r="D39" s="68" t="n"/>
    </row>
    <row r="40">
      <c r="B40" s="125" t="inlineStr">
        <is>
          <t>Opportunity (category)</t>
        </is>
      </c>
      <c r="C40" s="125" t="inlineStr">
        <is>
          <t>Evidence across touches (why it's a TEAM issue, not one agent)</t>
        </is>
      </c>
      <c r="D40" s="125" t="inlineStr">
        <is>
          <t>Team action &amp; suggested owner</t>
        </is>
      </c>
    </row>
    <row r="41" ht="88" customHeight="1">
      <c r="B41" s="88" t="inlineStr">
        <is>
          <t>1. Callback management discipline (Ownership)</t>
        </is>
      </c>
      <c r="C41" s="89" t="inlineStr">
        <is>
          <t>Apr 1: 2-3h promised vs 24-48h process. May 4: '24h' revised to '2h'. May 18: three different L1s gave three different windows in one afternoon. May 19: agreed window missed 42-66 min with conflicting explanations. Post-survey: 'they never call back as promised.' At least 6 agents involved — systemic.</t>
        </is>
      </c>
      <c r="D41" s="89" t="inlineStr">
        <is>
          <t>Enforced callback calendaring: commitment booked at agreement time; a proactive renegotiation message is MANDATORY before any window at risk; every customer gets a fallback instruction ('if we miss X, do Y'). Owner: Team Captains (Baynos/Dona) + workflow tooling request.</t>
        </is>
      </c>
    </row>
    <row r="42" ht="88" customHeight="1">
      <c r="B42" s="90" t="inlineStr">
        <is>
          <t>2. Closure &amp; status discipline (Documentation/Ownership)</t>
        </is>
      </c>
      <c r="C42" s="91" t="inlineStr">
        <is>
          <t>RESOLVED set 5× (Apr 28, May 1, May 4, May 18, May 19) by 4 different agents while the streaming complaint was never confirmed fixed; final closure had no documented reason. Multiple agents using RESOLVED as 'I'm done', not 'customer is fixed.'</t>
        </is>
      </c>
      <c r="D42" s="91" t="inlineStr">
        <is>
          <t>Reinforce 'Linksys CAT Case Management and Closure Process': RESOLVED requires customer confirmation or a documented closure reason; otherwise CALLBACK/PENDING. Spot-audit closures weekly for a month. Owner: TCs Baynos &amp; Dona.</t>
        </is>
      </c>
    </row>
    <row r="43" ht="88" customHeight="1">
      <c r="B43" s="88" t="inlineStr">
        <is>
          <t>3. Continuity &amp; ticket linking (Documentation)</t>
        </is>
      </c>
      <c r="C43" s="89" t="inlineStr">
        <is>
          <t>Six pre-ticket contacts (incl. the $30 paid session and the advice that drove the purchase) were invisible to every agent on TE00127492; Aysah logged '4 calls' when 7+ existed; each new agent restarted discovery and the customer re-told the story every time.</t>
        </is>
      </c>
      <c r="D43" s="89" t="inlineStr">
        <is>
          <t>Process: when a new ticket is opened for an existing customer/issue, prior tickets are searched and cross-linked before first response; contact counts come from records, not memory. Owner: QA + HappyFox admin (tooling: auto-suggest related tickets).</t>
        </is>
      </c>
    </row>
    <row r="44" ht="88" customHeight="1">
      <c r="B44" s="90" t="inlineStr">
        <is>
          <t>4. Vulnerable-customer standard (Communication/CX)</t>
        </is>
      </c>
      <c r="C44" s="91" t="inlineStr">
        <is>
          <t>The SAME coaching note — simplify, slow down, one instruction at a time, adapt to hearing aids — appears for Charmaigne, Nathan, Paolo (both), Joziel, Girly Joy, and Eric. When 6 agents share a gap, the team was never trained on it.</t>
        </is>
      </c>
      <c r="D44" s="91" t="inlineStr">
        <is>
          <t>Build and train a vulnerable-customer interaction standard: pace rules, one-step instructions, comprehension checks, session-length checkpoints with offer to pause/resume, large-home/elderly setup playbook. Owner: Training; QA monitors the indicator now on the form.</t>
        </is>
      </c>
    </row>
    <row r="45" ht="88" customHeight="1">
      <c r="B45" s="88" t="inlineStr">
        <is>
          <t>5. Policy vs. active-issue balance (Resolution)</t>
        </is>
      </c>
      <c r="C45" s="89" t="inlineStr">
        <is>
          <t>May 1: troubleshooting refused pending a warranty receipt while the customer sat in 5-min drop cycles — and the receipt requirement came AFTER the team had advised the purchase. Policy execution beat customer outcome.</t>
        </is>
      </c>
      <c r="D45" s="89" t="inlineStr">
        <is>
          <t>Clarify sequencing: warranty validation may run IN PARALLEL with troubleshooting an active issue, never instead of it. Add to L1 playbook with examples. Owner: Team Captains + Process/PMO.</t>
        </is>
      </c>
    </row>
    <row r="46" ht="88" customHeight="1">
      <c r="B46" s="90" t="inlineStr">
        <is>
          <t>6. Complaint &amp; legal-risk escalation path (Escalation)</t>
        </is>
      </c>
      <c r="C46" s="91" t="inlineStr">
        <is>
          <t>An explicit 'I want management before I talk to a lawyer' email from an 80-year-old customer produced a wording consultation, not an escalation. No DSAT/management record until PMO intervened 8 days later. No agent knew or used the trigger.</t>
        </is>
      </c>
      <c r="D46" s="91" t="inlineStr">
        <is>
          <t>Same-day mandatory escalation for management requests, legal references, and vulnerable-customer harm; one-click DSAT path; a TC consult does NOT substitute for escalation. Owner: Operations leadership; QA enforces via the critical-failure checklist (already on the form).</t>
        </is>
      </c>
    </row>
    <row r="47" ht="88" customHeight="1">
      <c r="B47" s="88" t="inlineStr">
        <is>
          <t>7. Compliance: payment handling (Critical)</t>
        </is>
      </c>
      <c r="C47" s="89" t="inlineStr">
        <is>
          <t>Card number, CVV, and expiry spoken on a recorded line and captured in a plaintext transcript during the $30 paid session; the charge itself never documented in any ticket — a PCI DSS violation plus a billing-audit gap.</t>
        </is>
      </c>
      <c r="D47" s="89" t="inlineStr">
        <is>
          <t>Immediate: restrict Rec 3 artifacts and run compliance review. Structural: PCI-safe payment flow (IVR/secure link — never card data on a recorded line); paid-support charges logged to the ticket. Owner: Compliance + Operations.</t>
        </is>
      </c>
    </row>
    <row r="48" ht="88" customHeight="1">
      <c r="B48" s="90" t="inlineStr">
        <is>
          <t>8. Product-advice feedback loop (Org/Product)</t>
        </is>
      </c>
      <c r="C48" s="91" t="inlineStr">
        <is>
          <t>Support advice drove 6 MX4200 purchases into a 7,000 sq ft home with legacy WHW03 nodes without a coverage/topology consult; mixed-mesh instability then consumed ~15 hours of support and ended in churn anyway.</t>
        </is>
      </c>
      <c r="D48" s="91" t="inlineStr">
        <is>
          <t>Feed back to sales-advice scripts and KB: large-home upgrade recommendations require a node-count/placement consult and written mixed-generation compatibility caveats. Owner: KB team + Product feedback channel.</t>
        </is>
      </c>
    </row>
    <row r="50">
      <c r="B50" s="125" t="inlineStr">
        <is>
          <t>6 · HOW TO RUN A TEAM REVIEW FOR YOUR OWN JOURNEYS (~30 min once touches are scored)</t>
        </is>
      </c>
      <c r="C50" s="67" t="n"/>
      <c r="D50" s="68" t="n"/>
    </row>
    <row r="51" ht="40" customHeight="1">
      <c r="B51" s="122" t="inlineStr">
        <is>
          <t>Step 1</t>
        </is>
      </c>
      <c r="C51" s="89" t="inlineStr">
        <is>
          <t>Score every touch individually first (Scoring Form per agent) and log all rows in the Case Tracker under the same Case ID.</t>
        </is>
      </c>
      <c r="D51" s="69" t="n"/>
    </row>
    <row r="52" ht="40" customHeight="1">
      <c r="B52" s="123" t="inlineStr">
        <is>
          <t>Step 2</t>
        </is>
      </c>
      <c r="C52" s="9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69" t="n"/>
    </row>
    <row r="53" ht="40" customHeight="1">
      <c r="B53" s="122" t="inlineStr">
        <is>
          <t>Step 3</t>
        </is>
      </c>
      <c r="C53" s="89" t="inlineStr">
        <is>
          <t>Compare Team Score vs Execution average (section 3). A big negative gap = process problem; flag it as such in your report.</t>
        </is>
      </c>
      <c r="D53" s="69" t="n"/>
    </row>
    <row r="54" ht="40" customHeight="1">
      <c r="B54" s="123" t="inlineStr">
        <is>
          <t>Step 4</t>
        </is>
      </c>
      <c r="C54" s="91" t="inlineStr">
        <is>
          <t>Build the category heatmap: average each category column across the journey's tracker rows (copy the section-4 formulas, adjusting the row range). Bottom two categories = your team coaching themes.</t>
        </is>
      </c>
      <c r="D54" s="69" t="n"/>
    </row>
    <row r="55" ht="40" customHeight="1">
      <c r="B55" s="122" t="inlineStr">
        <is>
          <t>Step 5</t>
        </is>
      </c>
      <c r="C55" s="89" t="inlineStr">
        <is>
          <t>Scan for recurring patterns: same coaching note on 3+ agents (training gap) · same broken-promise type on 2+ touches (process gap) · any premature closure, lost history, or unescalated complaint (critical — name it).</t>
        </is>
      </c>
      <c r="D55" s="69" t="n"/>
    </row>
    <row r="56" ht="40" customHeight="1">
      <c r="B56" s="123" t="inlineStr">
        <is>
          <t>Step 6</t>
        </is>
      </c>
      <c r="C56" s="91" t="inlineStr">
        <is>
          <t>Write the team action plan: every opportunity gets an action, a NAMED owner, and a date (section 5 is the model). Recognize the chain's best touches explicitly — including small continuity saves. Deliver individual feedback separately from this team review.</t>
        </is>
      </c>
      <c r="D56" s="69" t="n"/>
    </row>
    <row r="58" ht="36" customHeight="1">
      <c r="B58" s="93"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67" t="n"/>
      <c r="D58" s="68" t="n"/>
    </row>
    <row r="60" ht="22" customHeight="1">
      <c r="B60" s="125" t="inlineStr">
        <is>
          <t>7 · CONTRIBUTION TYPE &amp; HANDOFF QUALITY — LIVE PER-TOUCH BREAKDOWN</t>
        </is>
      </c>
      <c r="C60" s="67" t="n"/>
      <c r="D60" s="68" t="n"/>
    </row>
    <row r="61" ht="32" customHeight="1">
      <c r="B61" s="52" t="inlineStr">
        <is>
          <t>Pulled live from the Case Tracker (columns O &amp; P). Use this to judge the Continuity &amp; Handoffs component above — it shows WHERE the chain held and WHERE it broke, touch by touch, instead of one averaged number.</t>
        </is>
      </c>
      <c r="C61" s="67" t="n"/>
      <c r="D61" s="68" t="n"/>
    </row>
    <row r="62" ht="34" customHeight="1">
      <c r="B62" s="128">
        <f>"Contribution mix across 13 touches:  "&amp;COUNTIF('Case Tracker'!O5:O17,"Resolver")&amp;" Resolver · "&amp;COUNTIF('Case Tracker'!O5:O17,"Progress Builder")&amp;" Progress Builder · "&amp;COUNTIF('Case Tracker'!O5:O17,"Maintainer")&amp;" Maintainer · "&amp;COUNTIF('Case Tracker'!O5:O17,"Regression Contributor")&amp;" Regression Contributor.   Average Handoff Quality (touches 1-12): "&amp;TEXT(AVERAGE('Case Tracker'!P5:P16),"0.0")&amp;" / 5"</f>
        <v/>
      </c>
      <c r="C62" s="67" t="n"/>
      <c r="D62" s="68" t="n"/>
    </row>
    <row r="63" ht="24" customHeight="1">
      <c r="B63" s="129" t="inlineStr">
        <is>
          <t>Touch (Agent)</t>
        </is>
      </c>
      <c r="C63" s="130" t="inlineStr">
        <is>
          <t>Contribution Type</t>
        </is>
      </c>
      <c r="D63" s="130" t="inlineStr">
        <is>
          <t>Handoff Quality (0-5)</t>
        </is>
      </c>
    </row>
    <row r="64">
      <c r="B64" s="14">
        <f>'Case Tracker'!D5&amp;" - "&amp;'Case Tracker'!C5</f>
        <v/>
      </c>
      <c r="C64" s="131">
        <f>'Case Tracker'!O5</f>
        <v/>
      </c>
      <c r="D64" s="131">
        <f>'Case Tracker'!P5</f>
        <v/>
      </c>
    </row>
    <row r="65">
      <c r="B65" s="12">
        <f>'Case Tracker'!D6&amp;" - "&amp;'Case Tracker'!C6</f>
        <v/>
      </c>
      <c r="C65" s="132">
        <f>'Case Tracker'!O6</f>
        <v/>
      </c>
      <c r="D65" s="132">
        <f>'Case Tracker'!P6</f>
        <v/>
      </c>
    </row>
    <row r="66">
      <c r="B66" s="14">
        <f>'Case Tracker'!D7&amp;" - "&amp;'Case Tracker'!C7</f>
        <v/>
      </c>
      <c r="C66" s="131">
        <f>'Case Tracker'!O7</f>
        <v/>
      </c>
      <c r="D66" s="131">
        <f>'Case Tracker'!P7</f>
        <v/>
      </c>
    </row>
    <row r="67">
      <c r="B67" s="12">
        <f>'Case Tracker'!D8&amp;" - "&amp;'Case Tracker'!C8</f>
        <v/>
      </c>
      <c r="C67" s="132">
        <f>'Case Tracker'!O8</f>
        <v/>
      </c>
      <c r="D67" s="132">
        <f>'Case Tracker'!P8</f>
        <v/>
      </c>
    </row>
    <row r="68">
      <c r="B68" s="14">
        <f>'Case Tracker'!D9&amp;" - "&amp;'Case Tracker'!C9</f>
        <v/>
      </c>
      <c r="C68" s="131">
        <f>'Case Tracker'!O9</f>
        <v/>
      </c>
      <c r="D68" s="131">
        <f>'Case Tracker'!P9</f>
        <v/>
      </c>
    </row>
    <row r="69">
      <c r="B69" s="12">
        <f>'Case Tracker'!D10&amp;" - "&amp;'Case Tracker'!C10</f>
        <v/>
      </c>
      <c r="C69" s="132">
        <f>'Case Tracker'!O10</f>
        <v/>
      </c>
      <c r="D69" s="132">
        <f>'Case Tracker'!P10</f>
        <v/>
      </c>
    </row>
    <row r="70">
      <c r="B70" s="14">
        <f>'Case Tracker'!D11&amp;" - "&amp;'Case Tracker'!C11</f>
        <v/>
      </c>
      <c r="C70" s="131">
        <f>'Case Tracker'!O11</f>
        <v/>
      </c>
      <c r="D70" s="131">
        <f>'Case Tracker'!P11</f>
        <v/>
      </c>
    </row>
    <row r="71">
      <c r="B71" s="12">
        <f>'Case Tracker'!D12&amp;" - "&amp;'Case Tracker'!C12</f>
        <v/>
      </c>
      <c r="C71" s="132">
        <f>'Case Tracker'!O12</f>
        <v/>
      </c>
      <c r="D71" s="132">
        <f>'Case Tracker'!P12</f>
        <v/>
      </c>
    </row>
    <row r="72">
      <c r="B72" s="14">
        <f>'Case Tracker'!D13&amp;" - "&amp;'Case Tracker'!C13</f>
        <v/>
      </c>
      <c r="C72" s="131">
        <f>'Case Tracker'!O13</f>
        <v/>
      </c>
      <c r="D72" s="131">
        <f>'Case Tracker'!P13</f>
        <v/>
      </c>
    </row>
    <row r="73">
      <c r="B73" s="12">
        <f>'Case Tracker'!D14&amp;" - "&amp;'Case Tracker'!C14</f>
        <v/>
      </c>
      <c r="C73" s="132">
        <f>'Case Tracker'!O14</f>
        <v/>
      </c>
      <c r="D73" s="132">
        <f>'Case Tracker'!P14</f>
        <v/>
      </c>
    </row>
    <row r="74">
      <c r="B74" s="14">
        <f>'Case Tracker'!D15&amp;" - "&amp;'Case Tracker'!C15</f>
        <v/>
      </c>
      <c r="C74" s="131">
        <f>'Case Tracker'!O15</f>
        <v/>
      </c>
      <c r="D74" s="131">
        <f>'Case Tracker'!P15</f>
        <v/>
      </c>
    </row>
    <row r="75">
      <c r="B75" s="12">
        <f>'Case Tracker'!D16&amp;" - "&amp;'Case Tracker'!C16</f>
        <v/>
      </c>
      <c r="C75" s="132">
        <f>'Case Tracker'!O16</f>
        <v/>
      </c>
      <c r="D75" s="132">
        <f>'Case Tracker'!P16</f>
        <v/>
      </c>
    </row>
    <row r="76">
      <c r="B76" s="14">
        <f>'Case Tracker'!D17&amp;" - "&amp;'Case Tracker'!C17</f>
        <v/>
      </c>
      <c r="C76" s="131">
        <f>'Case Tracker'!O17</f>
        <v/>
      </c>
      <c r="D76" s="131">
        <f>'Case Tracker'!P17</f>
        <v/>
      </c>
    </row>
    <row r="77" ht="40" customHeight="1">
      <c r="B77" s="15"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70" t="n"/>
      <c r="D77" s="69" t="n"/>
    </row>
  </sheetData>
  <mergeCells count="29">
    <mergeCell ref="B60:D60"/>
    <mergeCell ref="C24:D24"/>
    <mergeCell ref="B61:D61"/>
    <mergeCell ref="B1:D1"/>
    <mergeCell ref="B13:D13"/>
    <mergeCell ref="B10:D10"/>
    <mergeCell ref="B28:D28"/>
    <mergeCell ref="B37:D37"/>
    <mergeCell ref="C54:D54"/>
    <mergeCell ref="C25:D25"/>
    <mergeCell ref="C55:D55"/>
    <mergeCell ref="B9:D9"/>
    <mergeCell ref="C53:D53"/>
    <mergeCell ref="B15:D15"/>
    <mergeCell ref="C56:D56"/>
    <mergeCell ref="B20:D20"/>
    <mergeCell ref="C51:D51"/>
    <mergeCell ref="B4:D4"/>
    <mergeCell ref="B50:D50"/>
    <mergeCell ref="C52:D52"/>
    <mergeCell ref="B62:D62"/>
    <mergeCell ref="C23:D23"/>
    <mergeCell ref="B77:D77"/>
    <mergeCell ref="B22:D22"/>
    <mergeCell ref="B27:D27"/>
    <mergeCell ref="B58:D58"/>
    <mergeCell ref="B12:D12"/>
    <mergeCell ref="B39:D39"/>
    <mergeCell ref="B2:D2"/>
  </mergeCells>
  <conditionalFormatting sqref="B6">
    <cfRule type="cellIs" priority="1" operator="greaterThanOrEqual" dxfId="9">
      <formula>'Case Tracker'!G56&gt;=0.85</formula>
    </cfRule>
    <cfRule type="cellIs" priority="3" operator="greaterThanOrEqual" dxfId="9">
      <formula>0.85</formula>
    </cfRule>
    <cfRule type="cellIs" priority="4" operator="between" dxfId="10">
      <formula>0.70</formula>
      <formula>0.8499</formula>
    </cfRule>
    <cfRule type="cellIs" priority="5" operator="lessThan" dxfId="11">
      <formula>0.70</formula>
    </cfRule>
  </conditionalFormatting>
  <conditionalFormatting sqref="C6">
    <cfRule type="cellIs" priority="2" operator="greaterThanOrEqual" dxfId="12">
      <formula>'Case Tracker'!G56&gt;=0.85</formula>
    </cfRule>
  </conditionalFormatting>
  <conditionalFormatting sqref="C30:C36">
    <cfRule type="cellIs" priority="6" operator="lessThan" dxfId="2">
      <formula>2.75</formula>
    </cfRule>
    <cfRule type="cellIs" priority="7" operator="between" dxfId="1">
      <formula>2.75</formula>
      <formula>3.49</formula>
    </cfRule>
    <cfRule type="cellIs" priority="8" operator="greaterThanOrEqual" dxfId="0">
      <formula>3.5</formula>
    </cfRule>
  </conditionalFormatting>
  <conditionalFormatting sqref="C64:C76">
    <cfRule type="cellIs" priority="9" operator="equal" dxfId="0">
      <formula>"Resolver"</formula>
    </cfRule>
    <cfRule type="cellIs" priority="10" operator="equal" dxfId="0">
      <formula>"Progress Builder"</formula>
    </cfRule>
    <cfRule type="cellIs" priority="11" operator="equal" dxfId="17">
      <formula>"Maintainer"</formula>
    </cfRule>
    <cfRule type="cellIs" priority="12" operator="equal" dxfId="2">
      <formula>"Regression Contributor"</formula>
    </cfRule>
  </conditionalFormatting>
  <conditionalFormatting sqref="D64:D76">
    <cfRule type="cellIs" priority="13" operator="greaterThanOrEqual" dxfId="0">
      <formula>4</formula>
    </cfRule>
    <cfRule type="cellIs" priority="14" operator="between" dxfId="1">
      <formula>2</formula>
      <formula>3</formula>
    </cfRule>
    <cfRule type="cellIs" priority="15" operator="lessThanOrEqual" dxfId="2">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5"/>
  <cols>
    <col width="4" customWidth="1" min="1" max="1"/>
    <col width="58" customWidth="1" min="2" max="2"/>
    <col width="14" customWidth="1" min="3" max="3"/>
    <col width="13" customWidth="1" min="4" max="4"/>
    <col width="15" customWidth="1" min="5" max="5"/>
    <col width="46" customWidth="1" min="6" max="6"/>
    <col width="3" customWidth="1" min="7" max="7"/>
  </cols>
  <sheetData>
    <row r="1" ht="28" customHeight="1">
      <c r="B1" s="73" t="inlineStr">
        <is>
          <t>SUPPORT QA — SCORING FORM  (WORKED EXAMPLE — FINAL TOUCH OF A MULTI-TOUCH CASE)</t>
        </is>
      </c>
      <c r="C1" s="67" t="n"/>
      <c r="D1" s="67" t="n"/>
      <c r="E1" s="67" t="n"/>
      <c r="F1" s="68" t="n"/>
    </row>
    <row r="2" ht="18" customHeight="1">
      <c r="B2" s="2" t="inlineStr">
        <is>
          <t>Resolution-Focused Coaching &amp; Performance Framework  |  Rate each behavior: Met / Partial / Missed / N.A. — then assign the 0-5 category score (suggested score is advisory).</t>
        </is>
      </c>
      <c r="C2" s="67" t="n"/>
      <c r="D2" s="67" t="n"/>
      <c r="E2" s="67" t="n"/>
      <c r="F2" s="68" t="n"/>
    </row>
    <row r="4">
      <c r="B4" s="125" t="inlineStr">
        <is>
          <t>1 · CASE INFORMATION</t>
        </is>
      </c>
      <c r="C4" s="67" t="n"/>
      <c r="D4" s="67" t="n"/>
      <c r="E4" s="67" t="n"/>
      <c r="F4" s="68" t="n"/>
    </row>
    <row r="5">
      <c r="B5" s="4" t="inlineStr">
        <is>
          <t>Agent Name</t>
        </is>
      </c>
      <c r="C5" s="81" t="inlineStr">
        <is>
          <t>Eric Marbella (L2 / CAT)</t>
        </is>
      </c>
      <c r="D5" s="6" t="inlineStr">
        <is>
          <t>Case / Ticket ID</t>
        </is>
      </c>
      <c r="E5" s="81" t="inlineStr">
        <is>
          <t>TE00127492 (prior: TE00124020)</t>
        </is>
      </c>
      <c r="F5" s="69" t="n"/>
    </row>
    <row r="6">
      <c r="B6" s="4" t="inlineStr">
        <is>
          <t>Evaluator (QA)</t>
        </is>
      </c>
      <c r="C6" s="81" t="inlineStr">
        <is>
          <t>QA Specialist</t>
        </is>
      </c>
      <c r="D6" s="6" t="inlineStr">
        <is>
          <t>Interaction Date</t>
        </is>
      </c>
      <c r="E6" s="81" t="inlineStr">
        <is>
          <t>2026-05-18 to 2026-05-19</t>
        </is>
      </c>
      <c r="F6" s="69" t="n"/>
    </row>
    <row r="7">
      <c r="B7" s="4" t="inlineStr">
        <is>
          <t>Product</t>
        </is>
      </c>
      <c r="C7" s="81" t="inlineStr">
        <is>
          <t>Linksys MX4200 Velop Mesh (6× MX4200 + 5× WHW03)</t>
        </is>
      </c>
      <c r="D7" s="6" t="inlineStr">
        <is>
          <t>Channel</t>
        </is>
      </c>
      <c r="E7" s="81" t="inlineStr">
        <is>
          <t>Phone</t>
        </is>
      </c>
      <c r="F7" s="69" t="n"/>
    </row>
    <row r="8">
      <c r="B8" s="4" t="inlineStr">
        <is>
          <t>Warranty Status</t>
        </is>
      </c>
      <c r="C8" s="81" t="inlineStr">
        <is>
          <t>In-Warranty</t>
        </is>
      </c>
      <c r="D8" s="6" t="inlineStr">
        <is>
          <t>Review Date</t>
        </is>
      </c>
      <c r="E8" s="81" t="inlineStr">
        <is>
          <t>2026-05-25</t>
        </is>
      </c>
      <c r="F8" s="69" t="n"/>
    </row>
    <row r="9">
      <c r="B9" s="4" t="inlineStr">
        <is>
          <t>Case Type</t>
        </is>
      </c>
      <c r="C9" s="81" t="inlineStr">
        <is>
          <t>Connectivity</t>
        </is>
      </c>
      <c r="D9" s="6" t="inlineStr">
        <is>
          <t>Interaction Duration</t>
        </is>
      </c>
      <c r="E9" s="81" t="inlineStr">
        <is>
          <t>3 hr 26 min (session) + May 19 follow-up</t>
        </is>
      </c>
      <c r="F9" s="69" t="n"/>
    </row>
    <row r="10">
      <c r="B10" s="4" t="inlineStr">
        <is>
          <t>Touch # (multi-touch case)</t>
        </is>
      </c>
      <c r="C10" s="81" t="inlineStr">
        <is>
          <t>13 of 13 (final)</t>
        </is>
      </c>
      <c r="D10" s="6" t="inlineStr">
        <is>
          <t>Prior touches reviewed?</t>
        </is>
      </c>
      <c r="E10" s="81" t="inlineStr">
        <is>
          <t>Yes</t>
        </is>
      </c>
      <c r="F10" s="69" t="n"/>
    </row>
    <row r="11">
      <c r="B11" s="4" t="inlineStr">
        <is>
          <t>CSAT / Survey result</t>
        </is>
      </c>
      <c r="C11" s="81" t="inlineStr">
        <is>
          <t>1 / 5 — Resolution Rate: No</t>
        </is>
      </c>
      <c r="D11" s="6" t="inlineStr">
        <is>
          <t>FCR / total contacts</t>
        </is>
      </c>
      <c r="E11" s="81" t="inlineStr">
        <is>
          <t>4+ contacts (survey); 13+ recorded touches</t>
        </is>
      </c>
      <c r="F11" s="69" t="n"/>
    </row>
    <row r="12">
      <c r="B12" s="4" t="inlineStr">
        <is>
          <t>Total case time</t>
        </is>
      </c>
      <c r="C12" s="81" t="inlineStr">
        <is>
          <t>15 hr 12 min (ticket)</t>
        </is>
      </c>
      <c r="D12" s="6" t="inlineStr">
        <is>
          <t>SLA status</t>
        </is>
      </c>
      <c r="E12" s="81" t="inlineStr">
        <is>
          <t>Breached</t>
        </is>
      </c>
      <c r="F12" s="69" t="n"/>
    </row>
    <row r="13" ht="58" customHeight="1">
      <c r="B13" s="6" t="inlineStr">
        <is>
          <t>Case Summary (customer issue &amp; goal)</t>
        </is>
      </c>
      <c r="C13" s="7"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70" t="n"/>
      <c r="E13" s="70" t="n"/>
      <c r="F13" s="69" t="n"/>
    </row>
    <row r="14" ht="46" customHeight="1">
      <c r="B14" s="6" t="inlineStr">
        <is>
          <t>Inherited context (what this agent received from prior touches)</t>
        </is>
      </c>
      <c r="C14" s="7"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70" t="n"/>
      <c r="E14" s="70" t="n"/>
      <c r="F14" s="69" t="n"/>
    </row>
    <row r="16">
      <c r="B16" s="8" t="inlineStr">
        <is>
          <t>2 · CATEGORY ASSESSMENTS</t>
        </is>
      </c>
      <c r="C16" s="67" t="n"/>
      <c r="D16" s="67" t="n"/>
      <c r="E16" s="67" t="n"/>
      <c r="F16" s="68" t="n"/>
    </row>
    <row r="17" ht="18" customHeight="1">
      <c r="B17" s="125" t="inlineStr">
        <is>
          <t>1. RESOLUTION / PROGRESS TOWARD RESOLUTION</t>
        </is>
      </c>
      <c r="C17" s="67" t="n"/>
      <c r="D17" s="67" t="n"/>
      <c r="E17" s="68" t="n"/>
      <c r="F17" s="9" t="inlineStr">
        <is>
          <t>Weight: 30%</t>
        </is>
      </c>
    </row>
    <row r="18" ht="28" customHeight="1">
      <c r="B18" s="10" t="inlineStr">
        <is>
          <t>Objective: Determine whether the interaction moved the customer meaningfully closer to resolution.</t>
        </is>
      </c>
      <c r="C18" s="70" t="n"/>
      <c r="D18" s="70" t="n"/>
      <c r="E18" s="70" t="n"/>
      <c r="F18" s="69" t="n"/>
    </row>
    <row r="19">
      <c r="B19" s="4" t="inlineStr">
        <is>
          <t>Behavioral Indicator</t>
        </is>
      </c>
      <c r="C19" s="11" t="inlineStr">
        <is>
          <t>Assessment</t>
        </is>
      </c>
      <c r="D19" s="4" t="inlineStr">
        <is>
          <t>Evidence / Observation (quote or timestamp where possible)</t>
        </is>
      </c>
      <c r="E19" s="70" t="n"/>
      <c r="F19" s="69" t="n"/>
    </row>
    <row r="20" ht="28" customHeight="1">
      <c r="B20" s="12" t="inlineStr">
        <is>
          <t>Issue resolved, or the strongest available outcome was achieved (RMA, valid escalation, limitation explained, education)</t>
        </is>
      </c>
      <c r="C20" s="79" t="inlineStr">
        <is>
          <t>Partial</t>
        </is>
      </c>
      <c r="D20" s="12" t="inlineStr">
        <is>
          <t>Internet restored May 18 (482-530 Mbps down); but primary complaint — streaming stability — never confirmed; TV still flashing red at session end; case closed RESOLVED May 19 anyway</t>
        </is>
      </c>
      <c r="E20" s="70" t="n"/>
      <c r="F20" s="69" t="n"/>
    </row>
    <row r="21" ht="28" customHeight="1">
      <c r="B21" s="14" t="inlineStr">
        <is>
          <t>Reasonable troubleshooting was completed before any conclusion was reached</t>
        </is>
      </c>
      <c r="C21" s="79" t="inlineStr">
        <is>
          <t>Met</t>
        </is>
      </c>
      <c r="D21" s="14" t="inlineStr">
        <is>
          <t>Confirmed modem install, isolated fault away from ISP to MX4200 parent node before acting</t>
        </is>
      </c>
      <c r="E21" s="70" t="n"/>
      <c r="F21" s="69" t="n"/>
    </row>
    <row r="22" ht="28" customHeight="1">
      <c r="B22" s="12" t="inlineStr">
        <is>
          <t>Clear, actionable next steps were provided to the customer</t>
        </is>
      </c>
      <c r="C22" s="79" t="inlineStr">
        <is>
          <t>Partial</t>
        </is>
      </c>
      <c r="D22" s="12" t="inlineStr">
        <is>
          <t>Callback agreed 4-5 PM CT May 19 — then missed; final email only asked customer to propose a new time</t>
        </is>
      </c>
      <c r="E22" s="70" t="n"/>
      <c r="F22" s="69" t="n"/>
    </row>
    <row r="23" ht="28" customHeight="1">
      <c r="B23" s="14" t="inlineStr">
        <is>
          <t>Resolution path was appropriate for the situation and warranty status</t>
        </is>
      </c>
      <c r="C23" s="79" t="inlineStr">
        <is>
          <t>Partial</t>
        </is>
      </c>
      <c r="D23" s="14" t="inlineStr">
        <is>
          <t>Restoration path correct; closure path was not (RESOLVED on an unresolved case)</t>
        </is>
      </c>
      <c r="E23" s="70" t="n"/>
      <c r="F23" s="69" t="n"/>
    </row>
    <row r="24" ht="28" customHeight="1">
      <c r="B24" s="12" t="inlineStr">
        <is>
          <t>Customer was moved meaningfully closer to a solution</t>
        </is>
      </c>
      <c r="C24" s="79" t="inlineStr">
        <is>
          <t>Met</t>
        </is>
      </c>
      <c r="D24" s="12" t="inlineStr">
        <is>
          <t>4 child nodes added with documented RSSI; 1st-floor optimization and sequence reboot still outstanding</t>
        </is>
      </c>
      <c r="E24" s="70" t="n"/>
      <c r="F24" s="69" t="n"/>
    </row>
    <row r="25" ht="28" customHeight="1">
      <c r="B25" s="15"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70" t="n"/>
      <c r="D25" s="70" t="n"/>
      <c r="E25" s="70" t="n"/>
      <c r="F25" s="69" t="n"/>
    </row>
    <row r="26">
      <c r="B26" s="16" t="inlineStr">
        <is>
          <t>Suggested score (auto from indicators — advisory only; evaluator judgment prevails)</t>
        </is>
      </c>
      <c r="C26" s="17">
        <f>IF((COUNTIF(C20:C24,"Met")+COUNTIF(C20:C24,"Partial")+COUNTIF(C20:C24,"Missed"))=0,"",ROUND((COUNTIF(C20:C24,"Met")*5+COUNTIF(C20:C24,"Partial")*2.5)/(COUNTIF(C20:C24,"Met")+COUNTIF(C20:C24,"Partial")+COUNTIF(C20:C24,"Missed")),1))</f>
        <v/>
      </c>
      <c r="D26" s="18" t="inlineStr"/>
      <c r="E26" s="70" t="n"/>
      <c r="F26" s="69" t="n"/>
    </row>
    <row r="27" ht="24" customHeight="1">
      <c r="B27" s="19" t="inlineStr">
        <is>
          <t>FINAL CATEGORY SCORE (0–5)</t>
        </is>
      </c>
      <c r="C27" s="20" t="n">
        <v>3</v>
      </c>
      <c r="D27" s="2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70" t="n"/>
      <c r="F27" s="69" t="n"/>
    </row>
    <row r="28" ht="36" customHeight="1">
      <c r="B28" s="19" t="inlineStr">
        <is>
          <t>Category comments / coaching notes</t>
        </is>
      </c>
      <c r="C28" s="7" t="inlineStr">
        <is>
          <t>Real technical progress (internet restored) — judged in inherited context, a genuine recovery. Capped by unconfirmed primary complaint and premature closure.</t>
        </is>
      </c>
      <c r="D28" s="70" t="n"/>
      <c r="E28" s="70" t="n"/>
      <c r="F28" s="69" t="n"/>
    </row>
    <row r="30" ht="18" customHeight="1">
      <c r="B30" s="125" t="inlineStr">
        <is>
          <t>2. TECHNICAL ACCURACY</t>
        </is>
      </c>
      <c r="C30" s="67" t="n"/>
      <c r="D30" s="67" t="n"/>
      <c r="E30" s="68" t="n"/>
      <c r="F30" s="9" t="inlineStr">
        <is>
          <t>Weight: 20%</t>
        </is>
      </c>
    </row>
    <row r="31" ht="28" customHeight="1">
      <c r="B31" s="10" t="inlineStr">
        <is>
          <t>Objective: Evaluate the quality of troubleshooting and technical guidance.</t>
        </is>
      </c>
      <c r="C31" s="70" t="n"/>
      <c r="D31" s="70" t="n"/>
      <c r="E31" s="70" t="n"/>
      <c r="F31" s="69" t="n"/>
    </row>
    <row r="32">
      <c r="B32" s="4" t="inlineStr">
        <is>
          <t>Behavioral Indicator</t>
        </is>
      </c>
      <c r="C32" s="11" t="inlineStr">
        <is>
          <t>Assessment</t>
        </is>
      </c>
      <c r="D32" s="4" t="inlineStr">
        <is>
          <t>Evidence / Observation (quote or timestamp where possible)</t>
        </is>
      </c>
      <c r="E32" s="70" t="n"/>
      <c r="F32" s="69" t="n"/>
    </row>
    <row r="33" ht="28" customHeight="1">
      <c r="B33" s="12" t="inlineStr">
        <is>
          <t>Symptoms were identified correctly</t>
        </is>
      </c>
      <c r="C33" s="79" t="inlineStr">
        <is>
          <t>Met</t>
        </is>
      </c>
      <c r="D33" s="12" t="inlineStr">
        <is>
          <t>Correctly framed issue as wireless coverage/stability, not internet speed</t>
        </is>
      </c>
      <c r="E33" s="70" t="n"/>
      <c r="F33" s="69" t="n"/>
    </row>
    <row r="34" ht="28" customHeight="1">
      <c r="B34" s="14" t="inlineStr">
        <is>
          <t>Relevant diagnostic questions were asked</t>
        </is>
      </c>
      <c r="C34" s="79" t="inlineStr">
        <is>
          <t>Met</t>
        </is>
      </c>
      <c r="D34" s="14" t="inlineStr">
        <is>
          <t>Verified inventory (6× MX4200), modem state, node placement before troubleshooting</t>
        </is>
      </c>
      <c r="E34" s="70" t="n"/>
      <c r="F34" s="69" t="n"/>
    </row>
    <row r="35" ht="28" customHeight="1">
      <c r="B35" s="12" t="inlineStr">
        <is>
          <t>Logical troubleshooting methodology was followed</t>
        </is>
      </c>
      <c r="C35" s="79" t="inlineStr">
        <is>
          <t>Met</t>
        </is>
      </c>
      <c r="D35" s="12" t="inlineStr">
        <is>
          <t>Logical narrowing: modem supplying internet → fault domain = parent node config</t>
        </is>
      </c>
      <c r="E35" s="70" t="n"/>
      <c r="F35" s="69" t="n"/>
    </row>
    <row r="36" ht="28" customHeight="1">
      <c r="B36" s="14" t="inlineStr">
        <is>
          <t>Available tools were used appropriately</t>
        </is>
      </c>
      <c r="C36" s="79" t="inlineStr">
        <is>
          <t>Met</t>
        </is>
      </c>
      <c r="D36" s="14" t="inlineStr">
        <is>
          <t>ZOHO remote session 480107042; RSSI per node: 04512 -68, 02733 -61, 02853 -56, 16475 -59 dBm</t>
        </is>
      </c>
      <c r="E36" s="70" t="n"/>
      <c r="F36" s="69" t="n"/>
    </row>
    <row r="37" ht="28" customHeight="1">
      <c r="B37" s="12" t="inlineStr">
        <is>
          <t>Information provided was technically accurate</t>
        </is>
      </c>
      <c r="C37" s="79" t="inlineStr">
        <is>
          <t>Met</t>
        </is>
      </c>
      <c r="D37" s="12" t="inlineStr">
        <is>
          <t>Speed and topology explanations accurate; overlap node (16267, -18 dBm) correctly identified</t>
        </is>
      </c>
      <c r="E37" s="70" t="n"/>
      <c r="F37" s="69" t="n"/>
    </row>
    <row r="38" ht="28" customHeight="1">
      <c r="B38" s="14" t="inlineStr">
        <is>
          <t>Assumptions were validated; no unsupported conclusions</t>
        </is>
      </c>
      <c r="C38" s="79" t="inlineStr">
        <is>
          <t>Partial</t>
        </is>
      </c>
      <c r="D38" s="14" t="inlineStr">
        <is>
          <t>AT&amp;T SSID disabling — prior touch's open isolation step — never confirmed during the session</t>
        </is>
      </c>
      <c r="E38" s="70" t="n"/>
      <c r="F38" s="69" t="n"/>
    </row>
    <row r="39" ht="28" customHeight="1">
      <c r="B39" s="12" t="inlineStr">
        <is>
          <t>Root cause (or likely cause) was identified when possible</t>
        </is>
      </c>
      <c r="C39" s="79" t="inlineStr">
        <is>
          <t>Partial</t>
        </is>
      </c>
      <c r="D39" s="12" t="inlineStr">
        <is>
          <t>Overlap node found, but stability root cause left unconfirmed at close</t>
        </is>
      </c>
      <c r="E39" s="70" t="n"/>
      <c r="F39" s="69" t="n"/>
    </row>
    <row r="40" ht="28" customHeight="1">
      <c r="B40" s="15" t="inlineStr">
        <is>
          <t>⚠ Deduct for: incorrect technical information; skipped critical troubleshooting; misdiagnosis; unnecessary actions recommended; ISP or customer blamed without evidence; repeating basic steps the customer already completed.</t>
        </is>
      </c>
      <c r="C40" s="70" t="n"/>
      <c r="D40" s="70" t="n"/>
      <c r="E40" s="70" t="n"/>
      <c r="F40" s="69" t="n"/>
    </row>
    <row r="41">
      <c r="B41" s="16" t="inlineStr">
        <is>
          <t>Suggested score (auto from indicators — advisory only; evaluator judgment prevails)</t>
        </is>
      </c>
      <c r="C41" s="17">
        <f>IF((COUNTIF(C33:C39,"Met")+COUNTIF(C33:C39,"Partial")+COUNTIF(C33:C39,"Missed"))=0,"",ROUND((COUNTIF(C33:C39,"Met")*5+COUNTIF(C33:C39,"Partial")*2.5)/(COUNTIF(C33:C39,"Met")+COUNTIF(C33:C39,"Partial")+COUNTIF(C33:C39,"Missed")),1))</f>
        <v/>
      </c>
      <c r="D41" s="18" t="inlineStr"/>
      <c r="E41" s="70" t="n"/>
      <c r="F41" s="69" t="n"/>
    </row>
    <row r="42" ht="24" customHeight="1">
      <c r="B42" s="19" t="inlineStr">
        <is>
          <t>FINAL CATEGORY SCORE (0–5)</t>
        </is>
      </c>
      <c r="C42" s="20" t="n">
        <v>4</v>
      </c>
      <c r="D42" s="2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70" t="n"/>
      <c r="F42" s="69" t="n"/>
    </row>
    <row r="43" ht="36" customHeight="1">
      <c r="B43" s="19" t="inlineStr">
        <is>
          <t>Category comments / coaching notes</t>
        </is>
      </c>
      <c r="C43" s="7" t="inlineStr">
        <is>
          <t>Strongest technical touch of the journey alongside Paolo Ebora's May 4 session. Close the loop on inherited open steps (AT&amp;T SSID) next time.</t>
        </is>
      </c>
      <c r="D43" s="70" t="n"/>
      <c r="E43" s="70" t="n"/>
      <c r="F43" s="69" t="n"/>
    </row>
    <row r="45" ht="18" customHeight="1">
      <c r="B45" s="125" t="inlineStr">
        <is>
          <t>3. COMMUNICATION &amp; CALL CONTROL</t>
        </is>
      </c>
      <c r="C45" s="67" t="n"/>
      <c r="D45" s="67" t="n"/>
      <c r="E45" s="68" t="n"/>
      <c r="F45" s="9" t="inlineStr">
        <is>
          <t>Weight: 15%</t>
        </is>
      </c>
    </row>
    <row r="46" ht="28" customHeight="1">
      <c r="B46" s="10" t="inlineStr">
        <is>
          <t>Objective: Evaluate how effectively the agent managed the interaction.</t>
        </is>
      </c>
      <c r="C46" s="70" t="n"/>
      <c r="D46" s="70" t="n"/>
      <c r="E46" s="70" t="n"/>
      <c r="F46" s="69" t="n"/>
    </row>
    <row r="47">
      <c r="B47" s="4" t="inlineStr">
        <is>
          <t>Behavioral Indicator</t>
        </is>
      </c>
      <c r="C47" s="11" t="inlineStr">
        <is>
          <t>Assessment</t>
        </is>
      </c>
      <c r="D47" s="4" t="inlineStr">
        <is>
          <t>Evidence / Observation (quote or timestamp where possible)</t>
        </is>
      </c>
      <c r="E47" s="70" t="n"/>
      <c r="F47" s="69" t="n"/>
    </row>
    <row r="48" ht="28" customHeight="1">
      <c r="B48" s="12" t="inlineStr">
        <is>
          <t>Expectations were set clearly from the start</t>
        </is>
      </c>
      <c r="C48" s="79" t="inlineStr">
        <is>
          <t>Partial</t>
        </is>
      </c>
      <c r="D48" s="12" t="inlineStr">
        <is>
          <t>Callback window agreed clearly — then broken without proactive renegotiation</t>
        </is>
      </c>
      <c r="E48" s="70" t="n"/>
      <c r="F48" s="69" t="n"/>
    </row>
    <row r="49" ht="28" customHeight="1">
      <c r="B49" s="14" t="inlineStr">
        <is>
          <t>Agent maintained control of the troubleshooting flow</t>
        </is>
      </c>
      <c r="C49" s="79" t="inlineStr">
        <is>
          <t>Met</t>
        </is>
      </c>
      <c r="D49" s="14" t="inlineStr">
        <is>
          <t>Drove a focused 3h26m session; investigation: 'more focused than earlier contacts'</t>
        </is>
      </c>
      <c r="E49" s="70" t="n"/>
      <c r="F49" s="69" t="n"/>
    </row>
    <row r="50" ht="28" customHeight="1">
      <c r="B50" s="12" t="inlineStr">
        <is>
          <t>Actions were explained in understandable, jargon-free language</t>
        </is>
      </c>
      <c r="C50" s="79" t="inlineStr">
        <is>
          <t>Partial</t>
        </is>
      </c>
      <c r="D50" s="12" t="inlineStr">
        <is>
          <t>Investigation: 'simplify technical explanations' — terms like RSSI/SSID needed clarification</t>
        </is>
      </c>
      <c r="E50" s="70" t="n"/>
      <c r="F50" s="69" t="n"/>
    </row>
    <row r="51" ht="28" customHeight="1">
      <c r="B51" s="14" t="inlineStr">
        <is>
          <t>Questions were purposeful (no repetitive questioning)</t>
        </is>
      </c>
      <c r="C51" s="79" t="inlineStr">
        <is>
          <t>Met</t>
        </is>
      </c>
      <c r="D51" s="14" t="inlineStr">
        <is>
          <t>Questions tied to isolation; no redundant re-asking of inherited facts</t>
        </is>
      </c>
      <c r="E51" s="70" t="n"/>
      <c r="F51" s="69" t="n"/>
    </row>
    <row r="52" ht="28" customHeight="1">
      <c r="B52" s="12" t="inlineStr">
        <is>
          <t>Customer understanding was confirmed at key points</t>
        </is>
      </c>
      <c r="C52" s="79" t="inlineStr">
        <is>
          <t>Partial</t>
        </is>
      </c>
      <c r="D52" s="12" t="inlineStr">
        <is>
          <t>Investigation: 'strengthen recap and final action ownership'</t>
        </is>
      </c>
      <c r="E52" s="70" t="n"/>
      <c r="F52" s="69" t="n"/>
    </row>
    <row r="53" ht="28" customHeight="1">
      <c r="B53" s="14" t="inlineStr">
        <is>
          <t>Clear transitions between troubleshooting steps; effective time management</t>
        </is>
      </c>
      <c r="C53" s="79" t="inlineStr">
        <is>
          <t>Partial</t>
        </is>
      </c>
      <c r="D53" s="14" t="inlineStr">
        <is>
          <t>Session ran ~6 PM to 11 PM for an 80-year-old couple; no checkpoint offered to pause/resume</t>
        </is>
      </c>
      <c r="E53" s="70" t="n"/>
      <c r="F53" s="69" t="n"/>
    </row>
    <row r="54" ht="28" customHeight="1">
      <c r="B54" s="12" t="inlineStr">
        <is>
          <t>Difficult moments were managed professionally</t>
        </is>
      </c>
      <c r="C54" s="79" t="inlineStr">
        <is>
          <t>Met</t>
        </is>
      </c>
      <c r="D54" s="12" t="inlineStr">
        <is>
          <t>Stayed professional with an exhausted, frustrated customer</t>
        </is>
      </c>
      <c r="E54" s="70" t="n"/>
      <c r="F54" s="69" t="n"/>
    </row>
    <row r="55" ht="28" customHeight="1">
      <c r="B55" s="14" t="inlineStr">
        <is>
          <t>Communication adapted to the customer's accessibility needs (hearing, vision, age)</t>
        </is>
      </c>
      <c r="C55" s="79" t="inlineStr">
        <is>
          <t>Missed</t>
        </is>
      </c>
      <c r="D55" s="14" t="inlineStr">
        <is>
          <t>Hearing-difficulty adaptation cited as opportunity for this and 3 prior agents; pace unchanged</t>
        </is>
      </c>
      <c r="E55" s="70" t="n"/>
      <c r="F55" s="69" t="n"/>
    </row>
    <row r="56" ht="28" customHeight="1">
      <c r="B56" s="15" t="inlineStr">
        <is>
          <t>⚠ High performance: customer always knows what is happening and the agent drives the call confidently. One instruction at a time for customers who need it.</t>
        </is>
      </c>
      <c r="C56" s="70" t="n"/>
      <c r="D56" s="70" t="n"/>
      <c r="E56" s="70" t="n"/>
      <c r="F56" s="69" t="n"/>
    </row>
    <row r="57">
      <c r="B57" s="16" t="inlineStr">
        <is>
          <t>Suggested score (auto from indicators — advisory only; evaluator judgment prevails)</t>
        </is>
      </c>
      <c r="C57" s="17">
        <f>IF((COUNTIF(C48:C55,"Met")+COUNTIF(C48:C55,"Partial")+COUNTIF(C48:C55,"Missed"))=0,"",ROUND((COUNTIF(C48:C55,"Met")*5+COUNTIF(C48:C55,"Partial")*2.5)/(COUNTIF(C48:C55,"Met")+COUNTIF(C48:C55,"Partial")+COUNTIF(C48:C55,"Missed")),1))</f>
        <v/>
      </c>
      <c r="D57" s="18" t="inlineStr"/>
      <c r="E57" s="70" t="n"/>
      <c r="F57" s="69" t="n"/>
    </row>
    <row r="58" ht="24" customHeight="1">
      <c r="B58" s="19" t="inlineStr">
        <is>
          <t>FINAL CATEGORY SCORE (0–5)</t>
        </is>
      </c>
      <c r="C58" s="20" t="n">
        <v>3</v>
      </c>
      <c r="D58" s="2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70" t="n"/>
      <c r="F58" s="69" t="n"/>
    </row>
    <row r="59" ht="36" customHeight="1">
      <c r="B59" s="19" t="inlineStr">
        <is>
          <t>Category comments / coaching notes</t>
        </is>
      </c>
      <c r="C59" s="7" t="inlineStr">
        <is>
          <t>Focused and professional; needs accessibility adaptation and a stronger recap/next-step close (per investigation findings).</t>
        </is>
      </c>
      <c r="D59" s="70" t="n"/>
      <c r="E59" s="70" t="n"/>
      <c r="F59" s="69" t="n"/>
    </row>
    <row r="61" ht="18" customHeight="1">
      <c r="B61" s="125" t="inlineStr">
        <is>
          <t>4. CUSTOMER OWNERSHIP</t>
        </is>
      </c>
      <c r="C61" s="67" t="n"/>
      <c r="D61" s="67" t="n"/>
      <c r="E61" s="68" t="n"/>
      <c r="F61" s="9" t="inlineStr">
        <is>
          <t>Weight: 15%</t>
        </is>
      </c>
    </row>
    <row r="62" ht="28" customHeight="1">
      <c r="B62" s="10" t="inlineStr">
        <is>
          <t>Objective: Measure the degree to which the agent accepted responsibility for moving the customer forward.</t>
        </is>
      </c>
      <c r="C62" s="70" t="n"/>
      <c r="D62" s="70" t="n"/>
      <c r="E62" s="70" t="n"/>
      <c r="F62" s="69" t="n"/>
    </row>
    <row r="63">
      <c r="B63" s="4" t="inlineStr">
        <is>
          <t>Behavioral Indicator</t>
        </is>
      </c>
      <c r="C63" s="11" t="inlineStr">
        <is>
          <t>Assessment</t>
        </is>
      </c>
      <c r="D63" s="4" t="inlineStr">
        <is>
          <t>Evidence / Observation (quote or timestamp where possible)</t>
        </is>
      </c>
      <c r="E63" s="70" t="n"/>
      <c r="F63" s="69" t="n"/>
    </row>
    <row r="64" ht="28" customHeight="1">
      <c r="B64" s="12" t="inlineStr">
        <is>
          <t>Agent demonstrated accountability for the customer's outcome</t>
        </is>
      </c>
      <c r="C64" s="79" t="inlineStr">
        <is>
          <t>Partial</t>
        </is>
      </c>
      <c r="D64" s="12" t="inlineStr">
        <is>
          <t>Claimed queue, drove session, attempted callbacks + emails — but closure undermined accountability</t>
        </is>
      </c>
      <c r="E64" s="70" t="n"/>
      <c r="F64" s="69" t="n"/>
    </row>
    <row r="65" ht="28" customHeight="1">
      <c r="B65" s="14" t="inlineStr">
        <is>
          <t>Unnecessary transfers were avoided</t>
        </is>
      </c>
      <c r="C65" s="79" t="inlineStr">
        <is>
          <t>Met</t>
        </is>
      </c>
      <c r="D65" s="14" t="inlineStr">
        <is>
          <t>Owned at L2 end-to-end; no bouncing</t>
        </is>
      </c>
      <c r="E65" s="70" t="n"/>
      <c r="F65" s="69" t="n"/>
    </row>
    <row r="66" ht="28" customHeight="1">
      <c r="B66" s="12" t="inlineStr">
        <is>
          <t>Commitments made during the interaction were followed through</t>
        </is>
      </c>
      <c r="C66" s="79" t="inlineStr">
        <is>
          <t>Missed</t>
        </is>
      </c>
      <c r="D66" s="12" t="inlineStr">
        <is>
          <t>Agreed 4-5 PM CT callback missed: calls at 5:42 &amp; 6:06 PM (42-66 min late); customer: 'you called at 5:45 — 1 and 3/4 hours late'</t>
        </is>
      </c>
      <c r="E66" s="70" t="n"/>
      <c r="F66" s="69" t="n"/>
    </row>
    <row r="67" ht="28" customHeight="1">
      <c r="B67" s="14" t="inlineStr">
        <is>
          <t>A clear path forward was created for the customer</t>
        </is>
      </c>
      <c r="C67" s="79" t="inlineStr">
        <is>
          <t>Partial</t>
        </is>
      </c>
      <c r="D67" s="14" t="inlineStr">
        <is>
          <t>Replacement plan after missed callback = customer must propose a time; weak for a 7-week case</t>
        </is>
      </c>
      <c r="E67" s="70" t="n"/>
      <c r="F67" s="69" t="n"/>
    </row>
    <row r="68" ht="28" customHeight="1">
      <c r="B68" s="12" t="inlineStr">
        <is>
          <t>Next actions were documented</t>
        </is>
      </c>
      <c r="C68" s="79" t="inlineStr">
        <is>
          <t>Met</t>
        </is>
      </c>
      <c r="D68" s="12" t="inlineStr">
        <is>
          <t>Session notes detailed: speeds, RSSI per node, declined reboot, agreed window — all recorded</t>
        </is>
      </c>
      <c r="E68" s="70" t="n"/>
      <c r="F68" s="69" t="n"/>
    </row>
    <row r="69" ht="28" customHeight="1">
      <c r="B69" s="14" t="inlineStr">
        <is>
          <t>Realistic expectations were set</t>
        </is>
      </c>
      <c r="C69" s="79" t="inlineStr">
        <is>
          <t>Partial</t>
        </is>
      </c>
      <c r="D69" s="14" t="inlineStr">
        <is>
          <t>Knew 4-5 PM window conflicted with TC/OM meetings (private notes 13:48/14:42) yet did not renegotiate in advance</t>
        </is>
      </c>
      <c r="E69" s="70" t="n"/>
      <c r="F69" s="69" t="n"/>
    </row>
    <row r="70" ht="28" customHeight="1">
      <c r="B70" s="12" t="inlineStr">
        <is>
          <t>Disconnect follow-up completed (callback / email / note) — mark N.A. if no disconnect</t>
        </is>
      </c>
      <c r="C70" s="79" t="inlineStr">
        <is>
          <t>N.A.</t>
        </is>
      </c>
      <c r="D70" s="12" t="inlineStr">
        <is>
          <t>No disconnect on this touch</t>
        </is>
      </c>
      <c r="E70" s="70" t="n"/>
      <c r="F70" s="69" t="n"/>
    </row>
    <row r="71" ht="28" customHeight="1">
      <c r="B71" s="14" t="inlineStr">
        <is>
          <t>Callback commitments were met within the agreed window (or proactively renegotiated before it lapsed)</t>
        </is>
      </c>
      <c r="C71" s="79" t="inlineStr">
        <is>
          <t>Missed</t>
        </is>
      </c>
      <c r="D71" s="14" t="inlineStr">
        <is>
          <t>Window missed; conflicting explanations later ('meeting' vs 'engaged with another task')</t>
        </is>
      </c>
      <c r="E71" s="70" t="n"/>
      <c r="F71" s="69" t="n"/>
    </row>
    <row r="72" ht="28" customHeight="1">
      <c r="B72" s="15" t="inlineStr">
        <is>
          <t>⚠ Automatic deductions: no documented follow-up after disconnect; unclear next steps; passing responsibility without context; failure to complete promised actions; missed or late callbacks without proactive renegotiation.</t>
        </is>
      </c>
      <c r="C72" s="70" t="n"/>
      <c r="D72" s="70" t="n"/>
      <c r="E72" s="70" t="n"/>
      <c r="F72" s="69" t="n"/>
    </row>
    <row r="73">
      <c r="B73" s="16" t="inlineStr">
        <is>
          <t>Suggested score (auto from indicators — advisory only; evaluator judgment prevails)</t>
        </is>
      </c>
      <c r="C73" s="17">
        <f>IF((COUNTIF(C64:C71,"Met")+COUNTIF(C64:C71,"Partial")+COUNTIF(C64:C71,"Missed"))=0,"",ROUND((COUNTIF(C64:C71,"Met")*5+COUNTIF(C64:C71,"Partial")*2.5)/(COUNTIF(C64:C71,"Met")+COUNTIF(C64:C71,"Partial")+COUNTIF(C64:C71,"Missed")),1))</f>
        <v/>
      </c>
      <c r="D73" s="18" t="inlineStr"/>
      <c r="E73" s="70" t="n"/>
      <c r="F73" s="69" t="n"/>
    </row>
    <row r="74" ht="24" customHeight="1">
      <c r="B74" s="19" t="inlineStr">
        <is>
          <t>FINAL CATEGORY SCORE (0–5)</t>
        </is>
      </c>
      <c r="C74" s="20" t="n">
        <v>1</v>
      </c>
      <c r="D74" s="2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70" t="n"/>
      <c r="F74" s="69" t="n"/>
    </row>
    <row r="75" ht="36" customHeight="1">
      <c r="B75" s="19" t="inlineStr">
        <is>
          <t>Category comments / coaching notes</t>
        </is>
      </c>
      <c r="C75" s="7" t="inlineStr">
        <is>
          <t>Automatic deductions applied: missed agreed callback window without proactive renegotiation + premature RESOLVED. The calendar conflict was visible in advance.</t>
        </is>
      </c>
      <c r="D75" s="70" t="n"/>
      <c r="E75" s="70" t="n"/>
      <c r="F75" s="69" t="n"/>
    </row>
    <row r="77" ht="18" customHeight="1">
      <c r="B77" s="125" t="inlineStr">
        <is>
          <t>5. ESCALATION JUDGMENT</t>
        </is>
      </c>
      <c r="C77" s="67" t="n"/>
      <c r="D77" s="67" t="n"/>
      <c r="E77" s="68" t="n"/>
      <c r="F77" s="9" t="inlineStr">
        <is>
          <t>Weight: 10%</t>
        </is>
      </c>
    </row>
    <row r="78" ht="28" customHeight="1">
      <c r="B78" s="10" t="inlineStr">
        <is>
          <t>Objective: Determine whether escalation decisions were appropriate — including UPWARD escalations the customer requested (management, complaint, legal). Mark all N.A. if no escalation was involved and none was warranted.</t>
        </is>
      </c>
      <c r="C78" s="70" t="n"/>
      <c r="D78" s="70" t="n"/>
      <c r="E78" s="70" t="n"/>
      <c r="F78" s="69" t="n"/>
    </row>
    <row r="79">
      <c r="B79" s="4" t="inlineStr">
        <is>
          <t>Behavioral Indicator</t>
        </is>
      </c>
      <c r="C79" s="11" t="inlineStr">
        <is>
          <t>Assessment</t>
        </is>
      </c>
      <c r="D79" s="4" t="inlineStr">
        <is>
          <t>Evidence / Observation (quote or timestamp where possible)</t>
        </is>
      </c>
      <c r="E79" s="70" t="n"/>
      <c r="F79" s="69" t="n"/>
    </row>
    <row r="80" ht="28" customHeight="1">
      <c r="B80" s="12" t="inlineStr">
        <is>
          <t>Reasonable troubleshooting was completed before escalating</t>
        </is>
      </c>
      <c r="C80" s="79" t="inlineStr">
        <is>
          <t>N.A.</t>
        </is>
      </c>
      <c r="D80" s="12" t="inlineStr">
        <is>
          <t>No technical escalation needed — agent is the L2 endpoint</t>
        </is>
      </c>
      <c r="E80" s="70" t="n"/>
      <c r="F80" s="69" t="n"/>
    </row>
    <row r="81" ht="28" customHeight="1">
      <c r="B81" s="14" t="inlineStr">
        <is>
          <t>Legitimate escalation criteria were identified (incl. complaint / management / legal-risk triggers)</t>
        </is>
      </c>
      <c r="C81" s="79" t="inlineStr">
        <is>
          <t>Missed</t>
        </is>
      </c>
      <c r="D81" s="14" t="inlineStr">
        <is>
          <t>May 19, 3:33 PM customer email: 'I would like to talk to your management, before I talk to a lawyer' — a textbook management/legal-risk trigger, not actioned</t>
        </is>
      </c>
      <c r="E81" s="70" t="n"/>
      <c r="F81" s="69" t="n"/>
    </row>
    <row r="82" ht="28" customHeight="1">
      <c r="B82" s="12" t="inlineStr">
        <is>
          <t>Escalation contained complete, useful details (logs, findings, steps tried)</t>
        </is>
      </c>
      <c r="C82" s="79" t="inlineStr">
        <is>
          <t>N.A.</t>
        </is>
      </c>
      <c r="D82" s="12" t="inlineStr">
        <is>
          <t>No management/DSAT escalation record until PMO intervened May 27</t>
        </is>
      </c>
      <c r="E82" s="70" t="n"/>
      <c r="F82" s="69" t="n"/>
    </row>
    <row r="83" ht="28" customHeight="1">
      <c r="B83" s="14" t="inlineStr">
        <is>
          <t>Correct escalation path was chosen</t>
        </is>
      </c>
      <c r="C83" s="79" t="inlineStr">
        <is>
          <t>Missed</t>
        </is>
      </c>
      <c r="D83" s="14" t="inlineStr">
        <is>
          <t>Consulted TC Marc Baynos about how to WORD the reply — not to escalate the complaint</t>
        </is>
      </c>
      <c r="E83" s="70" t="n"/>
      <c r="F83" s="69" t="n"/>
    </row>
    <row r="84" ht="28" customHeight="1">
      <c r="B84" s="12" t="inlineStr">
        <is>
          <t>Customer expectations about the escalation were set appropriately</t>
        </is>
      </c>
      <c r="C84" s="79" t="inlineStr">
        <is>
          <t>Missed</t>
        </is>
      </c>
      <c r="D84" s="12" t="inlineStr">
        <is>
          <t>Final email never acknowledged the management request</t>
        </is>
      </c>
      <c r="E84" s="70" t="n"/>
      <c r="F84" s="69" t="n"/>
    </row>
    <row r="85" ht="28" customHeight="1">
      <c r="B85" s="15" t="inlineStr">
        <is>
          <t>⚠ Low score: premature, avoidable, poorly documented, used as a substitute for troubleshooting — or a warranted escalation (incl. a customer's management request) that was NOT made.</t>
        </is>
      </c>
      <c r="C85" s="70" t="n"/>
      <c r="D85" s="70" t="n"/>
      <c r="E85" s="70" t="n"/>
      <c r="F85" s="69" t="n"/>
    </row>
    <row r="86">
      <c r="B86" s="16" t="inlineStr">
        <is>
          <t>Suggested score (auto from indicators — advisory only; evaluator judgment prevails)</t>
        </is>
      </c>
      <c r="C86" s="17">
        <f>IF((COUNTIF(C80:C84,"Met")+COUNTIF(C80:C84,"Partial")+COUNTIF(C80:C84,"Missed"))=0,"",ROUND((COUNTIF(C80:C84,"Met")*5+COUNTIF(C80:C84,"Partial")*2.5)/(COUNTIF(C80:C84,"Met")+COUNTIF(C80:C84,"Partial")+COUNTIF(C80:C84,"Missed")),1))</f>
        <v/>
      </c>
      <c r="D86" s="18" t="inlineStr"/>
      <c r="E86" s="70" t="n"/>
      <c r="F86" s="69" t="n"/>
    </row>
    <row r="87" ht="24" customHeight="1">
      <c r="B87" s="19" t="inlineStr">
        <is>
          <t>FINAL CATEGORY SCORE (0–5)</t>
        </is>
      </c>
      <c r="C87" s="20" t="n">
        <v>1</v>
      </c>
      <c r="D87" s="2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70" t="n"/>
      <c r="F87" s="69" t="n"/>
    </row>
    <row r="88" ht="36" customHeight="1">
      <c r="B88" s="19" t="inlineStr">
        <is>
          <t>Category comments / coaching notes</t>
        </is>
      </c>
      <c r="C88" s="7" t="inlineStr">
        <is>
          <t>The escalation that mattered was upward: an explicit management request with a legal threat from a vulnerable customer. It was not made. Scored 1 (TC consult occurred) rather than 0.</t>
        </is>
      </c>
      <c r="D88" s="70" t="n"/>
      <c r="E88" s="70" t="n"/>
      <c r="F88" s="69" t="n"/>
    </row>
    <row r="90" ht="18" customHeight="1">
      <c r="B90" s="125" t="inlineStr">
        <is>
          <t>6. CUSTOMER EXPERIENCE</t>
        </is>
      </c>
      <c r="C90" s="67" t="n"/>
      <c r="D90" s="67" t="n"/>
      <c r="E90" s="68" t="n"/>
      <c r="F90" s="9" t="inlineStr">
        <is>
          <t>Weight: 5%</t>
        </is>
      </c>
    </row>
    <row r="91" ht="28" customHeight="1">
      <c r="B91" s="10" t="inlineStr">
        <is>
          <t>Objective: Measure the overall customer experience delivered during the interaction.</t>
        </is>
      </c>
      <c r="C91" s="70" t="n"/>
      <c r="D91" s="70" t="n"/>
      <c r="E91" s="70" t="n"/>
      <c r="F91" s="69" t="n"/>
    </row>
    <row r="92">
      <c r="B92" s="4" t="inlineStr">
        <is>
          <t>Behavioral Indicator</t>
        </is>
      </c>
      <c r="C92" s="11" t="inlineStr">
        <is>
          <t>Assessment</t>
        </is>
      </c>
      <c r="D92" s="4" t="inlineStr">
        <is>
          <t>Evidence / Observation (quote or timestamp where possible)</t>
        </is>
      </c>
      <c r="E92" s="70" t="n"/>
      <c r="F92" s="69" t="n"/>
    </row>
    <row r="93" ht="28" customHeight="1">
      <c r="B93" s="12" t="inlineStr">
        <is>
          <t>Empathy was demonstrated (incl. acknowledging cumulative effort and fatigue on repeat contacts)</t>
        </is>
      </c>
      <c r="C93" s="79" t="inlineStr">
        <is>
          <t>Partial</t>
        </is>
      </c>
      <c r="D93" s="12" t="inlineStr">
        <is>
          <t>Apologies sent, but investigation: 'acknowledge customer effort and fatigue more explicitly' (20-30 hrs, no dinner, age 80)</t>
        </is>
      </c>
      <c r="E93" s="70" t="n"/>
      <c r="F93" s="69" t="n"/>
    </row>
    <row r="94" ht="28" customHeight="1">
      <c r="B94" s="14" t="inlineStr">
        <is>
          <t>Professionalism was maintained throughout</t>
        </is>
      </c>
      <c r="C94" s="79" t="inlineStr">
        <is>
          <t>Met</t>
        </is>
      </c>
      <c r="D94" s="14" t="inlineStr">
        <is>
          <t>Courteous and calm in all calls and emails</t>
        </is>
      </c>
      <c r="E94" s="70" t="n"/>
      <c r="F94" s="69" t="n"/>
    </row>
    <row r="95" ht="28" customHeight="1">
      <c r="B95" s="12" t="inlineStr">
        <is>
          <t>Communication style was adapted to the customer</t>
        </is>
      </c>
      <c r="C95" s="79" t="inlineStr">
        <is>
          <t>Partial</t>
        </is>
      </c>
      <c r="D95" s="12" t="inlineStr">
        <is>
          <t>Some simplification, but pace/jargon unadjusted for hearing difficulty</t>
        </is>
      </c>
      <c r="E95" s="70" t="n"/>
      <c r="F95" s="69" t="n"/>
    </row>
    <row r="96" ht="28" customHeight="1">
      <c r="B96" s="14" t="inlineStr">
        <is>
          <t>Patience was maintained, even under pressure</t>
        </is>
      </c>
      <c r="C96" s="79" t="inlineStr">
        <is>
          <t>Met</t>
        </is>
      </c>
      <c r="D96" s="14" t="inlineStr">
        <is>
          <t>Patient through a 3h26m session</t>
        </is>
      </c>
      <c r="E96" s="70" t="n"/>
      <c r="F96" s="69" t="n"/>
    </row>
    <row r="97" ht="28" customHeight="1">
      <c r="B97" s="12" t="inlineStr">
        <is>
          <t>Customer effort was reduced where possible</t>
        </is>
      </c>
      <c r="C97" s="79" t="inlineStr">
        <is>
          <t>Missed</t>
        </is>
      </c>
      <c r="D97" s="12" t="inlineStr">
        <is>
          <t>11 PM finish, then customer expected to chase the reschedule; survey: 'almost impossible to get a technician who can help'</t>
        </is>
      </c>
      <c r="E97" s="70" t="n"/>
      <c r="F97" s="69" t="n"/>
    </row>
    <row r="98" ht="28" customHeight="1">
      <c r="B98" s="14" t="inlineStr">
        <is>
          <t>Customer felt heard, understood next steps, and remained engaged</t>
        </is>
      </c>
      <c r="C98" s="79" t="inlineStr">
        <is>
          <t>Missed</t>
        </is>
      </c>
      <c r="D98" s="14" t="inlineStr">
        <is>
          <t>CSAT 1/5; 'worst customer service I have ever had'; customer scrapped Linksys for Eero</t>
        </is>
      </c>
      <c r="E98" s="70" t="n"/>
      <c r="F98" s="69" t="n"/>
    </row>
    <row r="99" ht="28" customHeight="1">
      <c r="B99" s="15" t="inlineStr">
        <is>
          <t>⚠ Negative indicators: dismissive responses; robotic interactions; frustration escalation caused by agent behavior; marathon sessions pushed onto vulnerable customers without offering to pause and resume.</t>
        </is>
      </c>
      <c r="C99" s="70" t="n"/>
      <c r="D99" s="70" t="n"/>
      <c r="E99" s="70" t="n"/>
      <c r="F99" s="69" t="n"/>
    </row>
    <row r="100">
      <c r="B100" s="16" t="inlineStr">
        <is>
          <t>Suggested score (auto from indicators — advisory only; evaluator judgment prevails)</t>
        </is>
      </c>
      <c r="C100" s="17">
        <f>IF((COUNTIF(C93:C98,"Met")+COUNTIF(C93:C98,"Partial")+COUNTIF(C93:C98,"Missed"))=0,"",ROUND((COUNTIF(C93:C98,"Met")*5+COUNTIF(C93:C98,"Partial")*2.5)/(COUNTIF(C93:C98,"Met")+COUNTIF(C93:C98,"Partial")+COUNTIF(C93:C98,"Missed")),1))</f>
        <v/>
      </c>
      <c r="D100" s="18" t="inlineStr"/>
      <c r="E100" s="70" t="n"/>
      <c r="F100" s="69" t="n"/>
    </row>
    <row r="101" ht="24" customHeight="1">
      <c r="B101" s="19" t="inlineStr">
        <is>
          <t>FINAL CATEGORY SCORE (0–5)</t>
        </is>
      </c>
      <c r="C101" s="20" t="n">
        <v>2</v>
      </c>
      <c r="D101" s="2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70" t="n"/>
      <c r="F101" s="69" t="n"/>
    </row>
    <row r="102" ht="36" customHeight="1">
      <c r="B102" s="19" t="inlineStr">
        <is>
          <t>Category comments / coaching notes</t>
        </is>
      </c>
      <c r="C102" s="7" t="inlineStr">
        <is>
          <t>Patience and courtesy present; effort-reduction and fatigue acknowledgment absent. The outcome data (CSAT 1, churn) reflects the journey, but this touch's choices contributed directly.</t>
        </is>
      </c>
      <c r="D102" s="70" t="n"/>
      <c r="E102" s="70" t="n"/>
      <c r="F102" s="69" t="n"/>
    </row>
    <row r="104" ht="18" customHeight="1">
      <c r="B104" s="125" t="inlineStr">
        <is>
          <t>7. DOCUMENTATION &amp; NOTES</t>
        </is>
      </c>
      <c r="C104" s="67" t="n"/>
      <c r="D104" s="67" t="n"/>
      <c r="E104" s="68" t="n"/>
      <c r="F104" s="9" t="inlineStr">
        <is>
          <t>Weight: 5%</t>
        </is>
      </c>
    </row>
    <row r="105" ht="28" customHeight="1">
      <c r="B105" s="10" t="inlineStr">
        <is>
          <t>Objective: Ensure future agents can quickly understand the case. Purpose is continuity, not compliance.</t>
        </is>
      </c>
      <c r="C105" s="70" t="n"/>
      <c r="D105" s="70" t="n"/>
      <c r="E105" s="70" t="n"/>
      <c r="F105" s="69" t="n"/>
    </row>
    <row r="106">
      <c r="B106" s="4" t="inlineStr">
        <is>
          <t>Behavioral Indicator</t>
        </is>
      </c>
      <c r="C106" s="11" t="inlineStr">
        <is>
          <t>Assessment</t>
        </is>
      </c>
      <c r="D106" s="4" t="inlineStr">
        <is>
          <t>Evidence / Observation (quote or timestamp where possible)</t>
        </is>
      </c>
      <c r="E106" s="70" t="n"/>
      <c r="F106" s="69" t="n"/>
    </row>
    <row r="107" ht="28" customHeight="1">
      <c r="B107" s="12" t="inlineStr">
        <is>
          <t>Customer issue summary recorded</t>
        </is>
      </c>
      <c r="C107" s="79" t="inlineStr">
        <is>
          <t>Met</t>
        </is>
      </c>
      <c r="D107" s="12" t="inlineStr">
        <is>
          <t>Issue and modem-replacement context captured on claim</t>
        </is>
      </c>
      <c r="E107" s="70" t="n"/>
      <c r="F107" s="69" t="n"/>
    </row>
    <row r="108" ht="28" customHeight="1">
      <c r="B108" s="14" t="inlineStr">
        <is>
          <t>Troubleshooting performed is documented</t>
        </is>
      </c>
      <c r="C108" s="79" t="inlineStr">
        <is>
          <t>Met</t>
        </is>
      </c>
      <c r="D108" s="14" t="inlineStr">
        <is>
          <t>Session note: speeds, 4 child nodes, RSSI per node, overlap node, declined sequence reboot</t>
        </is>
      </c>
      <c r="E108" s="70" t="n"/>
      <c r="F108" s="69" t="n"/>
    </row>
    <row r="109" ht="28" customHeight="1">
      <c r="B109" s="12" t="inlineStr">
        <is>
          <t>Key findings / discoveries noted</t>
        </is>
      </c>
      <c r="C109" s="79" t="inlineStr">
        <is>
          <t>Met</t>
        </is>
      </c>
      <c r="D109" s="12" t="inlineStr">
        <is>
          <t>Key findings recorded incl. 16267 overlap at -18 dBm</t>
        </is>
      </c>
      <c r="E109" s="70" t="n"/>
      <c r="F109" s="69" t="n"/>
    </row>
    <row r="110" ht="28" customHeight="1">
      <c r="B110" s="14" t="inlineStr">
        <is>
          <t>Agent reasoning is captured</t>
        </is>
      </c>
      <c r="C110" s="79" t="inlineStr">
        <is>
          <t>Partial</t>
        </is>
      </c>
      <c r="D110" s="14" t="inlineStr">
        <is>
          <t>Why RESOLVED was chosen is nowhere — investigation: 'no private note indicating the reason for closing the unresolved case'</t>
        </is>
      </c>
      <c r="E110" s="70" t="n"/>
      <c r="F110" s="69" t="n"/>
    </row>
    <row r="111" ht="28" customHeight="1">
      <c r="B111" s="12" t="inlineStr">
        <is>
          <t>Escalation justification included — mark N.A. if no escalation</t>
        </is>
      </c>
      <c r="C111" s="79" t="inlineStr">
        <is>
          <t>Missed</t>
        </is>
      </c>
      <c r="D111" s="12" t="inlineStr">
        <is>
          <t>Customer's management/legal request never documented as an escalation item</t>
        </is>
      </c>
      <c r="E111" s="70" t="n"/>
      <c r="F111" s="69" t="n"/>
    </row>
    <row r="112" ht="28" customHeight="1">
      <c r="B112" s="14" t="inlineStr">
        <is>
          <t>Next steps and follow-up actions listed (incl. callback records)</t>
        </is>
      </c>
      <c r="C112" s="79" t="inlineStr">
        <is>
          <t>Partial</t>
        </is>
      </c>
      <c r="D112" s="14" t="inlineStr">
        <is>
          <t>Callback agreement noted; post-miss plan vague ('reply with preferred date/time')</t>
        </is>
      </c>
      <c r="E112" s="70" t="n"/>
      <c r="F112" s="69" t="n"/>
    </row>
    <row r="113" ht="28" customHeight="1">
      <c r="B113" s="12" t="inlineStr">
        <is>
          <t>Ticket status accurately reflects case state (no premature RESOLVED; closure reason documented)</t>
        </is>
      </c>
      <c r="C113" s="79" t="inlineStr">
        <is>
          <t>Missed</t>
        </is>
      </c>
      <c r="D113" s="12" t="inlineStr">
        <is>
          <t>RESOLVED set May 19 on a known-unresolved case — 5th premature closure on this ticket; NTE requested by investigation</t>
        </is>
      </c>
      <c r="E113" s="70" t="n"/>
      <c r="F113" s="69" t="n"/>
    </row>
    <row r="114" ht="28" customHeight="1">
      <c r="B114" s="15" t="inlineStr">
        <is>
          <t>⚠ Documentation supports outcomes but should not outweigh troubleshooting quality, communication, or ownership. Notes must carry the FULL history — including pre-ticket contacts — so no agent treats a long-running case as new.</t>
        </is>
      </c>
      <c r="C114" s="70" t="n"/>
      <c r="D114" s="70" t="n"/>
      <c r="E114" s="70" t="n"/>
      <c r="F114" s="69" t="n"/>
    </row>
    <row r="115">
      <c r="B115" s="16" t="inlineStr">
        <is>
          <t>Suggested score (auto from indicators — advisory only; evaluator judgment prevails)</t>
        </is>
      </c>
      <c r="C115" s="17">
        <f>IF((COUNTIF(C107:C113,"Met")+COUNTIF(C107:C113,"Partial")+COUNTIF(C107:C113,"Missed"))=0,"",ROUND((COUNTIF(C107:C113,"Met")*5+COUNTIF(C107:C113,"Partial")*2.5)/(COUNTIF(C107:C113,"Met")+COUNTIF(C107:C113,"Partial")+COUNTIF(C107:C113,"Missed")),1))</f>
        <v/>
      </c>
      <c r="D115" s="18" t="inlineStr"/>
      <c r="E115" s="70" t="n"/>
      <c r="F115" s="69" t="n"/>
    </row>
    <row r="116" ht="24" customHeight="1">
      <c r="B116" s="19" t="inlineStr">
        <is>
          <t>FINAL CATEGORY SCORE (0–5)</t>
        </is>
      </c>
      <c r="C116" s="20" t="n">
        <v>2</v>
      </c>
      <c r="D116" s="2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70" t="n"/>
      <c r="F116" s="69" t="n"/>
    </row>
    <row r="117" ht="36" customHeight="1">
      <c r="B117" s="19" t="inlineStr">
        <is>
          <t>Category comments / coaching notes</t>
        </is>
      </c>
      <c r="C117" s="7" t="inlineStr">
        <is>
          <t>Technical notes excellent; closure documentation failed — no reason for RESOLVED, conflicting missed-callback explanations across notes.</t>
        </is>
      </c>
      <c r="D117" s="70" t="n"/>
      <c r="E117" s="70" t="n"/>
      <c r="F117" s="69" t="n"/>
    </row>
    <row r="119">
      <c r="B119" s="8" t="inlineStr">
        <is>
          <t>3 · SCORE SUMMARY</t>
        </is>
      </c>
      <c r="C119" s="67" t="n"/>
      <c r="D119" s="67" t="n"/>
      <c r="E119" s="67" t="n"/>
      <c r="F119" s="68" t="n"/>
    </row>
    <row r="120">
      <c r="B120" s="118" t="inlineStr">
        <is>
          <t>Category</t>
        </is>
      </c>
      <c r="C120" s="118" t="inlineStr">
        <is>
          <t>Weight</t>
        </is>
      </c>
      <c r="D120" s="118" t="inlineStr">
        <is>
          <t>Score (0-5)</t>
        </is>
      </c>
      <c r="E120" s="118" t="inlineStr">
        <is>
          <t>Weighted</t>
        </is>
      </c>
      <c r="F120" s="118" t="inlineStr">
        <is>
          <t>Band</t>
        </is>
      </c>
    </row>
    <row r="121">
      <c r="B121" s="23" t="inlineStr">
        <is>
          <t>Resolution / Progress Toward Resolution</t>
        </is>
      </c>
      <c r="C121" s="24" t="n">
        <v>0.3</v>
      </c>
      <c r="D121" s="25">
        <f>C27</f>
        <v/>
      </c>
      <c r="E121" s="83">
        <f>IF(D121="","",(D121/5)*C121)</f>
        <v/>
      </c>
      <c r="F121" s="132">
        <f>IF(D121="","",IF(D121&gt;=4,"Strong",IF(D121=3,"Developing","Needs Focus")))</f>
        <v/>
      </c>
    </row>
    <row r="122">
      <c r="B122" s="28" t="inlineStr">
        <is>
          <t>Technical Accuracy</t>
        </is>
      </c>
      <c r="C122" s="29" t="n">
        <v>0.2</v>
      </c>
      <c r="D122" s="30">
        <f>C42</f>
        <v/>
      </c>
      <c r="E122" s="78">
        <f>IF(D122="","",(D122/5)*C122)</f>
        <v/>
      </c>
      <c r="F122" s="131">
        <f>IF(D122="","",IF(D122&gt;=4,"Strong",IF(D122=3,"Developing","Needs Focus")))</f>
        <v/>
      </c>
    </row>
    <row r="123">
      <c r="B123" s="23" t="inlineStr">
        <is>
          <t>Communication &amp; Call Control</t>
        </is>
      </c>
      <c r="C123" s="24" t="n">
        <v>0.15</v>
      </c>
      <c r="D123" s="25">
        <f>C58</f>
        <v/>
      </c>
      <c r="E123" s="83">
        <f>IF(D123="","",(D123/5)*C123)</f>
        <v/>
      </c>
      <c r="F123" s="132">
        <f>IF(D123="","",IF(D123&gt;=4,"Strong",IF(D123=3,"Developing","Needs Focus")))</f>
        <v/>
      </c>
    </row>
    <row r="124">
      <c r="B124" s="28" t="inlineStr">
        <is>
          <t>Customer Ownership</t>
        </is>
      </c>
      <c r="C124" s="29" t="n">
        <v>0.15</v>
      </c>
      <c r="D124" s="30">
        <f>C74</f>
        <v/>
      </c>
      <c r="E124" s="78">
        <f>IF(D124="","",(D124/5)*C124)</f>
        <v/>
      </c>
      <c r="F124" s="131">
        <f>IF(D124="","",IF(D124&gt;=4,"Strong",IF(D124=3,"Developing","Needs Focus")))</f>
        <v/>
      </c>
    </row>
    <row r="125">
      <c r="B125" s="23" t="inlineStr">
        <is>
          <t>Escalation Judgment</t>
        </is>
      </c>
      <c r="C125" s="24" t="n">
        <v>0.1</v>
      </c>
      <c r="D125" s="25">
        <f>C87</f>
        <v/>
      </c>
      <c r="E125" s="83">
        <f>IF(D125="","",(D125/5)*C125)</f>
        <v/>
      </c>
      <c r="F125" s="132">
        <f>IF(D125="","",IF(D125&gt;=4,"Strong",IF(D125=3,"Developing","Needs Focus")))</f>
        <v/>
      </c>
    </row>
    <row r="126">
      <c r="B126" s="28" t="inlineStr">
        <is>
          <t>Customer Experience</t>
        </is>
      </c>
      <c r="C126" s="29" t="n">
        <v>0.05</v>
      </c>
      <c r="D126" s="30">
        <f>C101</f>
        <v/>
      </c>
      <c r="E126" s="78">
        <f>IF(D126="","",(D126/5)*C126)</f>
        <v/>
      </c>
      <c r="F126" s="131">
        <f>IF(D126="","",IF(D126&gt;=4,"Strong",IF(D126=3,"Developing","Needs Focus")))</f>
        <v/>
      </c>
    </row>
    <row r="127">
      <c r="B127" s="23" t="inlineStr">
        <is>
          <t>Documentation &amp; Notes</t>
        </is>
      </c>
      <c r="C127" s="24" t="n">
        <v>0.05</v>
      </c>
      <c r="D127" s="25">
        <f>C116</f>
        <v/>
      </c>
      <c r="E127" s="83">
        <f>IF(D127="","",(D127/5)*C127)</f>
        <v/>
      </c>
      <c r="F127" s="132">
        <f>IF(D127="","",IF(D127&gt;=4,"Strong",IF(D127=3,"Developing","Needs Focus")))</f>
        <v/>
      </c>
    </row>
    <row r="128" ht="24" customHeight="1">
      <c r="B128" s="8" t="inlineStr">
        <is>
          <t>WEIGHTED TOTAL SCORE</t>
        </is>
      </c>
      <c r="C128" s="33">
        <f>SUM(C121:C127)</f>
        <v/>
      </c>
      <c r="D128" s="34" t="inlineStr"/>
      <c r="E128" s="35">
        <f>SUM(E121:E127)</f>
        <v/>
      </c>
      <c r="F128" s="36">
        <f>IF(E128="","",IF(E128&gt;=0.85,"MEETS / EXCEEDS",IF(E128&gt;=0.7,"DEVELOPING","NEEDS IMPROVEMENT")))</f>
        <v/>
      </c>
    </row>
    <row r="130">
      <c r="B130" s="125" t="inlineStr">
        <is>
          <t>4 · RESOLUTION OUTCOME</t>
        </is>
      </c>
      <c r="C130" s="67" t="n"/>
      <c r="D130" s="67" t="n"/>
      <c r="E130" s="67" t="n"/>
      <c r="F130" s="68" t="n"/>
    </row>
    <row r="131">
      <c r="B131" s="4" t="inlineStr">
        <is>
          <t>Outcome classification</t>
        </is>
      </c>
      <c r="C131" s="37" t="inlineStr">
        <is>
          <t>Ownership Gap</t>
        </is>
      </c>
      <c r="D131" s="70" t="n"/>
      <c r="E131" s="70" t="n"/>
      <c r="F131" s="69" t="n"/>
    </row>
    <row r="132">
      <c r="B132" s="6" t="inlineStr">
        <is>
          <t>Primary positive outcome achieved</t>
        </is>
      </c>
      <c r="C132" s="81" t="inlineStr">
        <is>
          <t>None achieved</t>
        </is>
      </c>
      <c r="D132" s="70" t="n"/>
      <c r="E132" s="70" t="n"/>
      <c r="F132" s="69" t="n"/>
    </row>
    <row r="133" ht="52" customHeight="1">
      <c r="B133" s="4" t="inlineStr">
        <is>
          <t>Justification</t>
        </is>
      </c>
      <c r="C133" s="7"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70" t="n"/>
      <c r="E133" s="70" t="n"/>
      <c r="F133" s="69" t="n"/>
    </row>
    <row r="135">
      <c r="B135" s="125" t="inlineStr">
        <is>
          <t>5 · DISCONNECTED CALL FOLLOW-UP</t>
        </is>
      </c>
      <c r="C135" s="67" t="n"/>
      <c r="D135" s="67" t="n"/>
      <c r="E135" s="67" t="n"/>
      <c r="F135" s="68" t="n"/>
    </row>
    <row r="136">
      <c r="B136" s="6" t="inlineStr">
        <is>
          <t>Did the interaction disconnect before completion?</t>
        </is>
      </c>
      <c r="C136" s="79" t="inlineStr">
        <is>
          <t>No</t>
        </is>
      </c>
      <c r="D136" s="15" t="inlineStr">
        <is>
          <t>If Yes, at least one documented follow-up action is required.</t>
        </is>
      </c>
      <c r="E136" s="70" t="n"/>
      <c r="F136" s="69" t="n"/>
    </row>
    <row r="137" ht="30" customHeight="1">
      <c r="B137" s="4" t="inlineStr">
        <is>
          <t>Follow-up action taken</t>
        </is>
      </c>
      <c r="C137" s="81" t="inlineStr">
        <is>
          <t>N.A. — no disconnect</t>
        </is>
      </c>
      <c r="D137" s="69" t="n"/>
      <c r="E137" s="38">
        <f>IF(AND(C136="Yes",OR(C137="None",C137="N.A. — no disconnect")),"⚠ MISSED OWNERSHIP OPPORTUNITY — flag in Customer Ownership and Critical Failures","OK")</f>
        <v/>
      </c>
      <c r="F137" s="69" t="n"/>
    </row>
    <row r="139">
      <c r="B139" s="121" t="inlineStr">
        <is>
          <t>6 · CRITICAL FAILURE CONDITIONS  (any 'Yes' triggers automatic review / coaching / QA failure regardless of score)</t>
        </is>
      </c>
      <c r="C139" s="67" t="n"/>
      <c r="D139" s="67" t="n"/>
      <c r="E139" s="67" t="n"/>
      <c r="F139" s="68" t="n"/>
    </row>
    <row r="140">
      <c r="B140" s="125" t="inlineStr">
        <is>
          <t>Condition</t>
        </is>
      </c>
      <c r="C140" s="118" t="inlineStr">
        <is>
          <t>Present?</t>
        </is>
      </c>
      <c r="D140" s="125" t="inlineStr">
        <is>
          <t>Notes / Evidence</t>
        </is>
      </c>
      <c r="E140" s="67" t="n"/>
      <c r="F140" s="68" t="n"/>
    </row>
    <row r="141" ht="26" customHeight="1">
      <c r="B141" s="12" t="inlineStr">
        <is>
          <t>Harmful or incorrect troubleshooting provided</t>
        </is>
      </c>
      <c r="C141" s="79" t="inlineStr">
        <is>
          <t>No</t>
        </is>
      </c>
      <c r="D141" s="12" t="inlineStr"/>
      <c r="E141" s="70" t="n"/>
      <c r="F141" s="69" t="n"/>
    </row>
    <row r="142" ht="26" customHeight="1">
      <c r="B142" s="14" t="inlineStr">
        <is>
          <t>Misrepresented product capabilities</t>
        </is>
      </c>
      <c r="C142" s="79" t="inlineStr">
        <is>
          <t>No</t>
        </is>
      </c>
      <c r="D142" s="14" t="inlineStr"/>
      <c r="E142" s="70" t="n"/>
      <c r="F142" s="69" t="n"/>
    </row>
    <row r="143" ht="26" customHeight="1">
      <c r="B143" s="12" t="inlineStr">
        <is>
          <t>Unsupported root-cause claims (e.g., ISP/customer blame w/o evidence)</t>
        </is>
      </c>
      <c r="C143" s="79" t="inlineStr">
        <is>
          <t>No</t>
        </is>
      </c>
      <c r="D143" s="12" t="inlineStr"/>
      <c r="E143" s="70" t="n"/>
      <c r="F143" s="69" t="n"/>
    </row>
    <row r="144" ht="26" customHeight="1">
      <c r="B144" s="14" t="inlineStr">
        <is>
          <t>No follow-up after disconnected call</t>
        </is>
      </c>
      <c r="C144" s="79" t="inlineStr">
        <is>
          <t>No</t>
        </is>
      </c>
      <c r="D144" s="14" t="inlineStr"/>
      <c r="E144" s="70" t="n"/>
      <c r="F144" s="69" t="n"/>
    </row>
    <row r="145" ht="26" customHeight="1">
      <c r="B145" s="12" t="inlineStr">
        <is>
          <t>Failed to complete a promised action (incl. missed agreed callback window)</t>
        </is>
      </c>
      <c r="C145" s="79" t="inlineStr">
        <is>
          <t>Yes</t>
        </is>
      </c>
      <c r="D145" s="12" t="inlineStr">
        <is>
          <t>Agreed 4-5 PM CT window May 19; calls placed 5:42 &amp; 6:06 PM (42-66 min late). Conflicting explanations in notes.</t>
        </is>
      </c>
      <c r="E145" s="70" t="n"/>
      <c r="F145" s="69" t="n"/>
    </row>
    <row r="146" ht="26" customHeight="1">
      <c r="B146" s="14" t="inlineStr">
        <is>
          <t>Abandoned customer without a path forward</t>
        </is>
      </c>
      <c r="C146" s="79" t="inlineStr">
        <is>
          <t>No</t>
        </is>
      </c>
      <c r="D146" s="14" t="inlineStr"/>
      <c r="E146" s="70" t="n"/>
      <c r="F146" s="69" t="n"/>
    </row>
    <row r="147" ht="26" customHeight="1">
      <c r="B147" s="12" t="inlineStr">
        <is>
          <t>Escalated without reasonable troubleshooting / to avoid ownership</t>
        </is>
      </c>
      <c r="C147" s="79" t="inlineStr">
        <is>
          <t>No</t>
        </is>
      </c>
      <c r="D147" s="12" t="inlineStr"/>
      <c r="E147" s="70" t="n"/>
      <c r="F147" s="69" t="n"/>
    </row>
    <row r="148" ht="26" customHeight="1">
      <c r="B148" s="14" t="inlineStr">
        <is>
          <t>Unprofessional, rude, or dismissive conduct / policy violation</t>
        </is>
      </c>
      <c r="C148" s="79" t="inlineStr">
        <is>
          <t>No</t>
        </is>
      </c>
      <c r="D148" s="14" t="inlineStr"/>
      <c r="E148" s="70" t="n"/>
      <c r="F148" s="69" t="n"/>
    </row>
    <row r="149" ht="26" customHeight="1">
      <c r="B149" s="12" t="inlineStr">
        <is>
          <t>Compliance / security violation (e.g., payment card data spoken or stored in plaintext — PCI DSS)</t>
        </is>
      </c>
      <c r="C149" s="79" t="inlineStr">
        <is>
          <t>No</t>
        </is>
      </c>
      <c r="D149" s="12" t="inlineStr"/>
      <c r="E149" s="70" t="n"/>
      <c r="F149" s="69" t="n"/>
    </row>
    <row r="150" ht="26" customHeight="1">
      <c r="B150" s="14" t="inlineStr">
        <is>
          <t>Case marked Resolved while issue known to be unresolved (premature closure / no closure reason)</t>
        </is>
      </c>
      <c r="C150" s="79" t="inlineStr">
        <is>
          <t>Yes</t>
        </is>
      </c>
      <c r="D150" s="14" t="inlineStr">
        <is>
          <t>RESOLVED set May 19 after apology email; no private note with closure reason; survey 3 days later: Resolution Rate = No. 5th premature RESOLVED on this ticket.</t>
        </is>
      </c>
      <c r="E150" s="70" t="n"/>
      <c r="F150" s="69" t="n"/>
    </row>
    <row r="151" ht="26" customHeight="1">
      <c r="B151" s="12" t="inlineStr">
        <is>
          <t>Customer complaint, management-contact, or legal-risk request not escalated</t>
        </is>
      </c>
      <c r="C151" s="79" t="inlineStr">
        <is>
          <t>Yes</t>
        </is>
      </c>
      <c r="D151" s="12" t="inlineStr">
        <is>
          <t>Customer email 3:33 PM May 19 requested management contact and referenced a lawyer; no management/DSAT escalation until PMO intervention May 27.</t>
        </is>
      </c>
      <c r="E151" s="70" t="n"/>
      <c r="F151" s="69" t="n"/>
    </row>
    <row r="152">
      <c r="B152" s="121" t="inlineStr">
        <is>
          <t>CRITICAL FAILURE FLAGGED?</t>
        </is>
      </c>
      <c r="C152" s="40">
        <f>IF(COUNTIF(C141:C151,"Yes")&gt;0,"YES — "&amp;COUNTIF(C141:C151,"Yes")&amp;" condition(s) flagged — automatic review required regardless of weighted score","No critical failures")</f>
        <v/>
      </c>
      <c r="D152" s="67" t="n"/>
      <c r="E152" s="67" t="n"/>
      <c r="F152" s="68" t="n"/>
    </row>
    <row r="154">
      <c r="B154" s="8" t="inlineStr">
        <is>
          <t>7 · COACHING &amp; FEEDBACK  (every review must produce at least one actionable coaching opportunity)</t>
        </is>
      </c>
      <c r="C154" s="67" t="n"/>
      <c r="D154" s="67" t="n"/>
      <c r="E154" s="67" t="n"/>
      <c r="F154" s="68" t="n"/>
    </row>
    <row r="155">
      <c r="B155" s="125" t="inlineStr">
        <is>
          <t>WHAT WENT WELL — behaviors to repeat</t>
        </is>
      </c>
      <c r="C155" s="67" t="n"/>
      <c r="D155" s="67" t="n"/>
      <c r="E155" s="67" t="n"/>
      <c r="F155" s="68" t="n"/>
    </row>
    <row r="156" ht="32" customHeight="1">
      <c r="B156" s="11" t="inlineStr">
        <is>
          <t>1.</t>
        </is>
      </c>
      <c r="C156" s="7" t="inlineStr">
        <is>
          <t>Took over a collapsing case and delivered the journey's decisive technical win: fault isolated away from the ISP to the MX4200 parent node, internet restored, 4 child nodes configured with per-node RSSI documented</t>
        </is>
      </c>
      <c r="D156" s="70" t="n"/>
      <c r="E156" s="70" t="n"/>
      <c r="F156" s="69" t="n"/>
    </row>
    <row r="157" ht="32" customHeight="1">
      <c r="B157" s="11" t="inlineStr">
        <is>
          <t>2.</t>
        </is>
      </c>
      <c r="C157" s="7" t="inlineStr">
        <is>
          <t>End-to-end L2 ownership of the technical work — no bouncing, 3h26m of focused troubleshooting with remote tooling (ZOHO)</t>
        </is>
      </c>
      <c r="D157" s="70" t="n"/>
      <c r="E157" s="70" t="n"/>
      <c r="F157" s="69" t="n"/>
    </row>
    <row r="158" ht="32" customHeight="1">
      <c r="B158" s="11" t="inlineStr">
        <is>
          <t>3.</t>
        </is>
      </c>
      <c r="C158" s="7" t="inlineStr">
        <is>
          <t>Recovery attempts after the miss (2 calls, voicemails, 2 emails with reference number and hotline) show the follow-up instinct exists — the failure was timing and closure, not absence</t>
        </is>
      </c>
      <c r="D158" s="70" t="n"/>
      <c r="E158" s="70" t="n"/>
      <c r="F158" s="69" t="n"/>
    </row>
    <row r="159">
      <c r="B159" s="125" t="inlineStr">
        <is>
          <t>IMPROVEMENT OPPORTUNITIES — behaviors to improve</t>
        </is>
      </c>
      <c r="C159" s="67" t="n"/>
      <c r="D159" s="67" t="n"/>
      <c r="E159" s="67" t="n"/>
      <c r="F159" s="68" t="n"/>
    </row>
    <row r="160" ht="32" customHeight="1">
      <c r="B160" s="11" t="inlineStr">
        <is>
          <t>1.</t>
        </is>
      </c>
      <c r="C160" s="7" t="inlineStr">
        <is>
          <t>Protect or renegotiate callback commitments: the May 19 TC/OM meetings were known before the 4-5 PM window — a 2-minute proactive 'can we move to 6 PM?' email would have prevented the complaint</t>
        </is>
      </c>
      <c r="D160" s="70" t="n"/>
      <c r="E160" s="70" t="n"/>
      <c r="F160" s="69" t="n"/>
    </row>
    <row r="161" ht="32" customHeight="1">
      <c r="B161" s="11" t="inlineStr">
        <is>
          <t>2.</t>
        </is>
      </c>
      <c r="C161" s="7" t="inlineStr">
        <is>
          <t>Never set RESOLVED on a known-unresolved case: use CALLBACK/PENDING and document a closure reason; this ticket's 5th premature closure triggered an NTE</t>
        </is>
      </c>
      <c r="D161" s="70" t="n"/>
      <c r="E161" s="70" t="n"/>
      <c r="F161" s="69" t="n"/>
    </row>
    <row r="162" ht="32" customHeight="1">
      <c r="B162" s="11" t="inlineStr">
        <is>
          <t>3.</t>
        </is>
      </c>
      <c r="C162" s="7" t="inlineStr">
        <is>
          <t>Treat an explicit management request + legal reference from a vulnerable customer as a same-day mandatory escalation, independent of any apology email</t>
        </is>
      </c>
      <c r="D162" s="70" t="n"/>
      <c r="E162" s="70" t="n"/>
      <c r="F162" s="69" t="n"/>
    </row>
    <row r="163">
      <c r="B163" s="125" t="inlineStr">
        <is>
          <t>COACHING RECOMMENDATION — specific actions the agent should apply going forward</t>
        </is>
      </c>
      <c r="C163" s="67" t="n"/>
      <c r="D163" s="67" t="n"/>
      <c r="E163" s="67" t="n"/>
      <c r="F163" s="68" t="n"/>
    </row>
    <row r="164" ht="58" customHeight="1">
      <c r="B164" s="7"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70" t="n"/>
      <c r="D164" s="70" t="n"/>
      <c r="E164" s="70" t="n"/>
      <c r="F164" s="69" t="n"/>
    </row>
    <row r="165">
      <c r="B165" s="125" t="inlineStr">
        <is>
          <t>ORGANIZATIONAL INSIGHTS — training / process / KB / chatbot / tooling / product gaps discovered</t>
        </is>
      </c>
      <c r="C165" s="67" t="n"/>
      <c r="D165" s="67" t="n"/>
      <c r="E165" s="67" t="n"/>
      <c r="F165" s="68" t="n"/>
    </row>
    <row r="166" ht="70" customHeight="1">
      <c r="B166" s="7"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70" t="n"/>
      <c r="D166" s="70" t="n"/>
      <c r="E166" s="70" t="n"/>
      <c r="F166" s="69" t="n"/>
    </row>
    <row r="167">
      <c r="B167" s="125" t="inlineStr">
        <is>
          <t>MULTI-TOUCH / JOURNEY NOTES — handoff quality received &amp; passed, continuity, where the chain stands</t>
        </is>
      </c>
      <c r="C167" s="67" t="n"/>
      <c r="D167" s="67" t="n"/>
      <c r="E167" s="67" t="n"/>
      <c r="F167" s="68" t="n"/>
    </row>
    <row r="168" ht="58" customHeight="1">
      <c r="B168" s="7"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70" t="n"/>
      <c r="D168" s="70" t="n"/>
      <c r="E168" s="70" t="n"/>
      <c r="F168" s="69" t="n"/>
    </row>
    <row r="169">
      <c r="B169" s="125" t="inlineStr">
        <is>
          <t>FINAL QA ASSESSMENT — customer outcome, support quality, and coaching value</t>
        </is>
      </c>
      <c r="C169" s="67" t="n"/>
      <c r="D169" s="67" t="n"/>
      <c r="E169" s="67" t="n"/>
      <c r="F169" s="68" t="n"/>
    </row>
    <row r="170" ht="58" customHeight="1">
      <c r="B170" s="7"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70" t="n"/>
      <c r="D170" s="70" t="n"/>
      <c r="E170" s="70" t="n"/>
      <c r="F170" s="69"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E9:F9"/>
    <mergeCell ref="C156:F156"/>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0">
      <formula>"Met"</formula>
    </cfRule>
    <cfRule type="cellIs" priority="2" operator="equal" dxfId="1">
      <formula>"Partial"</formula>
    </cfRule>
    <cfRule type="cellIs" priority="3" operator="equal" dxfId="2">
      <formula>"Missed"</formula>
    </cfRule>
  </conditionalFormatting>
  <conditionalFormatting sqref="C27">
    <cfRule type="cellIs" priority="4" operator="lessThanOrEqual" dxfId="2">
      <formula>2</formula>
    </cfRule>
    <cfRule type="cellIs" priority="5" operator="equal" dxfId="1">
      <formula>3</formula>
    </cfRule>
    <cfRule type="cellIs" priority="6" operator="greaterThanOrEqual" dxfId="0">
      <formula>4</formula>
    </cfRule>
  </conditionalFormatting>
  <conditionalFormatting sqref="C33:C39">
    <cfRule type="cellIs" priority="7" operator="equal" dxfId="0">
      <formula>"Met"</formula>
    </cfRule>
    <cfRule type="cellIs" priority="8" operator="equal" dxfId="1">
      <formula>"Partial"</formula>
    </cfRule>
    <cfRule type="cellIs" priority="9" operator="equal" dxfId="2">
      <formula>"Missed"</formula>
    </cfRule>
  </conditionalFormatting>
  <conditionalFormatting sqref="C42">
    <cfRule type="cellIs" priority="10" operator="lessThanOrEqual" dxfId="2">
      <formula>2</formula>
    </cfRule>
    <cfRule type="cellIs" priority="11" operator="equal" dxfId="1">
      <formula>3</formula>
    </cfRule>
    <cfRule type="cellIs" priority="12" operator="greaterThanOrEqual" dxfId="0">
      <formula>4</formula>
    </cfRule>
  </conditionalFormatting>
  <conditionalFormatting sqref="C48:C55">
    <cfRule type="cellIs" priority="13" operator="equal" dxfId="0">
      <formula>"Met"</formula>
    </cfRule>
    <cfRule type="cellIs" priority="14" operator="equal" dxfId="1">
      <formula>"Partial"</formula>
    </cfRule>
    <cfRule type="cellIs" priority="15" operator="equal" dxfId="2">
      <formula>"Missed"</formula>
    </cfRule>
  </conditionalFormatting>
  <conditionalFormatting sqref="C58">
    <cfRule type="cellIs" priority="16" operator="lessThanOrEqual" dxfId="2">
      <formula>2</formula>
    </cfRule>
    <cfRule type="cellIs" priority="17" operator="equal" dxfId="1">
      <formula>3</formula>
    </cfRule>
    <cfRule type="cellIs" priority="18" operator="greaterThanOrEqual" dxfId="0">
      <formula>4</formula>
    </cfRule>
  </conditionalFormatting>
  <conditionalFormatting sqref="C64:C71">
    <cfRule type="cellIs" priority="19" operator="equal" dxfId="0">
      <formula>"Met"</formula>
    </cfRule>
    <cfRule type="cellIs" priority="20" operator="equal" dxfId="1">
      <formula>"Partial"</formula>
    </cfRule>
    <cfRule type="cellIs" priority="21" operator="equal" dxfId="2">
      <formula>"Missed"</formula>
    </cfRule>
  </conditionalFormatting>
  <conditionalFormatting sqref="C74">
    <cfRule type="cellIs" priority="22" operator="lessThanOrEqual" dxfId="2">
      <formula>2</formula>
    </cfRule>
    <cfRule type="cellIs" priority="23" operator="equal" dxfId="1">
      <formula>3</formula>
    </cfRule>
    <cfRule type="cellIs" priority="24" operator="greaterThanOrEqual" dxfId="0">
      <formula>4</formula>
    </cfRule>
  </conditionalFormatting>
  <conditionalFormatting sqref="C80:C84">
    <cfRule type="cellIs" priority="25" operator="equal" dxfId="0">
      <formula>"Met"</formula>
    </cfRule>
    <cfRule type="cellIs" priority="26" operator="equal" dxfId="1">
      <formula>"Partial"</formula>
    </cfRule>
    <cfRule type="cellIs" priority="27" operator="equal" dxfId="2">
      <formula>"Missed"</formula>
    </cfRule>
  </conditionalFormatting>
  <conditionalFormatting sqref="C87">
    <cfRule type="cellIs" priority="28" operator="lessThanOrEqual" dxfId="2">
      <formula>2</formula>
    </cfRule>
    <cfRule type="cellIs" priority="29" operator="equal" dxfId="1">
      <formula>3</formula>
    </cfRule>
    <cfRule type="cellIs" priority="30" operator="greaterThanOrEqual" dxfId="0">
      <formula>4</formula>
    </cfRule>
  </conditionalFormatting>
  <conditionalFormatting sqref="C93:C98">
    <cfRule type="cellIs" priority="31" operator="equal" dxfId="0">
      <formula>"Met"</formula>
    </cfRule>
    <cfRule type="cellIs" priority="32" operator="equal" dxfId="1">
      <formula>"Partial"</formula>
    </cfRule>
    <cfRule type="cellIs" priority="33" operator="equal" dxfId="2">
      <formula>"Missed"</formula>
    </cfRule>
  </conditionalFormatting>
  <conditionalFormatting sqref="C101">
    <cfRule type="cellIs" priority="34" operator="lessThanOrEqual" dxfId="2">
      <formula>2</formula>
    </cfRule>
    <cfRule type="cellIs" priority="35" operator="equal" dxfId="1">
      <formula>3</formula>
    </cfRule>
    <cfRule type="cellIs" priority="36" operator="greaterThanOrEqual" dxfId="0">
      <formula>4</formula>
    </cfRule>
  </conditionalFormatting>
  <conditionalFormatting sqref="C107:C113">
    <cfRule type="cellIs" priority="37" operator="equal" dxfId="0">
      <formula>"Met"</formula>
    </cfRule>
    <cfRule type="cellIs" priority="38" operator="equal" dxfId="1">
      <formula>"Partial"</formula>
    </cfRule>
    <cfRule type="cellIs" priority="39" operator="equal" dxfId="2">
      <formula>"Missed"</formula>
    </cfRule>
  </conditionalFormatting>
  <conditionalFormatting sqref="C116">
    <cfRule type="cellIs" priority="40" operator="lessThanOrEqual" dxfId="2">
      <formula>2</formula>
    </cfRule>
    <cfRule type="cellIs" priority="41" operator="equal" dxfId="1">
      <formula>3</formula>
    </cfRule>
    <cfRule type="cellIs" priority="42" operator="greaterThanOrEqual" dxfId="0">
      <formula>4</formula>
    </cfRule>
  </conditionalFormatting>
  <conditionalFormatting sqref="E128">
    <cfRule type="cellIs" priority="43" operator="greaterThanOrEqual" dxfId="3">
      <formula>0.85</formula>
    </cfRule>
    <cfRule type="cellIs" priority="44" operator="between" dxfId="4">
      <formula>0.70</formula>
      <formula>0.8499</formula>
    </cfRule>
    <cfRule type="cellIs" priority="45" operator="lessThan" dxfId="5">
      <formula>0.70</formula>
    </cfRule>
  </conditionalFormatting>
  <conditionalFormatting sqref="F121:F127">
    <cfRule type="cellIs" priority="46" operator="equal" dxfId="6">
      <formula>"Strong"</formula>
    </cfRule>
    <cfRule type="cellIs" priority="47" operator="equal" dxfId="7">
      <formula>"Developing"</formula>
    </cfRule>
    <cfRule type="cellIs" priority="48" operator="equal" dxfId="8">
      <formula>"Needs Focus"</formula>
    </cfRule>
  </conditionalFormatting>
  <conditionalFormatting sqref="E137">
    <cfRule type="expression" priority="49" dxfId="2">
      <formula>E137&lt;&gt;"OK"</formula>
    </cfRule>
    <cfRule type="expression" priority="50" dxfId="0">
      <formula>E137="OK"</formula>
    </cfRule>
  </conditionalFormatting>
  <conditionalFormatting sqref="C141:C151">
    <cfRule type="cellIs" priority="51" operator="equal" dxfId="2">
      <formula>"Yes"</formula>
    </cfRule>
  </conditionalFormatting>
  <conditionalFormatting sqref="C152">
    <cfRule type="expression" priority="52" dxfId="2">
      <formula>ISNUMBER(SEARCH("YES",C152))</formula>
    </cfRule>
    <cfRule type="expression" priority="53" dxfId="0">
      <formula>NOT(ISNUMBER(SEARCH("YES",C152)))</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operator="between">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0"/>
  <sheetViews>
    <sheetView showGridLines="0" workbookViewId="0">
      <pane ySplit="4" topLeftCell="A5" activePane="bottomLeft" state="frozen"/>
      <selection pane="bottomLeft" activeCell="A1" sqref="A1"/>
    </sheetView>
  </sheetViews>
  <sheetFormatPr baseColWidth="8" defaultRowHeight="15"/>
  <cols>
    <col width="11" customWidth="1" min="1" max="1"/>
    <col width="13" customWidth="1" min="2" max="2"/>
    <col width="1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10" customWidth="1" min="12" max="12"/>
    <col width="13" customWidth="1" min="13" max="13"/>
    <col width="60" customWidth="1" min="14" max="14"/>
    <col width="22" customWidth="1" min="15" max="15"/>
    <col width="14" customWidth="1" min="16" max="16"/>
  </cols>
  <sheetData>
    <row r="1" ht="26" customHeight="1">
      <c r="A1" s="104" t="inlineStr">
        <is>
          <t>CASE TRACKER — Multi-Case &amp; Multi-Touch Log</t>
        </is>
      </c>
      <c r="B1" s="67" t="n"/>
      <c r="C1" s="67" t="n"/>
      <c r="D1" s="67" t="n"/>
      <c r="E1" s="67" t="n"/>
      <c r="F1" s="67" t="n"/>
      <c r="G1" s="67" t="n"/>
      <c r="H1" s="67" t="n"/>
      <c r="I1" s="67" t="n"/>
      <c r="J1" s="67" t="n"/>
      <c r="K1" s="67" t="n"/>
      <c r="L1" s="67" t="n"/>
      <c r="M1" s="67" t="n"/>
      <c r="N1" s="67" t="n"/>
      <c r="O1" s="67" t="n"/>
      <c r="P1" s="68" t="n"/>
    </row>
    <row r="2" ht="16" customHeight="1">
      <c r="A2" s="59" t="inlineStr">
        <is>
          <t>One row per touch. Reuse a Case ID across rows to track a multi-touch journey. Scores 0-5; Weighted % and Result calculate automatically. Pre-loaded: the TE00124020 / TE00127492 journey (see Multi-Touch Guide).</t>
        </is>
      </c>
      <c r="B2" s="67" t="n"/>
      <c r="C2" s="67" t="n"/>
      <c r="D2" s="67" t="n"/>
      <c r="E2" s="67" t="n"/>
      <c r="F2" s="67" t="n"/>
      <c r="G2" s="67" t="n"/>
      <c r="H2" s="67" t="n"/>
      <c r="I2" s="67" t="n"/>
      <c r="J2" s="67" t="n"/>
      <c r="K2" s="67" t="n"/>
      <c r="L2" s="67" t="n"/>
      <c r="M2" s="67" t="n"/>
      <c r="N2" s="67" t="n"/>
      <c r="O2" s="67" t="n"/>
      <c r="P2" s="68" t="n"/>
    </row>
    <row r="3" ht="24" customHeight="1">
      <c r="A3" s="124">
        <f>" LOADED JOURNEY TEAM SCORE  ▸  TE00127492 (Stell):  "&amp;TEXT(G56,"0.0%")&amp;"   "&amp;UPPER(H56)&amp;"     —  full team analysis on the Team Scoring sheet;  scoring section below at row 53 "</f>
        <v/>
      </c>
      <c r="B3" s="67" t="n"/>
      <c r="C3" s="67" t="n"/>
      <c r="D3" s="67" t="n"/>
      <c r="E3" s="67" t="n"/>
      <c r="F3" s="67" t="n"/>
      <c r="G3" s="67" t="n"/>
      <c r="H3" s="67" t="n"/>
      <c r="I3" s="67" t="n"/>
      <c r="J3" s="67" t="n"/>
      <c r="K3" s="67" t="n"/>
      <c r="L3" s="67" t="n"/>
      <c r="M3" s="67" t="n"/>
      <c r="N3" s="67" t="n"/>
      <c r="O3" s="67" t="n"/>
      <c r="P3" s="68" t="n"/>
    </row>
    <row r="4" ht="30" customHeight="1">
      <c r="A4" s="60" t="inlineStr">
        <is>
          <t>Date</t>
        </is>
      </c>
      <c r="B4" s="60" t="inlineStr">
        <is>
          <t>Case ID</t>
        </is>
      </c>
      <c r="C4" s="60" t="inlineStr">
        <is>
          <t>Agent</t>
        </is>
      </c>
      <c r="D4" s="60" t="inlineStr">
        <is>
          <t>Touch #</t>
        </is>
      </c>
      <c r="E4" s="60" t="inlineStr">
        <is>
          <t>Res 30%</t>
        </is>
      </c>
      <c r="F4" s="60" t="inlineStr">
        <is>
          <t>Tech 20%</t>
        </is>
      </c>
      <c r="G4" s="60" t="inlineStr">
        <is>
          <t>Comm 15%</t>
        </is>
      </c>
      <c r="H4" s="60" t="inlineStr">
        <is>
          <t>Own 15%</t>
        </is>
      </c>
      <c r="I4" s="60" t="inlineStr">
        <is>
          <t>Esc 10%</t>
        </is>
      </c>
      <c r="J4" s="60" t="inlineStr">
        <is>
          <t>CX 5%</t>
        </is>
      </c>
      <c r="K4" s="60" t="inlineStr">
        <is>
          <t>Doc 5%</t>
        </is>
      </c>
      <c r="L4" s="60" t="inlineStr">
        <is>
          <t>Weighted</t>
        </is>
      </c>
      <c r="M4" s="60" t="inlineStr">
        <is>
          <t>Result</t>
        </is>
      </c>
      <c r="N4" s="60" t="inlineStr">
        <is>
          <t>Outcome / Notes</t>
        </is>
      </c>
      <c r="O4" s="130" t="inlineStr">
        <is>
          <t>Contribution Type</t>
        </is>
      </c>
      <c r="P4" s="130" t="inlineStr">
        <is>
          <t>Handoff Quality (0-5)</t>
        </is>
      </c>
    </row>
    <row r="5" ht="40" customHeight="1">
      <c r="A5" s="61" t="inlineStr">
        <is>
          <t>2026-04-01</t>
        </is>
      </c>
      <c r="B5" s="61" t="inlineStr">
        <is>
          <t>TE00124020</t>
        </is>
      </c>
      <c r="C5" s="61" t="inlineStr">
        <is>
          <t>Dorothy Belle Oraiz</t>
        </is>
      </c>
      <c r="D5" s="61" t="n">
        <v>1</v>
      </c>
      <c r="E5" s="61" t="n">
        <v>3</v>
      </c>
      <c r="F5" s="61" t="n">
        <v>3</v>
      </c>
      <c r="G5" s="61" t="n">
        <v>3</v>
      </c>
      <c r="H5" s="61" t="n">
        <v>2</v>
      </c>
      <c r="I5" s="61" t="n">
        <v>4</v>
      </c>
      <c r="J5" s="61" t="n">
        <v>3</v>
      </c>
      <c r="K5" s="61" t="n">
        <v>2</v>
      </c>
      <c r="L5" s="62">
        <f>IF((COUNT(E5)+COUNT(F5)+COUNT(G5)+COUNT(H5)+COUNT(I5)+COUNT(J5)+COUNT(K5))=0,"",IFERROR(E5/5*0.3,0)+IFERROR(F5/5*0.2,0)+IFERROR(G5/5*0.15,0)+IFERROR(H5/5*0.15,0)+IFERROR(I5/5*0.1,0)+IFERROR(J5/5*0.05,0)+IFERROR(K5/5*0.05,0))</f>
        <v/>
      </c>
      <c r="M5" s="132">
        <f>IF(L5="","",IF(L5&gt;=0.85,"Meets/Exceeds",IF(L5&gt;=0.70,"Developing","Needs Improv.")))</f>
        <v/>
      </c>
      <c r="N5" s="12" t="inlineStr">
        <is>
          <t>$30 paid session (76m): node power isolation, error 2298, escalated to L2. CRITICAL: card data spoken aloud (PCI) + $30 charge never documented. Promised 2-3h callback vs 24-48h process.</t>
        </is>
      </c>
      <c r="O5" s="132" t="inlineStr">
        <is>
          <t>Progress Builder</t>
        </is>
      </c>
      <c r="P5" s="132" t="n">
        <v>1</v>
      </c>
    </row>
    <row r="6" ht="40" customHeight="1">
      <c r="A6" s="61" t="inlineStr">
        <is>
          <t>2026-04-01</t>
        </is>
      </c>
      <c r="B6" s="61" t="inlineStr">
        <is>
          <t>TE00124020</t>
        </is>
      </c>
      <c r="C6" s="61" t="inlineStr">
        <is>
          <t>Joziel Licmoan</t>
        </is>
      </c>
      <c r="D6" s="61" t="n">
        <v>2</v>
      </c>
      <c r="E6" s="61" t="n">
        <v>2</v>
      </c>
      <c r="F6" s="61" t="n">
        <v>2</v>
      </c>
      <c r="G6" s="61" t="n">
        <v>3</v>
      </c>
      <c r="H6" s="61" t="n">
        <v>2</v>
      </c>
      <c r="I6" s="61" t="n">
        <v>3</v>
      </c>
      <c r="J6" s="61" t="n">
        <v>3</v>
      </c>
      <c r="K6" s="61" t="n">
        <v>3</v>
      </c>
      <c r="L6" s="63">
        <f>IF((COUNT(E6)+COUNT(F6)+COUNT(G6)+COUNT(H6)+COUNT(I6)+COUNT(J6)+COUNT(K6))=0,"",IFERROR(E6/5*0.3,0)+IFERROR(F6/5*0.2,0)+IFERROR(G6/5*0.15,0)+IFERROR(H6/5*0.15,0)+IFERROR(I6/5*0.1,0)+IFERROR(J6/5*0.05,0)+IFERROR(K6/5*0.05,0))</f>
        <v/>
      </c>
      <c r="M6" s="131">
        <f>IF(L6="","",IF(L6&gt;=0.85,"Meets/Exceeds",IF(L6&gt;=0.70,"Developing","Needs Improv.")))</f>
        <v/>
      </c>
      <c r="N6" s="14" t="inlineStr">
        <is>
          <t>Follow-up: no callback received, household offline. Promised L2 callback in 10-15 min without naming a technician. Administrative only.</t>
        </is>
      </c>
      <c r="O6" s="131" t="inlineStr">
        <is>
          <t>Regression Contributor</t>
        </is>
      </c>
      <c r="P6" s="131" t="n">
        <v>1</v>
      </c>
    </row>
    <row r="7" ht="40" customHeight="1">
      <c r="A7" s="61" t="inlineStr">
        <is>
          <t>2026-04-01</t>
        </is>
      </c>
      <c r="B7" s="61" t="inlineStr">
        <is>
          <t>TE00124020</t>
        </is>
      </c>
      <c r="C7" s="61" t="inlineStr">
        <is>
          <t>Paolo Real</t>
        </is>
      </c>
      <c r="D7" s="61" t="n">
        <v>3</v>
      </c>
      <c r="E7" s="61" t="n">
        <v>5</v>
      </c>
      <c r="F7" s="61" t="n">
        <v>4</v>
      </c>
      <c r="G7" s="61" t="n">
        <v>2</v>
      </c>
      <c r="H7" s="61" t="n">
        <v>3</v>
      </c>
      <c r="I7" s="61" t="n">
        <v>4</v>
      </c>
      <c r="J7" s="61" t="n">
        <v>3</v>
      </c>
      <c r="K7" s="61" t="n">
        <v>3</v>
      </c>
      <c r="L7" s="62">
        <f>IF((COUNT(E7)+COUNT(F7)+COUNT(G7)+COUNT(H7)+COUNT(I7)+COUNT(J7)+COUNT(K7))=0,"",IFERROR(E7/5*0.3,0)+IFERROR(F7/5*0.2,0)+IFERROR(G7/5*0.15,0)+IFERROR(H7/5*0.15,0)+IFERROR(I7/5*0.1,0)+IFERROR(J7/5*0.05,0)+IFERROR(K7/5*0.05,0))</f>
        <v/>
      </c>
      <c r="M7" s="132">
        <f>IF(L7="","",IF(L7&gt;=0.85,"Meets/Exceeds",IF(L7&gt;=0.70,"Developing","Needs Improv.")))</f>
        <v/>
      </c>
      <c r="N7" s="12" t="inlineStr">
        <is>
          <t>Delayed L2 callback (4h, internal 'weekly meeting' excuse) but RESTORED Wi-Fi: recovery key, admin reset, new SSID. Comm gaps: pace, terminology, hearing adaptation.</t>
        </is>
      </c>
      <c r="O7" s="132" t="inlineStr">
        <is>
          <t>Resolver</t>
        </is>
      </c>
      <c r="P7" s="132" t="n">
        <v>4</v>
      </c>
    </row>
    <row r="8" ht="40" customHeight="1">
      <c r="A8" s="61" t="inlineStr">
        <is>
          <t>2026-04-21</t>
        </is>
      </c>
      <c r="B8" s="61" t="inlineStr">
        <is>
          <t>TE00124020</t>
        </is>
      </c>
      <c r="C8" s="61" t="inlineStr">
        <is>
          <t>Joziel Licmoan</t>
        </is>
      </c>
      <c r="D8" s="61" t="n">
        <v>4</v>
      </c>
      <c r="E8" s="61" t="n">
        <v>3</v>
      </c>
      <c r="F8" s="61" t="n">
        <v>4</v>
      </c>
      <c r="G8" s="61" t="n">
        <v>2</v>
      </c>
      <c r="H8" s="61" t="n">
        <v>3</v>
      </c>
      <c r="I8" s="61" t="n">
        <v>3</v>
      </c>
      <c r="J8" s="61" t="n">
        <v>3</v>
      </c>
      <c r="K8" s="61" t="n">
        <v>3</v>
      </c>
      <c r="L8" s="63">
        <f>IF((COUNT(E8)+COUNT(F8)+COUNT(G8)+COUNT(H8)+COUNT(I8)+COUNT(J8)+COUNT(K8))=0,"",IFERROR(E8/5*0.3,0)+IFERROR(F8/5*0.2,0)+IFERROR(G8/5*0.15,0)+IFERROR(H8/5*0.15,0)+IFERROR(I8/5*0.1,0)+IFERROR(J8/5*0.05,0)+IFERROR(K8/5*0.05,0))</f>
        <v/>
      </c>
      <c r="M8" s="131">
        <f>IF(L8="","",IF(L8&gt;=0.85,"Meets/Exceeds",IF(L8&gt;=0.70,"Developing","Needs Improv.")))</f>
        <v/>
      </c>
      <c r="N8" s="14" t="inlineStr">
        <is>
          <t>88-min session on drop cycles: 2 child nodes restored via reset/re-add; 1 node unstable at end. Solid effort; instructions too compound for the customer.</t>
        </is>
      </c>
      <c r="O8" s="131" t="inlineStr">
        <is>
          <t>Progress Builder</t>
        </is>
      </c>
      <c r="P8" s="131" t="n">
        <v>2</v>
      </c>
    </row>
    <row r="9" ht="40" customHeight="1">
      <c r="A9" s="61" t="inlineStr">
        <is>
          <t>2026-04-23</t>
        </is>
      </c>
      <c r="B9" s="61" t="inlineStr">
        <is>
          <t>TE00124020</t>
        </is>
      </c>
      <c r="C9" s="61" t="inlineStr">
        <is>
          <t>Charmaigne Awitan</t>
        </is>
      </c>
      <c r="D9" s="61" t="n">
        <v>5</v>
      </c>
      <c r="E9" s="61" t="n">
        <v>3</v>
      </c>
      <c r="F9" s="61" t="n">
        <v>3</v>
      </c>
      <c r="G9" s="61" t="n">
        <v>2</v>
      </c>
      <c r="H9" s="61" t="n">
        <v>2</v>
      </c>
      <c r="I9" s="61" t="n">
        <v>3</v>
      </c>
      <c r="J9" s="61" t="n">
        <v>3</v>
      </c>
      <c r="K9" s="61" t="n">
        <v>1</v>
      </c>
      <c r="L9" s="62">
        <f>IF((COUNT(E9)+COUNT(F9)+COUNT(G9)+COUNT(H9)+COUNT(I9)+COUNT(J9)+COUNT(K9))=0,"",IFERROR(E9/5*0.3,0)+IFERROR(F9/5*0.2,0)+IFERROR(G9/5*0.15,0)+IFERROR(H9/5*0.15,0)+IFERROR(I9/5*0.1,0)+IFERROR(J9/5*0.05,0)+IFERROR(K9/5*0.05,0))</f>
        <v/>
      </c>
      <c r="M9" s="132">
        <f>IF(L9="","",IF(L9&gt;=0.85,"Meets/Exceeds",IF(L9&gt;=0.70,"Developing","Needs Improv.")))</f>
        <v/>
      </c>
      <c r="N9" s="12" t="inlineStr">
        <is>
          <t>WHW03 no-light call: warranty check, child-node-as-parent advice, self-help email offered. Email address mis-captured despite phonetic spelling → promised guide never arrived.</t>
        </is>
      </c>
      <c r="O9" s="132" t="inlineStr">
        <is>
          <t>Maintainer</t>
        </is>
      </c>
      <c r="P9" s="132" t="n">
        <v>1</v>
      </c>
    </row>
    <row r="10" ht="40" customHeight="1">
      <c r="A10" s="61" t="inlineStr">
        <is>
          <t>2026-04-23</t>
        </is>
      </c>
      <c r="B10" s="61" t="inlineStr">
        <is>
          <t>TE00124020</t>
        </is>
      </c>
      <c r="C10" s="61" t="inlineStr">
        <is>
          <t>Venn-Emir Calvin</t>
        </is>
      </c>
      <c r="D10" s="61" t="n">
        <v>6</v>
      </c>
      <c r="E10" s="61" t="n">
        <v>4</v>
      </c>
      <c r="F10" s="61" t="n">
        <v>4</v>
      </c>
      <c r="G10" s="61" t="n">
        <v>5</v>
      </c>
      <c r="H10" s="61" t="n">
        <v>4</v>
      </c>
      <c r="I10" s="61" t="n">
        <v>4</v>
      </c>
      <c r="J10" s="61" t="n">
        <v>4</v>
      </c>
      <c r="K10" s="61" t="n">
        <v>4</v>
      </c>
      <c r="L10" s="63">
        <f>IF((COUNT(E10)+COUNT(F10)+COUNT(G10)+COUNT(H10)+COUNT(I10)+COUNT(J10)+COUNT(K10))=0,"",IFERROR(E10/5*0.3,0)+IFERROR(F10/5*0.2,0)+IFERROR(G10/5*0.15,0)+IFERROR(H10/5*0.15,0)+IFERROR(I10/5*0.1,0)+IFERROR(J10/5*0.05,0)+IFERROR(K10/5*0.05,0))</f>
        <v/>
      </c>
      <c r="M10" s="131">
        <f>IF(L10="","",IF(L10&gt;=0.85,"Meets/Exceeds",IF(L10&gt;=0.70,"Developing","Needs Improv.")))</f>
        <v/>
      </c>
      <c r="N10" s="14" t="inlineStr">
        <is>
          <t>Caught and corrected the wrong email in under 2 min, re-sent guide. Clean recovery; investigation: no opportunities observed.</t>
        </is>
      </c>
      <c r="O10" s="131" t="inlineStr">
        <is>
          <t>Resolver</t>
        </is>
      </c>
      <c r="P10" s="131" t="n">
        <v>5</v>
      </c>
    </row>
    <row r="11" ht="40" customHeight="1">
      <c r="A11" s="61" t="inlineStr">
        <is>
          <t>2026-04-28</t>
        </is>
      </c>
      <c r="B11" s="61" t="inlineStr">
        <is>
          <t>TE00127492</t>
        </is>
      </c>
      <c r="C11" s="61" t="inlineStr">
        <is>
          <t>Nathan Amores</t>
        </is>
      </c>
      <c r="D11" s="61" t="n">
        <v>7</v>
      </c>
      <c r="E11" s="61" t="n">
        <v>2</v>
      </c>
      <c r="F11" s="61" t="n">
        <v>4</v>
      </c>
      <c r="G11" s="61" t="n">
        <v>2</v>
      </c>
      <c r="H11" s="61" t="n">
        <v>2</v>
      </c>
      <c r="I11" s="61" t="n">
        <v>3</v>
      </c>
      <c r="J11" s="61" t="n">
        <v>3</v>
      </c>
      <c r="K11" s="61" t="n">
        <v>2</v>
      </c>
      <c r="L11" s="62">
        <f>IF((COUNT(E11)+COUNT(F11)+COUNT(G11)+COUNT(H11)+COUNT(I11)+COUNT(J11)+COUNT(K11))=0,"",IFERROR(E11/5*0.3,0)+IFERROR(F11/5*0.2,0)+IFERROR(G11/5*0.15,0)+IFERROR(H11/5*0.15,0)+IFERROR(I11/5*0.1,0)+IFERROR(J11/5*0.05,0)+IFERROR(K11/5*0.05,0))</f>
        <v/>
      </c>
      <c r="M11" s="132">
        <f>IF(L11="","",IF(L11&gt;=0.85,"Meets/Exceeds",IF(L11&gt;=0.70,"Developing","Needs Improv.")))</f>
        <v/>
      </c>
      <c r="N11" s="12" t="inlineStr">
        <is>
          <t>100-min MX4200 setup (3 new + old nodes). Marked RESOLVED 10 min after note; issue returned in 3 days. CRITICAL: premature closure. Hearing adaptation cited 8×.</t>
        </is>
      </c>
      <c r="O11" s="132" t="inlineStr">
        <is>
          <t>Regression Contributor</t>
        </is>
      </c>
      <c r="P11" s="132" t="n">
        <v>1</v>
      </c>
    </row>
    <row r="12" ht="40" customHeight="1">
      <c r="A12" s="61" t="inlineStr">
        <is>
          <t>2026-05-01</t>
        </is>
      </c>
      <c r="B12" s="61" t="inlineStr">
        <is>
          <t>TE00127492</t>
        </is>
      </c>
      <c r="C12" s="61" t="inlineStr">
        <is>
          <t>Riojene Ladera</t>
        </is>
      </c>
      <c r="D12" s="61" t="n">
        <v>8</v>
      </c>
      <c r="E12" s="61" t="n">
        <v>1</v>
      </c>
      <c r="F12" s="61" t="n">
        <v>2</v>
      </c>
      <c r="G12" s="61" t="n">
        <v>2</v>
      </c>
      <c r="H12" s="61" t="n">
        <v>1</v>
      </c>
      <c r="I12" s="61" t="n">
        <v>2</v>
      </c>
      <c r="J12" s="61" t="n">
        <v>2</v>
      </c>
      <c r="K12" s="61" t="n">
        <v>2</v>
      </c>
      <c r="L12" s="63">
        <f>IF((COUNT(E12)+COUNT(F12)+COUNT(G12)+COUNT(H12)+COUNT(I12)+COUNT(J12)+COUNT(K12))=0,"",IFERROR(E12/5*0.3,0)+IFERROR(F12/5*0.2,0)+IFERROR(G12/5*0.15,0)+IFERROR(H12/5*0.15,0)+IFERROR(I12/5*0.1,0)+IFERROR(J12/5*0.05,0)+IFERROR(K12/5*0.05,0))</f>
        <v/>
      </c>
      <c r="M12" s="131">
        <f>IF(L12="","",IF(L12&gt;=0.85,"Meets/Exceeds",IF(L12&gt;=0.70,"Developing","Needs Improv.")))</f>
        <v/>
      </c>
      <c r="N12" s="14" t="inlineStr">
        <is>
          <t>Active 5-min drop cycles, but troubleshooting refused pending warranty receipt; note: 'No trouble shooting made.' Receipt-gate replaced support on an active issue.</t>
        </is>
      </c>
      <c r="O12" s="131" t="inlineStr">
        <is>
          <t>Regression Contributor</t>
        </is>
      </c>
      <c r="P12" s="131" t="n">
        <v>1</v>
      </c>
    </row>
    <row r="13" ht="40" customHeight="1">
      <c r="A13" s="61" t="inlineStr">
        <is>
          <t>2026-05-01</t>
        </is>
      </c>
      <c r="B13" s="61" t="inlineStr">
        <is>
          <t>TE00127492</t>
        </is>
      </c>
      <c r="C13" s="61" t="inlineStr">
        <is>
          <t>Girly Joy Pocot</t>
        </is>
      </c>
      <c r="D13" s="61" t="n">
        <v>9</v>
      </c>
      <c r="E13" s="61" t="n">
        <v>3</v>
      </c>
      <c r="F13" s="61" t="n">
        <v>4</v>
      </c>
      <c r="G13" s="61" t="n">
        <v>3</v>
      </c>
      <c r="H13" s="61" t="n">
        <v>3</v>
      </c>
      <c r="I13" s="61" t="n">
        <v>3</v>
      </c>
      <c r="J13" s="61" t="n">
        <v>3</v>
      </c>
      <c r="K13" s="61" t="n">
        <v>3</v>
      </c>
      <c r="L13" s="62">
        <f>IF((COUNT(E13)+COUNT(F13)+COUNT(G13)+COUNT(H13)+COUNT(I13)+COUNT(J13)+COUNT(K13))=0,"",IFERROR(E13/5*0.3,0)+IFERROR(F13/5*0.2,0)+IFERROR(G13/5*0.15,0)+IFERROR(H13/5*0.15,0)+IFERROR(I13/5*0.1,0)+IFERROR(J13/5*0.05,0)+IFERROR(K13/5*0.05,0))</f>
        <v/>
      </c>
      <c r="M13" s="132">
        <f>IF(L13="","",IF(L13&gt;=0.85,"Meets/Exceeds",IF(L13&gt;=0.70,"Developing","Needs Improv.")))</f>
        <v/>
      </c>
      <c r="N13" s="12" t="inlineStr">
        <is>
          <t>Channel Finder, firmware, RSSI (-62/-71), sequence reboot, logs collected. Ended 'observe 1 hour' + RESOLVED again; note says 'cx appreciate the help' masking exhaustion.</t>
        </is>
      </c>
      <c r="O13" s="132" t="inlineStr">
        <is>
          <t>Progress Builder</t>
        </is>
      </c>
      <c r="P13" s="132" t="n">
        <v>2</v>
      </c>
    </row>
    <row r="14" ht="40" customHeight="1">
      <c r="A14" s="61" t="inlineStr">
        <is>
          <t>2026-05-04</t>
        </is>
      </c>
      <c r="B14" s="61" t="inlineStr">
        <is>
          <t>TE00127492</t>
        </is>
      </c>
      <c r="C14" s="61" t="inlineStr">
        <is>
          <t>Aysah Bagumbaran</t>
        </is>
      </c>
      <c r="D14" s="61" t="n">
        <v>10</v>
      </c>
      <c r="E14" s="61" t="n">
        <v>2</v>
      </c>
      <c r="F14" s="61" t="n">
        <v>2</v>
      </c>
      <c r="G14" s="61" t="n">
        <v>3</v>
      </c>
      <c r="H14" s="61" t="n">
        <v>3</v>
      </c>
      <c r="I14" s="61" t="n">
        <v>4</v>
      </c>
      <c r="J14" s="61" t="n">
        <v>3</v>
      </c>
      <c r="K14" s="61" t="n">
        <v>3</v>
      </c>
      <c r="L14" s="63">
        <f>IF((COUNT(E14)+COUNT(F14)+COUNT(G14)+COUNT(H14)+COUNT(I14)+COUNT(J14)+COUNT(K14))=0,"",IFERROR(E14/5*0.3,0)+IFERROR(F14/5*0.2,0)+IFERROR(G14/5*0.15,0)+IFERROR(H14/5*0.15,0)+IFERROR(I14/5*0.1,0)+IFERROR(J14/5*0.05,0)+IFERROR(K14/5*0.05,0))</f>
        <v/>
      </c>
      <c r="M14" s="131">
        <f>IF(L14="","",IF(L14&gt;=0.85,"Meets/Exceeds",IF(L14&gt;=0.70,"Developing","Needs Improv.")))</f>
        <v/>
      </c>
      <c r="N14" s="14" t="inlineStr">
        <is>
          <t>Repeated power-cycle the customer had already done; -76 dBm clue not isolated. Escalation to L2 appropriate; callback expectation changed 24h → 2h. Understated contact count (4 vs 7+).</t>
        </is>
      </c>
      <c r="O14" s="131" t="inlineStr">
        <is>
          <t>Maintainer</t>
        </is>
      </c>
      <c r="P14" s="131" t="n">
        <v>2</v>
      </c>
    </row>
    <row r="15" ht="40" customHeight="1">
      <c r="A15" s="61" t="inlineStr">
        <is>
          <t>2026-05-04</t>
        </is>
      </c>
      <c r="B15" s="61" t="inlineStr">
        <is>
          <t>TE00127492</t>
        </is>
      </c>
      <c r="C15" s="61" t="inlineStr">
        <is>
          <t>Paolo Ebora</t>
        </is>
      </c>
      <c r="D15" s="61" t="n">
        <v>11</v>
      </c>
      <c r="E15" s="61" t="n">
        <v>3</v>
      </c>
      <c r="F15" s="61" t="n">
        <v>5</v>
      </c>
      <c r="G15" s="61" t="n">
        <v>3</v>
      </c>
      <c r="H15" s="61" t="n">
        <v>4</v>
      </c>
      <c r="I15" s="61" t="n">
        <v>3</v>
      </c>
      <c r="J15" s="61" t="n">
        <v>3</v>
      </c>
      <c r="K15" s="61" t="n">
        <v>3</v>
      </c>
      <c r="L15" s="62">
        <f>IF((COUNT(E15)+COUNT(F15)+COUNT(G15)+COUNT(H15)+COUNT(I15)+COUNT(J15)+COUNT(K15))=0,"",IFERROR(E15/5*0.3,0)+IFERROR(F15/5*0.2,0)+IFERROR(G15/5*0.15,0)+IFERROR(H15/5*0.15,0)+IFERROR(I15/5*0.1,0)+IFERROR(J15/5*0.05,0)+IFERROR(K15/5*0.05,0))</f>
        <v/>
      </c>
      <c r="M15" s="132">
        <f>IF(L15="","",IF(L15&gt;=0.85,"Meets/Exceeds",IF(L15&gt;=0.70,"Developing","Needs Improv.")))</f>
        <v/>
      </c>
      <c r="N15" s="12" t="inlineStr">
        <is>
          <t>Best diagnostics of journey (98m): HomeKit isolation, AT&amp;T SSID interference theory, firmware validation, sysinfo logs captured, 2 bad nodes (-90/-93 dBm), L2 hotline given. Still closed RESOLVED on an observed-only state.</t>
        </is>
      </c>
      <c r="O15" s="132" t="inlineStr">
        <is>
          <t>Progress Builder</t>
        </is>
      </c>
      <c r="P15" s="132" t="n">
        <v>3</v>
      </c>
    </row>
    <row r="16" ht="40" customHeight="1">
      <c r="A16" s="61" t="inlineStr">
        <is>
          <t>2026-05-18</t>
        </is>
      </c>
      <c r="B16" s="61" t="inlineStr">
        <is>
          <t>TE00127492</t>
        </is>
      </c>
      <c r="C16" s="61" t="inlineStr">
        <is>
          <t>Jerald Jun Villanubos</t>
        </is>
      </c>
      <c r="D16" s="61" t="n">
        <v>12</v>
      </c>
      <c r="E16" s="61" t="n">
        <v>2</v>
      </c>
      <c r="F16" s="61" t="n">
        <v>2</v>
      </c>
      <c r="G16" s="61" t="n">
        <v>2</v>
      </c>
      <c r="H16" s="61" t="n">
        <v>3</v>
      </c>
      <c r="I16" s="61" t="n">
        <v>4</v>
      </c>
      <c r="J16" s="61" t="n">
        <v>2</v>
      </c>
      <c r="K16" s="61" t="n">
        <v>3</v>
      </c>
      <c r="L16" s="63">
        <f>IF((COUNT(E16)+COUNT(F16)+COUNT(G16)+COUNT(H16)+COUNT(I16)+COUNT(J16)+COUNT(K16))=0,"",IFERROR(E16/5*0.3,0)+IFERROR(F16/5*0.2,0)+IFERROR(G16/5*0.15,0)+IFERROR(H16/5*0.15,0)+IFERROR(I16/5*0.1,0)+IFERROR(J16/5*0.05,0)+IFERROR(K16/5*0.05,0))</f>
        <v/>
      </c>
      <c r="M16" s="131">
        <f>IF(L16="","",IF(L16&gt;=0.85,"Meets/Exceeds",IF(L16&gt;=0.70,"Developing","Needs Improv.")))</f>
        <v/>
      </c>
      <c r="N16" s="14" t="inlineStr">
        <is>
          <t>Customer 3+ hours into wait, third shifting callback promise of the day. Did re-escalate with CAT approval. No fallback plan offered; customer: 'I don't believe anything I've been told today.'</t>
        </is>
      </c>
      <c r="O16" s="131" t="inlineStr">
        <is>
          <t>Maintainer</t>
        </is>
      </c>
      <c r="P16" s="131" t="n">
        <v>1</v>
      </c>
    </row>
    <row r="17" ht="40" customHeight="1">
      <c r="A17" s="61" t="inlineStr">
        <is>
          <t>2026-05-18</t>
        </is>
      </c>
      <c r="B17" s="61" t="inlineStr">
        <is>
          <t>TE00127492</t>
        </is>
      </c>
      <c r="C17" s="61" t="inlineStr">
        <is>
          <t>Eric Marbella</t>
        </is>
      </c>
      <c r="D17" s="61" t="n">
        <v>13</v>
      </c>
      <c r="E17" s="61" t="n">
        <v>3</v>
      </c>
      <c r="F17" s="61" t="n">
        <v>4</v>
      </c>
      <c r="G17" s="61" t="n">
        <v>3</v>
      </c>
      <c r="H17" s="61" t="n">
        <v>1</v>
      </c>
      <c r="I17" s="61" t="n">
        <v>1</v>
      </c>
      <c r="J17" s="61" t="n">
        <v>2</v>
      </c>
      <c r="K17" s="61" t="n">
        <v>2</v>
      </c>
      <c r="L17" s="62">
        <f>IF((COUNT(E17)+COUNT(F17)+COUNT(G17)+COUNT(H17)+COUNT(I17)+COUNT(J17)+COUNT(K17))=0,"",IFERROR(E17/5*0.3,0)+IFERROR(F17/5*0.2,0)+IFERROR(G17/5*0.15,0)+IFERROR(H17/5*0.15,0)+IFERROR(I17/5*0.1,0)+IFERROR(J17/5*0.05,0)+IFERROR(K17/5*0.05,0))</f>
        <v/>
      </c>
      <c r="M17" s="132">
        <f>IF(L17="","",IF(L17&gt;=0.85,"Meets/Exceeds",IF(L17&gt;=0.70,"Developing","Needs Improv.")))</f>
        <v/>
      </c>
      <c r="N17" s="12" t="inlineStr">
        <is>
          <t>FINAL TOUCH — full form on Example (Filled). 3h26m session restored internet (482-530 Mbps), 4 child nodes + RSSI documented. Then: agreed 4-5 PM callback missed by 42-66 min; RESOLVED with no closure note; management/legal request not escalated. CSAT 1/5; customer switched to Eero.</t>
        </is>
      </c>
      <c r="O17" s="132" t="inlineStr">
        <is>
          <t>Resolver</t>
        </is>
      </c>
      <c r="P17" s="132" t="inlineStr">
        <is>
          <t>N/A</t>
        </is>
      </c>
    </row>
    <row r="18">
      <c r="A18" s="61" t="inlineStr"/>
      <c r="B18" s="61" t="inlineStr"/>
      <c r="C18" s="61" t="inlineStr"/>
      <c r="D18" s="61" t="inlineStr"/>
      <c r="E18" s="61" t="n"/>
      <c r="F18" s="61" t="n"/>
      <c r="G18" s="61" t="n"/>
      <c r="H18" s="61" t="n"/>
      <c r="I18" s="61" t="n"/>
      <c r="J18" s="61" t="n"/>
      <c r="K18" s="61" t="n"/>
      <c r="L18" s="63">
        <f>IF((COUNT(E18)+COUNT(F18)+COUNT(G18)+COUNT(H18)+COUNT(I18)+COUNT(J18)+COUNT(K18))=0,"",IFERROR(E18/5*0.3,0)+IFERROR(F18/5*0.2,0)+IFERROR(G18/5*0.15,0)+IFERROR(H18/5*0.15,0)+IFERROR(I18/5*0.1,0)+IFERROR(J18/5*0.05,0)+IFERROR(K18/5*0.05,0))</f>
        <v/>
      </c>
      <c r="M18" s="131">
        <f>IF(L18="","",IF(L18&gt;=0.85,"Meets/Exceeds",IF(L18&gt;=0.70,"Developing","Needs Improv.")))</f>
        <v/>
      </c>
      <c r="N18" s="14" t="inlineStr"/>
      <c r="O18" s="131" t="inlineStr"/>
      <c r="P18" s="131" t="inlineStr"/>
    </row>
    <row r="19">
      <c r="A19" s="61" t="inlineStr"/>
      <c r="B19" s="61" t="inlineStr"/>
      <c r="C19" s="61" t="inlineStr"/>
      <c r="D19" s="61" t="inlineStr"/>
      <c r="E19" s="61" t="n"/>
      <c r="F19" s="61" t="n"/>
      <c r="G19" s="61" t="n"/>
      <c r="H19" s="61" t="n"/>
      <c r="I19" s="61" t="n"/>
      <c r="J19" s="61" t="n"/>
      <c r="K19" s="61" t="n"/>
      <c r="L19" s="62">
        <f>IF((COUNT(E19)+COUNT(F19)+COUNT(G19)+COUNT(H19)+COUNT(I19)+COUNT(J19)+COUNT(K19))=0,"",IFERROR(E19/5*0.3,0)+IFERROR(F19/5*0.2,0)+IFERROR(G19/5*0.15,0)+IFERROR(H19/5*0.15,0)+IFERROR(I19/5*0.1,0)+IFERROR(J19/5*0.05,0)+IFERROR(K19/5*0.05,0))</f>
        <v/>
      </c>
      <c r="M19" s="132">
        <f>IF(L19="","",IF(L19&gt;=0.85,"Meets/Exceeds",IF(L19&gt;=0.70,"Developing","Needs Improv.")))</f>
        <v/>
      </c>
      <c r="N19" s="12" t="inlineStr"/>
      <c r="O19" s="132" t="inlineStr"/>
      <c r="P19" s="132" t="inlineStr"/>
    </row>
    <row r="20">
      <c r="A20" s="61" t="inlineStr"/>
      <c r="B20" s="61" t="inlineStr"/>
      <c r="C20" s="61" t="inlineStr"/>
      <c r="D20" s="61" t="inlineStr"/>
      <c r="E20" s="61" t="n"/>
      <c r="F20" s="61" t="n"/>
      <c r="G20" s="61" t="n"/>
      <c r="H20" s="61" t="n"/>
      <c r="I20" s="61" t="n"/>
      <c r="J20" s="61" t="n"/>
      <c r="K20" s="61" t="n"/>
      <c r="L20" s="63">
        <f>IF((COUNT(E20)+COUNT(F20)+COUNT(G20)+COUNT(H20)+COUNT(I20)+COUNT(J20)+COUNT(K20))=0,"",IFERROR(E20/5*0.3,0)+IFERROR(F20/5*0.2,0)+IFERROR(G20/5*0.15,0)+IFERROR(H20/5*0.15,0)+IFERROR(I20/5*0.1,0)+IFERROR(J20/5*0.05,0)+IFERROR(K20/5*0.05,0))</f>
        <v/>
      </c>
      <c r="M20" s="131">
        <f>IF(L20="","",IF(L20&gt;=0.85,"Meets/Exceeds",IF(L20&gt;=0.70,"Developing","Needs Improv.")))</f>
        <v/>
      </c>
      <c r="N20" s="14" t="inlineStr"/>
      <c r="O20" s="131" t="inlineStr"/>
      <c r="P20" s="131" t="inlineStr"/>
    </row>
    <row r="21">
      <c r="A21" s="61" t="inlineStr"/>
      <c r="B21" s="61" t="inlineStr"/>
      <c r="C21" s="61" t="inlineStr"/>
      <c r="D21" s="61" t="inlineStr"/>
      <c r="E21" s="61" t="n"/>
      <c r="F21" s="61" t="n"/>
      <c r="G21" s="61" t="n"/>
      <c r="H21" s="61" t="n"/>
      <c r="I21" s="61" t="n"/>
      <c r="J21" s="61" t="n"/>
      <c r="K21" s="61" t="n"/>
      <c r="L21" s="62">
        <f>IF((COUNT(E21)+COUNT(F21)+COUNT(G21)+COUNT(H21)+COUNT(I21)+COUNT(J21)+COUNT(K21))=0,"",IFERROR(E21/5*0.3,0)+IFERROR(F21/5*0.2,0)+IFERROR(G21/5*0.15,0)+IFERROR(H21/5*0.15,0)+IFERROR(I21/5*0.1,0)+IFERROR(J21/5*0.05,0)+IFERROR(K21/5*0.05,0))</f>
        <v/>
      </c>
      <c r="M21" s="132">
        <f>IF(L21="","",IF(L21&gt;=0.85,"Meets/Exceeds",IF(L21&gt;=0.70,"Developing","Needs Improv.")))</f>
        <v/>
      </c>
      <c r="N21" s="12" t="inlineStr"/>
      <c r="O21" s="132" t="inlineStr"/>
      <c r="P21" s="132" t="inlineStr"/>
    </row>
    <row r="22">
      <c r="A22" s="61" t="inlineStr"/>
      <c r="B22" s="61" t="inlineStr"/>
      <c r="C22" s="61" t="inlineStr"/>
      <c r="D22" s="61" t="inlineStr"/>
      <c r="E22" s="61" t="n"/>
      <c r="F22" s="61" t="n"/>
      <c r="G22" s="61" t="n"/>
      <c r="H22" s="61" t="n"/>
      <c r="I22" s="61" t="n"/>
      <c r="J22" s="61" t="n"/>
      <c r="K22" s="61" t="n"/>
      <c r="L22" s="63">
        <f>IF((COUNT(E22)+COUNT(F22)+COUNT(G22)+COUNT(H22)+COUNT(I22)+COUNT(J22)+COUNT(K22))=0,"",IFERROR(E22/5*0.3,0)+IFERROR(F22/5*0.2,0)+IFERROR(G22/5*0.15,0)+IFERROR(H22/5*0.15,0)+IFERROR(I22/5*0.1,0)+IFERROR(J22/5*0.05,0)+IFERROR(K22/5*0.05,0))</f>
        <v/>
      </c>
      <c r="M22" s="131">
        <f>IF(L22="","",IF(L22&gt;=0.85,"Meets/Exceeds",IF(L22&gt;=0.70,"Developing","Needs Improv.")))</f>
        <v/>
      </c>
      <c r="N22" s="14" t="inlineStr"/>
      <c r="O22" s="131" t="inlineStr"/>
      <c r="P22" s="131" t="inlineStr"/>
    </row>
    <row r="23">
      <c r="A23" s="61" t="inlineStr"/>
      <c r="B23" s="61" t="inlineStr"/>
      <c r="C23" s="61" t="inlineStr"/>
      <c r="D23" s="61" t="inlineStr"/>
      <c r="E23" s="61" t="n"/>
      <c r="F23" s="61" t="n"/>
      <c r="G23" s="61" t="n"/>
      <c r="H23" s="61" t="n"/>
      <c r="I23" s="61" t="n"/>
      <c r="J23" s="61" t="n"/>
      <c r="K23" s="61" t="n"/>
      <c r="L23" s="62">
        <f>IF((COUNT(E23)+COUNT(F23)+COUNT(G23)+COUNT(H23)+COUNT(I23)+COUNT(J23)+COUNT(K23))=0,"",IFERROR(E23/5*0.3,0)+IFERROR(F23/5*0.2,0)+IFERROR(G23/5*0.15,0)+IFERROR(H23/5*0.15,0)+IFERROR(I23/5*0.1,0)+IFERROR(J23/5*0.05,0)+IFERROR(K23/5*0.05,0))</f>
        <v/>
      </c>
      <c r="M23" s="132">
        <f>IF(L23="","",IF(L23&gt;=0.85,"Meets/Exceeds",IF(L23&gt;=0.70,"Developing","Needs Improv.")))</f>
        <v/>
      </c>
      <c r="N23" s="12" t="inlineStr"/>
      <c r="O23" s="132" t="inlineStr"/>
      <c r="P23" s="132" t="inlineStr"/>
    </row>
    <row r="24">
      <c r="A24" s="61" t="inlineStr"/>
      <c r="B24" s="61" t="inlineStr"/>
      <c r="C24" s="61" t="inlineStr"/>
      <c r="D24" s="61" t="inlineStr"/>
      <c r="E24" s="61" t="n"/>
      <c r="F24" s="61" t="n"/>
      <c r="G24" s="61" t="n"/>
      <c r="H24" s="61" t="n"/>
      <c r="I24" s="61" t="n"/>
      <c r="J24" s="61" t="n"/>
      <c r="K24" s="61" t="n"/>
      <c r="L24" s="63">
        <f>IF((COUNT(E24)+COUNT(F24)+COUNT(G24)+COUNT(H24)+COUNT(I24)+COUNT(J24)+COUNT(K24))=0,"",IFERROR(E24/5*0.3,0)+IFERROR(F24/5*0.2,0)+IFERROR(G24/5*0.15,0)+IFERROR(H24/5*0.15,0)+IFERROR(I24/5*0.1,0)+IFERROR(J24/5*0.05,0)+IFERROR(K24/5*0.05,0))</f>
        <v/>
      </c>
      <c r="M24" s="131">
        <f>IF(L24="","",IF(L24&gt;=0.85,"Meets/Exceeds",IF(L24&gt;=0.70,"Developing","Needs Improv.")))</f>
        <v/>
      </c>
      <c r="N24" s="14" t="inlineStr"/>
      <c r="O24" s="131" t="inlineStr"/>
      <c r="P24" s="131" t="inlineStr"/>
    </row>
    <row r="25">
      <c r="A25" s="61" t="inlineStr"/>
      <c r="B25" s="61" t="inlineStr"/>
      <c r="C25" s="61" t="inlineStr"/>
      <c r="D25" s="61" t="inlineStr"/>
      <c r="E25" s="61" t="n"/>
      <c r="F25" s="61" t="n"/>
      <c r="G25" s="61" t="n"/>
      <c r="H25" s="61" t="n"/>
      <c r="I25" s="61" t="n"/>
      <c r="J25" s="61" t="n"/>
      <c r="K25" s="61" t="n"/>
      <c r="L25" s="62">
        <f>IF((COUNT(E25)+COUNT(F25)+COUNT(G25)+COUNT(H25)+COUNT(I25)+COUNT(J25)+COUNT(K25))=0,"",IFERROR(E25/5*0.3,0)+IFERROR(F25/5*0.2,0)+IFERROR(G25/5*0.15,0)+IFERROR(H25/5*0.15,0)+IFERROR(I25/5*0.1,0)+IFERROR(J25/5*0.05,0)+IFERROR(K25/5*0.05,0))</f>
        <v/>
      </c>
      <c r="M25" s="132">
        <f>IF(L25="","",IF(L25&gt;=0.85,"Meets/Exceeds",IF(L25&gt;=0.70,"Developing","Needs Improv.")))</f>
        <v/>
      </c>
      <c r="N25" s="12" t="inlineStr"/>
      <c r="O25" s="132" t="inlineStr"/>
      <c r="P25" s="132" t="inlineStr"/>
    </row>
    <row r="26">
      <c r="A26" s="61" t="inlineStr"/>
      <c r="B26" s="61" t="inlineStr"/>
      <c r="C26" s="61" t="inlineStr"/>
      <c r="D26" s="61" t="inlineStr"/>
      <c r="E26" s="61" t="n"/>
      <c r="F26" s="61" t="n"/>
      <c r="G26" s="61" t="n"/>
      <c r="H26" s="61" t="n"/>
      <c r="I26" s="61" t="n"/>
      <c r="J26" s="61" t="n"/>
      <c r="K26" s="61" t="n"/>
      <c r="L26" s="63">
        <f>IF((COUNT(E26)+COUNT(F26)+COUNT(G26)+COUNT(H26)+COUNT(I26)+COUNT(J26)+COUNT(K26))=0,"",IFERROR(E26/5*0.3,0)+IFERROR(F26/5*0.2,0)+IFERROR(G26/5*0.15,0)+IFERROR(H26/5*0.15,0)+IFERROR(I26/5*0.1,0)+IFERROR(J26/5*0.05,0)+IFERROR(K26/5*0.05,0))</f>
        <v/>
      </c>
      <c r="M26" s="131">
        <f>IF(L26="","",IF(L26&gt;=0.85,"Meets/Exceeds",IF(L26&gt;=0.70,"Developing","Needs Improv.")))</f>
        <v/>
      </c>
      <c r="N26" s="14" t="inlineStr"/>
      <c r="O26" s="131" t="inlineStr"/>
      <c r="P26" s="131" t="inlineStr"/>
    </row>
    <row r="27">
      <c r="A27" s="61" t="inlineStr"/>
      <c r="B27" s="61" t="inlineStr"/>
      <c r="C27" s="61" t="inlineStr"/>
      <c r="D27" s="61" t="inlineStr"/>
      <c r="E27" s="61" t="n"/>
      <c r="F27" s="61" t="n"/>
      <c r="G27" s="61" t="n"/>
      <c r="H27" s="61" t="n"/>
      <c r="I27" s="61" t="n"/>
      <c r="J27" s="61" t="n"/>
      <c r="K27" s="61" t="n"/>
      <c r="L27" s="62">
        <f>IF((COUNT(E27)+COUNT(F27)+COUNT(G27)+COUNT(H27)+COUNT(I27)+COUNT(J27)+COUNT(K27))=0,"",IFERROR(E27/5*0.3,0)+IFERROR(F27/5*0.2,0)+IFERROR(G27/5*0.15,0)+IFERROR(H27/5*0.15,0)+IFERROR(I27/5*0.1,0)+IFERROR(J27/5*0.05,0)+IFERROR(K27/5*0.05,0))</f>
        <v/>
      </c>
      <c r="M27" s="132">
        <f>IF(L27="","",IF(L27&gt;=0.85,"Meets/Exceeds",IF(L27&gt;=0.70,"Developing","Needs Improv.")))</f>
        <v/>
      </c>
      <c r="N27" s="12" t="inlineStr"/>
      <c r="O27" s="132" t="inlineStr"/>
      <c r="P27" s="132" t="inlineStr"/>
    </row>
    <row r="28">
      <c r="A28" s="61" t="inlineStr"/>
      <c r="B28" s="61" t="inlineStr"/>
      <c r="C28" s="61" t="inlineStr"/>
      <c r="D28" s="61" t="inlineStr"/>
      <c r="E28" s="61" t="n"/>
      <c r="F28" s="61" t="n"/>
      <c r="G28" s="61" t="n"/>
      <c r="H28" s="61" t="n"/>
      <c r="I28" s="61" t="n"/>
      <c r="J28" s="61" t="n"/>
      <c r="K28" s="61" t="n"/>
      <c r="L28" s="63">
        <f>IF((COUNT(E28)+COUNT(F28)+COUNT(G28)+COUNT(H28)+COUNT(I28)+COUNT(J28)+COUNT(K28))=0,"",IFERROR(E28/5*0.3,0)+IFERROR(F28/5*0.2,0)+IFERROR(G28/5*0.15,0)+IFERROR(H28/5*0.15,0)+IFERROR(I28/5*0.1,0)+IFERROR(J28/5*0.05,0)+IFERROR(K28/5*0.05,0))</f>
        <v/>
      </c>
      <c r="M28" s="131">
        <f>IF(L28="","",IF(L28&gt;=0.85,"Meets/Exceeds",IF(L28&gt;=0.70,"Developing","Needs Improv.")))</f>
        <v/>
      </c>
      <c r="N28" s="14" t="inlineStr"/>
      <c r="O28" s="131" t="inlineStr"/>
      <c r="P28" s="131" t="inlineStr"/>
    </row>
    <row r="29">
      <c r="A29" s="61" t="inlineStr"/>
      <c r="B29" s="61" t="inlineStr"/>
      <c r="C29" s="61" t="inlineStr"/>
      <c r="D29" s="61" t="inlineStr"/>
      <c r="E29" s="61" t="n"/>
      <c r="F29" s="61" t="n"/>
      <c r="G29" s="61" t="n"/>
      <c r="H29" s="61" t="n"/>
      <c r="I29" s="61" t="n"/>
      <c r="J29" s="61" t="n"/>
      <c r="K29" s="61" t="n"/>
      <c r="L29" s="62">
        <f>IF((COUNT(E29)+COUNT(F29)+COUNT(G29)+COUNT(H29)+COUNT(I29)+COUNT(J29)+COUNT(K29))=0,"",IFERROR(E29/5*0.3,0)+IFERROR(F29/5*0.2,0)+IFERROR(G29/5*0.15,0)+IFERROR(H29/5*0.15,0)+IFERROR(I29/5*0.1,0)+IFERROR(J29/5*0.05,0)+IFERROR(K29/5*0.05,0))</f>
        <v/>
      </c>
      <c r="M29" s="132">
        <f>IF(L29="","",IF(L29&gt;=0.85,"Meets/Exceeds",IF(L29&gt;=0.70,"Developing","Needs Improv.")))</f>
        <v/>
      </c>
      <c r="N29" s="12" t="inlineStr"/>
      <c r="O29" s="132" t="inlineStr"/>
      <c r="P29" s="132" t="inlineStr"/>
    </row>
    <row r="30">
      <c r="A30" s="61" t="inlineStr"/>
      <c r="B30" s="61" t="inlineStr"/>
      <c r="C30" s="61" t="inlineStr"/>
      <c r="D30" s="61" t="inlineStr"/>
      <c r="E30" s="61" t="n"/>
      <c r="F30" s="61" t="n"/>
      <c r="G30" s="61" t="n"/>
      <c r="H30" s="61" t="n"/>
      <c r="I30" s="61" t="n"/>
      <c r="J30" s="61" t="n"/>
      <c r="K30" s="61" t="n"/>
      <c r="L30" s="63">
        <f>IF((COUNT(E30)+COUNT(F30)+COUNT(G30)+COUNT(H30)+COUNT(I30)+COUNT(J30)+COUNT(K30))=0,"",IFERROR(E30/5*0.3,0)+IFERROR(F30/5*0.2,0)+IFERROR(G30/5*0.15,0)+IFERROR(H30/5*0.15,0)+IFERROR(I30/5*0.1,0)+IFERROR(J30/5*0.05,0)+IFERROR(K30/5*0.05,0))</f>
        <v/>
      </c>
      <c r="M30" s="131">
        <f>IF(L30="","",IF(L30&gt;=0.85,"Meets/Exceeds",IF(L30&gt;=0.70,"Developing","Needs Improv.")))</f>
        <v/>
      </c>
      <c r="N30" s="14" t="inlineStr"/>
      <c r="O30" s="131" t="inlineStr"/>
      <c r="P30" s="131" t="inlineStr"/>
    </row>
    <row r="31">
      <c r="A31" s="61" t="inlineStr"/>
      <c r="B31" s="61" t="inlineStr"/>
      <c r="C31" s="61" t="inlineStr"/>
      <c r="D31" s="61" t="inlineStr"/>
      <c r="E31" s="61" t="n"/>
      <c r="F31" s="61" t="n"/>
      <c r="G31" s="61" t="n"/>
      <c r="H31" s="61" t="n"/>
      <c r="I31" s="61" t="n"/>
      <c r="J31" s="61" t="n"/>
      <c r="K31" s="61" t="n"/>
      <c r="L31" s="62">
        <f>IF((COUNT(E31)+COUNT(F31)+COUNT(G31)+COUNT(H31)+COUNT(I31)+COUNT(J31)+COUNT(K31))=0,"",IFERROR(E31/5*0.3,0)+IFERROR(F31/5*0.2,0)+IFERROR(G31/5*0.15,0)+IFERROR(H31/5*0.15,0)+IFERROR(I31/5*0.1,0)+IFERROR(J31/5*0.05,0)+IFERROR(K31/5*0.05,0))</f>
        <v/>
      </c>
      <c r="M31" s="132">
        <f>IF(L31="","",IF(L31&gt;=0.85,"Meets/Exceeds",IF(L31&gt;=0.70,"Developing","Needs Improv.")))</f>
        <v/>
      </c>
      <c r="N31" s="12" t="inlineStr"/>
      <c r="O31" s="132" t="inlineStr"/>
      <c r="P31" s="132" t="inlineStr"/>
    </row>
    <row r="32">
      <c r="A32" s="61" t="inlineStr"/>
      <c r="B32" s="61" t="inlineStr"/>
      <c r="C32" s="61" t="inlineStr"/>
      <c r="D32" s="61" t="inlineStr"/>
      <c r="E32" s="61" t="n"/>
      <c r="F32" s="61" t="n"/>
      <c r="G32" s="61" t="n"/>
      <c r="H32" s="61" t="n"/>
      <c r="I32" s="61" t="n"/>
      <c r="J32" s="61" t="n"/>
      <c r="K32" s="61" t="n"/>
      <c r="L32" s="63">
        <f>IF((COUNT(E32)+COUNT(F32)+COUNT(G32)+COUNT(H32)+COUNT(I32)+COUNT(J32)+COUNT(K32))=0,"",IFERROR(E32/5*0.3,0)+IFERROR(F32/5*0.2,0)+IFERROR(G32/5*0.15,0)+IFERROR(H32/5*0.15,0)+IFERROR(I32/5*0.1,0)+IFERROR(J32/5*0.05,0)+IFERROR(K32/5*0.05,0))</f>
        <v/>
      </c>
      <c r="M32" s="131">
        <f>IF(L32="","",IF(L32&gt;=0.85,"Meets/Exceeds",IF(L32&gt;=0.70,"Developing","Needs Improv.")))</f>
        <v/>
      </c>
      <c r="N32" s="14" t="inlineStr"/>
      <c r="O32" s="131" t="inlineStr"/>
      <c r="P32" s="131" t="inlineStr"/>
    </row>
    <row r="33">
      <c r="A33" s="61" t="inlineStr"/>
      <c r="B33" s="61" t="inlineStr"/>
      <c r="C33" s="61" t="inlineStr"/>
      <c r="D33" s="61" t="inlineStr"/>
      <c r="E33" s="61" t="n"/>
      <c r="F33" s="61" t="n"/>
      <c r="G33" s="61" t="n"/>
      <c r="H33" s="61" t="n"/>
      <c r="I33" s="61" t="n"/>
      <c r="J33" s="61" t="n"/>
      <c r="K33" s="61" t="n"/>
      <c r="L33" s="62">
        <f>IF((COUNT(E33)+COUNT(F33)+COUNT(G33)+COUNT(H33)+COUNT(I33)+COUNT(J33)+COUNT(K33))=0,"",IFERROR(E33/5*0.3,0)+IFERROR(F33/5*0.2,0)+IFERROR(G33/5*0.15,0)+IFERROR(H33/5*0.15,0)+IFERROR(I33/5*0.1,0)+IFERROR(J33/5*0.05,0)+IFERROR(K33/5*0.05,0))</f>
        <v/>
      </c>
      <c r="M33" s="132">
        <f>IF(L33="","",IF(L33&gt;=0.85,"Meets/Exceeds",IF(L33&gt;=0.70,"Developing","Needs Improv.")))</f>
        <v/>
      </c>
      <c r="N33" s="12" t="inlineStr"/>
      <c r="O33" s="132" t="inlineStr"/>
      <c r="P33" s="132" t="inlineStr"/>
    </row>
    <row r="34">
      <c r="A34" s="61" t="inlineStr"/>
      <c r="B34" s="61" t="inlineStr"/>
      <c r="C34" s="61" t="inlineStr"/>
      <c r="D34" s="61" t="inlineStr"/>
      <c r="E34" s="61" t="n"/>
      <c r="F34" s="61" t="n"/>
      <c r="G34" s="61" t="n"/>
      <c r="H34" s="61" t="n"/>
      <c r="I34" s="61" t="n"/>
      <c r="J34" s="61" t="n"/>
      <c r="K34" s="61" t="n"/>
      <c r="L34" s="63">
        <f>IF((COUNT(E34)+COUNT(F34)+COUNT(G34)+COUNT(H34)+COUNT(I34)+COUNT(J34)+COUNT(K34))=0,"",IFERROR(E34/5*0.3,0)+IFERROR(F34/5*0.2,0)+IFERROR(G34/5*0.15,0)+IFERROR(H34/5*0.15,0)+IFERROR(I34/5*0.1,0)+IFERROR(J34/5*0.05,0)+IFERROR(K34/5*0.05,0))</f>
        <v/>
      </c>
      <c r="M34" s="131">
        <f>IF(L34="","",IF(L34&gt;=0.85,"Meets/Exceeds",IF(L34&gt;=0.70,"Developing","Needs Improv.")))</f>
        <v/>
      </c>
      <c r="N34" s="14" t="inlineStr"/>
      <c r="O34" s="131" t="inlineStr"/>
      <c r="P34" s="131" t="inlineStr"/>
    </row>
    <row r="35">
      <c r="A35" s="61" t="inlineStr"/>
      <c r="B35" s="61" t="inlineStr"/>
      <c r="C35" s="61" t="inlineStr"/>
      <c r="D35" s="61" t="inlineStr"/>
      <c r="E35" s="61" t="n"/>
      <c r="F35" s="61" t="n"/>
      <c r="G35" s="61" t="n"/>
      <c r="H35" s="61" t="n"/>
      <c r="I35" s="61" t="n"/>
      <c r="J35" s="61" t="n"/>
      <c r="K35" s="61" t="n"/>
      <c r="L35" s="62">
        <f>IF((COUNT(E35)+COUNT(F35)+COUNT(G35)+COUNT(H35)+COUNT(I35)+COUNT(J35)+COUNT(K35))=0,"",IFERROR(E35/5*0.3,0)+IFERROR(F35/5*0.2,0)+IFERROR(G35/5*0.15,0)+IFERROR(H35/5*0.15,0)+IFERROR(I35/5*0.1,0)+IFERROR(J35/5*0.05,0)+IFERROR(K35/5*0.05,0))</f>
        <v/>
      </c>
      <c r="M35" s="132">
        <f>IF(L35="","",IF(L35&gt;=0.85,"Meets/Exceeds",IF(L35&gt;=0.70,"Developing","Needs Improv.")))</f>
        <v/>
      </c>
      <c r="N35" s="12" t="inlineStr"/>
      <c r="O35" s="132" t="inlineStr"/>
      <c r="P35" s="132" t="inlineStr"/>
    </row>
    <row r="36">
      <c r="A36" s="61" t="inlineStr"/>
      <c r="B36" s="61" t="inlineStr"/>
      <c r="C36" s="61" t="inlineStr"/>
      <c r="D36" s="61" t="inlineStr"/>
      <c r="E36" s="61" t="n"/>
      <c r="F36" s="61" t="n"/>
      <c r="G36" s="61" t="n"/>
      <c r="H36" s="61" t="n"/>
      <c r="I36" s="61" t="n"/>
      <c r="J36" s="61" t="n"/>
      <c r="K36" s="61" t="n"/>
      <c r="L36" s="63">
        <f>IF((COUNT(E36)+COUNT(F36)+COUNT(G36)+COUNT(H36)+COUNT(I36)+COUNT(J36)+COUNT(K36))=0,"",IFERROR(E36/5*0.3,0)+IFERROR(F36/5*0.2,0)+IFERROR(G36/5*0.15,0)+IFERROR(H36/5*0.15,0)+IFERROR(I36/5*0.1,0)+IFERROR(J36/5*0.05,0)+IFERROR(K36/5*0.05,0))</f>
        <v/>
      </c>
      <c r="M36" s="131">
        <f>IF(L36="","",IF(L36&gt;=0.85,"Meets/Exceeds",IF(L36&gt;=0.70,"Developing","Needs Improv.")))</f>
        <v/>
      </c>
      <c r="N36" s="14" t="inlineStr"/>
      <c r="O36" s="131" t="inlineStr"/>
      <c r="P36" s="131" t="inlineStr"/>
    </row>
    <row r="37">
      <c r="A37" s="61" t="inlineStr"/>
      <c r="B37" s="61" t="inlineStr"/>
      <c r="C37" s="61" t="inlineStr"/>
      <c r="D37" s="61" t="inlineStr"/>
      <c r="E37" s="61" t="n"/>
      <c r="F37" s="61" t="n"/>
      <c r="G37" s="61" t="n"/>
      <c r="H37" s="61" t="n"/>
      <c r="I37" s="61" t="n"/>
      <c r="J37" s="61" t="n"/>
      <c r="K37" s="61" t="n"/>
      <c r="L37" s="62">
        <f>IF((COUNT(E37)+COUNT(F37)+COUNT(G37)+COUNT(H37)+COUNT(I37)+COUNT(J37)+COUNT(K37))=0,"",IFERROR(E37/5*0.3,0)+IFERROR(F37/5*0.2,0)+IFERROR(G37/5*0.15,0)+IFERROR(H37/5*0.15,0)+IFERROR(I37/5*0.1,0)+IFERROR(J37/5*0.05,0)+IFERROR(K37/5*0.05,0))</f>
        <v/>
      </c>
      <c r="M37" s="132">
        <f>IF(L37="","",IF(L37&gt;=0.85,"Meets/Exceeds",IF(L37&gt;=0.70,"Developing","Needs Improv.")))</f>
        <v/>
      </c>
      <c r="N37" s="12" t="inlineStr"/>
      <c r="O37" s="132" t="inlineStr"/>
      <c r="P37" s="132" t="inlineStr"/>
    </row>
    <row r="38">
      <c r="A38" s="61" t="inlineStr"/>
      <c r="B38" s="61" t="inlineStr"/>
      <c r="C38" s="61" t="inlineStr"/>
      <c r="D38" s="61" t="inlineStr"/>
      <c r="E38" s="61" t="n"/>
      <c r="F38" s="61" t="n"/>
      <c r="G38" s="61" t="n"/>
      <c r="H38" s="61" t="n"/>
      <c r="I38" s="61" t="n"/>
      <c r="J38" s="61" t="n"/>
      <c r="K38" s="61" t="n"/>
      <c r="L38" s="63">
        <f>IF((COUNT(E38)+COUNT(F38)+COUNT(G38)+COUNT(H38)+COUNT(I38)+COUNT(J38)+COUNT(K38))=0,"",IFERROR(E38/5*0.3,0)+IFERROR(F38/5*0.2,0)+IFERROR(G38/5*0.15,0)+IFERROR(H38/5*0.15,0)+IFERROR(I38/5*0.1,0)+IFERROR(J38/5*0.05,0)+IFERROR(K38/5*0.05,0))</f>
        <v/>
      </c>
      <c r="M38" s="131">
        <f>IF(L38="","",IF(L38&gt;=0.85,"Meets/Exceeds",IF(L38&gt;=0.70,"Developing","Needs Improv.")))</f>
        <v/>
      </c>
      <c r="N38" s="14" t="inlineStr"/>
      <c r="O38" s="131" t="inlineStr"/>
      <c r="P38" s="131" t="inlineStr"/>
    </row>
    <row r="39">
      <c r="A39" s="61" t="inlineStr"/>
      <c r="B39" s="61" t="inlineStr"/>
      <c r="C39" s="61" t="inlineStr"/>
      <c r="D39" s="61" t="inlineStr"/>
      <c r="E39" s="61" t="n"/>
      <c r="F39" s="61" t="n"/>
      <c r="G39" s="61" t="n"/>
      <c r="H39" s="61" t="n"/>
      <c r="I39" s="61" t="n"/>
      <c r="J39" s="61" t="n"/>
      <c r="K39" s="61" t="n"/>
      <c r="L39" s="62">
        <f>IF((COUNT(E39)+COUNT(F39)+COUNT(G39)+COUNT(H39)+COUNT(I39)+COUNT(J39)+COUNT(K39))=0,"",IFERROR(E39/5*0.3,0)+IFERROR(F39/5*0.2,0)+IFERROR(G39/5*0.15,0)+IFERROR(H39/5*0.15,0)+IFERROR(I39/5*0.1,0)+IFERROR(J39/5*0.05,0)+IFERROR(K39/5*0.05,0))</f>
        <v/>
      </c>
      <c r="M39" s="132">
        <f>IF(L39="","",IF(L39&gt;=0.85,"Meets/Exceeds",IF(L39&gt;=0.70,"Developing","Needs Improv.")))</f>
        <v/>
      </c>
      <c r="N39" s="12" t="inlineStr"/>
      <c r="O39" s="132" t="inlineStr"/>
      <c r="P39" s="132" t="inlineStr"/>
    </row>
    <row r="40">
      <c r="A40" s="61" t="inlineStr"/>
      <c r="B40" s="61" t="inlineStr"/>
      <c r="C40" s="61" t="inlineStr"/>
      <c r="D40" s="61" t="inlineStr"/>
      <c r="E40" s="61" t="n"/>
      <c r="F40" s="61" t="n"/>
      <c r="G40" s="61" t="n"/>
      <c r="H40" s="61" t="n"/>
      <c r="I40" s="61" t="n"/>
      <c r="J40" s="61" t="n"/>
      <c r="K40" s="61" t="n"/>
      <c r="L40" s="63">
        <f>IF((COUNT(E40)+COUNT(F40)+COUNT(G40)+COUNT(H40)+COUNT(I40)+COUNT(J40)+COUNT(K40))=0,"",IFERROR(E40/5*0.3,0)+IFERROR(F40/5*0.2,0)+IFERROR(G40/5*0.15,0)+IFERROR(H40/5*0.15,0)+IFERROR(I40/5*0.1,0)+IFERROR(J40/5*0.05,0)+IFERROR(K40/5*0.05,0))</f>
        <v/>
      </c>
      <c r="M40" s="131">
        <f>IF(L40="","",IF(L40&gt;=0.85,"Meets/Exceeds",IF(L40&gt;=0.70,"Developing","Needs Improv.")))</f>
        <v/>
      </c>
      <c r="N40" s="14" t="inlineStr"/>
      <c r="O40" s="131" t="inlineStr"/>
      <c r="P40" s="131" t="inlineStr"/>
    </row>
    <row r="41">
      <c r="A41" s="61" t="inlineStr"/>
      <c r="B41" s="61" t="inlineStr"/>
      <c r="C41" s="61" t="inlineStr"/>
      <c r="D41" s="61" t="inlineStr"/>
      <c r="E41" s="61" t="n"/>
      <c r="F41" s="61" t="n"/>
      <c r="G41" s="61" t="n"/>
      <c r="H41" s="61" t="n"/>
      <c r="I41" s="61" t="n"/>
      <c r="J41" s="61" t="n"/>
      <c r="K41" s="61" t="n"/>
      <c r="L41" s="62">
        <f>IF((COUNT(E41)+COUNT(F41)+COUNT(G41)+COUNT(H41)+COUNT(I41)+COUNT(J41)+COUNT(K41))=0,"",IFERROR(E41/5*0.3,0)+IFERROR(F41/5*0.2,0)+IFERROR(G41/5*0.15,0)+IFERROR(H41/5*0.15,0)+IFERROR(I41/5*0.1,0)+IFERROR(J41/5*0.05,0)+IFERROR(K41/5*0.05,0))</f>
        <v/>
      </c>
      <c r="M41" s="132">
        <f>IF(L41="","",IF(L41&gt;=0.85,"Meets/Exceeds",IF(L41&gt;=0.70,"Developing","Needs Improv.")))</f>
        <v/>
      </c>
      <c r="N41" s="12" t="inlineStr"/>
      <c r="O41" s="132" t="inlineStr"/>
      <c r="P41" s="132" t="inlineStr"/>
    </row>
    <row r="42">
      <c r="A42" s="61" t="inlineStr"/>
      <c r="B42" s="61" t="inlineStr"/>
      <c r="C42" s="61" t="inlineStr"/>
      <c r="D42" s="61" t="inlineStr"/>
      <c r="E42" s="61" t="n"/>
      <c r="F42" s="61" t="n"/>
      <c r="G42" s="61" t="n"/>
      <c r="H42" s="61" t="n"/>
      <c r="I42" s="61" t="n"/>
      <c r="J42" s="61" t="n"/>
      <c r="K42" s="61" t="n"/>
      <c r="L42" s="63">
        <f>IF((COUNT(E42)+COUNT(F42)+COUNT(G42)+COUNT(H42)+COUNT(I42)+COUNT(J42)+COUNT(K42))=0,"",IFERROR(E42/5*0.3,0)+IFERROR(F42/5*0.2,0)+IFERROR(G42/5*0.15,0)+IFERROR(H42/5*0.15,0)+IFERROR(I42/5*0.1,0)+IFERROR(J42/5*0.05,0)+IFERROR(K42/5*0.05,0))</f>
        <v/>
      </c>
      <c r="M42" s="131">
        <f>IF(L42="","",IF(L42&gt;=0.85,"Meets/Exceeds",IF(L42&gt;=0.70,"Developing","Needs Improv.")))</f>
        <v/>
      </c>
      <c r="N42" s="14" t="inlineStr"/>
      <c r="O42" s="131" t="inlineStr"/>
      <c r="P42" s="131" t="inlineStr"/>
    </row>
    <row r="43">
      <c r="A43" s="61" t="inlineStr"/>
      <c r="B43" s="61" t="inlineStr"/>
      <c r="C43" s="61" t="inlineStr"/>
      <c r="D43" s="61" t="inlineStr"/>
      <c r="E43" s="61" t="n"/>
      <c r="F43" s="61" t="n"/>
      <c r="G43" s="61" t="n"/>
      <c r="H43" s="61" t="n"/>
      <c r="I43" s="61" t="n"/>
      <c r="J43" s="61" t="n"/>
      <c r="K43" s="61" t="n"/>
      <c r="L43" s="62">
        <f>IF((COUNT(E43)+COUNT(F43)+COUNT(G43)+COUNT(H43)+COUNT(I43)+COUNT(J43)+COUNT(K43))=0,"",IFERROR(E43/5*0.3,0)+IFERROR(F43/5*0.2,0)+IFERROR(G43/5*0.15,0)+IFERROR(H43/5*0.15,0)+IFERROR(I43/5*0.1,0)+IFERROR(J43/5*0.05,0)+IFERROR(K43/5*0.05,0))</f>
        <v/>
      </c>
      <c r="M43" s="132">
        <f>IF(L43="","",IF(L43&gt;=0.85,"Meets/Exceeds",IF(L43&gt;=0.70,"Developing","Needs Improv.")))</f>
        <v/>
      </c>
      <c r="N43" s="12" t="inlineStr"/>
      <c r="O43" s="132" t="inlineStr"/>
      <c r="P43" s="132" t="inlineStr"/>
    </row>
    <row r="44">
      <c r="A44" s="61" t="inlineStr"/>
      <c r="B44" s="61" t="inlineStr"/>
      <c r="C44" s="61" t="inlineStr"/>
      <c r="D44" s="61" t="inlineStr"/>
      <c r="E44" s="61" t="n"/>
      <c r="F44" s="61" t="n"/>
      <c r="G44" s="61" t="n"/>
      <c r="H44" s="61" t="n"/>
      <c r="I44" s="61" t="n"/>
      <c r="J44" s="61" t="n"/>
      <c r="K44" s="61" t="n"/>
      <c r="L44" s="63">
        <f>IF((COUNT(E44)+COUNT(F44)+COUNT(G44)+COUNT(H44)+COUNT(I44)+COUNT(J44)+COUNT(K44))=0,"",IFERROR(E44/5*0.3,0)+IFERROR(F44/5*0.2,0)+IFERROR(G44/5*0.15,0)+IFERROR(H44/5*0.15,0)+IFERROR(I44/5*0.1,0)+IFERROR(J44/5*0.05,0)+IFERROR(K44/5*0.05,0))</f>
        <v/>
      </c>
      <c r="M44" s="131">
        <f>IF(L44="","",IF(L44&gt;=0.85,"Meets/Exceeds",IF(L44&gt;=0.70,"Developing","Needs Improv.")))</f>
        <v/>
      </c>
      <c r="N44" s="14" t="inlineStr"/>
      <c r="O44" s="131" t="inlineStr"/>
      <c r="P44" s="131" t="inlineStr"/>
    </row>
    <row r="45">
      <c r="A45" s="61" t="inlineStr"/>
      <c r="B45" s="61" t="inlineStr"/>
      <c r="C45" s="61" t="inlineStr"/>
      <c r="D45" s="61" t="inlineStr"/>
      <c r="E45" s="61" t="n"/>
      <c r="F45" s="61" t="n"/>
      <c r="G45" s="61" t="n"/>
      <c r="H45" s="61" t="n"/>
      <c r="I45" s="61" t="n"/>
      <c r="J45" s="61" t="n"/>
      <c r="K45" s="61" t="n"/>
      <c r="L45" s="62">
        <f>IF((COUNT(E45)+COUNT(F45)+COUNT(G45)+COUNT(H45)+COUNT(I45)+COUNT(J45)+COUNT(K45))=0,"",IFERROR(E45/5*0.3,0)+IFERROR(F45/5*0.2,0)+IFERROR(G45/5*0.15,0)+IFERROR(H45/5*0.15,0)+IFERROR(I45/5*0.1,0)+IFERROR(J45/5*0.05,0)+IFERROR(K45/5*0.05,0))</f>
        <v/>
      </c>
      <c r="M45" s="132">
        <f>IF(L45="","",IF(L45&gt;=0.85,"Meets/Exceeds",IF(L45&gt;=0.70,"Developing","Needs Improv.")))</f>
        <v/>
      </c>
      <c r="N45" s="12" t="inlineStr"/>
      <c r="O45" s="132" t="inlineStr"/>
      <c r="P45" s="132" t="inlineStr"/>
    </row>
    <row r="46">
      <c r="A46" s="61" t="inlineStr"/>
      <c r="B46" s="61" t="inlineStr"/>
      <c r="C46" s="61" t="inlineStr"/>
      <c r="D46" s="61" t="inlineStr"/>
      <c r="E46" s="61" t="n"/>
      <c r="F46" s="61" t="n"/>
      <c r="G46" s="61" t="n"/>
      <c r="H46" s="61" t="n"/>
      <c r="I46" s="61" t="n"/>
      <c r="J46" s="61" t="n"/>
      <c r="K46" s="61" t="n"/>
      <c r="L46" s="63">
        <f>IF((COUNT(E46)+COUNT(F46)+COUNT(G46)+COUNT(H46)+COUNT(I46)+COUNT(J46)+COUNT(K46))=0,"",IFERROR(E46/5*0.3,0)+IFERROR(F46/5*0.2,0)+IFERROR(G46/5*0.15,0)+IFERROR(H46/5*0.15,0)+IFERROR(I46/5*0.1,0)+IFERROR(J46/5*0.05,0)+IFERROR(K46/5*0.05,0))</f>
        <v/>
      </c>
      <c r="M46" s="131">
        <f>IF(L46="","",IF(L46&gt;=0.85,"Meets/Exceeds",IF(L46&gt;=0.70,"Developing","Needs Improv.")))</f>
        <v/>
      </c>
      <c r="N46" s="14" t="inlineStr"/>
      <c r="O46" s="131" t="inlineStr"/>
      <c r="P46" s="131" t="inlineStr"/>
    </row>
    <row r="47">
      <c r="A47" s="61" t="inlineStr"/>
      <c r="B47" s="61" t="inlineStr"/>
      <c r="C47" s="61" t="inlineStr"/>
      <c r="D47" s="61" t="inlineStr"/>
      <c r="E47" s="61" t="n"/>
      <c r="F47" s="61" t="n"/>
      <c r="G47" s="61" t="n"/>
      <c r="H47" s="61" t="n"/>
      <c r="I47" s="61" t="n"/>
      <c r="J47" s="61" t="n"/>
      <c r="K47" s="61" t="n"/>
      <c r="L47" s="62">
        <f>IF((COUNT(E47)+COUNT(F47)+COUNT(G47)+COUNT(H47)+COUNT(I47)+COUNT(J47)+COUNT(K47))=0,"",IFERROR(E47/5*0.3,0)+IFERROR(F47/5*0.2,0)+IFERROR(G47/5*0.15,0)+IFERROR(H47/5*0.15,0)+IFERROR(I47/5*0.1,0)+IFERROR(J47/5*0.05,0)+IFERROR(K47/5*0.05,0))</f>
        <v/>
      </c>
      <c r="M47" s="132">
        <f>IF(L47="","",IF(L47&gt;=0.85,"Meets/Exceeds",IF(L47&gt;=0.70,"Developing","Needs Improv.")))</f>
        <v/>
      </c>
      <c r="N47" s="12" t="inlineStr"/>
      <c r="O47" s="132" t="inlineStr"/>
      <c r="P47" s="132" t="inlineStr"/>
    </row>
    <row r="48">
      <c r="A48" s="61" t="inlineStr"/>
      <c r="B48" s="61" t="inlineStr"/>
      <c r="C48" s="61" t="inlineStr"/>
      <c r="D48" s="61" t="inlineStr"/>
      <c r="E48" s="61" t="n"/>
      <c r="F48" s="61" t="n"/>
      <c r="G48" s="61" t="n"/>
      <c r="H48" s="61" t="n"/>
      <c r="I48" s="61" t="n"/>
      <c r="J48" s="61" t="n"/>
      <c r="K48" s="61" t="n"/>
      <c r="L48" s="63">
        <f>IF((COUNT(E48)+COUNT(F48)+COUNT(G48)+COUNT(H48)+COUNT(I48)+COUNT(J48)+COUNT(K48))=0,"",IFERROR(E48/5*0.3,0)+IFERROR(F48/5*0.2,0)+IFERROR(G48/5*0.15,0)+IFERROR(H48/5*0.15,0)+IFERROR(I48/5*0.1,0)+IFERROR(J48/5*0.05,0)+IFERROR(K48/5*0.05,0))</f>
        <v/>
      </c>
      <c r="M48" s="131">
        <f>IF(L48="","",IF(L48&gt;=0.85,"Meets/Exceeds",IF(L48&gt;=0.70,"Developing","Needs Improv.")))</f>
        <v/>
      </c>
      <c r="N48" s="14" t="inlineStr"/>
      <c r="O48" s="131" t="inlineStr"/>
      <c r="P48" s="131" t="inlineStr"/>
    </row>
    <row r="49">
      <c r="A49" s="61" t="inlineStr"/>
      <c r="B49" s="61" t="inlineStr"/>
      <c r="C49" s="61" t="inlineStr"/>
      <c r="D49" s="61" t="inlineStr"/>
      <c r="E49" s="61" t="n"/>
      <c r="F49" s="61" t="n"/>
      <c r="G49" s="61" t="n"/>
      <c r="H49" s="61" t="n"/>
      <c r="I49" s="61" t="n"/>
      <c r="J49" s="61" t="n"/>
      <c r="K49" s="61" t="n"/>
      <c r="L49" s="62">
        <f>IF((COUNT(E49)+COUNT(F49)+COUNT(G49)+COUNT(H49)+COUNT(I49)+COUNT(J49)+COUNT(K49))=0,"",IFERROR(E49/5*0.3,0)+IFERROR(F49/5*0.2,0)+IFERROR(G49/5*0.15,0)+IFERROR(H49/5*0.15,0)+IFERROR(I49/5*0.1,0)+IFERROR(J49/5*0.05,0)+IFERROR(K49/5*0.05,0))</f>
        <v/>
      </c>
      <c r="M49" s="132">
        <f>IF(L49="","",IF(L49&gt;=0.85,"Meets/Exceeds",IF(L49&gt;=0.70,"Developing","Needs Improv.")))</f>
        <v/>
      </c>
      <c r="N49" s="12" t="inlineStr"/>
      <c r="O49" s="132" t="inlineStr"/>
      <c r="P49" s="132" t="inlineStr"/>
    </row>
    <row r="51">
      <c r="A51" s="8" t="inlineStr">
        <is>
          <t>TEAM AVERAGE</t>
        </is>
      </c>
      <c r="B51" s="67" t="n"/>
      <c r="C51" s="67" t="n"/>
      <c r="D51" s="68" t="n"/>
      <c r="E51" s="64">
        <f>IFERROR(AVERAGE(E5:E49),"")</f>
        <v/>
      </c>
      <c r="F51" s="64">
        <f>IFERROR(AVERAGE(F5:F49),"")</f>
        <v/>
      </c>
      <c r="G51" s="64">
        <f>IFERROR(AVERAGE(G5:G49),"")</f>
        <v/>
      </c>
      <c r="H51" s="64">
        <f>IFERROR(AVERAGE(H5:H49),"")</f>
        <v/>
      </c>
      <c r="I51" s="64">
        <f>IFERROR(AVERAGE(I5:I49),"")</f>
        <v/>
      </c>
      <c r="J51" s="64">
        <f>IFERROR(AVERAGE(J5:J49),"")</f>
        <v/>
      </c>
      <c r="K51" s="64">
        <f>IFERROR(AVERAGE(K5:K49),"")</f>
        <v/>
      </c>
      <c r="L51" s="65">
        <f>IFERROR(AVERAGE(L5:L49),"")</f>
        <v/>
      </c>
      <c r="M51" s="34" t="inlineStr"/>
      <c r="N51" s="66" t="inlineStr">
        <is>
          <t>Average of logged touches</t>
        </is>
      </c>
    </row>
    <row r="53" ht="22" customHeight="1">
      <c r="A53" s="73" t="inlineStr">
        <is>
          <t>TEAM / JOURNEY SCORES — MULTI-TOUCH CASES</t>
        </is>
      </c>
      <c r="B53" s="67" t="n"/>
      <c r="C53" s="67" t="n"/>
      <c r="D53" s="67" t="n"/>
      <c r="E53" s="67" t="n"/>
      <c r="F53" s="67" t="n"/>
      <c r="G53" s="67" t="n"/>
      <c r="H53" s="67" t="n"/>
      <c r="I53" s="67" t="n"/>
      <c r="J53" s="67" t="n"/>
      <c r="K53" s="67" t="n"/>
      <c r="L53" s="67" t="n"/>
      <c r="M53" s="67" t="n"/>
      <c r="N53" s="67" t="n"/>
      <c r="O53" s="67" t="n"/>
      <c r="P53" s="68" t="n"/>
    </row>
    <row r="54" ht="32" customHeight="1">
      <c r="A54" s="74" t="inlineStr">
        <is>
          <t>Team Score = 50% × average touch weighted score  +  30% × (Journey Outcome ÷ 5)  +  20% × (Continuity &amp; Handoffs ÷ 5).  Outcome and Continuity are evaluator-judged 0-5 — anchors on the Multi-Touch Guide sheet. The Team Score rates the CHAIN; it feeds team coaching and recognition, never individual discipline.</t>
        </is>
      </c>
      <c r="B54" s="67" t="n"/>
      <c r="C54" s="67" t="n"/>
      <c r="D54" s="67" t="n"/>
      <c r="E54" s="67" t="n"/>
      <c r="F54" s="67" t="n"/>
      <c r="G54" s="67" t="n"/>
      <c r="H54" s="67" t="n"/>
      <c r="I54" s="67" t="n"/>
      <c r="J54" s="67" t="n"/>
      <c r="K54" s="67" t="n"/>
      <c r="L54" s="67" t="n"/>
      <c r="M54" s="67" t="n"/>
      <c r="N54" s="67" t="n"/>
      <c r="O54" s="67" t="n"/>
      <c r="P54" s="68" t="n"/>
    </row>
    <row r="55" ht="26" customHeight="1">
      <c r="A55" s="118" t="inlineStr">
        <is>
          <t>Journey / Case ID(s)</t>
        </is>
      </c>
      <c r="B55" s="68" t="n"/>
      <c r="C55" s="118" t="inlineStr">
        <is>
          <t>Touches</t>
        </is>
      </c>
      <c r="D55" s="60" t="inlineStr">
        <is>
          <t>Avg Touch %</t>
        </is>
      </c>
      <c r="E55" s="60" t="inlineStr">
        <is>
          <t>Outcome (0-5)</t>
        </is>
      </c>
      <c r="F55" s="60" t="inlineStr">
        <is>
          <t>Continuity (0-5)</t>
        </is>
      </c>
      <c r="G55" s="60" t="inlineStr">
        <is>
          <t>TEAM SCORE</t>
        </is>
      </c>
      <c r="H55" s="118" t="inlineStr">
        <is>
          <t>Band</t>
        </is>
      </c>
      <c r="I55" s="125" t="inlineStr">
        <is>
          <t>Journey notes (where the chain broke / recovered)</t>
        </is>
      </c>
      <c r="J55" s="67" t="n"/>
      <c r="K55" s="67" t="n"/>
      <c r="L55" s="67" t="n"/>
      <c r="M55" s="67" t="n"/>
      <c r="N55" s="68" t="n"/>
    </row>
    <row r="56" ht="48" customHeight="1">
      <c r="A56" s="76" t="inlineStr">
        <is>
          <t>TE00124020 + TE00127492</t>
        </is>
      </c>
      <c r="B56" s="69" t="n"/>
      <c r="C56" s="131">
        <f>COUNT(L5:L17)</f>
        <v/>
      </c>
      <c r="D56" s="78">
        <f>AVERAGE(L5:L17)</f>
        <v/>
      </c>
      <c r="E56" s="79" t="n">
        <v>0</v>
      </c>
      <c r="F56" s="79" t="n">
        <v>1</v>
      </c>
      <c r="G56" s="80">
        <f>IF(D56="","",0.5*D56+0.3*(E56/5)+0.2*(F56/5))</f>
        <v/>
      </c>
      <c r="H56" s="131">
        <f>IF(G56="","",IF(G56&gt;=0.85,"Meets/Exceeds",IF(G56&gt;=0.70,"Developing","Needs Improv.")))</f>
        <v/>
      </c>
      <c r="I56" s="14" t="inlineStr">
        <is>
          <t>Outcome 0/5: unresolved, CSAT 1/5, SLA breach, legal threat, customer churned to Eero. Continuity 1/5: pre-ticket history lost across tickets, 5 premature RESOLVED closures, callback chaos; one clean handoff (Venn-Emir) and two technical recoveries (Paolo E., Eric M.) prevent a 0. Full analysis: Multi-Touch Guide.</t>
        </is>
      </c>
      <c r="J56" s="70" t="n"/>
      <c r="K56" s="70" t="n"/>
      <c r="L56" s="70" t="n"/>
      <c r="M56" s="70" t="n"/>
      <c r="N56" s="69" t="n"/>
    </row>
    <row r="57" ht="28" customHeight="1">
      <c r="A57" s="81" t="inlineStr"/>
      <c r="B57" s="69" t="n"/>
      <c r="C57" s="131">
        <f>IF(A57="","",COUNTIF(B5:B49,A57))</f>
        <v/>
      </c>
      <c r="D57" s="78">
        <f>IF(A57="","",IFERROR(AVERAGEIF(B5:B49,A57,L5:L49),""))</f>
        <v/>
      </c>
      <c r="E57" s="79" t="n"/>
      <c r="F57" s="79" t="n"/>
      <c r="G57" s="80">
        <f>IF(OR(A57="",D57="",E57="",F57=""),"",0.5*D57+0.3*(E57/5)+0.2*(F57/5))</f>
        <v/>
      </c>
      <c r="H57" s="131">
        <f>IF(G57="","",IF(G57&gt;=0.85,"Meets/Exceeds",IF(G57&gt;=0.70,"Developing","Needs Improv.")))</f>
        <v/>
      </c>
      <c r="I57" s="7" t="inlineStr"/>
      <c r="J57" s="70" t="n"/>
      <c r="K57" s="70" t="n"/>
      <c r="L57" s="70" t="n"/>
      <c r="M57" s="70" t="n"/>
      <c r="N57" s="69" t="n"/>
    </row>
    <row r="58" ht="28" customHeight="1">
      <c r="A58" s="81" t="inlineStr"/>
      <c r="B58" s="69" t="n"/>
      <c r="C58" s="132">
        <f>IF(A58="","",COUNTIF(B5:B49,A58))</f>
        <v/>
      </c>
      <c r="D58" s="83">
        <f>IF(A58="","",IFERROR(AVERAGEIF(B5:B49,A58,L5:L49),""))</f>
        <v/>
      </c>
      <c r="E58" s="79" t="n"/>
      <c r="F58" s="79" t="n"/>
      <c r="G58" s="84">
        <f>IF(OR(A58="",D58="",E58="",F58=""),"",0.5*D58+0.3*(E58/5)+0.2*(F58/5))</f>
        <v/>
      </c>
      <c r="H58" s="132">
        <f>IF(G58="","",IF(G58&gt;=0.85,"Meets/Exceeds",IF(G58&gt;=0.70,"Developing","Needs Improv.")))</f>
        <v/>
      </c>
      <c r="I58" s="7" t="inlineStr"/>
      <c r="J58" s="70" t="n"/>
      <c r="K58" s="70" t="n"/>
      <c r="L58" s="70" t="n"/>
      <c r="M58" s="70" t="n"/>
      <c r="N58" s="69" t="n"/>
    </row>
    <row r="59" ht="28" customHeight="1">
      <c r="A59" s="81" t="inlineStr"/>
      <c r="B59" s="69" t="n"/>
      <c r="C59" s="131">
        <f>IF(A59="","",COUNTIF(B5:B49,A59))</f>
        <v/>
      </c>
      <c r="D59" s="78">
        <f>IF(A59="","",IFERROR(AVERAGEIF(B5:B49,A59,L5:L49),""))</f>
        <v/>
      </c>
      <c r="E59" s="79" t="n"/>
      <c r="F59" s="79" t="n"/>
      <c r="G59" s="80">
        <f>IF(OR(A59="",D59="",E59="",F59=""),"",0.5*D59+0.3*(E59/5)+0.2*(F59/5))</f>
        <v/>
      </c>
      <c r="H59" s="131">
        <f>IF(G59="","",IF(G59&gt;=0.85,"Meets/Exceeds",IF(G59&gt;=0.70,"Developing","Needs Improv.")))</f>
        <v/>
      </c>
      <c r="I59" s="7" t="inlineStr"/>
      <c r="J59" s="70" t="n"/>
      <c r="K59" s="70" t="n"/>
      <c r="L59" s="70" t="n"/>
      <c r="M59" s="70" t="n"/>
      <c r="N59" s="69" t="n"/>
    </row>
    <row r="60" ht="28" customHeight="1">
      <c r="A60" s="15"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70" t="n"/>
      <c r="C60" s="70" t="n"/>
      <c r="D60" s="70" t="n"/>
      <c r="E60" s="70" t="n"/>
      <c r="F60" s="70" t="n"/>
      <c r="G60" s="70" t="n"/>
      <c r="H60" s="70" t="n"/>
      <c r="I60" s="70" t="n"/>
      <c r="J60" s="70" t="n"/>
      <c r="K60" s="70" t="n"/>
      <c r="L60" s="70" t="n"/>
      <c r="M60" s="70" t="n"/>
      <c r="N60" s="69" t="n"/>
    </row>
  </sheetData>
  <mergeCells count="17">
    <mergeCell ref="I55:N55"/>
    <mergeCell ref="A59:B59"/>
    <mergeCell ref="I59:N59"/>
    <mergeCell ref="A1:P1"/>
    <mergeCell ref="A57:B57"/>
    <mergeCell ref="A56:B56"/>
    <mergeCell ref="A54:P54"/>
    <mergeCell ref="A53:P53"/>
    <mergeCell ref="I56:N56"/>
    <mergeCell ref="A60:N60"/>
    <mergeCell ref="A3:P3"/>
    <mergeCell ref="A51:D51"/>
    <mergeCell ref="I57:N57"/>
    <mergeCell ref="I58:N58"/>
    <mergeCell ref="A58:B58"/>
    <mergeCell ref="A55:B55"/>
    <mergeCell ref="A2:P2"/>
  </mergeCells>
  <conditionalFormatting sqref="L5:L49">
    <cfRule type="cellIs" priority="1" operator="greaterThanOrEqual" dxfId="0">
      <formula>0.85</formula>
    </cfRule>
    <cfRule type="cellIs" priority="2" operator="between" dxfId="1">
      <formula>0.70</formula>
      <formula>0.8499</formula>
    </cfRule>
    <cfRule type="cellIs" priority="3" operator="lessThan" dxfId="2">
      <formula>0.70</formula>
    </cfRule>
  </conditionalFormatting>
  <conditionalFormatting sqref="M5:M49">
    <cfRule type="cellIs" priority="4" operator="equal" dxfId="6">
      <formula>"Meets/Exceeds"</formula>
    </cfRule>
    <cfRule type="cellIs" priority="5" operator="equal" dxfId="7">
      <formula>"Developing"</formula>
    </cfRule>
    <cfRule type="cellIs" priority="6" operator="equal" dxfId="8">
      <formula>"Needs Improv."</formula>
    </cfRule>
  </conditionalFormatting>
  <conditionalFormatting sqref="G56:G59">
    <cfRule type="cellIs" priority="7" operator="greaterThanOrEqual" dxfId="0">
      <formula>0.85</formula>
    </cfRule>
    <cfRule type="cellIs" priority="8" operator="between" dxfId="1">
      <formula>0.70</formula>
      <formula>0.8499</formula>
    </cfRule>
    <cfRule type="cellIs" priority="9" operator="lessThan" dxfId="2">
      <formula>0.70</formula>
    </cfRule>
  </conditionalFormatting>
  <conditionalFormatting sqref="H56:H59">
    <cfRule type="cellIs" priority="10" operator="equal" dxfId="6">
      <formula>"Meets/Exceeds"</formula>
    </cfRule>
    <cfRule type="cellIs" priority="11" operator="equal" dxfId="7">
      <formula>"Developing"</formula>
    </cfRule>
    <cfRule type="cellIs" priority="12" operator="equal" dxfId="8">
      <formula>"Needs Improv."</formula>
    </cfRule>
  </conditionalFormatting>
  <conditionalFormatting sqref="A3">
    <cfRule type="cellIs" priority="13" operator="greaterThanOrEqual" dxfId="13">
      <formula>$G$56&gt;=0.85</formula>
    </cfRule>
    <cfRule type="expression" priority="14" dxfId="14">
      <formula>$G$56&gt;=0.85</formula>
    </cfRule>
    <cfRule type="expression" priority="15" dxfId="15">
      <formula>AND($G$56&gt;=0.7,$G$56&lt;0.85)</formula>
    </cfRule>
    <cfRule type="expression" priority="16" dxfId="16">
      <formula>$G$56&lt;0.7</formula>
    </cfRule>
  </conditionalFormatting>
  <conditionalFormatting sqref="O5:O49">
    <cfRule type="cellIs" priority="17" operator="equal" dxfId="0">
      <formula>"Resolver"</formula>
    </cfRule>
    <cfRule type="cellIs" priority="18" operator="equal" dxfId="0">
      <formula>"Progress Builder"</formula>
    </cfRule>
    <cfRule type="cellIs" priority="19" operator="equal" dxfId="17">
      <formula>"Maintainer"</formula>
    </cfRule>
    <cfRule type="cellIs" priority="20" operator="equal" dxfId="2">
      <formula>"Regression Contributor"</formula>
    </cfRule>
  </conditionalFormatting>
  <conditionalFormatting sqref="P5:P49">
    <cfRule type="cellIs" priority="21" operator="greaterThanOrEqual" dxfId="0">
      <formula>4</formula>
    </cfRule>
    <cfRule type="cellIs" priority="22" operator="between" dxfId="1">
      <formula>2</formula>
      <formula>3</formula>
    </cfRule>
    <cfRule type="cellIs" priority="23" operator="lessThanOrEqual" dxfId="2">
      <formula>1</formula>
    </cfRule>
  </conditionalFormatting>
  <dataValidations count="4">
    <dataValidation sqref="E5:K5 E6:K6 E7:K7 E8:K8 E9:K9 E10:K10 E11:K11 E12:K12 E13:K13 E14:K14 E15:K15 E16:K16 E17:K17 E18:K18 E19:K19 E20:K20 E21:K21 E22:K22 E23:K23 E24:K24 E25:K25 E26:K26 E27:K27 E28:K28 E29:K29 E30:K30 E31:K31 E32:K32 E33:K33 E34:K34 E35:K35 E36:K36 E37:K37 E38:K38 E39:K39 E40:K40 E41:K41 E42:K42 E43:K43 E44:K44 E45:K45 E46:K46 E47:K47 E48:K48 E49:K49" showDropDown="0" showInputMessage="0" showErrorMessage="1" allowBlank="1" errorTitle="Invalid score" error="Enter 0 to 5." type="whole" operator="between">
      <formula1>0</formula1>
      <formula2>5</formula2>
    </dataValidation>
    <dataValidation sqref="E56:F56 E57:F57 E58:F58 E59:F59" showDropDown="0" showInputMessage="0" showErrorMessage="1" allowBlank="1" errorTitle="Invalid score" error="Enter 0 to 5 (anchors on Multi-Touch Guide)." type="whole" operator="between">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operator="between">
      <formula1>0</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2026-06-15T03:13:49Z</dcterms:modified>
</cp:coreProperties>
</file>