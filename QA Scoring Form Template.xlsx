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f:\Claude Projects\Linksys QA Rubric\"/>
    </mc:Choice>
  </mc:AlternateContent>
  <xr:revisionPtr revIDLastSave="0" documentId="13_ncr:1_{457B5C0D-14A3-499E-90C0-24B91CFDE65C}" xr6:coauthVersionLast="47" xr6:coauthVersionMax="47" xr10:uidLastSave="{00000000-0000-0000-0000-000000000000}"/>
  <bookViews>
    <workbookView xWindow="20370" yWindow="-120" windowWidth="29040" windowHeight="15720" xr2:uid="{00000000-000D-0000-FFFF-FFFF00000000}"/>
  </bookViews>
  <sheets>
    <sheet name="Changelog" sheetId="10" r:id="rId1"/>
    <sheet name="Quick Start" sheetId="1" r:id="rId2"/>
    <sheet name="Scoring Form" sheetId="2" r:id="rId3"/>
    <sheet name="Scoring Guide" sheetId="3" r:id="rId4"/>
    <sheet name="Multi-Touch Guide" sheetId="4" r:id="rId5"/>
    <sheet name="Auto-Zero Guide" sheetId="5" r:id="rId6"/>
    <sheet name="Team Scoring" sheetId="6" r:id="rId7"/>
    <sheet name="Example (Filled)" sheetId="7" r:id="rId8"/>
    <sheet name="Case Tracker" sheetId="8" r:id="rId9"/>
    <sheet name="Lists" sheetId="9" state="hidden"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9" i="7" l="1"/>
  <c r="C34" i="7"/>
  <c r="C82" i="2"/>
  <c r="D83" i="2" s="1"/>
  <c r="C43" i="2"/>
  <c r="D44" i="2" s="1"/>
  <c r="D59" i="8"/>
  <c r="G59" i="8" s="1"/>
  <c r="H59" i="8" s="1"/>
  <c r="C59" i="8"/>
  <c r="D58" i="8"/>
  <c r="G58" i="8" s="1"/>
  <c r="H58" i="8" s="1"/>
  <c r="C58" i="8"/>
  <c r="D57" i="8"/>
  <c r="G57" i="8" s="1"/>
  <c r="H57" i="8" s="1"/>
  <c r="C57" i="8"/>
  <c r="D56" i="8"/>
  <c r="B8" i="6" s="1"/>
  <c r="C56" i="8"/>
  <c r="L51" i="8"/>
  <c r="K51" i="8"/>
  <c r="J51" i="8"/>
  <c r="I51" i="8"/>
  <c r="H51" i="8"/>
  <c r="G51" i="8"/>
  <c r="F51" i="8"/>
  <c r="E51" i="8"/>
  <c r="L49" i="8"/>
  <c r="M49" i="8" s="1"/>
  <c r="L48" i="8"/>
  <c r="M48" i="8" s="1"/>
  <c r="M47" i="8"/>
  <c r="L47" i="8"/>
  <c r="M46" i="8"/>
  <c r="L46" i="8"/>
  <c r="L45" i="8"/>
  <c r="M45" i="8" s="1"/>
  <c r="L44" i="8"/>
  <c r="M44" i="8" s="1"/>
  <c r="L43" i="8"/>
  <c r="M43" i="8" s="1"/>
  <c r="L42" i="8"/>
  <c r="M42" i="8" s="1"/>
  <c r="L41" i="8"/>
  <c r="M41" i="8" s="1"/>
  <c r="M40" i="8"/>
  <c r="L40" i="8"/>
  <c r="M39" i="8"/>
  <c r="L39" i="8"/>
  <c r="L38" i="8"/>
  <c r="M38" i="8" s="1"/>
  <c r="L37" i="8"/>
  <c r="M37" i="8" s="1"/>
  <c r="L36" i="8"/>
  <c r="M36" i="8" s="1"/>
  <c r="L35" i="8"/>
  <c r="M35" i="8" s="1"/>
  <c r="L34" i="8"/>
  <c r="M34" i="8" s="1"/>
  <c r="M33" i="8"/>
  <c r="L33" i="8"/>
  <c r="M32" i="8"/>
  <c r="L32" i="8"/>
  <c r="L31" i="8"/>
  <c r="M31" i="8" s="1"/>
  <c r="L30" i="8"/>
  <c r="M30" i="8" s="1"/>
  <c r="L29" i="8"/>
  <c r="M29" i="8" s="1"/>
  <c r="L28" i="8"/>
  <c r="M28" i="8" s="1"/>
  <c r="L27" i="8"/>
  <c r="M27" i="8" s="1"/>
  <c r="M26" i="8"/>
  <c r="L26" i="8"/>
  <c r="M25" i="8"/>
  <c r="L25" i="8"/>
  <c r="L24" i="8"/>
  <c r="M24" i="8" s="1"/>
  <c r="L23" i="8"/>
  <c r="M23" i="8" s="1"/>
  <c r="L22" i="8"/>
  <c r="M22" i="8" s="1"/>
  <c r="L21" i="8"/>
  <c r="M21" i="8" s="1"/>
  <c r="L20" i="8"/>
  <c r="M20" i="8" s="1"/>
  <c r="M19" i="8"/>
  <c r="L19" i="8"/>
  <c r="M18" i="8"/>
  <c r="L18" i="8"/>
  <c r="L17" i="8"/>
  <c r="M17" i="8" s="1"/>
  <c r="L16" i="8"/>
  <c r="M16" i="8" s="1"/>
  <c r="L15" i="8"/>
  <c r="M15" i="8" s="1"/>
  <c r="L14" i="8"/>
  <c r="M14" i="8" s="1"/>
  <c r="L13" i="8"/>
  <c r="M13" i="8" s="1"/>
  <c r="M12" i="8"/>
  <c r="L12" i="8"/>
  <c r="M11" i="8"/>
  <c r="L11" i="8"/>
  <c r="L10" i="8"/>
  <c r="M10" i="8" s="1"/>
  <c r="L9" i="8"/>
  <c r="M9" i="8" s="1"/>
  <c r="L8" i="8"/>
  <c r="M8" i="8" s="1"/>
  <c r="L7" i="8"/>
  <c r="M7" i="8" s="1"/>
  <c r="L6" i="8"/>
  <c r="M6" i="8" s="1"/>
  <c r="M5" i="8"/>
  <c r="L5" i="8"/>
  <c r="A3" i="8"/>
  <c r="D76" i="6"/>
  <c r="C76" i="6"/>
  <c r="B76" i="6"/>
  <c r="D75" i="6"/>
  <c r="C75" i="6"/>
  <c r="B75" i="6"/>
  <c r="D74" i="6"/>
  <c r="C74" i="6"/>
  <c r="B74" i="6"/>
  <c r="D73" i="6"/>
  <c r="C73" i="6"/>
  <c r="B73" i="6"/>
  <c r="D72" i="6"/>
  <c r="C72" i="6"/>
  <c r="B72" i="6"/>
  <c r="D71" i="6"/>
  <c r="C71" i="6"/>
  <c r="B71" i="6"/>
  <c r="D70" i="6"/>
  <c r="C70" i="6"/>
  <c r="B70" i="6"/>
  <c r="D69" i="6"/>
  <c r="C69" i="6"/>
  <c r="B69" i="6"/>
  <c r="D68" i="6"/>
  <c r="C68" i="6"/>
  <c r="B68" i="6"/>
  <c r="D67" i="6"/>
  <c r="C67" i="6"/>
  <c r="B67" i="6"/>
  <c r="D66" i="6"/>
  <c r="C66" i="6"/>
  <c r="B66" i="6"/>
  <c r="D65" i="6"/>
  <c r="C65" i="6"/>
  <c r="B65" i="6"/>
  <c r="D64" i="6"/>
  <c r="C64" i="6"/>
  <c r="B64" i="6"/>
  <c r="B62" i="6"/>
  <c r="C36" i="6"/>
  <c r="C35" i="6"/>
  <c r="C34" i="6"/>
  <c r="C33" i="6"/>
  <c r="C32" i="6"/>
  <c r="C31" i="6"/>
  <c r="C30" i="6"/>
  <c r="D8" i="6"/>
  <c r="C8" i="6"/>
  <c r="B4" i="6"/>
  <c r="C167" i="2"/>
  <c r="C144" i="2"/>
  <c r="C143" i="2"/>
  <c r="C142" i="2"/>
  <c r="C141" i="2"/>
  <c r="C140" i="2"/>
  <c r="C139" i="2"/>
  <c r="C138" i="2"/>
  <c r="C137" i="2"/>
  <c r="E134" i="2"/>
  <c r="C125" i="2"/>
  <c r="D30" i="2" s="1"/>
  <c r="C112" i="2"/>
  <c r="D113" i="2" s="1"/>
  <c r="C93" i="2"/>
  <c r="D94" i="2" s="1"/>
  <c r="C69" i="2"/>
  <c r="D26" i="2" s="1"/>
  <c r="C55" i="2"/>
  <c r="D56" i="2" s="1"/>
  <c r="C161" i="7"/>
  <c r="C160" i="7"/>
  <c r="C159" i="7"/>
  <c r="C158" i="7"/>
  <c r="C157" i="7"/>
  <c r="C156" i="7"/>
  <c r="C155" i="7"/>
  <c r="C154" i="7"/>
  <c r="E150" i="7"/>
  <c r="E141" i="7"/>
  <c r="D141" i="7"/>
  <c r="F141" i="7" s="1"/>
  <c r="D140" i="7"/>
  <c r="F140" i="7" s="1"/>
  <c r="D139" i="7"/>
  <c r="E139" i="7" s="1"/>
  <c r="D138" i="7"/>
  <c r="F138" i="7" s="1"/>
  <c r="D137" i="7"/>
  <c r="E137" i="7" s="1"/>
  <c r="D136" i="7"/>
  <c r="E136" i="7" s="1"/>
  <c r="D135" i="7"/>
  <c r="F135" i="7" s="1"/>
  <c r="D129" i="7"/>
  <c r="C128" i="7"/>
  <c r="D114" i="7"/>
  <c r="C113" i="7"/>
  <c r="D93" i="7"/>
  <c r="C92" i="7"/>
  <c r="D80" i="7"/>
  <c r="D65" i="7"/>
  <c r="C64" i="7"/>
  <c r="D49" i="7"/>
  <c r="C48" i="7"/>
  <c r="D35" i="7"/>
  <c r="E140" i="7" l="1"/>
  <c r="E135" i="7"/>
  <c r="B147" i="2"/>
  <c r="F26" i="2"/>
  <c r="C26" i="2"/>
  <c r="B146" i="2"/>
  <c r="D28" i="2"/>
  <c r="D24" i="2"/>
  <c r="C24" i="2" s="1"/>
  <c r="D25" i="2"/>
  <c r="D70" i="2"/>
  <c r="D27" i="2"/>
  <c r="E27" i="2" s="1"/>
  <c r="E30" i="2"/>
  <c r="C30" i="2"/>
  <c r="F30" i="2"/>
  <c r="F136" i="7"/>
  <c r="F28" i="2"/>
  <c r="E138" i="7"/>
  <c r="E25" i="2"/>
  <c r="D29" i="2"/>
  <c r="B9" i="6"/>
  <c r="D126" i="2"/>
  <c r="G56" i="8"/>
  <c r="F137" i="7"/>
  <c r="F139" i="7"/>
  <c r="E26" i="2"/>
  <c r="E142" i="7" l="1"/>
  <c r="F142" i="7" s="1"/>
  <c r="F25" i="2"/>
  <c r="C25" i="2"/>
  <c r="F24" i="2"/>
  <c r="E28" i="2"/>
  <c r="C28" i="2"/>
  <c r="E24" i="2"/>
  <c r="C27" i="2"/>
  <c r="F27" i="2"/>
  <c r="E31" i="2"/>
  <c r="F31" i="2" s="1"/>
  <c r="F29" i="2"/>
  <c r="E29" i="2"/>
  <c r="C29" i="2"/>
  <c r="H56" i="8"/>
  <c r="C6" i="6" s="1"/>
  <c r="B6" i="6"/>
  <c r="C31"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QA</author>
  </authors>
  <commentList>
    <comment ref="E31" authorId="0" shapeId="0" xr:uid="{00000000-0006-0000-0100-000001000000}">
      <text>
        <r>
          <rPr>
            <sz val="11"/>
            <color theme="1"/>
            <rFont val="Calibri"/>
            <family val="2"/>
            <scheme val="minor"/>
          </rPr>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r>
      </text>
    </comment>
    <comment ref="H35" authorId="0" shapeId="0" xr:uid="{00000000-0006-0000-0100-000002000000}">
      <text>
        <r>
          <rPr>
            <sz val="11"/>
            <color theme="1"/>
            <rFont val="Calibri"/>
            <family val="2"/>
            <scheme val="minor"/>
          </rPr>
          <t>Indicator weight: 3 = Primary, 2 = Core, 1 = Supporting. The category score is the weighted average of its indicators; N.A. indicators drop out and their weight redistributes within the category.</t>
        </r>
      </text>
    </comment>
  </commentList>
</comments>
</file>

<file path=xl/sharedStrings.xml><?xml version="1.0" encoding="utf-8"?>
<sst xmlns="http://schemas.openxmlformats.org/spreadsheetml/2006/main" count="1565" uniqueCount="992">
  <si>
    <t>SUPPORT QA — SCORING FORM  (WORKED EXAMPLE — FINAL TOUCH OF A MULTI-TOUCH CASE)</t>
  </si>
  <si>
    <t>Resolution-Focused Coaching &amp; Performance Framework  |  Rate each behavior: Met / Partial / Missed / N.A. — then assign the 0-5 category score (suggested score is advisory).</t>
  </si>
  <si>
    <t>1 · CASE INFORMATION</t>
  </si>
  <si>
    <t>Agent Name</t>
  </si>
  <si>
    <t>Eric Marbella (L2 / CAT)</t>
  </si>
  <si>
    <t>Case / Ticket ID</t>
  </si>
  <si>
    <t>TE00127492 (prior: TE00124020)</t>
  </si>
  <si>
    <t>Agent Level</t>
  </si>
  <si>
    <t>L2 / CAT</t>
  </si>
  <si>
    <t>Touch # (multi-touch case)</t>
  </si>
  <si>
    <t>13 of 13 (final)</t>
  </si>
  <si>
    <t>Evaluator (QA)</t>
  </si>
  <si>
    <t>QA Specialist</t>
  </si>
  <si>
    <t>Interaction Date</t>
  </si>
  <si>
    <t>2026-05-18 to 2026-05-19</t>
  </si>
  <si>
    <t>Product</t>
  </si>
  <si>
    <t>Linksys MX4200 Velop Mesh (6× MX4200 + 5× WHW03)</t>
  </si>
  <si>
    <t>Channel</t>
  </si>
  <si>
    <t>Phone</t>
  </si>
  <si>
    <t>Warranty Status</t>
  </si>
  <si>
    <t>In-Warranty</t>
  </si>
  <si>
    <t>Review Date</t>
  </si>
  <si>
    <t>2026-05-25</t>
  </si>
  <si>
    <t>Case Type</t>
  </si>
  <si>
    <t>Connectivity</t>
  </si>
  <si>
    <t>Interaction Duration</t>
  </si>
  <si>
    <t>3 hr 26 min (session) + May 19 follow-up</t>
  </si>
  <si>
    <t>Prior touches reviewed?</t>
  </si>
  <si>
    <t>Yes</t>
  </si>
  <si>
    <t>CSAT / Survey result</t>
  </si>
  <si>
    <t>1 / 5 — Resolution Rate: No</t>
  </si>
  <si>
    <t>FCR / total contacts</t>
  </si>
  <si>
    <t>4+ contacts (survey); 13+ recorded touches</t>
  </si>
  <si>
    <t>SLA status</t>
  </si>
  <si>
    <t>Breached</t>
  </si>
  <si>
    <t>Case Summary (customer issue &amp; goal)</t>
  </si>
  <si>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</si>
  <si>
    <t>Inherited context (what this agent received from prior touches)</t>
  </si>
  <si>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</si>
  <si>
    <t>CLASSIFICATION &amp; ROOT-CAUSE</t>
  </si>
  <si>
    <t>Audit / Review Type</t>
  </si>
  <si>
    <t>Targeted (Critical Failure)</t>
  </si>
  <si>
    <t>Contact iteration (repeat contact)</t>
  </si>
  <si>
    <t>13th touch; yes — repeat contact</t>
  </si>
  <si>
    <t>Resolution status — detailed</t>
  </si>
  <si>
    <t>Ownership Gap</t>
  </si>
  <si>
    <t>Primary root-cause domain</t>
  </si>
  <si>
    <t>Agent Behavior</t>
  </si>
  <si>
    <t>Process driver (if any)</t>
  </si>
  <si>
    <t>Case closure (premature RESOLVED) and callback commitment management</t>
  </si>
  <si>
    <t>Product driver (if any)</t>
  </si>
  <si>
    <t>Mixed-generation mesh stability — WHW03 + MX4200 in 7,000 sq ft home without topology consult</t>
  </si>
  <si>
    <t>System / tooling driver (if any)</t>
  </si>
  <si>
    <t>N.A.</t>
  </si>
  <si>
    <t>Root-cause / contact-driver notes   (feeds Team Scoring → Team Opportunities Identified)</t>
  </si>
  <si>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</si>
  <si>
    <t>2 · CATEGORY ASSESSMENTS</t>
  </si>
  <si>
    <t>1. RESOLUTION / PROGRESS TOWARD RESOLUTION</t>
  </si>
  <si>
    <t>Weight: 30%</t>
  </si>
  <si>
    <t>Objective: Determine whether the interaction moved the customer meaningfully closer to resolution.</t>
  </si>
  <si>
    <t>Behavioral Indicator</t>
  </si>
  <si>
    <t>Assessment</t>
  </si>
  <si>
    <t>Evidence / Observation (quote or timestamp where possible)</t>
  </si>
  <si>
    <t>Resolved the issue or achieved the best possible outcome (RMA, valid escalation, limitation explained, education)</t>
  </si>
  <si>
    <t>Partial</t>
  </si>
  <si>
    <t>Internet restored May 18 (482-530 Mbps down); but primary complaint — streaming stability — never confirmed; TV still flashing red at session end; case closed RESOLVED May 19 without a documented reason or customer confirmation</t>
  </si>
  <si>
    <t>Completed reasonable troubleshooting before reaching a conclusion</t>
  </si>
  <si>
    <t>Met</t>
  </si>
  <si>
    <t>Confirmed modem install, isolated fault away from ISP to MX4200 parent node before acting</t>
  </si>
  <si>
    <t>Resolution path was appropriate for the situation and warranty status</t>
  </si>
  <si>
    <t>Restoration path correct; closure path was not — RESOLVED set on a known-unresolved in-warranty case</t>
  </si>
  <si>
    <t>Customer was moved meaningfully closer to a solution</t>
  </si>
  <si>
    <t>4 child nodes added with documented RSSI; 1st-floor optimization and sequence reboot still outstanding</t>
  </si>
  <si>
    <t>⚠ Does NOT count: customer simply ends call; generic KB sent without troubleshooting; warranty used as reason to stop helping; escalation as shortcut; unsupported ISP blame; 'monitor &amp; call back' with no plan; ownership transferred without expectations or documentation.</t>
  </si>
  <si>
    <t>Auto score (0–5) from indicator ratings — applies unless overridden</t>
  </si>
  <si>
    <t>FINAL SCORE — leave blank to use auto score; type 0–5 to override</t>
  </si>
  <si>
    <t>Override reason (if overridden)</t>
  </si>
  <si>
    <t>Auto-score 4; overridden to 3 — premature RESOLVED closure overrides technical recovery; the 'provide clear actionable next steps' gap (now captured in Ownership) reinforces the downward adjustment</t>
  </si>
  <si>
    <t>Category comments / coaching notes</t>
  </si>
  <si>
    <t>Real technical progress (internet restored) — judged in inherited context, a genuine recovery. Capped by unconfirmed primary complaint, missed callback, and premature closure.</t>
  </si>
  <si>
    <t>2. TECHNICAL ACCURACY</t>
  </si>
  <si>
    <t>Weight: 20%</t>
  </si>
  <si>
    <t>Objective: Evaluate the quality of troubleshooting and technical guidance.</t>
  </si>
  <si>
    <t>Correctly identified the symptoms and asked relevant diagnostic questions</t>
  </si>
  <si>
    <t>Correctly framed issue as wireless coverage/stability, not internet speed; verified inventory (6× MX4200), modem state, and node placement before troubleshooting</t>
  </si>
  <si>
    <t>Identified the root cause (or likely cause) when possible</t>
  </si>
  <si>
    <t>Overlap node (16267, -18 dBm) correctly identified; stability root cause left unconfirmed at close</t>
  </si>
  <si>
    <t>Followed a logical troubleshooting process</t>
  </si>
  <si>
    <t>Logical narrowing: modem supplying internet → fault domain = parent node config</t>
  </si>
  <si>
    <t>Available tools were used efficiently and appropriately</t>
  </si>
  <si>
    <t>ZOHO remote session 480107042; RSSI per node documented: 04512 -68, 02733 -61, 02853 -56, 16475 -59 dBm</t>
  </si>
  <si>
    <t>Gave technically accurate information; no unsupported conclusions</t>
  </si>
  <si>
    <t>Speed and topology explanations accurate. AT&amp;T SSID disabling — a prior touch's open isolation step — was never confirmed during this session; treated as resolved without validation</t>
  </si>
  <si>
    <t>⚠ Deduct for: incorrect technical information; skipped critical troubleshooting; misdiagnosis; unnecessary actions recommended; ISP or customer blamed without evidence; repeating basic steps the customer already completed.</t>
  </si>
  <si>
    <t>Strongest technical touch of the journey alongside Paolo Ebora's May 4 session. Close the loop on inherited open steps (AT&amp;T SSID) next time.</t>
  </si>
  <si>
    <t>3. COMMUNICATION &amp; CALL CONTROL</t>
  </si>
  <si>
    <t>Weight: 15%</t>
  </si>
  <si>
    <t>Objective: Evaluate how effectively the agent managed the interaction.</t>
  </si>
  <si>
    <t>Expectations were set clearly from the start</t>
  </si>
  <si>
    <t>Callback window agreed clearly — then broken without proactive renegotiation before the window lapsed</t>
  </si>
  <si>
    <t>Agent maintained call control and troubleshooting flow</t>
  </si>
  <si>
    <t>Drove a focused 3h26m session; investigation: 'more focused than earlier contacts'</t>
  </si>
  <si>
    <t>Used language appropriate to the customer's level and confirmed understanding throughout</t>
  </si>
  <si>
    <t>Investigation: 'simplify technical explanations' and 'strengthen recap and final action ownership' — terms like RSSI/SSID unexplained; customer confirmation of next steps not consistently sought</t>
  </si>
  <si>
    <t>Actively listened and showed comprehension throughout the interaction/s</t>
  </si>
  <si>
    <t>Questions tied to isolation; no redundant re-asking of inherited facts; built on prior RSSI findings</t>
  </si>
  <si>
    <t>Managed time well, with clear transitions between steps</t>
  </si>
  <si>
    <t>Session ran ~6 PM to 11 PM for an 80-year-old couple; no checkpoint offered to pause and resume the next day</t>
  </si>
  <si>
    <t>Handled difficult moments when needed to maintain call control</t>
  </si>
  <si>
    <t>Stayed professional and focused with an exhausted, frustrated customer throughout a marathon session</t>
  </si>
  <si>
    <t>Adjusted communication for the customer's accessibility needs (hearing, vision, language barrier, age, cognitive)</t>
  </si>
  <si>
    <t>Missed</t>
  </si>
  <si>
    <t>Hearing-difficulty adaptation cited as opportunity by investigation for this and 3 prior agents; pace and jargon unchanged despite documented hearing aids and age 80+</t>
  </si>
  <si>
    <t>⚠ High performance: customer always knows what is happening and the agent drives the call confidently. One instruction at a time for customers who need it.</t>
  </si>
  <si>
    <t>Auto-score 4; overridden to 3 — accessibility failure for an 80-year-old customer with documented hearing difficulty, combined with the marathon session length without a pause checkpoint, warrants adjustment</t>
  </si>
  <si>
    <t>Focused and professional; needs accessibility adaptation and a stronger recap / next-step close (per investigation findings). The missed renegotiation of the callback window is captured in Ownership.</t>
  </si>
  <si>
    <t>4. CUSTOMER OWNERSHIP</t>
  </si>
  <si>
    <t>Objective: Measure the degree to which the agent accepted responsibility for moving the customer forward.</t>
  </si>
  <si>
    <t>Took accountability for the customer's outcome and avoided unnecessary transfers</t>
  </si>
  <si>
    <t>Claimed the queue, drove the session, attempted callbacks and emails — but premature RESOLVED closure ultimately undermined accountability; no unnecessary transfers at L2</t>
  </si>
  <si>
    <t>Followed through on all commitments made during the interaction</t>
  </si>
  <si>
    <t>Agreed 4-5 PM CT callback May 19 — missed; calls placed at 5:42 and 6:06 PM (42-66 min late); customer: 'you called at 5:45 — 1 and 3/4 hours late'</t>
  </si>
  <si>
    <t>Clearly set customer expectations for next steps and realistic timelines</t>
  </si>
  <si>
    <t>Knew 4-5 PM window conflicted with TC/OM meetings (private notes 13:48/14:42) yet did not renegotiate in advance; replacement plan after missed callback required customer to propose a new time</t>
  </si>
  <si>
    <t>Completed required disconnect follow-up and met callback commitments within the agreed window</t>
  </si>
  <si>
    <t>No disconnect on this touch; agreed 4-5 PM CT callback window missed — calls placed 42-66 min late without prior renegotiation; conflicting explanations in notes ('meeting' vs 'engaged with another task')</t>
  </si>
  <si>
    <t>⚠ Automatic deductions: no documented follow-up after disconnect; unclear next steps; passing responsibility without context; failure to complete promised actions; missed or late callbacks without proactive renegotiation.</t>
  </si>
  <si>
    <t>Auto-score 2; overridden to 1 — automatic deductions applied: missed agreed callback window without proactive renegotiation + premature RESOLVED on a known-unresolved case (5th closure on this ticket)</t>
  </si>
  <si>
    <t>Automatic deductions applied. The calendar conflict was visible in advance. The follow-up instinct exists (2 calls, voicemails, 2 emails) — the failure was timing and closure, not absence.</t>
  </si>
  <si>
    <t>5. ESCALATION JUDGMENT</t>
  </si>
  <si>
    <t>Weight: 10%</t>
  </si>
  <si>
    <t>Objective: Determine whether escalation decisions were appropriate — including UPWARD escalations the customer requested (management, complaint, legal). Mark all N.A. if no escalation was involved and none was warranted.</t>
  </si>
  <si>
    <t>Completed reasonable troubleshooting before escalating</t>
  </si>
  <si>
    <t>No technical escalation needed or submitted — Eric Marbella is the L2 endpoint</t>
  </si>
  <si>
    <t>Identified a valid reason to escalate</t>
  </si>
  <si>
    <t>May 19, 3:33 PM customer email: 'I would like to talk to your management, before I talk to a lawyer' — a textbook management/legal-risk trigger; not identified as requiring escalation</t>
  </si>
  <si>
    <t>Provided complete escalation details using the correct escalation path</t>
  </si>
  <si>
    <t>No management / DSAT escalation submitted; TC Marc Baynos consulted about how to word the reply, not about escalating the complaint</t>
  </si>
  <si>
    <t>Clearly explained why escalation was necessary and what would happen next.</t>
  </si>
  <si>
    <t>Final email never acknowledged the management request or explained any escalation step</t>
  </si>
  <si>
    <t>⚠ Low score: premature, avoidable, poorly documented, used as a substitute for troubleshooting — or a warranted escalation (incl. a customer's management request) that was NOT made.</t>
  </si>
  <si>
    <t>Auto-score 0; overridden to 1 — TC Marc Baynos was consulted (showing some escalation awareness); scored 1 rather than 0 to reflect the consultation, while the management/legal trigger remains unactioned</t>
  </si>
  <si>
    <t>The escalation that mattered was upward: an explicit management request with a legal reference from a vulnerable customer. It was not made. No management/DSAT escalation until PMO intervened May 27.</t>
  </si>
  <si>
    <t>ESCALATION FOLLOW-UP   ·   Complete only if an escalation was submitted</t>
  </si>
  <si>
    <t>What did the receiving agent / Level 2 do to resolve or advance this case?</t>
  </si>
  <si>
    <t>N.A. — Eric Marbella is the L2 endpoint; no technical escalation was submitted on this touch. The warranted management/complaint escalation was not submitted until PMO intervened May 27.</t>
  </si>
  <si>
    <t>L1 learning points from this escalation outcome</t>
  </si>
  <si>
    <t>1.</t>
  </si>
  <si>
    <t>N.A. — escalation was not completed by the agent on this touch.</t>
  </si>
  <si>
    <t>2.</t>
  </si>
  <si>
    <t>3.</t>
  </si>
  <si>
    <t>6. CUSTOMER EXPERIENCE</t>
  </si>
  <si>
    <t>Weight: 5%</t>
  </si>
  <si>
    <t>Objective: Measure the overall customer experience delivered during the interaction.</t>
  </si>
  <si>
    <t>Demonstrated empathy including for repeat-contact fatigue</t>
  </si>
  <si>
    <t>Apologies sent, but investigation: 'acknowledge customer effort and fatigue more explicitly' — 20-30 hrs invested, no dinner, age 80, hearing aids; empathy was present but insufficient to the situation</t>
  </si>
  <si>
    <t>Stayed professional throughout and maintained patience, even under pressure</t>
  </si>
  <si>
    <t>Courteous and calm in all calls and emails; patient through a 3h26m session with a frustrated customer</t>
  </si>
  <si>
    <t>Agent matched the customer's tone, pace, level, and energy</t>
  </si>
  <si>
    <t>Some simplification, but pace and jargon largely unadjusted for hearing difficulty; RSSI/SSID not explained; no slower delivery or check-in for comprehension</t>
  </si>
  <si>
    <t>Minimized customer effort</t>
  </si>
  <si>
    <t>11 PM finish for an 80-year-old couple, then customer expected to propose a new time after the missed callback; survey: 'almost impossible to get a technician who can help'</t>
  </si>
  <si>
    <t>Maintained customer understanding and engagement</t>
  </si>
  <si>
    <t>CSAT 1/5; 'worst customer service I have ever had'; customer scrapped Linksys equipment for Eero</t>
  </si>
  <si>
    <t>⚠ Negative indicators: dismissive responses; robotic interactions; frustration escalation caused by agent behavior; marathon sessions pushed onto vulnerable customers without offering to pause and resume.</t>
  </si>
  <si>
    <t>Auto-score 3; overridden to 2 — CSAT 1/5 and customer churn to Eero reflect a failed customer experience; outcome data supports the lower score; this touch's choices (marathon session, missed callback) contributed directly</t>
  </si>
  <si>
    <t>Patience and courtesy present; effort-reduction and fatigue acknowledgment absent. The outcome data (CSAT 1, churn) reflects the full journey, but this touch's choices contributed directly.</t>
  </si>
  <si>
    <t>7. DOCUMENTATION &amp; NOTES</t>
  </si>
  <si>
    <t>Objective: Ensure future agents can quickly understand the case. Purpose is continuity, not compliance.</t>
  </si>
  <si>
    <t>Recorded customer issue summary</t>
  </si>
  <si>
    <t>Issue, modem-replacement context, and 7-week history captured on claim</t>
  </si>
  <si>
    <t>Documented troubleshooting steps</t>
  </si>
  <si>
    <t>Session note: speeds, 4 child nodes configured, RSSI per node, overlap node identified, sequence reboot declined</t>
  </si>
  <si>
    <t>Noted key findings</t>
  </si>
  <si>
    <t>Key findings recorded including overlap node 16267 at -18 dBm and per-node RSSI values</t>
  </si>
  <si>
    <t>Captured agent reasoning — escalation justification, offline recommendations, and any support POC input</t>
  </si>
  <si>
    <t>Why RESOLVED was chosen is documented nowhere; management/legal escalation request never documented as an escalation item; TC Baynos input was about wording a reply, not captured as an escalation decision</t>
  </si>
  <si>
    <t>Documented next steps and follow-ups</t>
  </si>
  <si>
    <t>Callback agreement noted; post-miss plan vague — final email only asked customer to 'reply with preferred date/time'</t>
  </si>
  <si>
    <t>Updated ticket status accurately</t>
  </si>
  <si>
    <t>RESOLVED set May 19 on a known-unresolved case — 5th premature closure on this ticket; NTE requested by investigation; survey 3 days later confirmed Resolution Rate = No</t>
  </si>
  <si>
    <t>⚠ Documentation supports outcomes but should not outweigh troubleshooting quality, communication, or ownership. Notes must carry the FULL history — including pre-ticket contacts — so no agent treats a long-running case as new.</t>
  </si>
  <si>
    <t>Auto-score 3; overridden to 2 — critical failure: RESOLVED set without closure note on a known-unresolved case; management/legal escalation unrecorded; documentation quality failed at the decisive moment</t>
  </si>
  <si>
    <t>Technical notes excellent; closure documentation failed — no reason for RESOLVED, conflicting missed-callback explanations across notes.</t>
  </si>
  <si>
    <t>3 · SCORE SUMMARY</t>
  </si>
  <si>
    <t>Category</t>
  </si>
  <si>
    <t>Weight</t>
  </si>
  <si>
    <t>Score (0-5)</t>
  </si>
  <si>
    <t>Weighted</t>
  </si>
  <si>
    <t>Band</t>
  </si>
  <si>
    <t>Resolution / Progress Toward Resolution</t>
  </si>
  <si>
    <t>30%</t>
  </si>
  <si>
    <t>Technical Accuracy</t>
  </si>
  <si>
    <t>20%</t>
  </si>
  <si>
    <t>Communication &amp; Call Control</t>
  </si>
  <si>
    <t>15%</t>
  </si>
  <si>
    <t>Customer Ownership</t>
  </si>
  <si>
    <t>Escalation Judgment</t>
  </si>
  <si>
    <t>10%</t>
  </si>
  <si>
    <t>Customer Experience</t>
  </si>
  <si>
    <t>5%</t>
  </si>
  <si>
    <t>Documentation &amp; Notes</t>
  </si>
  <si>
    <t>WEIGHTED TOTAL SCORE</t>
  </si>
  <si>
    <t>100%</t>
  </si>
  <si>
    <t>4 · RESOLUTION OUTCOME</t>
  </si>
  <si>
    <t>Outcome classification</t>
  </si>
  <si>
    <t>Primary positive outcome achieved</t>
  </si>
  <si>
    <t>None achieved</t>
  </si>
  <si>
    <t>Justification</t>
  </si>
  <si>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</si>
  <si>
    <t>5 · DISCONNECTED CALL FOLLOW-UP</t>
  </si>
  <si>
    <t>Did the interaction disconnect before completion?</t>
  </si>
  <si>
    <t>No</t>
  </si>
  <si>
    <t>If Yes, at least one documented follow-up action is required.</t>
  </si>
  <si>
    <t>Follow-up action taken</t>
  </si>
  <si>
    <t>N.A. — no disconnect</t>
  </si>
  <si>
    <t>6 · COACHING FLAGS   ·   Auto-populated from Partial and Missed ratings   ·   Each flagged item requires a coaching or review action</t>
  </si>
  <si>
    <t>Flag Condition</t>
  </si>
  <si>
    <t>Rating</t>
  </si>
  <si>
    <t>Coaching Focus / Required Action</t>
  </si>
  <si>
    <t>Technical accuracy failure</t>
  </si>
  <si>
    <t>Review for incorrect guidance, product misrepresentation, or unsupported root-cause conclusions</t>
  </si>
  <si>
    <t>No follow-up after disconnected call</t>
  </si>
  <si>
    <t>Mandatory callback attempt required; document outcome in case notes</t>
  </si>
  <si>
    <t>Commitments not fulfilled / clear path forward missing</t>
  </si>
  <si>
    <t>Review what was promised; confirm the customer was left with actionable next steps</t>
  </si>
  <si>
    <t>Customer abandoned without a path forward</t>
  </si>
  <si>
    <t>Review whether the customer had any defined next step at close; address in coaching session</t>
  </si>
  <si>
    <t>Escalated without completing reasonable troubleshooting</t>
  </si>
  <si>
    <t>Review L1 steps completed before escalation; identify gaps and add to troubleshooting playbook</t>
  </si>
  <si>
    <t>Escalation criteria not met / complaint or legal-risk not escalated</t>
  </si>
  <si>
    <t>Review whether a valid escalation trigger existed; coach on recognising escalation criteria</t>
  </si>
  <si>
    <t>Professionalism concern</t>
  </si>
  <si>
    <t>Mandatory review; assess tone, conduct, and whether a policy violation occurred</t>
  </si>
  <si>
    <t>Ticket status inaccurate / premature closure</t>
  </si>
  <si>
    <t>Review ticket state at close; verify status accurately reflected the case outcome</t>
  </si>
  <si>
    <t>7 · COACHING &amp; FEEDBACK   (every review must produce at least one actionable coaching opportunity)</t>
  </si>
  <si>
    <t>WHAT WENT WELL — behaviors to repeat</t>
  </si>
  <si>
    <t>Took over a collapsing case and delivered the journey's decisive technical win: fault isolated away from the ISP to the MX4200 parent node, internet restored (482-530 Mbps), 4 child nodes configured with per-node RSSI documented.</t>
  </si>
  <si>
    <t>End-to-end L2 ownership of the technical work — no bouncing, 3h26m of focused troubleshooting with remote tooling (ZOHO session 480107042).</t>
  </si>
  <si>
    <t>Recovery attempts after the missed callback (2 calls, voicemails, 2 emails with reference number and hotline) show the follow-up instinct exists — the failure was timing and closure, not absence.</t>
  </si>
  <si>
    <t>IMPROVEMENT OPPORTUNITIES — behaviors to improve</t>
  </si>
  <si>
    <t>Protect or renegotiate callback commitments: the May 19 TC/OM meetings were known before the 4-5 PM window — a 2-minute proactive 'can we move to 6 PM?' message would have prevented the complaint.</t>
  </si>
  <si>
    <t>Never set RESOLVED on a known-unresolved case: use CALLBACK/PENDING and document a closure reason; this ticket's 5th premature RESOLVED triggered an NTE.</t>
  </si>
  <si>
    <t>Treat an explicit management request with a legal reference from a vulnerable customer as a same-day mandatory escalation, independent of any apology email or TC reply-wording consult.</t>
  </si>
  <si>
    <t>COACHING RECOMMENDATION — specific actions the agent should apply going forward</t>
  </si>
  <si>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</si>
  <si>
    <t>ORGANIZATIONAL INSIGHTS — training / process / KB / chatbot / tooling / product gaps discovered</t>
  </si>
  <si>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</si>
  <si>
    <t>MULTI-TOUCH / JOURNEY NOTES — handoff quality received &amp; passed, continuity, where the chain stands</t>
  </si>
  <si>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</si>
  <si>
    <t>FINAL QA ASSESSMENT — customer outcome, support quality, and coaching value</t>
  </si>
  <si>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</si>
  <si>
    <t>QA SCORING WORKBOOK — QUICK START GUIDE</t>
  </si>
  <si>
    <t>Resolution-focused coaching QA: one form per interaction, evidence-based indicator ratings, weighted 0-5 scoring, journey-level tracking and TEAM scoring for multi-touch cases. Yellow cells are YOUR inputs — everything else calculates or is reference.</t>
  </si>
  <si>
    <t>1 · THE WORKING SHEETS</t>
  </si>
  <si>
    <t>Scoring Form</t>
  </si>
  <si>
    <t>The blank form you fill for EVERY interaction you review. Make a copy of this sheet per review (right-click tab → Move or Copy → Create a copy) so the master stays blank.</t>
  </si>
  <si>
    <t>Scoring Guide</t>
  </si>
  <si>
    <t>Reference: how-to steps, the 0-5 score anchors, what Met/Partial/Missed/N.A. mean, category objectives and watch-fors, and the result bands. Read once before your first review; return whenever unsure.</t>
  </si>
  <si>
    <t>Multi-Touch Guide</t>
  </si>
  <si>
    <t>Rules for cases handled by multiple agents: how to score each touch fairly, who owns handoff failures, plus a full real-case walkthrough (the Stell journey) showing where a support chain broke and recovered.</t>
  </si>
  <si>
    <t>Team Scoring</t>
  </si>
  <si>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</si>
  <si>
    <t>Example (Filled)</t>
  </si>
  <si>
    <t>A complete, real worked review — the final touch of the Stell case (Eric Marbella). Shows exactly how detailed your evidence should be, how indicator ratings map to a final score, and how critical failures are written up. Copy its style.</t>
  </si>
  <si>
    <t>Case Tracker</t>
  </si>
  <si>
    <t>The log. One row per reviewed touch (date, agent, 7 scores, auto weighted % and band). Reuse a Case ID across rows for multi-touch journeys. Team Average at row 51; Team/Journey Scores section at row 53.</t>
  </si>
  <si>
    <t>2 · HOW TO SCORE ONE INTERACTION (Scoring Form, ~15 min)</t>
  </si>
  <si>
    <t>Step 1 — Case Information</t>
  </si>
  <si>
    <t>Fill the yellow cells: agent, ticket, dates, product. Dropdowns: Warranty, Channel, Case Type, SLA. Write a 2-3 sentence Case Summary. Multi-touch? Set Touch # and fill 'Inherited context' (what this agent received from prior touches).</t>
  </si>
  <si>
    <t>Step 2 — Rate the indicators</t>
  </si>
  <si>
    <t>Each of the 7 categories lists 5-8 behaviors. Rate each: Met / Partial / Missed / N.A. (dropdown). N.A. = genuinely not applicable (e.g., no escalation involved) — it is excluded from the math, never a shortcut.</t>
  </si>
  <si>
    <t>Step 3 — Capture evidence</t>
  </si>
  <si>
    <t>Next to every rating, write WHY: a quote, timestamp, or note excerpt. 'Customer said X at 28:10' beats 'communication was good'. The Example sheet shows the standard.</t>
  </si>
  <si>
    <t>Step 4 — Set the final score</t>
  </si>
  <si>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</si>
  <si>
    <t>Step 5 — Outcome &amp; disconnect</t>
  </si>
  <si>
    <t>Classify the Resolution Outcome (dropdown) and the primary positive outcome achieved. If the call disconnected, record the follow-up taken — 'Yes disconnect + no follow-up' auto-flags a missed ownership opportunity in red.</t>
  </si>
  <si>
    <t>Step 6 — Critical failures</t>
  </si>
  <si>
    <t>Answer Yes/No on all 11 conditions. ANY Yes turns the banner red: automatic review, regardless of the score. These include premature RESOLVED closure, PCI/compliance breaches, and unescalated management/legal requests.</t>
  </si>
  <si>
    <t>Step 7 — Coaching sections</t>
  </si>
  <si>
    <t>3 strengths, 3 improvements, a specific coaching recommendation (at least one is mandatory per review), organizational insights, journey notes (multi-touch), and the final assessment.</t>
  </si>
  <si>
    <t>Step 8 — Log it</t>
  </si>
  <si>
    <t>Add one row in the Case Tracker: date, Case ID, agent, touch #, and your 7 final scores. Weighted % and band compute themselves.</t>
  </si>
  <si>
    <t>3 · WHAT YOU TYPE vs WHAT CALCULATES ITSELF</t>
  </si>
  <si>
    <t>You type (yellow cells)</t>
  </si>
  <si>
    <t>Case info · indicator ratings (dropdowns) · evidence text · the 7 final 0-5 scores · outcome dropdowns · critical-failure Yes/No · coaching text · tracker rows · Team Score's Outcome and Continuity (0-5).</t>
  </si>
  <si>
    <t>Calculates automatically</t>
  </si>
  <si>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</si>
  <si>
    <t>Color language</t>
  </si>
  <si>
    <t>GREEN = strong (scores 4-5, total ≥85%) · YELLOW = developing (score 3, total 70-84%) · RED = needs focus (scores 0-2, total &lt;70%, any critical failure, missed disconnect follow-up). Indicator cells: Met=green, Partial=yellow, Missed=red. Heatmap: category avg &lt;2.75 red = team coaching theme.</t>
  </si>
  <si>
    <t>4 · MULTI-TOUCH CASES IN SIX LINES (full rules: Multi-Touch Guide + Team Scoring)</t>
  </si>
  <si>
    <t>One form per touch</t>
  </si>
  <si>
    <t>Every agent gets their own form. Read all prior touches first; record what the agent inherited.</t>
  </si>
  <si>
    <t>Score the contribution</t>
  </si>
  <si>
    <t>Did THIS touch move the customer forward, given what it inherited? Agents aren't punished for inherited messes — only for what they pass downstream (thin notes, false RESOLVED, missed callbacks).</t>
  </si>
  <si>
    <t>Handoffs belong to the sender</t>
  </si>
  <si>
    <t>Bad notes that force rework = deduction for the earlier agent. Ignoring good notes and re-asking everything = deduction for the later agent.</t>
  </si>
  <si>
    <t>Log every touch, same Case ID</t>
  </si>
  <si>
    <t>Tracker rows side by side show exactly where the chain broke or recovered.</t>
  </si>
  <si>
    <t>Score the chain</t>
  </si>
  <si>
    <t>Bottom of the Case Tracker: type the Case ID in a Team/Journey row, judge Outcome (0-5) and Continuity (0-5) — the Team Score computes. Drives process fixes and team recognition, never individual discipline.</t>
  </si>
  <si>
    <t>Find the TEAM opportunities</t>
  </si>
  <si>
    <t>Team Scoring sheet: build the category heatmap over the journey's rows, take the bottom two categories as team coaching themes, scan for patterns repeating across 3+ agents, and write the action plan with named owners (section 5 there is the model).</t>
  </si>
  <si>
    <t>5 · GOLDEN RULES</t>
  </si>
  <si>
    <t>• A closed case is NOT automatically a resolved case — and RESOLVED on a known-unresolved issue is a critical failure.</t>
  </si>
  <si>
    <t>• Any critical failure = automatic review, no matter how good the weighted score looks.</t>
  </si>
  <si>
    <t>• Resolution isn't only 'fixed': a proper RMA, a valid escalation, or an accurately explained limitation all count as positive outcomes.</t>
  </si>
  <si>
    <t>• Every review must produce at least one actionable coaching opportunity — and an operational improvement recommendation where applicable.</t>
  </si>
  <si>
    <t>• Evidence over opinion: every rating should be defensible with a quote, timestamp, or note excerpt.</t>
  </si>
  <si>
    <t>• Documentation supports outcomes but never outweighs troubleshooting, communication, or ownership — continuity, not compliance.</t>
  </si>
  <si>
    <t>• Reward judgment: an unresolved case with correct next steps and full ownership can still score well.</t>
  </si>
  <si>
    <t>• Team Scores coach the chain; individual forms coach the agent. Never mix the two purposes.</t>
  </si>
  <si>
    <t>Questions while reviewing? Order of reference: this sheet → Scoring Guide (anchors &amp; criteria) → Multi-Touch Guide (journey rules) → Team Scoring (team layer &amp; heatmap) → Example (Filled) (what good looks like).</t>
  </si>
  <si>
    <t>SUPPORT QUALITY ASSURANCE — SCORING FORM</t>
  </si>
  <si>
    <t>I · CASE INFORMATION</t>
  </si>
  <si>
    <t>Total case time</t>
  </si>
  <si>
    <t>CLASSIFICATION &amp; ROOT-CAUSE   (added from the 360 Form model)</t>
  </si>
  <si>
    <t>II · SCORE SUMMARY</t>
  </si>
  <si>
    <t>III · CATEGORY ASSESSMENTS</t>
  </si>
  <si>
    <t>Wt</t>
  </si>
  <si>
    <t>FINAL SCORE — leave blank to use the auto score; type 0–5 to override</t>
  </si>
  <si>
    <t>Captured agent reasoning - escalation justification, offline recommendations provided by colleagues and other support POCs especially if no private notes applicable to step/action.</t>
  </si>
  <si>
    <t>IV · RESOLUTION OUTCOME</t>
  </si>
  <si>
    <t>V · DISCONNECTED CALL FOLLOW-UP</t>
  </si>
  <si>
    <t>VI · COACHING FLAGS   ·   Auto-populated from Partial and Missed ratings   ·   Each flagged item requires a coaching or review action</t>
  </si>
  <si>
    <t>⚠  Survey / CSAT manipulation has no matching behavioral indicator and cannot be auto-detected — flag manually in §8 Coaching &amp; Feedback if suspected.</t>
  </si>
  <si>
    <t>VII · AUTO-ZERO   (from the 360 Form — any trigger forces the Quality Score to 0%)</t>
  </si>
  <si>
    <t>A gate marked 'No', any A–K item marked 'Yes' forces the weighted Quality Score (§3) to 0%. Category scores still show for coaching.</t>
  </si>
  <si>
    <t>Compliance gate  (mark Yes if adhered)</t>
  </si>
  <si>
    <t>Adherent?</t>
  </si>
  <si>
    <t>Notes / Evidence</t>
  </si>
  <si>
    <t>Adherence to Callback Hours</t>
  </si>
  <si>
    <t>Adherence to PCI &amp; Information Security Standards</t>
  </si>
  <si>
    <t>Sales</t>
  </si>
  <si>
    <t>AUTO-ZERO list — A to K  (mark Yes if it occurred)</t>
  </si>
  <si>
    <t>Occurred?</t>
  </si>
  <si>
    <t>A.  Call / Session Abandonment</t>
  </si>
  <si>
    <t>B.  Call / Session Avoidance / Evasion</t>
  </si>
  <si>
    <t>C.  Discourtesy</t>
  </si>
  <si>
    <t>D.  Escalation</t>
  </si>
  <si>
    <t>E.  Failure to ask for the email address</t>
  </si>
  <si>
    <t>F.  Fraud</t>
  </si>
  <si>
    <t>G.  Hard-selling</t>
  </si>
  <si>
    <t>H.  Line Release</t>
  </si>
  <si>
    <t>I.  Non-Adherence to Callback Hours</t>
  </si>
  <si>
    <t>J.  Non-Adherence to PCI and Information Security Standards</t>
  </si>
  <si>
    <t>K.  Non-First Call Resolution</t>
  </si>
  <si>
    <t>AUTO-ZERO TRIGGERED?</t>
  </si>
  <si>
    <t>VIII · COACHING &amp; FEEDBACK   (every review answers the three QA questions below)</t>
  </si>
  <si>
    <t>Q1 · Did we help the customer as effectively as we reasonably could?</t>
  </si>
  <si>
    <t>Q2 · Did the agent demonstrate strong technical and communication behavior?</t>
  </si>
  <si>
    <t>What went well — behaviors to repeat</t>
  </si>
  <si>
    <t>Improvement opportunities — behaviors to improve</t>
  </si>
  <si>
    <t>Coaching recommendation — specific actions the agent should apply going forward</t>
  </si>
  <si>
    <t>NEXT SESSION FOCUS   ·   Specific behaviors to practice before the next review</t>
  </si>
  <si>
    <t>Q3 · What does this interaction tell us about training, process, or knowledge gaps across the team?</t>
  </si>
  <si>
    <t>Organizational insights — training / process / KB / chatbot / tooling / product / contact-driver gaps</t>
  </si>
  <si>
    <t>Multi-touch / journey notes — handoff quality, continuity, where the chain strengthened or broke</t>
  </si>
  <si>
    <t>Final QA assessment — overall customer outcome, support quality, and coaching value</t>
  </si>
  <si>
    <t>QA SCORING GUIDE — Behavioral Indicator Rating Definitions &amp; Scenarios</t>
  </si>
  <si>
    <t>Met = fully achieved  ·  Partial = achieved in part  ·  Missed = not achieved  ·  N/A = not applicable to this interaction</t>
  </si>
  <si>
    <t>Category / Section</t>
  </si>
  <si>
    <t>What This Looks Like</t>
  </si>
  <si>
    <t>Example Scenario</t>
  </si>
  <si>
    <t>1 · RESOLUTION / PROGRESS TOWARD RESOLUTION</t>
  </si>
  <si>
    <t>Resolved the issue or achieved the best possible outcome
(RMA, valid escalation, limitation explained, education)</t>
  </si>
  <si>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</si>
  <si>
    <t>Customer reported no internet on Velop node. Agent guided 5-press reset and re-pairing. Node showed solid white. Customer confirmed internet restored and agent verified before closing. → Met.</t>
  </si>
  <si>
    <t>An outcome was pursued but not fully executed or confirmed — RMA initiated but missing a required field, escalation submitted with sparse notes, or issue appeared resolved but the customer did not confirm.</t>
  </si>
  <si>
    <t>Agent guided a factory reset. Node appeared to re-pair. Agent closed the ticket without asking the customer to test internet. Customer did not confirm. → Partial.</t>
  </si>
  <si>
    <t>Case closed without any meaningful outcome. Generic KB link sent without investigation. Escalation used with no prior troubleshooting. Out-of-warranty product dismissed with no attempt to help.</t>
  </si>
  <si>
    <t>Customer called about no internet. Agent immediately sent a KB article without asking any questions, then marked the ticket Resolved. → Missed.</t>
  </si>
  <si>
    <t>N/A</t>
  </si>
  <si>
    <t>Not applicable. Every interaction must produce some form of documented outcome or attempt.</t>
  </si>
  <si>
    <t>Agent worked through relevant diagnostic steps — appropriate to the product and symptom — before arriving at any conclusion. Steps were logical, sequenced, and evidence-based.</t>
  </si>
  <si>
    <t>Customer reported intermittent drops. Agent checked for IP conflicts, verified firmware version, tested wired vs. wireless, confirmed drops were wireless-only, identified channel congestion and changed channels. → Met.</t>
  </si>
  <si>
    <t>Some troubleshooting was done but key steps were skipped. Conclusion reached without fully validating all likely causes.</t>
  </si>
  <si>
    <t>Customer reported no internet. Agent rebooted the router without first verifying the modem had a working WAN connection. The modem was offline. → Partial.</t>
  </si>
  <si>
    <t>No meaningful troubleshooting performed. Agent jumped to a conclusion, blamed ISP without evidence, or escalated after a single failed step.</t>
  </si>
  <si>
    <t>Customer reported slow speeds. Agent immediately told the customer to contact their ISP without running any diagnostics. → Missed.</t>
  </si>
  <si>
    <t>Not applicable. Troubleshooting is always possible or its absence must be documented.</t>
  </si>
  <si>
    <t>Agent correctly determined warranty status and recommended the right resolution path for the situation: in-warranty hardware failure → RMA; out-of-warranty → self-help or paid support; software or config issue → troubleshooting; known limitation → education.</t>
  </si>
  <si>
    <t>Customer reported a hardware failure 8 months after purchase. Agent verified in-warranty status, confirmed the fault through troubleshooting, and correctly initiated an RMA. → Met.</t>
  </si>
  <si>
    <t>Resolution path was mostly right but one element was misaligned — offered paid support when product was in warranty, or denied help to an in-warranty customer citing an incorrect out-of-warranty determination.</t>
  </si>
  <si>
    <t>Customer had an in-warranty device with a confirmed hardware fault. Agent correctly identified the issue but initially offered paid remote support before being corrected. → Partial.</t>
  </si>
  <si>
    <t>Completely wrong path taken — free replacement for a clearly out-of-warranty product; denied assistance to in-warranty customer; escalated a simple config issue without troubleshooting.</t>
  </si>
  <si>
    <t>Agent told the customer their 3-year-old router was still under warranty and initiated an RMA that would later be rejected. → Missed.</t>
  </si>
  <si>
    <t>N/A only when warranty status was genuinely impossible to determine despite a reasonable lookup, and agent documented that limitation.</t>
  </si>
  <si>
    <t>The interaction produced real, documented progress — the issue was resolved, a specific actionable next step was executed, or the customer's situation clearly advanced (RMA in process, escalation queued with full context, specific fix confirmed).</t>
  </si>
  <si>
    <t>Issue was not fully resolved but agent identified the root cause, submitted a complete escalation to the right team, and customer understood the next step. → Met.</t>
  </si>
  <si>
    <t>Some progress was made but the outcome was unclear or the next step was vague. Customer was helped but left without a clear picture of where things stand.</t>
  </si>
  <si>
    <t>Agent troubleshot and suggested the customer 'monitor and see if it happens again' with no timeframe, no trigger condition, and no follow-up plan. → Partial.</t>
  </si>
  <si>
    <t>Customer ends the interaction in the same state as when they called — no resolution, no clear next step, no advancement toward a fix.</t>
  </si>
  <si>
    <t>After a 30-minute call, agent concluded 'it might be your ISP' with no evidence and no follow-up plan, then closed the ticket. → Missed.</t>
  </si>
  <si>
    <t>Not applicable.</t>
  </si>
  <si>
    <t>2 · TECHNICAL ACCURACY</t>
  </si>
  <si>
    <t>Agent identified the specific symptom — not just 'internet issue' — and asked targeted follow-up questions to narrow scope: which devices affected, wired vs. wireless, when it started, any recent changes.</t>
  </si>
  <si>
    <t>Customer said 'internet is down.' Agent asked: all devices or one? Wired or wireless? When did it start? Anything change recently? Identified the issue was wireless-only on one device, not a full outage. → Met.</t>
  </si>
  <si>
    <t>Symptoms partially identified but agent asked generic questions without building on the answers; or missed a key clarifying question that would have changed the diagnostic path.</t>
  </si>
  <si>
    <t>Customer reported 'internet issues.' Agent asked for the router model and ran a standard reset without determining whether the problem was connectivity, speed, or intermittent. → Partial.</t>
  </si>
  <si>
    <t>Agent proceeded with generic troubleshooting without understanding the actual symptom; or misidentified the symptom and pursued the wrong path entirely.</t>
  </si>
  <si>
    <t>Customer reported slow speeds. Agent assumed it was a full outage and guided a factory reset. The actual issue was a speed tier mismatch with the ISP. → Missed.</t>
  </si>
  <si>
    <t>Customer immediately requested escalation and declined any diagnostic interaction.</t>
  </si>
  <si>
    <t>Based on evidence gathered, agent correctly identified the root cause or articulated the most likely cause with supporting observations — not a guess, but a conclusion drawn from test results and symptoms.</t>
  </si>
  <si>
    <t>After finding wired connection fine but wireless dropping, and noting drops coincided with device movement, agent concluded: likely signal interference or channel congestion on the 2.4 GHz band — supported by evidence. → Met.</t>
  </si>
  <si>
    <t>Agent identified a possible cause but could not narrow it down further, or stated a cause without supporting evidence. Cause was speculative.</t>
  </si>
  <si>
    <t>Agent said 'it's probably the firmware' without checking the firmware version or running any test to support that conclusion. → Partial.</t>
  </si>
  <si>
    <t>Agent failed to identify a cause or stated an unsupported cause — ISP blame, customer-side blame — without running any diagnostic to justify it.</t>
  </si>
  <si>
    <t>After a single failed ping test, agent concluded 'it must be your ISP' without checking modem status, WAN connection, or any device-side diagnostics. → Missed.</t>
  </si>
  <si>
    <t>Issue resolved without a definitive cause identifiable (e.g., self-clearing intermittent fault); or customer declined further investigation after an initial fix attempt.</t>
  </si>
  <si>
    <t>Steps built on each other in a structured sequence — simple checks before complex changes, verification before action, each step building on the previous result. No skipping foundational checks.</t>
  </si>
  <si>
    <t>Agent verified modem online → confirmed WAN port connection → opened router admin page → identified duplicate IP assignment → fixed with static IP. Clear progression from ISP side inward. → Met.</t>
  </si>
  <si>
    <t>Generally logical but steps were slightly out of order or a key verification step was skipped.</t>
  </si>
  <si>
    <t>Agent guided a full factory reset without first verifying the modem had a working internet connection. The actual problem was the modem, which L2 identified immediately. → Partial.</t>
  </si>
  <si>
    <t>Troubleshooting was random, reversed (complex before simple), or repeated unnecessarily with no response to the outcomes.</t>
  </si>
  <si>
    <t>Agent had the customer reset the router three times, then recommended a firmware update, then another factory reset — no logic, no response to results at each step. → Missed.</t>
  </si>
  <si>
    <t>No troubleshooting was applicable — product end-of-life with no available fix, or customer declined.</t>
  </si>
  <si>
    <t>Agent used relevant tools at the right point in the process — remote session when hands-on was needed, admin dashboard for logs, modem test for WAN verification, KB for procedure confirmation — and interpreted results correctly.</t>
  </si>
  <si>
    <t>Agent remotely accessed the router admin panel, reviewed the DHCP lease table and event logs, identified a firmware error code, cross-referenced the KB, and pinpointed the fix without requiring the customer to navigate menus. → Met.</t>
  </si>
  <si>
    <t>Agent used some tools but missed relevant ones; or used a tool at the wrong moment; or initiated a tool but could not correctly interpret the results.</t>
  </si>
  <si>
    <t>Agent ran a speed test (appropriate) but did not check event logs or the admin panel, which would have shown the firmware error causing the speed issue. → Partial.</t>
  </si>
  <si>
    <t>Agent did not use any available tools despite the situation requiring them; or used a tool that was irrelevant to the reported symptom.</t>
  </si>
  <si>
    <t>Customer reported frequent node drops. Agent only asked the customer to visually describe the LEDs rather than using the remote session or admin panel already available. → Missed.</t>
  </si>
  <si>
    <t>No tools were available or applicable — offline issue prevented tool access; or customer declined remote assistance.</t>
  </si>
  <si>
    <t>All technical guidance, product specifications, and procedural instructions were factually correct and aligned with KB documentation. Agent validated assumptions before presenting conclusions.</t>
  </si>
  <si>
    <t>Agent correctly described the Velop factory reset as 10 seconds, confirmed the LED sequence per KB, and matched the admin password to the product label. All verified before advising. → Met.</t>
  </si>
  <si>
    <t>Most information was accurate but one or two minor inaccuracies were present — slightly wrong reset duration, incorrect LED color description — unlikely to cause serious harm but reflecting a knowledge gap.</t>
  </si>
  <si>
    <t>Agent said the reset required 'about 10 to 15 seconds' (KB specifies 10). Customer held the button too long and triggered a factory reset when a soft reset was intended. → Partial.</t>
  </si>
  <si>
    <t>Agent provided materially incorrect information — wrong default password, non-existent LED state, unsupported pairing method, or made claims without evidence (ISP blame, customer-side blame).</t>
  </si>
  <si>
    <t>Agent told the customer the default admin password was 'admin admin.' Customer could not access the admin panel. The correct credential was printed on the device label. → Missed.</t>
  </si>
  <si>
    <t>Not applicable. Technical accuracy is always required.</t>
  </si>
  <si>
    <t>3 · COMMUNICATION &amp; CALL CONTROL</t>
  </si>
  <si>
    <t>Agent acknowledged the issue, outlined what the interaction would involve, and gave a realistic estimate of time and likely outcome at the opening of the call. Customer knew what to expect before troubleshooting began.</t>
  </si>
  <si>
    <t>'I can see you're having connectivity issues. I'm going to walk you through a few diagnostic steps — should take about 10–15 minutes. Our goal is to get you back online today or confirm the next step.' → Met.</t>
  </si>
  <si>
    <t>Agent acknowledged the issue but gave no indication of what to expect in terms of process, time, or possible outcome.</t>
  </si>
  <si>
    <t>Agent said 'I'll help you with that' and immediately started troubleshooting without framing the interaction. → Partial.</t>
  </si>
  <si>
    <t>Agent went directly into troubleshooting with no introduction, no framing, and no expectation-setting of any kind.</t>
  </si>
  <si>
    <t>Agent's first statement was 'Have you tried restarting your router?' with no acknowledgment of the issue or explanation of what was about to happen. → Missed.</t>
  </si>
  <si>
    <t>Not applicable. Expectations can always be set, even briefly.</t>
  </si>
  <si>
    <t>Agent kept the conversation on track, redirected tangents professionally, paced the troubleshooting steps deliberately, and ensured the diagnostic path remained purposeful throughout.</t>
  </si>
  <si>
    <t>When the customer started discussing a separate device issue, agent said: 'That's worth looking at — let's note that and address it right after we sort the connectivity issue. Can you try the reset now?' → Met.</t>
  </si>
  <si>
    <t>Agent generally maintained control but lost direction at one or two points — allowed a long tangent, let the customer perform steps out of order, or lost momentum mid-call.</t>
  </si>
  <si>
    <t>Agent allowed the customer to spend 10 minutes describing their internet history before redirecting. The call ran significantly long as a result. → Partial.</t>
  </si>
  <si>
    <t>Customer dominated the interaction. Agent was reactive throughout, allowed the customer to dictate the troubleshooting path, or the interaction lacked any meaningful structure.</t>
  </si>
  <si>
    <t>Customer insisted 'just replace it.' Agent agreed to submit an RMA without completing any troubleshooting, despite the issue being a misconfigured setting fixable in minutes. → Missed.</t>
  </si>
  <si>
    <t>Agent adapted terminology to the customer's demonstrated level — explained jargon when used, avoided unnecessary technical terms with non-technical customers, and verified comprehension at key transition points.</t>
  </si>
  <si>
    <t>For an elderly customer, agent said 'Find the small button on the back of the router — it may say Reset next to it. Let me know when you find it.' Rather than 'Locate the factory reset pinhole adjacent to the WAN port.' → Met.</t>
  </si>
  <si>
    <t>Language was mostly appropriate but agent used unexplained jargon on one or two occasions, or confirmed understanding only at the end rather than throughout.</t>
  </si>
  <si>
    <t>Agent used the term 'DHCP lease' without explanation. Customer nodded along but was clearly confused. Agent did not notice and moved on. → Partial.</t>
  </si>
  <si>
    <t>Agent used technical language throughout with no adaptation. Customer was visibly confused at multiple points and agent never addressed the comprehension gaps.</t>
  </si>
  <si>
    <t>Agent walked a non-technical customer through MAC filtering and DNS settings without checking whether the customer understood what these terms meant. Customer followed instructions incorrectly. → Missed.</t>
  </si>
  <si>
    <t>Agent demonstrated active listening — accurately reflected back what the customer said, built each question on the previous answer, and never asked for information the customer had already provided.</t>
  </si>
  <si>
    <t>Customer mentioned the issue started after a power outage. Later, agent said: 'Since you mentioned the power outage, let's check whether the router's settings were affected — that can happen when power is cut abruptly.' → Met.</t>
  </si>
  <si>
    <t>Agent generally listened but repeated a question already answered, or moved forward without fully incorporating a key detail the customer had shared.</t>
  </si>
  <si>
    <t>Customer mentioned they had already rebooted the router three times. Agent's next instruction was to reboot the router — without acknowledging this. → Partial.</t>
  </si>
  <si>
    <t>Agent repeatedly asked for information already provided, talked over the customer, or failed to incorporate what the customer said into the troubleshooting approach.</t>
  </si>
  <si>
    <t>Customer provided the router model, purchase date, and symptom upfront. Agent then asked for the router model, purchase date, and symptom again as if the customer had said nothing. → Missed.</t>
  </si>
  <si>
    <t>Interaction was efficient. Holds were managed with advance notice and updates. Agent transitioned clearly between troubleshooting phases using narration to keep the customer oriented.</t>
  </si>
  <si>
    <t>'We've confirmed the modem is working — good. Now let's look at the router. I'm going to put you on a brief hold to pull your device history — back in about 2 minutes.' → Met.</t>
  </si>
  <si>
    <t>Time management was generally adequate but there were noticeable silences, abrupt transitions between steps, or holds placed without warning.</t>
  </si>
  <si>
    <t>Agent placed the customer on hold without warning three times, returning each time to ask a new question rather than coming back with an answer. → Partial.</t>
  </si>
  <si>
    <t>Interaction ran well beyond what was necessary. Long unexplained silences. Customer left waiting with no update. Steps repeated unnecessarily.</t>
  </si>
  <si>
    <t>Agent left the customer on silent hold for 8 minutes with no update, returned to ask questions already answered, and the call ended unresolved after 45 minutes. → Missed.</t>
  </si>
  <si>
    <t>When the customer became frustrated, escalatory, or emotional, agent acknowledged the feeling empathetically, maintained composure, de-escalated professionally, and returned the interaction to productive troubleshooting.</t>
  </si>
  <si>
    <t>When customer said 'I've called three times and no one can fix this!' agent responded: 'I completely understand — that's incredibly frustrating, and I'm sorry. I'm going to review everything from your prior contacts and give this my full attention right now.' → Met.</t>
  </si>
  <si>
    <t>Agent attempted to handle the moment but de-escalation was mechanical or brief. Customer remained frustrated but interaction continued. Professionalism maintained.</t>
  </si>
  <si>
    <t>Customer was angry. Agent said 'I understand your frustration' and immediately moved to the next step without genuine acknowledgment. Customer stayed agitated. → Partial.</t>
  </si>
  <si>
    <t>Agent ignored frustration, matched negative energy, became defensive, or allowed the difficult moment to derail the interaction entirely.</t>
  </si>
  <si>
    <t>Customer raised their voice. Agent responded: 'I'm just trying to help you, there's no need to be rude.' Customer escalated further and requested a supervisor. → Missed.</t>
  </si>
  <si>
    <t>No difficult moments occurred — customer was cooperative throughout the interaction.</t>
  </si>
  <si>
    <t>Adjusted communication for the customer's accessibility needs
(hearing, vision, language barrier, age, cognitive)</t>
  </si>
  <si>
    <t>Agent identified or proactively accommodated an accessibility need and measurably adjusted delivery — slower speech, simpler vocabulary, avoiding visual-reference instructions, using plain step-by-step guidance suited to the customer's specific limitation.</t>
  </si>
  <si>
    <t>Customer mentioned they were hard of hearing. Agent slowed their pace, spoke clearly, emailed all instructions as numbered steps, and confirmed each step was understood before moving on. → Met.</t>
  </si>
  <si>
    <t>Agent partially accommodated — slowed down initially but reverted to standard pace; or addressed one aspect of the need but overlooked another.</t>
  </si>
  <si>
    <t>Agent noticed a language barrier and simplified vocabulary but still used terms like 'firmware' and 'SSID' without explanation. → Partial.</t>
  </si>
  <si>
    <t>Agent was aware of or should have been aware of an accessibility need and made no accommodation. Instructions were inaccessible or impractical for the customer.</t>
  </si>
  <si>
    <t>Customer mentioned they could not see the back of the router clearly. Agent continued giving visual-reference instructions ('the button is next to the yellow port') without offering an alternative. → Missed.</t>
  </si>
  <si>
    <t>No accessibility accommodation was required — customer had no communication barrier.</t>
  </si>
  <si>
    <t>4 · CUSTOMER OWNERSHIP</t>
  </si>
  <si>
    <t>Agent owned the case from contact to close, made reasonable efforts to resolve or advance it personally, and only transferred when there was a clear, documented legitimate reason — wrong queue, specialized team required after L1 work was completed.</t>
  </si>
  <si>
    <t>Agent inherited a complex multi-touch case, reviewed all prior notes, re-diagnosed without making the customer repeat everything, and escalated only after completing thorough L1 troubleshooting with full documentation. → Met.</t>
  </si>
  <si>
    <t>Agent generally owned the case but transferred at a point where further effort was reasonable and expected; or the transfer was made with some context but the handoff documentation was incomplete.</t>
  </si>
  <si>
    <t>Agent attempted troubleshooting for 5 minutes and transferred to L2 citing complexity — the issue was a basic configuration problem clearly within L1 scope. → Partial.</t>
  </si>
  <si>
    <t>Agent transferred immediately or after minimal effort to avoid a difficult issue. Transfer happened without documentation or context for the receiving agent.</t>
  </si>
  <si>
    <t>Agent saw the case involved a mesh system and immediately routed to L2 without troubleshooting, noting only 'customer has Velop issue' in the ticket. → Missed.</t>
  </si>
  <si>
    <t>Not applicable. Ownership is always expected.</t>
  </si>
  <si>
    <t>Every commitment made during the interaction was honored — executed within the call, or documented with a specific owner and timeline so it would be carried out afterward.</t>
  </si>
  <si>
    <t>Agent committed to submitting the escalation before end of day, submitted it as promised, and updated the ticket accordingly before closing. → Met.</t>
  </si>
  <si>
    <t>A commitment was made but only partially honored — fulfilled late, fulfilled without confirming back to the customer, or made verbally without being documented in the case.</t>
  </si>
  <si>
    <t>Agent committed to emailing the customer setup instructions but never logged it in the ticket, so there is no record the email was sent. → Partial.</t>
  </si>
  <si>
    <t>A commitment the agent made was not kept and not documented — the customer was left waiting on something that never happened.</t>
  </si>
  <si>
    <t>Agent promised to call back within 24 hours. No callback was made and no note was left in the ticket. Customer called back the next day. → Missed.</t>
  </si>
  <si>
    <t>N/A only when the agent made no commitments during the interaction — there is nothing to follow through on.</t>
  </si>
  <si>
    <t>Agent told the customer specifically what would happen after the interaction — who would contact them, when, what to do while waiting, and any conditions or contingencies. Timelines given were realistic and achievable.</t>
  </si>
  <si>
    <t>'Your case is with our Level 2 team. They will reach out within 24–48 business hours at the number on file. Please don't reset the device again in the meantime — that will help them diagnose it when they call.' → Met.</t>
  </si>
  <si>
    <t>Some expectation-setting occurred but it was incomplete — timeline provided without a team name, or team named without a timeframe, or the customer's own role in the next step was unclear.</t>
  </si>
  <si>
    <t>Agent said 'L2 will reach out to you' with no indication of when, how, or what the customer should prepare. → Partial.</t>
  </si>
  <si>
    <t>Customer received no information about what happens next. Or was given a timeline that was clearly unrealistic and would not be met.</t>
  </si>
  <si>
    <t>Agent told the customer they would hear back 'very soon' for an escalation that typically takes 3–5 business days. → Missed.</t>
  </si>
  <si>
    <t>Not applicable. Expectations should always be set.</t>
  </si>
  <si>
    <t>If the call disconnected, agent made a documented callback attempt within the expected window. If a callback was promised at a specific time, it was made on time — or proactively renegotiated before the window lapsed.</t>
  </si>
  <si>
    <t>Call dropped mid-troubleshooting. Agent immediately called back, reached the customer, resumed from where they left off, and noted the disconnect and callback in the ticket. → Met.</t>
  </si>
  <si>
    <t>Follow-up was attempted but documentation was incomplete; or callback was made but slightly outside the agreed window without proactive communication to the customer.</t>
  </si>
  <si>
    <t>Agent called back after a disconnect but did not update the ticket, leaving no record of the follow-up for the next agent. → Partial.</t>
  </si>
  <si>
    <t>Call disconnected and no follow-up was made or documented. Callback was promised and not delivered.</t>
  </si>
  <si>
    <t>Call dropped at a critical point. Agent did not call back. Customer called in the following day and had to start over with a new agent who had no record of the prior session. → Missed.</t>
  </si>
  <si>
    <t>No disconnect occurred during the interaction and no callback was committed.</t>
  </si>
  <si>
    <t>5 · ESCALATION JUDGMENT</t>
  </si>
  <si>
    <t>Agent completed all relevant L1 troubleshooting steps applicable to the issue — sufficient to establish that L2 intervention was genuinely needed. Steps documented before escalating.</t>
  </si>
  <si>
    <t>Customer's mesh node was stuck on red after multiple reset attempts across two contacts. Agent completed all standard recovery steps, documented results, and escalated with full history. → Met.</t>
  </si>
  <si>
    <t>Some troubleshooting was completed but one or two standard L1 steps were skipped that could have resolved the issue or provided clearer diagnostic data for L2.</t>
  </si>
  <si>
    <t>Agent ran a factory reset but did not check modem connectivity first. Escalated citing 'hardware failure' — L2 immediately identified the modem as the actual culprit. → Partial.</t>
  </si>
  <si>
    <t>Agent escalated immediately or after minimal effort. L2 received a case where basic troubleshooting had not been attempted.</t>
  </si>
  <si>
    <t>Customer reported no internet. Agent ran one restart, found the issue unresolved, and immediately escalated to L2 with no modem check and no other diagnostic steps. → Missed.</t>
  </si>
  <si>
    <t>No escalation occurred during this interaction.</t>
  </si>
  <si>
    <t>Escalation criterion was clearly met — technical complexity beyond L1 scope, confirmed hardware failure, repeat unresolved issue with documented history, customer complaint or legal-risk trigger, or issue requiring L2 tools or authority.</t>
  </si>
  <si>
    <t>After two contacts and complete L1 troubleshooting, the node consistently failed to re-pair. Agent identified likely hardware defect, documented the repeated failure, and escalated with evidence. → Met.</t>
  </si>
  <si>
    <t>Reason for escalation was present but borderline — issue may have been resolvable at L1 with more effort; or the escalation trigger was identified but not clearly documented.</t>
  </si>
  <si>
    <t>Agent escalated citing 'customer is frustrated' — a secondary factor, but no technical criterion was articulated and the issue was within L1 scope. → Partial.</t>
  </si>
  <si>
    <t>No valid escalation criterion was met. Agent escalated to avoid a difficult call, or escalated a routine issue clearly within L1 scope without any supporting rationale.</t>
  </si>
  <si>
    <t>Customer asked for an escalation. Agent complied immediately without completing any troubleshooting or documenting a technical reason. → Missed.</t>
  </si>
  <si>
    <t>Escalation contained: specific symptom description, all troubleshooting steps and their results, root cause hypothesis, reason for escalation, customer contact details, case history reference, and was submitted to the correct team or queue.</t>
  </si>
  <si>
    <t>Escalation note: 'Customer reports node stuck on red LED after 3 reset attempts across 2 contacts. Modem confirmed online. Factory reset performed — node pairs briefly then drops. Likely hardware defect. All steps in prior case #12345. Submitted to Tier 2 Hardware.' → Met.</t>
  </si>
  <si>
    <t>Escalation submitted to the right team but missing some useful detail — no test results, no case history, no contact info. L2 can action it but may need to re-contact the customer for context.</t>
  </si>
  <si>
    <t>Escalation note: 'Customer has connectivity issue. Troubleshooting performed. Escalating.' Missing results, steps, and contact. L2 had to call the customer to understand the issue. → Partial.</t>
  </si>
  <si>
    <t>Critical information missing — no troubleshooting details, no customer contact, no symptom description. Or escalated to the wrong team or queue entirely.</t>
  </si>
  <si>
    <t>Escalation note: 'Escalating per customer request.' No technical reason, no troubleshooting summary, no case history. L2 had to start from scratch. → Missed.</t>
  </si>
  <si>
    <t>Agent explained in plain language why the case needed to go to L2 — what the issue required that L1 couldn't provide — what the escalation process looked like, and what the customer should realistically expect.</t>
  </si>
  <si>
    <t>'The tests suggest a hardware issue with the node that our Level 2 specialists are better equipped to assess. They'll reach out within 24–48 hours. If confirmed defective, they'll start the replacement process.' → Met.</t>
  </si>
  <si>
    <t>Agent told the customer about the escalation but didn't explain why, or gave a vague timeline without specifics about what L2 would actually do.</t>
  </si>
  <si>
    <t>Agent said 'I'm escalating this to our next level of support — they'll be in touch.' No explanation of why, no L2 action described, no timeline given. → Partial.</t>
  </si>
  <si>
    <t>Agent submitted the escalation without telling the customer, or told the customer the case was resolved when it was actually being escalated.</t>
  </si>
  <si>
    <t>Agent escalated the case, marked the ticket Resolved, and ended the call. Customer was confused when L2 called two days later. → Missed.</t>
  </si>
  <si>
    <t>6 · CUSTOMER EXPERIENCE</t>
  </si>
  <si>
    <t>Agent acknowledged the customer's frustration or history in a sincere, specific way. For repeat contacts, explicitly recognized the customer's repeated effort and validated their experience — not a scripted phrase.</t>
  </si>
  <si>
    <t>'I can see this is your third call about this issue — that must be incredibly frustrating. I want to make sure we get to the bottom of this today. I've reviewed your prior contacts so you won't need to start over.' → Met.</t>
  </si>
  <si>
    <t>Empathy was expressed but generic and scripted-sounding, without acknowledging the specific situation or the customer's contact history.</t>
  </si>
  <si>
    <t>Agent said 'I understand your frustration' and immediately moved to troubleshooting with no further acknowledgment of the customer's experience. → Partial.</t>
  </si>
  <si>
    <t>Agent was entirely transactional. No acknowledgment of frustration, no recognition of repeat contact history. Customer felt processed, not heard.</t>
  </si>
  <si>
    <t>Customer's fourth call about the same unresolved issue. Agent's first statement was 'Can I have your model number?' with no acknowledgment of the history. → Missed.</t>
  </si>
  <si>
    <t>Customer expressed no frustration and had no prior contact history requiring acknowledgment.</t>
  </si>
  <si>
    <t>Agent remained composed, courteous, and helpful throughout — even when the customer was frustrated, demanding, or uncooperative. Did not take provocations personally or let them alter tone.</t>
  </si>
  <si>
    <t>Customer was rude and demanding across a 45-minute call. Agent remained calm, professional, and solution-focused at every point without becoming defensive. → Met.</t>
  </si>
  <si>
    <t>Agent was mostly professional but had a brief moment of visible impatience or a slightly defensive response — noticeable but not significantly damaging to the interaction.</t>
  </si>
  <si>
    <t>After a long, difficult call, agent said 'I've been very patient with you today' in a tone that implied criticism. Customer filed a complaint. → Partial.</t>
  </si>
  <si>
    <t>Agent became visibly impatient, sarcastic, dismissive, or defensive in a way that materially damaged the interaction or made the customer feel disrespected.</t>
  </si>
  <si>
    <t>Customer raised their voice. Agent responded: 'I'm just trying to help you, there's no need to be rude.' Customer escalated further. → Missed.</t>
  </si>
  <si>
    <t>Not applicable. Professionalism is always required.</t>
  </si>
  <si>
    <t>Agent adapted naturally to the customer's communication style — technical and precise with a knowledgeable customer, warm and patient with an anxious first-time user, efficient and direct with an experienced caller who wanted a quick resolution.</t>
  </si>
  <si>
    <t>Customer identified themselves as a network engineer. Agent shifted to technical terminology, skipped basic explanations, and engaged as a peer. Customer appreciated the efficient, direct exchange. → Met.</t>
  </si>
  <si>
    <t>Agent mostly matched the customer but one dimension was off — too formal with a casual customer, too technical with someone clearly out of their depth, or too slow with an experienced user who wanted speed.</t>
  </si>
  <si>
    <t>Customer was casual and relaxed. Agent maintained a stiff, formal tone throughout, creating a slight but noticeable disconnect even though the technical help was sound. → Partial.</t>
  </si>
  <si>
    <t>Agent maintained a one-size-fits-all tone throughout regardless of the customer's cues. Interaction felt scripted and impersonal.</t>
  </si>
  <si>
    <t>Elderly customer was nervous and uncertain. Agent delivered fast, jargon-heavy instructions as if speaking to a technical audience. Customer became more confused. → Missed.</t>
  </si>
  <si>
    <t>Not applicable. Tone matching is always relevant.</t>
  </si>
  <si>
    <t>Agent proactively reduced what the customer needed to do — did not ask for information already known, handled actions agent-side where possible, confirmed information before asking the customer to perform steps.</t>
  </si>
  <si>
    <t>Agent had the device model and serial from the account before the call and only asked the customer to confirm the current symptom — saving several minutes and avoiding repetitive questions. → Met.</t>
  </si>
  <si>
    <t>Agent made some effort to reduce customer effort but had areas where the customer was asked to repeat known information or perform steps that could have been handled more efficiently.</t>
  </si>
  <si>
    <t>Agent asked the customer for the device model that was already visible in the ticket from the prior interaction. → Partial.</t>
  </si>
  <si>
    <t>Customer had to repeat information multiple times, was sent through unnecessary steps, or experienced avoidable friction because the agent did not use available information.</t>
  </si>
  <si>
    <t>Customer on their third contact was asked by the agent to re-explain the issue and repeat all troubleshooting already performed in the prior two contacts. → Missed.</t>
  </si>
  <si>
    <t>Throughout the interaction, the customer remained engaged, understood what was happening and why, and knew what they were supposed to do at each step. Agent verified comprehension and addressed confusion immediately.</t>
  </si>
  <si>
    <t>Before each step, agent explained what they were looking for and why. After each step, confirmed the result. Customer was an active, informed participant. → Met.</t>
  </si>
  <si>
    <t>Customer was generally engaged but had moments of confusion that were only partially addressed; or the customer's engagement dropped and the agent did not notice or respond.</t>
  </si>
  <si>
    <t>Customer said 'sorry, I'm a bit lost.' Agent repeated the last instruction without simplifying or reframing. Customer continued but remained uncertain. → Partial.</t>
  </si>
  <si>
    <t>Customer was disengaged or lost at multiple points. Agent continued troubleshooting without addressing the comprehension gaps. Customer was sidelined in their own support call.</t>
  </si>
  <si>
    <t>Agent performed all steps remotely without explaining what was being done. Customer had no idea what was happening and did not feel involved. → Missed.</t>
  </si>
  <si>
    <t>7 · DOCUMENTATION &amp; NOTES</t>
  </si>
  <si>
    <t>Case notes clearly describe what the customer reported — specific symptom, affected device(s), scope of impact, when it started, and what the customer had already tried before calling.</t>
  </si>
  <si>
    <t>'Customer reports wireless drops on all 3 Velop nodes. Issue started 3 days ago after an overnight firmware update. Customer has rebooted all nodes. Wired connection to main node is unaffected.' → Met.</t>
  </si>
  <si>
    <t>Issue summary present but vague — 'customer called about connectivity issue' without specific symptom, scope, or prior steps. Next agent cannot tell what was actually wrong.</t>
  </si>
  <si>
    <t>Case note: 'Customer experiencing internet issues with their router. Troubleshooting performed.' → Partial.</t>
  </si>
  <si>
    <t>No issue summary recorded at all. Next agent has no starting context.</t>
  </si>
  <si>
    <t>Case closed with only 'Resolved' in the notes — no description of what the customer reported or what was wrong. → Missed.</t>
  </si>
  <si>
    <t>Notes clearly list troubleshooting steps performed during the interaction in a logical sequence — what was done, in what order, with what result at each step.</t>
  </si>
  <si>
    <t>'1. Verified modem online — WAN light confirmed on. 2. Checked DHCP lease — IP assigned correctly. 3. Ran wireless diagnostic — signal weak on 2.4 GHz. 4. Changed Wi-Fi channel to channel 6. 5. Customer tested — connectivity restored.' → Met.</t>
  </si>
  <si>
    <t>Some steps noted but the list is incomplete — key steps missing, or outcomes of individual steps not recorded.</t>
  </si>
  <si>
    <t>'Reset router and reconfigured Wi-Fi settings.' No detail on which settings, what the reset revealed, or the outcome of each action. → Partial.</t>
  </si>
  <si>
    <t>No troubleshooting steps documented despite a full troubleshooting session. Next agent cannot tell what was tried.</t>
  </si>
  <si>
    <t>After a 45-minute call: case note reads 'Troubleshooting performed. Escalated.' Nothing else. → Missed.</t>
  </si>
  <si>
    <t>No troubleshooting was performed — call was informational only, or customer declined.</t>
  </si>
  <si>
    <t>Notes capture what was discovered — test results, error messages observed, device behavior, what worked and what did not. Findings are specific and actionable for the next agent.</t>
  </si>
  <si>
    <t>'Admin panel shows firmware version 3.8.1 — latest is 4.1.2. Firmware update failed twice. Event log shows error code E404: firmware download timeout. Likely firmware corruption or server-side download issue.' → Met.</t>
  </si>
  <si>
    <t>Some findings noted but key observations are missing — outcome of a test not recorded, error message observed but not documented, inconsistency noticed but not noted.</t>
  </si>
  <si>
    <t>Notes mention a factory reset was performed but don't record what happened afterward or whether the issue persisted. → Partial.</t>
  </si>
  <si>
    <t>No findings documented at all. Next agent cannot tell what was learned from the interaction.</t>
  </si>
  <si>
    <t>Notes record only actions. No results, no observations, no test outcomes. Next agent has to start from scratch. → Missed.</t>
  </si>
  <si>
    <t>No diagnostic findings to record — quick informational inquiry with no testing involved.</t>
  </si>
  <si>
    <t>Notes explain key decisions — why a specific troubleshooting path was chosen, why the case was escalated (what criterion was met), and any colleague or SME consultations that shaped the approach. If no private notes are available, colleague input is captured in the case notes.</t>
  </si>
  <si>
    <t>'Consulted with Team Lead before escalating. TL confirmed this meets the hardware defect threshold after three failed factory resets. Escalated to Tier 2 Hardware with full history. TL input documented here as no private note was available.' → Met.</t>
  </si>
  <si>
    <t>Some reasoning captured but key decisions lack explanation — escalation submitted with no documented rationale, or colleague input followed but not attributed in any note.</t>
  </si>
  <si>
    <t>Agent escalated and noted 'escalated per policy' but did not document which criterion was met, what troubleshooting led to that conclusion, or who they consulted. → Partial.</t>
  </si>
  <si>
    <t>Notes contain only actions — what was done — with no explanation of why. Next agent or QA reviewer cannot understand the decision-making.</t>
  </si>
  <si>
    <t>Agent escalated the case. Escalation note: 'Escalating to L2.' No reason, no troubleshooting summary, no colleague reference. → Missed.</t>
  </si>
  <si>
    <t>Straightforward interaction with no escalation, no colleague consultation, and no ambiguous decisions requiring explanation.</t>
  </si>
  <si>
    <t>Notes specify what happens after the interaction — who is responsible for the next action, what that action is, and any relevant timeline or conditions. Callback details fully recorded where applicable.</t>
  </si>
  <si>
    <t>'Escalated to L2 Hardware (ticket #67890). Customer to be contacted within 24–48 hours at 555-0100. Customer advised not to factory reset again until L2 makes contact.' → Met.</t>
  </si>
  <si>
    <t>Next steps mentioned in general terms but lacking specifics — no owner, no timeline, no conditions.</t>
  </si>
  <si>
    <t>'Escalated. Customer to wait for follow-up.' No team named, no timeframe, no detail on what the follow-up entails. → Partial.</t>
  </si>
  <si>
    <t>No next steps documented. Case cannot be picked up by another agent without re-contacting the customer.</t>
  </si>
  <si>
    <t>Case closed after escalation with no note on what was submitted, which team received it, or when the customer should expect contact. → Missed.</t>
  </si>
  <si>
    <t>Issue fully resolved with no pending actions required.</t>
  </si>
  <si>
    <t>Ticket status accurately reflects the true state of the case at close — Resolved only when the issue was confirmed resolved, Escalated when escalated, Callback when a return call is pending. Closure reason documented.</t>
  </si>
  <si>
    <t>Issue was unresolved at close. Agent marked the ticket 'Escalated,' noted the receiving team and escalation ticket number, and documented the current issue state before closing. → Met.</t>
  </si>
  <si>
    <t>Status is mostly accurate but the closure reason is missing or too brief; or the correct status was used but applied late.</t>
  </si>
  <si>
    <t>Ticket was marked 'Resolved' with a closure note that said only 'fixed' — no description of what was done, confirmed, or by whom. → Partial.</t>
  </si>
  <si>
    <t>Ticket marked Resolved when the issue was not resolved. Or marked Closed without a closure reason. Or left in a status that would mislead the next agent.</t>
  </si>
  <si>
    <t>Agent submitted an escalation but marked the ticket 'Resolved' because the call ended. L2 received the case with a Resolved status and deprioritized it. → Missed.</t>
  </si>
  <si>
    <t>Not applicable. Ticket status must always reflect reality.</t>
  </si>
  <si>
    <t>TEAM SCORE — JOURNEY OUTCOME &amp; CONTINUITY OF SUPPORT   ·   Used in Case Tracker multi-touch scoring</t>
  </si>
  <si>
    <t>Component</t>
  </si>
  <si>
    <t>Description</t>
  </si>
  <si>
    <t>Score</t>
  </si>
  <si>
    <t>TEAM SCORE
Journey Outcome
(0–5)</t>
  </si>
  <si>
    <t>Journey Outcome — overall resolution quality across all touches in the case</t>
  </si>
  <si>
    <t>5</t>
  </si>
  <si>
    <t>Issue fully resolved and confirmed with the customer. Positive close with no open actions.</t>
  </si>
  <si>
    <t>Customer confirmed streaming issue resolved after MX4200 replacement. Ticket closed Resolved with customer acknowledgment.</t>
  </si>
  <si>
    <t>4</t>
  </si>
  <si>
    <t>Strong resolution path achieved — proper RMA, valid escalation submitted with follow-through, or known limitation accurately explained and accepted.</t>
  </si>
  <si>
    <t>In-warranty hardware fault confirmed across 2 touches; RMA initiated and tracking number provided at close. Customer satisfied with next steps.</t>
  </si>
  <si>
    <t>3</t>
  </si>
  <si>
    <t>Partial progress across the journey. Customer has a defined next step but the core issue remains open or unconfirmed at close.</t>
  </si>
  <si>
    <t>After 2 touches, ISP issue identified as likely cause; customer advised to contact ISP. Issue not independently verified but customer left with an actionable step.</t>
  </si>
  <si>
    <t>2</t>
  </si>
  <si>
    <t>Minimal progress despite multiple touches. No clear resolution path at close; customer no closer to resolution than at first contact.</t>
  </si>
  <si>
    <t>3 touches across 2 weeks. Each agent troubleshot independently with no continuity. No resolution path defined and no escalation attempted.</t>
  </si>
  <si>
    <t>1</t>
  </si>
  <si>
    <t>No meaningful progress. Multiple touches produced no actionable outcome; customer has no next steps at final close.</t>
  </si>
  <si>
    <t>4 contacts, each ending with 'monitor and call back if it happens again.' No escalation, no RMA, no root-cause identified.</t>
  </si>
  <si>
    <t>0</t>
  </si>
  <si>
    <t>Outcome worsened. Contradictory guidance given across touches, customer actively harmed, or a critical failure occurred with no correction by the chain.</t>
  </si>
  <si>
    <t>Customer received conflicting advice — one agent blamed ISP, next diagnosed hardware fault — with no diagnostic data supporting either. Customer filed a formal complaint.</t>
  </si>
  <si>
    <t>TEAM SCORE
Continuity of
Support (0–5)</t>
  </si>
  <si>
    <t>Continuity of Support — how well context, ownership, and accuracy were maintained across handoffs</t>
  </si>
  <si>
    <t>Full context preserved at every handoff. No agent restarted from zero. Ticket statuses truthful throughout. All handoffs documented with next steps and named owner.</t>
  </si>
  <si>
    <t>Each agent opened with acknowledgment of prior steps — no repeated diagnostic questions. Ticket status accurately reflected case state at every touch. Clear handoff note at each close.</t>
  </si>
  <si>
    <t>Minor context gap at one handoff with no meaningful customer impact. Most handoffs documented with next steps.</t>
  </si>
  <si>
    <t>Agent 2 re-asked for the model number despite it being in notes, but quickly moved on. All other handoff details intact. Customer was not asked to repeat their issue.</t>
  </si>
  <si>
    <t>Noticeable context gaps at one or more handoffs. Customer had to re-explain part of their issue. Statuses mostly accurate but handoff documentation incomplete.</t>
  </si>
  <si>
    <t>Customer had to repeat troubleshooting history to agent 3. Prior notes were present but not reviewed before the call. Ticket status was accurate but lacked next-step documentation.</t>
  </si>
  <si>
    <t>Significant context loss across the journey. Customer re-explained their issue on multiple contacts. Ticket statuses inconsistent or misleading at some points.</t>
  </si>
  <si>
    <t>Customer called 3 times. Each agent asked the same diagnostic questions. No evidence of cross-referencing prior notes. Ticket was marked Resolved at touch 2 while issue was still open.</t>
  </si>
  <si>
    <t>Near-zero continuity. Agents effectively started fresh on each contact. Ticket statuses inaccurate at close of multiple touches.</t>
  </si>
  <si>
    <t>Case had 5 touches. Notes were absent or generic ('called customer, no resolution'). Customer verbally expressed frustration at re-explaining their problem on every contact.</t>
  </si>
  <si>
    <t>Complete breakdown. Contradictory instructions given by different agents. Customer actively misled or harmed by lack of coordination between touches.</t>
  </si>
  <si>
    <t>Agent 1 instructed a factory reset and re-pairing. Agent 2, with no awareness of the reset, told customer the issue was ISP-side — effectively undoing Agent 1's work with no evidence to support the ISP claim.</t>
  </si>
  <si>
    <t>MULTI-TOUCH CASE SCORING — HOW IT WORKS</t>
  </si>
  <si>
    <t>THE MECHANICS</t>
  </si>
  <si>
    <t>1. One scoring form per touch, not per case</t>
  </si>
  <si>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</si>
  <si>
    <t>2. Score each agent on THEIR contribution, in the context they inherited</t>
  </si>
  <si>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</si>
  <si>
    <t>3. Handoff quality is scored on the SENDING agent</t>
  </si>
  <si>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</si>
  <si>
    <t>4. Critical failures attach to a specific touch</t>
  </si>
  <si>
    <t>A premature RESOLVED, a missed callback window, a compliance violation, or an unescalated complaint fails THAT touch's review regardless of how the journey ends — and regardless of that touch's weighted score.</t>
  </si>
  <si>
    <t>5. The journey rolls up in the Case Tracker</t>
  </si>
  <si>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</si>
  <si>
    <t>6. Watch for journey-level failure patterns</t>
  </si>
  <si>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</si>
  <si>
    <t>WORKED JOURNEY — TE00124020 / TE00127492 (Richard &amp; Diana Stell, Linksys WHW03 → MX4200, Apr 1 – May 30, 2026)</t>
  </si>
  <si>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</si>
  <si>
    <t>WHERE THE CHAIN BROKE</t>
  </si>
  <si>
    <t>Scored against the touch that caused it</t>
  </si>
  <si>
    <t>Pre-ticket history lost (CRITICAL)</t>
  </si>
  <si>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</si>
  <si>
    <t>PCI DSS violation (CRITICAL)</t>
  </si>
  <si>
    <t>Recording 3 (Apr 1, paid support): full card number, CVV, and expiry spoken aloud and captured in plaintext transcript; the $30 charge itself never documented in any ticket. → Critical failure on that touch + immediate compliance escalation.</t>
  </si>
  <si>
    <t>Receipt-gate before troubleshooting</t>
  </si>
  <si>
    <t>May 1 (Riojene Ladera): customer with active 5-min drop cycles was refused troubleshooting until a warranty receipt was emailed; note reads 'No trouble shooting made.' → Resolution &amp; Ownership failure: warranty validation must not replace support on an active issue.</t>
  </si>
  <si>
    <t>Premature RESOLVED ×5</t>
  </si>
  <si>
    <t>Ticket marked RESOLVED on Apr 28, May 1, May 4, May 18, May 19 while the streaming-stability complaint was never confirmed fixed. Final closure had no private-note reason. → Documentation/Ownership failures on each closing touch; masks true case age and breaks SLA monitoring.</t>
  </si>
  <si>
    <t>Callback management collapse</t>
  </si>
  <si>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</si>
  <si>
    <t>Complaint &amp; legal threat not escalated (CRITICAL)</t>
  </si>
  <si>
    <t>May 19, 3:33 PM: customer email requests management contact 'before I talk to a lawyer.' Response (after TC consult) apologized but never escalated to management; no DSAT/management record until PMO intervened May 27. → Escalation Judgment failure on the final touch.</t>
  </si>
  <si>
    <t>Accessibility never adapted</t>
  </si>
  <si>
    <t>Customer stated hearing aids and age on nearly every call; investigation cites the same 'simplify, slow down, one step at a time' opportunity for 4+ different agents. → Communication finding per touch + training-level organizational insight.</t>
  </si>
  <si>
    <t>WHERE THE CHAIN RECOVERED (recognize these touches)</t>
  </si>
  <si>
    <t>Venn-Emir Calvin (Apr 23)</t>
  </si>
  <si>
    <t>Caught the mis-captured email address in under 2 minutes, corrected it, re-sent the guide — clean continuity fix; investigation found no opportunities.</t>
  </si>
  <si>
    <t>Paolo Ebora (May 4)</t>
  </si>
  <si>
    <t>98-minute deep dive: HomeKit isolation, interference analysis, firmware validation, captured sysinfo/network logs via remote access, identified 2 bad-RSSI nodes (-90/-93 dBm), provided L2 hotline. Best diagnostics of the journey.</t>
  </si>
  <si>
    <t>Eric Marbella (May 18, technical leg)</t>
  </si>
  <si>
    <t>3h26m session after the modem swap: correctly isolated the fault away from the ISP to the MX4200 parent node, restored internet, set up 4 child nodes with documented RSSI. The technical work was strong — the ownership collapse came the next day.</t>
  </si>
  <si>
    <t>JOURNEY-LEVEL ORGANIZATIONAL INSIGHTS (do not assign to any single agent's score)</t>
  </si>
  <si>
    <t>• Callback management is systemic, not individual: promised windows shifted repeatedly across L1 and L2; the post-case survey says technicians 'never call back as promised.' Recommend enforced callback calendaring and a contingency script when a window is at risk.</t>
  </si>
  <si>
    <t>• Case Management &amp; Closure Process needs reinforcement (per investigation): RESOLVED requires customer-confirmed resolution or a documented closure reason; CALLBACK/PENDING states must be used while work is open.</t>
  </si>
  <si>
    <t>• Ticket linking: pre-purchase and pre-ticket history must be attached or cross-referenced when a new ticket is opened for the same customer/issue (TE00124020 → TE00127492 gap).</t>
  </si>
  <si>
    <t>• Compliance: PCI-safe payment flow required for paid support (no card data spoken on a recorded line); audit recordings/transcripts retention for Rec 3.</t>
  </si>
  <si>
    <t>• Product/advice loop: the MX4200 mixed-mesh recommendation for a 7,000 sq ft home with legacy WHW03 nodes drove 6 purchases without a coverage/topology consult — feed back to sales-advice scripts and KB.</t>
  </si>
  <si>
    <t>• Vulnerable-customer handling: a standard for elderly / hard-of-hearing customers (pace, one-step instructions, session-length checkpoints, offer to pause and resume) would have changed this journey's trajectory.</t>
  </si>
  <si>
    <t>THE TEAM / JOURNEY SCORE — SCORING THE CHAIN, NOT JUST THE LINKS</t>
  </si>
  <si>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</si>
  <si>
    <t>Formula</t>
  </si>
  <si>
    <t>Team Score  =  50% × Average Touch Weighted Score  +  30% × (Journey Outcome ÷ 5)  +  20% × (Continuity ÷ 5)
When a case has BOTH Level 1 and Level 2 touches, the 50% touch component splits:  20% × Level 1 avg  +  30% × Level 2 avg  (Level 2 carries higher weight in mixed cases)</t>
  </si>
  <si>
    <t>Journey Outcome anchors (0-5)</t>
  </si>
  <si>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</si>
  <si>
    <t>Continuity &amp; Handoffs anchors (0-5)</t>
  </si>
  <si>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</si>
  <si>
    <t>Worked example (Stell journey)</t>
  </si>
  <si>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</si>
  <si>
    <t>Crediting the team</t>
  </si>
  <si>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</si>
  <si>
    <t>CONTRIBUTION TYPE &amp; HANDOFF QUALITY — PER-TOUCH IMPACT TAGS</t>
  </si>
  <si>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</si>
  <si>
    <t>Contribution Type (per touch)</t>
  </si>
  <si>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</si>
  <si>
    <t>Handoff Quality (0-5, per touch)</t>
  </si>
  <si>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</si>
  <si>
    <t>Stell journey pattern</t>
  </si>
  <si>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</si>
  <si>
    <t>AUTO-ZERO GUIDE — Trigger Definitions (Agent &amp; Team)</t>
  </si>
  <si>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</si>
  <si>
    <t>Against Agent  (forces agent Quality Score → 0%)</t>
  </si>
  <si>
    <t>Against Team  (informs Journey Outcome / Continuity)</t>
  </si>
  <si>
    <t>Agent disconnects, leaves the session, or fails to return without valid reason or required closure steps.</t>
  </si>
  <si>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</si>
  <si>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intentionally avoids handling the interaction, transfers unnecessarily, or uses tactics to end/deflect the contact.</t>
  </si>
  <si>
    <t>Agent uses rude, dismissive, sarcastic, argumentative, or unprofessional language/tone.</t>
  </si>
  <si>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</si>
  <si>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de-escalate appropriately, refuses a valid escalation, or escalates unnecessarily due to poor handling.</t>
  </si>
  <si>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</si>
  <si>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misses the required step to request or confirm the customer's email address when the process requires it.</t>
  </si>
  <si>
    <t>Continued the interaction without asking for the email address — just picking up from where the previous agent had left off, without gathering the missing email address on record.</t>
  </si>
  <si>
    <t>Agent knowingly participates in, ignores, or enables fraudulent activity, or fails required fraud controls within their role.</t>
  </si>
  <si>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</si>
  <si>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applies excessive sales pressure, ignores refusal, or uses manipulative tactics beyond approved selling behavior.</t>
  </si>
  <si>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</si>
  <si>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releases or disconnects the line without proper closure, customer consent, or valid process reason.</t>
  </si>
  <si>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</si>
  <si>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makes or promises callbacks outside approved hours, or fails to observe required callback windows.</t>
  </si>
  <si>
    <t>Team members involved failed to document and/or notify the team on agreed callback hours.
Failed to act on the case offline to ensure timely follow-up or callback.</t>
  </si>
  <si>
    <t>Agent fails to follow PCI/InfoSec rules, including improper collection, disclosure, storage, or verification of sensitive information.</t>
  </si>
  <si>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</si>
  <si>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resolve an issue they could have resolved on first contact due to error, incomplete handling, or wrong information.</t>
  </si>
  <si>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</si>
  <si>
    <t>Note: items I and J mirror the compliance gates on the Scoring Form (Adherence to Callback Hours / PCI). The gate asks 'did the agent adhere?' (No → auto-zero); the A–K item asks 'did the violation occur?' (Yes → auto-zero).</t>
  </si>
  <si>
    <t>TEAM SCORING — METHODOLOGY &amp; TEAM OPPORTUNITY ANALYSIS</t>
  </si>
  <si>
    <t>Individual forms answer 'how did this agent do?'. Team Scoring answers 'how did the CHAIN perform for the customer?' and 'what should we coach, fix, or build as a TEAM?'. The scorecard below is live from the Case Tracker.</t>
  </si>
  <si>
    <t>TEAM SCORE</t>
  </si>
  <si>
    <t>RESULT BAND</t>
  </si>
  <si>
    <t>CONTAINS CRITICAL FAILURE?</t>
  </si>
  <si>
    <t>See section 6 of each agent's Scoring Form</t>
  </si>
  <si>
    <t>EXECUTION  (50% weight)</t>
  </si>
  <si>
    <t>JOURNEY OUTCOME  (30% weight)</t>
  </si>
  <si>
    <t>CONTINUITY &amp; HANDOFFS  (20% weight)</t>
  </si>
  <si>
    <t>↑ Updates automatically from the Case Tracker (Team/Journey Scores, row 56). Edit Outcome / Continuity there and this scorecard moves with it. For your own journeys, copy this block and point it at the relevant journey row.</t>
  </si>
  <si>
    <t>1 · WHY A TEAM SCORE EXISTS</t>
  </si>
  <si>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</si>
  <si>
    <t>2 · THE FORMULA, COMPONENT BY COMPONENT</t>
  </si>
  <si>
    <t>What it measures &amp; why this weight</t>
  </si>
  <si>
    <t>Journey numbers — auto-computed once touches are logged</t>
  </si>
  <si>
    <t>EXECUTION — 50%
Average of all touch weighted scores</t>
  </si>
  <si>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</si>
  <si>
    <t>JOURNEY OUTCOME — 30%
Evaluator-judged 0-5</t>
  </si>
  <si>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</si>
  <si>
    <t>CONTINUITY &amp; HANDOFFS — 20%
Evaluator-judged 0-5</t>
  </si>
  <si>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</si>
  <si>
    <t>TEAM SCORE  =  50% × Execution  +  30% × (Outcome ÷ 5)  +  20% × (Continuity ÷ 5).   Enter the journey's Outcome &amp; Continuity (0-5) in Case Tracker row 56; Execution auto-computes.</t>
  </si>
  <si>
    <t>3 · READING THE RESULT — THE GAP IS THE DIAGNOSIS</t>
  </si>
  <si>
    <t>Team Score ≈ Execution average</t>
  </si>
  <si>
    <t>The chain neither helped nor hurt. Coach individuals on their own findings; no major process action.</t>
  </si>
  <si>
    <t>Team Score WELL ABOVE Execution average</t>
  </si>
  <si>
    <t>Strong outcome/continuity lifted ordinary touches — the process carried the team. Recognize the chain and the process owners; capture what worked as a standard.</t>
  </si>
  <si>
    <t>Team Score WELL BELOW Execution average</t>
  </si>
  <si>
    <t>Individually 'acceptable' agents, collectively a lost customer. The failure lives BETWEEN touches: handoffs, statuses, callbacks, ticket linking. Coaching individuals harder will NOT fix this — the action plan must target process, with named owners and dates.</t>
  </si>
  <si>
    <t>4 · TEAM CATEGORY HEATMAP — WHERE THE TEAM IS WEAK (live formulas over the Case Tracker touch rows)</t>
  </si>
  <si>
    <t>Averaging each category ACROSS all touches turns the individual reviews into one team profile. Compare each to the 0-5 scale; &lt;2.75 is a team coaching theme.</t>
  </si>
  <si>
    <t>Category (weight)</t>
  </si>
  <si>
    <t>Team avg (0-5)</t>
  </si>
  <si>
    <t>What the journey shows</t>
  </si>
  <si>
    <t>Resolution / Progress (30%)</t>
  </si>
  <si>
    <t>Technical Accuracy (20%)</t>
  </si>
  <si>
    <t>Communication &amp; Call Control (15%)</t>
  </si>
  <si>
    <t>Customer Ownership (15%)</t>
  </si>
  <si>
    <t>Escalation Judgment (10%)</t>
  </si>
  <si>
    <t>Customer Experience (5%)</t>
  </si>
  <si>
    <t>Documentation &amp; Notes (5%)</t>
  </si>
  <si>
    <t>Reading: red (&lt;2.75) = team coaching theme · yellow (2.75-3.49) = monitor &amp; spot-coach · green (≥3.5) = team strength to protect.</t>
  </si>
  <si>
    <t>5 · TEAM OPPORTUNITIES IDENTIFIED (the team action plan)</t>
  </si>
  <si>
    <t>Opportunity (category)</t>
  </si>
  <si>
    <t>Evidence across touches (why it's a TEAM issue, not one agent)</t>
  </si>
  <si>
    <t>Team action &amp; suggested owner</t>
  </si>
  <si>
    <t>6 · HOW TO RUN A TEAM REVIEW FOR YOUR OWN JOURNEYS (~30 min once touches are scored)</t>
  </si>
  <si>
    <t>Step 1</t>
  </si>
  <si>
    <t>Score every touch individually first (Scoring Form per agent) and log all rows in the Case Tracker under the same Case ID.</t>
  </si>
  <si>
    <t>Step 2</t>
  </si>
  <si>
    <t>In the Team/Journey Scores section (Case Tracker, row 53+), enter the Case ID — Touches and Avg Touch % auto-fill. Judge Outcome (0-5) and Continuity (0-5) with the anchors in section 2. The Team Score computes; the hero scorecard at the top of this sheet mirrors it.</t>
  </si>
  <si>
    <t>Step 3</t>
  </si>
  <si>
    <t>Compare Team Score vs Execution average (section 3). A big negative gap = process problem; flag it as such in your report.</t>
  </si>
  <si>
    <t>Step 4</t>
  </si>
  <si>
    <t>Build the category heatmap: average each category column across the journey's tracker rows (copy the section-4 formulas, adjusting the row range). Bottom two categories = your team coaching themes.</t>
  </si>
  <si>
    <t>Step 5</t>
  </si>
  <si>
    <t>Scan for recurring patterns: same coaching note on 3+ agents (training gap) · same broken-promise type on 2+ touches (process gap) · any premature closure, lost history, or unescalated complaint (critical — name it).</t>
  </si>
  <si>
    <t>Step 6</t>
  </si>
  <si>
    <t>Write the team action plan: every opportunity gets an action, a NAMED owner, and a date (section 5 is the model). Recognize the chain's best touches explicitly — including small continuity saves. Deliver individual feedback separately from this team review.</t>
  </si>
  <si>
    <t>Recognition rule: when the Team Score is strong, credit the WHOLE chain — including 2-minute continuity saves like Venn-Emir's email fix. When it is weak despite strong individual touches, the coaching target is the handoff process and its owners, never a hunt for one culprit.</t>
  </si>
  <si>
    <t>7 · CONTRIBUTION TYPE &amp; HANDOFF QUALITY — LIVE PER-TOUCH BREAKDOWN</t>
  </si>
  <si>
    <t>Pulled live from the Case Tracker (columns O &amp; P). Use this to judge the Continuity &amp; Handoffs component above — it shows WHERE the chain held and WHERE it broke, touch by touch, instead of one averaged number.</t>
  </si>
  <si>
    <t>Touch (Agent)</t>
  </si>
  <si>
    <t>Contribution Type</t>
  </si>
  <si>
    <t>Handoff Quality (0-5)</t>
  </si>
  <si>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</si>
  <si>
    <t>CASE TRACKER — Multi-Case &amp; Multi-Touch Log</t>
  </si>
  <si>
    <t>One row per touch. Reuse a Case ID across rows to track a multi-touch journey. Scores 0-5; Weighted % and Result calculate automatically. Pre-loaded: the TE00124020 / TE00127492 journey (see Multi-Touch Guide).</t>
  </si>
  <si>
    <t>Date</t>
  </si>
  <si>
    <t>Case ID</t>
  </si>
  <si>
    <t>Agent</t>
  </si>
  <si>
    <t>Touch #</t>
  </si>
  <si>
    <t>Res 30%</t>
  </si>
  <si>
    <t>Tech 20%</t>
  </si>
  <si>
    <t>Comm 15%</t>
  </si>
  <si>
    <t>Own 15%</t>
  </si>
  <si>
    <t>Esc 10%</t>
  </si>
  <si>
    <t>CX 5%</t>
  </si>
  <si>
    <t>Doc 5%</t>
  </si>
  <si>
    <t>Result</t>
  </si>
  <si>
    <t>Outcome / Notes</t>
  </si>
  <si>
    <t>Level</t>
  </si>
  <si>
    <t>TEAM AVERAGE</t>
  </si>
  <si>
    <t>Average of logged touches</t>
  </si>
  <si>
    <t>TEAM / JOURNEY SCORES — MULTI-TOUCH CASES</t>
  </si>
  <si>
    <t>Team Score  =  20% × Level 1 avg touch  +  30% × Level 2 avg touch  +  30% × (Journey Outcome ÷ 5)  +  20% × (Continuity of Support ÷ 5)   │   Level 2 touches carry a higher weight in the team aggregate.</t>
  </si>
  <si>
    <t>Journey / Case ID(s)</t>
  </si>
  <si>
    <t>Touches</t>
  </si>
  <si>
    <t>Avg Touch % (ref)</t>
  </si>
  <si>
    <t>Journey Outcome</t>
  </si>
  <si>
    <t>Continuity of Support</t>
  </si>
  <si>
    <t>Journey notes (where the chain broke / recovered)</t>
  </si>
  <si>
    <t>Template rows: type a Case ID in the first column — Touches and Avg Touch % auto-fill from the log above, then judge Outcome and Continuity (0-5). For journeys spanning multiple Case IDs (like the pre-loaded one), enter the Avg Touch % formula over the journey's row range manually.</t>
  </si>
  <si>
    <t>Contact iteration</t>
  </si>
  <si>
    <t>Resolution status (detailed)</t>
  </si>
  <si>
    <t>Root-cause domain</t>
  </si>
  <si>
    <t>Process driver</t>
  </si>
  <si>
    <t>Product driver</t>
  </si>
  <si>
    <t>System / tooling driver</t>
  </si>
  <si>
    <t>Dropdown option source for the Scoring Form (Section 8 + Outcome). Unhide to edit options.</t>
  </si>
  <si>
    <t>Random Call</t>
  </si>
  <si>
    <t>1st about the concern</t>
  </si>
  <si>
    <t>Resolved</t>
  </si>
  <si>
    <t>None</t>
  </si>
  <si>
    <t>5 — Fully resolved and confirmed</t>
  </si>
  <si>
    <t>5 — Full context preserved, no repeated questions</t>
  </si>
  <si>
    <t>Scheduled / Side-by-side</t>
  </si>
  <si>
    <t>2nd about the concern</t>
  </si>
  <si>
    <t>Unresolved (properly isolated)</t>
  </si>
  <si>
    <t>People</t>
  </si>
  <si>
    <t>Troubleshooting – Instructions</t>
  </si>
  <si>
    <t>Performance – Specific IRC</t>
  </si>
  <si>
    <t>Public – Website</t>
  </si>
  <si>
    <t>4 — Strong path: RMA / escalation / limitation explained</t>
  </si>
  <si>
    <t>4 — Minor gap at one handoff, no customer impact</t>
  </si>
  <si>
    <t>Calibration</t>
  </si>
  <si>
    <t>3rd about the concern</t>
  </si>
  <si>
    <t>Unresolved (with missing steps)</t>
  </si>
  <si>
    <t>Process</t>
  </si>
  <si>
    <t>Troubleshooting – Timeline</t>
  </si>
  <si>
    <t>Performance – Difficult to Install</t>
  </si>
  <si>
    <t>Public – App/Cloud</t>
  </si>
  <si>
    <t>3 — Partial — next step exists, issue still open</t>
  </si>
  <si>
    <t>3 — Customer re-explained parts of the issue</t>
  </si>
  <si>
    <t>Complaint</t>
  </si>
  <si>
    <t>More than 3x about the concern</t>
  </si>
  <si>
    <t>Unresolved (wrong troubleshooting path)</t>
  </si>
  <si>
    <t>RMA – Logistics</t>
  </si>
  <si>
    <t>Performance – Defective Device</t>
  </si>
  <si>
    <t>Public – IVR</t>
  </si>
  <si>
    <t>2 — Minimal progress despite multiple touches</t>
  </si>
  <si>
    <t>2 — Significant context loss across touches</t>
  </si>
  <si>
    <t>Investigation</t>
  </si>
  <si>
    <t>Unresolved (declined sales pitch — valid)</t>
  </si>
  <si>
    <t>System</t>
  </si>
  <si>
    <t>RMA – Timeline</t>
  </si>
  <si>
    <t>Performance – Poor Performance</t>
  </si>
  <si>
    <t>Internal – Salesforce/CRM</t>
  </si>
  <si>
    <t>1 — No meaningful progress</t>
  </si>
  <si>
    <t>1 — Near-zero continuity, agents restarted fresh</t>
  </si>
  <si>
    <t>CSAT</t>
  </si>
  <si>
    <t>Unresolved (declined sales pitch — invalid)</t>
  </si>
  <si>
    <t>RMA – Terms &amp; Conditions</t>
  </si>
  <si>
    <t>Design – Aesthetics</t>
  </si>
  <si>
    <t>Internal – CSC</t>
  </si>
  <si>
    <t>0 — Worsened or contradictory guidance</t>
  </si>
  <si>
    <t>0 — Contradictory guidance, complete breakdown</t>
  </si>
  <si>
    <t>DSAT</t>
  </si>
  <si>
    <t>Unresolved (disconnected / line release)</t>
  </si>
  <si>
    <t>Refund – Logistics</t>
  </si>
  <si>
    <t>Design – Compatibility</t>
  </si>
  <si>
    <t>Internal – Oracle</t>
  </si>
  <si>
    <t>FCR</t>
  </si>
  <si>
    <t>Refund – Timeline</t>
  </si>
  <si>
    <t>Beyond Product Support Scope</t>
  </si>
  <si>
    <t>Internal – Agent Portal</t>
  </si>
  <si>
    <t>Spot Check</t>
  </si>
  <si>
    <t>Refund – Terms &amp; Conditions</t>
  </si>
  <si>
    <t>Internal – SN Look-up</t>
  </si>
  <si>
    <t>ARR</t>
  </si>
  <si>
    <t>Follow-through – Callback</t>
  </si>
  <si>
    <t>Bounceback Spot Check</t>
  </si>
  <si>
    <t>Follow-through – Timeline</t>
  </si>
  <si>
    <t>Ghost / Disconnected Contact</t>
  </si>
  <si>
    <t>Sales – Limited Warranty</t>
  </si>
  <si>
    <t>Misdirected Contact</t>
  </si>
  <si>
    <t>Sales – Charging Process</t>
  </si>
  <si>
    <t>Service Offering Spot Check</t>
  </si>
  <si>
    <t>Beyond Support Scope</t>
  </si>
  <si>
    <t>Refunds Spot Check</t>
  </si>
  <si>
    <t>Newbie Spot Check</t>
  </si>
  <si>
    <t>Troubleshooting was conducted before any self-help content or KB articles were shared — generic self-help was not used as a substitute for investigation</t>
  </si>
  <si>
    <t>For out-of-warranty products: provided best-effort troubleshooting, explained product limitations clearly, and did not use warranty status as a reason to stop helping — mark N.A. if product is in warranty</t>
  </si>
  <si>
    <t>Recognized and acknowledged prior contact history; did not treat a repeat contact as a new case without reviewing previous interactions — mark N.A. if this is a confirmed first contact</t>
  </si>
  <si>
    <t>If the case was handed off or escalated, the receiving agent was given sufficient context to continue without requiring the customer to repeat themselves — mark N.A. if no handoff occurred on this touch</t>
  </si>
  <si>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</si>
  <si>
    <t>ZOHO remote session (480107042) used for direct troubleshooting; issue worked hands-on — no generic KB sent in lieu of investigation</t>
  </si>
  <si>
    <t>Product is In-Warranty — indicator not applicable to this case</t>
  </si>
  <si>
    <t>Touch 13 of 13; inherited Paolo Ebora's RSSI findings and prior notes; did not re-ask questions already answered in prior touches</t>
  </si>
  <si>
    <t>Case closed RESOLVED May 19 with no closure note or reasoning — any future agent would have no meaningful context from this touch; 5th premature RESOLVED on this ticket</t>
  </si>
  <si>
    <t>CHANGELOG — QA SCORING FORM TEMPLATE &amp; WEB PLATFORM</t>
  </si>
  <si>
    <t>Tracks all structural, content, and tooling changes to the QA rubric, scoring form, and web platform. Most recent changes at top.</t>
  </si>
  <si>
    <t>Area / Sheet</t>
  </si>
  <si>
    <t>Change Type</t>
  </si>
  <si>
    <t>Commit</t>
  </si>
  <si>
    <t>Web Platform</t>
  </si>
  <si>
    <t>NEW</t>
  </si>
  <si>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</si>
  <si>
    <t>135774f</t>
  </si>
  <si>
    <t>Built initial web-based QA Scoring Form as a single standalone HTML file. All 7 categories with 38 behavioral indicators, color-coded assessment dropdowns, auto-score calculation, coaching flags, auto-zero, save/load via localStorage, export/import JSON, print-ready.</t>
  </si>
  <si>
    <t>7db846a</t>
  </si>
  <si>
    <t>Scoring Form / Example (Filled)</t>
  </si>
  <si>
    <t>FIX</t>
  </si>
  <si>
    <t>Fixed auto-score formula ranges and H-column weights for 5 new gap indicators. Cat 1 formula expanded to C36:C41 with weights {3,2,1,2,2,2}; Cat 4 expanded to C75:C80 with weights {3,2,2,1,2,2}. Example (Filled) hardcoded array formulas updated to match.</t>
  </si>
  <si>
    <t>b93c12c</t>
  </si>
  <si>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</si>
  <si>
    <t>fb76161</t>
  </si>
  <si>
    <t>Reference</t>
  </si>
  <si>
    <t>Created QA Weight Justification.txt — written rationale for all 7 category weights, formatted for email distribution to stakeholders.</t>
  </si>
  <si>
    <t>819d065</t>
  </si>
  <si>
    <t>Committed Support Organization Reset Playbook (docx) — used as source document to audit and align behavioral indicators with organizational goals.</t>
  </si>
  <si>
    <t>UPDATE</t>
  </si>
  <si>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</si>
  <si>
    <t>820d69d</t>
  </si>
  <si>
    <t>Fixed weight redistribution and section numbering after indicator alignment. Auto-score formulas and H-column references corrected post-row deletions.</t>
  </si>
  <si>
    <t>96ca232</t>
  </si>
  <si>
    <t>Auto-Zero Guide</t>
  </si>
  <si>
    <t>Added Auto-Zero Guide sheet explaining when and how the auto-zero mechanism triggers, with tooltips on each A–K item explaining the condition and its impact on the quality score.</t>
  </si>
  <si>
    <t>78e2dc8</t>
  </si>
  <si>
    <t>Implemented N.A. weight redistribution: when an indicator is marked N.A., its weight is excluded from the denominator so remaining indicators carry full scoring weight. Prevents artificial score depression on inapplicable items.</t>
  </si>
  <si>
    <t>Synced Scoring Guide indicator labels to match updated Scoring Form wording. Refocused Customer Ownership commitments block language.</t>
  </si>
  <si>
    <t>de1727b</t>
  </si>
  <si>
    <t>REMOVED</t>
  </si>
  <si>
    <t>Replaced Critical Failure Conditions section (static list) with auto-populated Coaching Flags that trigger dynamically based on Partial and Missed ratings. Each flag links directly to a required coaching action.</t>
  </si>
  <si>
    <t>5e83111</t>
  </si>
  <si>
    <t>Added Agent Level field to Case Information section to distinguish L1 from L2 touches for team scoring purposes.</t>
  </si>
  <si>
    <t>f765862</t>
  </si>
  <si>
    <t>Added Level column (L1/L2) to Case Tracker and implemented level-weighted Team Score formula: 20% × L1 avg + 30% × L2 avg + 30% × (Outcome ÷ 5) + 20% × (Continuity ÷ 5). L2 touches carry higher weight.</t>
  </si>
  <si>
    <t>3242bea</t>
  </si>
  <si>
    <t>Added fallback formula for single-level journeys (all L1 or all L2) so Team Score computes correctly when only one agent level is present.</t>
  </si>
  <si>
    <t>44b1d42</t>
  </si>
  <si>
    <t>Formatted Team Score display to 2 decimal places (0.00%). Cleared pre-loaded example entries to produce a clean template.</t>
  </si>
  <si>
    <t>1e7db88</t>
  </si>
  <si>
    <t>Added Journey Outcome (0–5) and Continuity of Support (0–5) scoring anchors with detailed descriptors for each level. Implemented as dropdown selectors (Option B).</t>
  </si>
  <si>
    <t>9022f2f</t>
  </si>
  <si>
    <t>Added override justification fields for each category score. Realigned conditional formatting. Fixed Score Summary off-by-one calculation.</t>
  </si>
  <si>
    <t>Removed blank row 75 from Customer Ownership section. Sharpened row 74 wording to eliminate overlap with row 75. Cleaned template of all case-specific notes.</t>
  </si>
  <si>
    <t>12ab905</t>
  </si>
  <si>
    <t>Added comprehensive Scoring Guide sheet with full Met / Partial / Missed / N.A. definitions, score anchors (0–5), and behavioral examples for each of the 7 categories.</t>
  </si>
  <si>
    <t>c4a9656</t>
  </si>
  <si>
    <t>Implemented team behavioral indicator proposals from Behavior Indicators Comparison file. Merged Communication rows 69+71. Updated Ownership §4 rows 73–74. Split Resolution and Technical Accuracy merged indicators back into two distinct indicators each.</t>
  </si>
  <si>
    <t>44e7dfc</t>
  </si>
  <si>
    <t>Removed 5 duplicate Critical Failure Conditions already covered by the Auto-Zero section. Eliminated redundancy between the two mechanisms.</t>
  </si>
  <si>
    <t>97128c7</t>
  </si>
  <si>
    <t>Clarified overlapping Communication indicators to eliminate scoring confusion. Removed all blank rows from the form; compacted from ~220 to 187 rows.</t>
  </si>
  <si>
    <t>87e03d9</t>
  </si>
  <si>
    <t>Added Escalation Follow-Up section (what L2 did to resolve the case, L1 learning points) and Next Session Focus section (specific behaviors to practice before next review).</t>
  </si>
  <si>
    <t>Added QA scoring template with completed evaluations (Good Call, Bad Call examples). Restructured overall scoring form layout with cleaner section flow.</t>
  </si>
  <si>
    <t>201673c</t>
  </si>
  <si>
    <t>Added per-touch Contribution Type scoring (Resolver / Progress Builder / Maintainer / Regression Contributor) and Handoff Quality (0–5) column to Case Tracker.</t>
  </si>
  <si>
    <t>11f1ee6</t>
  </si>
  <si>
    <t>Renamed Contribution Type value 'Breaker' to 'Regression Contributor' for more coaching-oriented, less punitive language.</t>
  </si>
  <si>
    <t>5be05c9</t>
  </si>
  <si>
    <t>All Sheets</t>
  </si>
  <si>
    <t>Initial commit: QA scoring rubric established. Excel scoring form created with 7-category weighted framework (Resolution 30%, Technical Accuracy 20%, Communication 15%, Customer Ownership 15%, Escalation Judgment 10%, Customer Experience 5%, Documentation 5%).</t>
  </si>
  <si>
    <t>6d52d9a</t>
  </si>
  <si>
    <t>CHANGE TYPE LEGEND</t>
  </si>
  <si>
    <t>Brand-new feature, section, sheet, or indicator added</t>
  </si>
  <si>
    <t>Existing content revised, reworded, or restructured</t>
  </si>
  <si>
    <t>Formula error, calculation bug, or structural issue corrected</t>
  </si>
  <si>
    <t>Item, row, or section deleted (usually replaced by something better)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</si>
</sst>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72" x14ac:knownFonts="1">
    <font>
      <sz val="11"/>
      <color theme="1"/>
      <name val="Calibri"/>
      <family val="2"/>
      <scheme val="minor"/>
    </font>
    <font>
      <b/>
      <sz val="16"/>
      <color rgb="FFFFFFFF"/>
      <name val="Calibri"/>
      <family val="2"/>
    </font>
    <font>
      <i/>
      <sz val="10"/>
      <color rgb="FFFFFFFF"/>
      <name val="Calibri"/>
      <family val="2"/>
    </font>
    <font>
      <b/>
      <sz val="11"/>
      <color rgb="FFFFFFFF"/>
      <name val="Calibri"/>
      <family val="2"/>
    </font>
    <font>
      <b/>
      <sz val="11"/>
      <color rgb="FF1F3864"/>
      <name val="Calibri"/>
      <family val="2"/>
    </font>
    <font>
      <sz val="11"/>
      <color rgb="FF000000"/>
      <name val="Calibri"/>
      <family val="2"/>
    </font>
    <font>
      <i/>
      <sz val="11"/>
      <color rgb="FF1F3864"/>
      <name val="Calibri"/>
      <family val="2"/>
    </font>
    <font>
      <b/>
      <sz val="11"/>
      <color rgb="FF000000"/>
      <name val="Calibri"/>
      <family val="2"/>
    </font>
    <font>
      <i/>
      <sz val="9"/>
      <color rgb="FF595959"/>
      <name val="Calibri"/>
      <family val="2"/>
    </font>
    <font>
      <b/>
      <sz val="12"/>
      <color rgb="FF000000"/>
      <name val="Calibri"/>
      <family val="2"/>
    </font>
    <font>
      <i/>
      <sz val="11"/>
      <color rgb="FF595959"/>
      <name val="Calibri"/>
      <family val="2"/>
    </font>
    <font>
      <b/>
      <sz val="13"/>
      <color rgb="FFFFFFFF"/>
      <name val="Calibri"/>
      <family val="2"/>
    </font>
    <font>
      <b/>
      <sz val="11"/>
      <color rgb="FF006100"/>
      <name val="Calibri"/>
      <family val="2"/>
    </font>
    <font>
      <b/>
      <sz val="11"/>
      <color rgb="FF9C0006"/>
      <name val="Calibri"/>
      <family val="2"/>
    </font>
    <font>
      <b/>
      <sz val="12"/>
      <color rgb="FFFFFFFF"/>
      <name val="Calibri"/>
      <family val="2"/>
    </font>
    <font>
      <i/>
      <sz val="11"/>
      <color rgb="FFFFFFFF"/>
      <name val="Calibri"/>
      <family val="2"/>
    </font>
    <font>
      <b/>
      <sz val="11"/>
      <color rgb="FF595959"/>
      <name val="Calibri"/>
      <family val="2"/>
    </font>
    <font>
      <b/>
      <sz val="48"/>
      <color rgb="FF9C0006"/>
      <name val="Calibri"/>
      <family val="2"/>
    </font>
    <font>
      <b/>
      <sz val="22"/>
      <color rgb="FF9C0006"/>
      <name val="Calibri"/>
      <family val="2"/>
    </font>
    <font>
      <b/>
      <sz val="16"/>
      <color rgb="FF9C0006"/>
      <name val="Calibri"/>
      <family val="2"/>
    </font>
    <font>
      <b/>
      <sz val="10"/>
      <color rgb="FFFFFFFF"/>
      <name val="Calibri"/>
      <family val="2"/>
    </font>
    <font>
      <b/>
      <sz val="13"/>
      <color rgb="FF1F3864"/>
      <name val="Calibri"/>
      <family val="2"/>
    </font>
    <font>
      <i/>
      <sz val="11"/>
      <color rgb="FF1F3864"/>
      <name val="Calibri"/>
      <family val="2"/>
    </font>
    <font>
      <b/>
      <sz val="13"/>
      <color rgb="FFFFFFFF"/>
      <name val="Calibri"/>
      <family val="2"/>
    </font>
    <font>
      <i/>
      <sz val="9"/>
      <color rgb="FFFFFFFF"/>
      <name val="Calibri"/>
      <family val="2"/>
    </font>
    <font>
      <b/>
      <sz val="10"/>
      <color rgb="FFFFFFFF"/>
      <name val="Calibri"/>
      <family val="2"/>
    </font>
    <font>
      <b/>
      <sz val="9.5"/>
      <color rgb="FF000000"/>
      <name val="Calibri"/>
      <family val="2"/>
    </font>
    <font>
      <b/>
      <sz val="9.5"/>
      <color rgb="FF1A5E20"/>
      <name val="Calibri"/>
      <family val="2"/>
    </font>
    <font>
      <sz val="9.5"/>
      <color rgb="FF000000"/>
      <name val="Calibri"/>
      <family val="2"/>
    </font>
    <font>
      <i/>
      <sz val="9.5"/>
      <color rgb="FF1A1A5E"/>
      <name val="Calibri"/>
      <family val="2"/>
    </font>
    <font>
      <b/>
      <sz val="9.5"/>
      <color rgb="FF7B4F00"/>
      <name val="Calibri"/>
      <family val="2"/>
    </font>
    <font>
      <b/>
      <sz val="9.5"/>
      <color rgb="FF7B1919"/>
      <name val="Calibri"/>
      <family val="2"/>
    </font>
    <font>
      <b/>
      <sz val="9.5"/>
      <color rgb="FF3D3D3D"/>
      <name val="Calibri"/>
      <family val="2"/>
    </font>
    <font>
      <i/>
      <sz val="9.5"/>
      <color rgb="FF888888"/>
      <name val="Calibri"/>
      <family val="2"/>
    </font>
    <font>
      <b/>
      <sz val="10"/>
      <color rgb="FFFFFFFF"/>
      <name val="Calibri"/>
      <family val="2"/>
    </font>
    <font>
      <b/>
      <sz val="9.5"/>
      <color rgb="FFFFFFFF"/>
      <name val="Calibri"/>
      <family val="2"/>
    </font>
    <font>
      <sz val="9.5"/>
      <color rgb="FF000000"/>
      <name val="Calibri"/>
      <family val="2"/>
    </font>
    <font>
      <b/>
      <sz val="9.5"/>
      <color rgb="FF000000"/>
      <name val="Calibri"/>
      <family val="2"/>
    </font>
    <font>
      <i/>
      <sz val="9.5"/>
      <color rgb="FF000000"/>
      <name val="Calibri"/>
      <family val="2"/>
    </font>
    <font>
      <i/>
      <sz val="9"/>
      <color rgb="FF7B4F00"/>
      <name val="Calibri"/>
      <family val="2"/>
    </font>
    <font>
      <b/>
      <sz val="10"/>
      <color rgb="FF000000"/>
      <name val="Calibri"/>
      <family val="2"/>
    </font>
    <font>
      <i/>
      <sz val="9.5"/>
      <color rgb="FF2E4057"/>
      <name val="Calibri"/>
      <family val="2"/>
    </font>
    <font>
      <b/>
      <sz val="10"/>
      <color rgb="FFFFFFFF"/>
      <name val="Calibri"/>
    </font>
    <font>
      <b/>
      <sz val="9.5"/>
      <color rgb="FFFFFFFF"/>
      <name val="Calibri"/>
    </font>
    <font>
      <b/>
      <sz val="9"/>
      <color rgb="FF2E4057"/>
      <name val="Calibri"/>
    </font>
    <font>
      <i/>
      <sz val="9"/>
      <color rgb="FF000000"/>
      <name val="Calibri"/>
    </font>
    <font>
      <b/>
      <sz val="9.5"/>
      <color rgb="FF000000"/>
      <name val="Calibri"/>
    </font>
    <font>
      <sz val="9"/>
      <color rgb="FF000000"/>
      <name val="Calibri"/>
    </font>
    <font>
      <sz val="9"/>
      <color rgb="FF2E4057"/>
      <name val="Calibri"/>
    </font>
    <font>
      <b/>
      <sz val="10"/>
      <name val="Calibri"/>
    </font>
    <font>
      <b/>
      <sz val="13"/>
      <color rgb="FFFFFFFF"/>
      <name val="Calibri"/>
    </font>
    <font>
      <i/>
      <sz val="9"/>
      <color rgb="FF595959"/>
      <name val="Calibri"/>
    </font>
    <font>
      <b/>
      <sz val="10"/>
      <color rgb="FFFFFFFF"/>
      <name val="Calibri"/>
    </font>
    <font>
      <b/>
      <sz val="10"/>
      <color rgb="FF1F3864"/>
      <name val="Calibri"/>
    </font>
    <font>
      <sz val="10"/>
      <name val="Calibri"/>
    </font>
    <font>
      <sz val="10"/>
      <color rgb="FF808080"/>
      <name val="Calibri"/>
    </font>
    <font>
      <sz val="11"/>
      <color rgb="FFFFFFFF"/>
      <name val="Calibri"/>
    </font>
    <font>
      <sz val="10"/>
      <color rgb="FFFFFFFF"/>
      <name val="Calibri"/>
    </font>
    <font>
      <b/>
      <sz val="11"/>
      <color rgb="FFFFFFFF"/>
      <name val="Calibri"/>
    </font>
    <font>
      <b/>
      <sz val="11"/>
      <color rgb="FF1F3864"/>
      <name val="Calibri"/>
    </font>
    <font>
      <sz val="11"/>
      <color rgb="FF1F3864"/>
      <name val="Calibri"/>
    </font>
    <font>
      <sz val="11"/>
      <color rgb="FF000000"/>
      <name val="Calibri"/>
    </font>
    <font>
      <sz val="9"/>
      <color rgb="FF595959"/>
      <name val="Calibri"/>
    </font>
    <font>
      <i/>
      <sz val="11"/>
      <color rgb="FF1F3864"/>
      <name val="Calibri"/>
    </font>
    <font>
      <b/>
      <sz val="14"/>
      <color rgb="FFFFFFFF"/>
      <name val="Calibri"/>
      <family val="2"/>
      <scheme val="minor"/>
    </font>
    <font>
      <i/>
      <sz val="11"/>
      <color rgb="FF4B5563"/>
      <name val="Calibri"/>
      <family val="2"/>
      <scheme val="minor"/>
    </font>
    <font>
      <b/>
      <sz val="11"/>
      <color rgb="FFFFFFFF"/>
      <name val="Calibri"/>
      <family val="2"/>
      <scheme val="minor"/>
    </font>
    <font>
      <b/>
      <sz val="11"/>
      <color rgb="FF15803D"/>
      <name val="Calibri"/>
      <family val="2"/>
      <scheme val="minor"/>
    </font>
    <font>
      <sz val="10"/>
      <color rgb="FF6B7280"/>
      <name val="Courier New"/>
      <family val="3"/>
    </font>
    <font>
      <b/>
      <sz val="11"/>
      <color rgb="FFB45309"/>
      <name val="Calibri"/>
      <family val="2"/>
      <scheme val="minor"/>
    </font>
    <font>
      <b/>
      <sz val="11"/>
      <color rgb="FF1D4ED8"/>
      <name val="Calibri"/>
      <family val="2"/>
      <scheme val="minor"/>
    </font>
    <font>
      <b/>
      <sz val="11"/>
      <color rgb="FFB91C1C"/>
      <name val="Calibri"/>
      <family val="2"/>
      <scheme val="minor"/>
    </font>
  </fonts>
  <fills count="44">
    <fill>
      <patternFill patternType="none"/>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
      <patternFill patternType="solid">
        <fgColor rgb="FFF9FAFB"/>
        <bgColor indexed="64"/>
      </patternFill>
    </fill>
    <fill>
      <patternFill patternType="solid">
        <fgColor rgb="FFFFEDD5"/>
        <bgColor indexed="64"/>
      </patternFill>
    </fill>
    <fill>
      <patternFill patternType="solid">
        <fgColor rgb="FFDBEAFE"/>
        <bgColor indexed="64"/>
      </patternFill>
    </fill>
    <fill>
      <patternFill patternType="solid">
        <fgColor rgb="FFFEE2E2"/>
        <bgColor indexed="64"/>
      </patternFill>
    </fill>
  </fills>
  <borders count="21">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86">
    <xf numFmtId="0" fontId="0" fillId="0" borderId="0" xfId="0"/>
    <xf numFmtId="0" fontId="3" fillId="3" borderId="1" xfId="0" applyFont="1" applyFill="1" applyBorder="1" applyAlignment="1">
      <alignment horizontal="left" vertical="center"/>
    </xf>
    <xf numFmtId="0" fontId="4" fillId="4" borderId="2" xfId="0" applyFont="1" applyFill="1" applyBorder="1" applyAlignment="1">
      <alignment horizontal="left" vertical="center"/>
    </xf>
    <xf numFmtId="0" fontId="5" fillId="5"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3" borderId="1" xfId="0" applyFont="1" applyFill="1" applyBorder="1" applyAlignment="1">
      <alignment horizontal="right" vertical="center"/>
    </xf>
    <xf numFmtId="0" fontId="5" fillId="7" borderId="2" xfId="0" applyFont="1" applyFill="1" applyBorder="1" applyAlignment="1">
      <alignment horizontal="left" vertical="center" wrapText="1"/>
    </xf>
    <xf numFmtId="0" fontId="7" fillId="5" borderId="2" xfId="0" applyFont="1" applyFill="1" applyBorder="1" applyAlignment="1">
      <alignment horizontal="center" vertical="center"/>
    </xf>
    <xf numFmtId="0" fontId="5" fillId="8" borderId="2" xfId="0" applyFont="1" applyFill="1" applyBorder="1" applyAlignment="1">
      <alignment horizontal="left" vertical="center" wrapText="1"/>
    </xf>
    <xf numFmtId="0" fontId="3" fillId="3" borderId="1" xfId="0" applyFont="1" applyFill="1" applyBorder="1" applyAlignment="1">
      <alignment horizontal="center" vertical="center"/>
    </xf>
    <xf numFmtId="165" fontId="5" fillId="7" borderId="2" xfId="0" applyNumberFormat="1" applyFont="1" applyFill="1" applyBorder="1" applyAlignment="1">
      <alignment horizontal="center" vertical="center"/>
    </xf>
    <xf numFmtId="0" fontId="5" fillId="7" borderId="2" xfId="0" applyFont="1" applyFill="1" applyBorder="1" applyAlignment="1">
      <alignment horizontal="center" vertical="center"/>
    </xf>
    <xf numFmtId="165" fontId="5" fillId="8"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0" fontId="0" fillId="2" borderId="1" xfId="0" applyFill="1" applyBorder="1"/>
    <xf numFmtId="0" fontId="3" fillId="9" borderId="1" xfId="0" applyFont="1" applyFill="1" applyBorder="1" applyAlignment="1">
      <alignment horizontal="left"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13" fillId="7" borderId="2" xfId="0" applyFont="1" applyFill="1" applyBorder="1" applyAlignment="1">
      <alignment horizontal="left" vertical="center" wrapText="1"/>
    </xf>
    <xf numFmtId="0" fontId="13" fillId="8" borderId="2" xfId="0" applyFont="1" applyFill="1" applyBorder="1" applyAlignment="1">
      <alignment horizontal="left" vertical="center" wrapText="1"/>
    </xf>
    <xf numFmtId="0" fontId="12" fillId="7" borderId="2" xfId="0" applyFont="1" applyFill="1" applyBorder="1" applyAlignment="1">
      <alignment horizontal="left" vertical="center" wrapText="1"/>
    </xf>
    <xf numFmtId="0" fontId="12" fillId="6" borderId="2" xfId="0" applyFont="1" applyFill="1" applyBorder="1" applyAlignment="1">
      <alignment horizontal="left" vertical="center" wrapText="1"/>
    </xf>
    <xf numFmtId="0" fontId="3" fillId="3" borderId="1" xfId="0" applyFont="1" applyFill="1" applyBorder="1" applyAlignment="1">
      <alignment horizontal="center" vertical="center" wrapText="1"/>
    </xf>
    <xf numFmtId="0" fontId="5" fillId="5" borderId="2" xfId="0" applyFont="1" applyFill="1" applyBorder="1" applyAlignment="1">
      <alignment horizontal="center" vertical="center"/>
    </xf>
    <xf numFmtId="165" fontId="7" fillId="7" borderId="2" xfId="0" applyNumberFormat="1" applyFont="1" applyFill="1" applyBorder="1" applyAlignment="1">
      <alignment horizontal="center" vertical="center"/>
    </xf>
    <xf numFmtId="165" fontId="7" fillId="8" borderId="2" xfId="0" applyNumberFormat="1" applyFont="1" applyFill="1" applyBorder="1" applyAlignment="1">
      <alignment horizontal="center" vertical="center"/>
    </xf>
    <xf numFmtId="164" fontId="3" fillId="2" borderId="1" xfId="0" applyNumberFormat="1" applyFont="1" applyFill="1" applyBorder="1" applyAlignment="1">
      <alignment horizontal="center" vertical="center"/>
    </xf>
    <xf numFmtId="165" fontId="14" fillId="2" borderId="1" xfId="0" applyNumberFormat="1" applyFont="1" applyFill="1" applyBorder="1" applyAlignment="1">
      <alignment horizontal="center" vertical="center"/>
    </xf>
    <xf numFmtId="0" fontId="15" fillId="2" borderId="1" xfId="0" applyFont="1" applyFill="1" applyBorder="1" applyAlignment="1">
      <alignment horizontal="left" vertical="center"/>
    </xf>
    <xf numFmtId="0" fontId="4" fillId="6" borderId="2" xfId="0" applyFont="1" applyFill="1" applyBorder="1" applyAlignment="1">
      <alignment horizontal="left" vertical="center"/>
    </xf>
    <xf numFmtId="0" fontId="4" fillId="7" borderId="2" xfId="0" applyFont="1" applyFill="1" applyBorder="1" applyAlignment="1">
      <alignment horizontal="left" vertical="top" wrapText="1"/>
    </xf>
    <xf numFmtId="0" fontId="5" fillId="7"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8" borderId="2" xfId="0" applyFont="1" applyFill="1" applyBorder="1" applyAlignment="1">
      <alignment horizontal="left" vertical="top" wrapText="1"/>
    </xf>
    <xf numFmtId="0" fontId="4" fillId="7" borderId="2" xfId="0" applyFont="1" applyFill="1" applyBorder="1" applyAlignment="1">
      <alignment horizontal="left" vertical="top"/>
    </xf>
    <xf numFmtId="0" fontId="4" fillId="8" borderId="2" xfId="0" applyFont="1" applyFill="1" applyBorder="1" applyAlignment="1">
      <alignment horizontal="left" vertical="top"/>
    </xf>
    <xf numFmtId="0" fontId="16" fillId="7" borderId="5" xfId="0" applyFont="1" applyFill="1" applyBorder="1" applyAlignment="1">
      <alignment horizontal="center" vertical="top"/>
    </xf>
    <xf numFmtId="0" fontId="18" fillId="7" borderId="5" xfId="0" applyFont="1" applyFill="1" applyBorder="1" applyAlignment="1">
      <alignment horizontal="center" vertical="center"/>
    </xf>
    <xf numFmtId="0" fontId="19" fillId="7" borderId="5" xfId="0" applyFont="1" applyFill="1" applyBorder="1" applyAlignment="1">
      <alignment horizontal="center" vertical="center" wrapText="1"/>
    </xf>
    <xf numFmtId="0" fontId="20" fillId="3" borderId="5" xfId="0" applyFont="1" applyFill="1" applyBorder="1" applyAlignment="1">
      <alignment horizontal="center" vertical="center" wrapText="1"/>
    </xf>
    <xf numFmtId="0" fontId="21" fillId="6" borderId="5" xfId="0" applyFont="1" applyFill="1" applyBorder="1" applyAlignment="1">
      <alignment horizontal="center" vertical="center" wrapText="1"/>
    </xf>
    <xf numFmtId="0" fontId="21" fillId="6" borderId="5" xfId="0" applyFont="1" applyFill="1" applyBorder="1" applyAlignment="1">
      <alignment horizontal="center" vertical="center"/>
    </xf>
    <xf numFmtId="2" fontId="9" fillId="7" borderId="2" xfId="0" applyNumberFormat="1" applyFont="1" applyFill="1" applyBorder="1" applyAlignment="1">
      <alignment horizontal="center" vertical="center"/>
    </xf>
    <xf numFmtId="2" fontId="9" fillId="8" borderId="2" xfId="0" applyNumberFormat="1" applyFont="1" applyFill="1" applyBorder="1" applyAlignment="1">
      <alignment horizontal="center" vertical="center"/>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25" fillId="13" borderId="11" xfId="0" applyFont="1" applyFill="1" applyBorder="1" applyAlignment="1">
      <alignment horizontal="center" vertical="center" wrapText="1"/>
    </xf>
    <xf numFmtId="0" fontId="27" fillId="16" borderId="11" xfId="0" applyFont="1" applyFill="1" applyBorder="1" applyAlignment="1">
      <alignment horizontal="center" vertical="top" wrapText="1"/>
    </xf>
    <xf numFmtId="0" fontId="28" fillId="16" borderId="11" xfId="0" applyFont="1" applyFill="1" applyBorder="1" applyAlignment="1">
      <alignment horizontal="left" vertical="top" wrapText="1"/>
    </xf>
    <xf numFmtId="0" fontId="29" fillId="16" borderId="11" xfId="0" applyFont="1" applyFill="1" applyBorder="1" applyAlignment="1">
      <alignment horizontal="left" vertical="top" wrapText="1"/>
    </xf>
    <xf numFmtId="0" fontId="30" fillId="17" borderId="11" xfId="0" applyFont="1" applyFill="1" applyBorder="1" applyAlignment="1">
      <alignment horizontal="center" vertical="top" wrapText="1"/>
    </xf>
    <xf numFmtId="0" fontId="28" fillId="17" borderId="11" xfId="0" applyFont="1" applyFill="1" applyBorder="1" applyAlignment="1">
      <alignment horizontal="left" vertical="top" wrapText="1"/>
    </xf>
    <xf numFmtId="0" fontId="29" fillId="17" borderId="11" xfId="0" applyFont="1" applyFill="1" applyBorder="1" applyAlignment="1">
      <alignment horizontal="left" vertical="top" wrapText="1"/>
    </xf>
    <xf numFmtId="0" fontId="31" fillId="18" borderId="11" xfId="0" applyFont="1" applyFill="1" applyBorder="1" applyAlignment="1">
      <alignment horizontal="center" vertical="top" wrapText="1"/>
    </xf>
    <xf numFmtId="0" fontId="28" fillId="18" borderId="11" xfId="0" applyFont="1" applyFill="1" applyBorder="1" applyAlignment="1">
      <alignment horizontal="left" vertical="top" wrapText="1"/>
    </xf>
    <xf numFmtId="0" fontId="29" fillId="18" borderId="11" xfId="0" applyFont="1" applyFill="1" applyBorder="1" applyAlignment="1">
      <alignment horizontal="left" vertical="top" wrapText="1"/>
    </xf>
    <xf numFmtId="0" fontId="32" fillId="19" borderId="11" xfId="0" applyFont="1" applyFill="1" applyBorder="1" applyAlignment="1">
      <alignment horizontal="center" vertical="top" wrapText="1"/>
    </xf>
    <xf numFmtId="0" fontId="28" fillId="19" borderId="11" xfId="0" applyFont="1" applyFill="1" applyBorder="1" applyAlignment="1">
      <alignment horizontal="left" vertical="top" wrapText="1"/>
    </xf>
    <xf numFmtId="0" fontId="33" fillId="19" borderId="11" xfId="0" applyFont="1" applyFill="1" applyBorder="1" applyAlignment="1">
      <alignment horizontal="left" vertical="top" wrapText="1"/>
    </xf>
    <xf numFmtId="0" fontId="4" fillId="4" borderId="11" xfId="0" applyFont="1" applyFill="1" applyBorder="1" applyAlignment="1">
      <alignment horizontal="left" vertical="center"/>
    </xf>
    <xf numFmtId="0" fontId="5" fillId="7" borderId="11" xfId="0" applyFont="1" applyFill="1" applyBorder="1" applyAlignment="1">
      <alignment horizontal="left" vertical="center" wrapText="1"/>
    </xf>
    <xf numFmtId="0" fontId="4" fillId="4" borderId="11" xfId="0" applyFont="1" applyFill="1" applyBorder="1" applyAlignment="1">
      <alignment horizontal="right" vertical="center"/>
    </xf>
    <xf numFmtId="0" fontId="0" fillId="20" borderId="0" xfId="0" applyFill="1"/>
    <xf numFmtId="0" fontId="35" fillId="22" borderId="14" xfId="0" applyFont="1" applyFill="1" applyBorder="1" applyAlignment="1">
      <alignment horizontal="center" vertical="center" wrapText="1"/>
    </xf>
    <xf numFmtId="0" fontId="36" fillId="23" borderId="14" xfId="0" applyFont="1" applyFill="1" applyBorder="1" applyAlignment="1">
      <alignment horizontal="left" vertical="center" wrapText="1"/>
    </xf>
    <xf numFmtId="0" fontId="37" fillId="23" borderId="14" xfId="0" applyFont="1" applyFill="1" applyBorder="1" applyAlignment="1">
      <alignment horizontal="center" vertical="center" wrapText="1"/>
    </xf>
    <xf numFmtId="0" fontId="4" fillId="4" borderId="11" xfId="0" applyFont="1" applyFill="1" applyBorder="1" applyAlignment="1">
      <alignment horizontal="left" vertical="center" wrapText="1"/>
    </xf>
    <xf numFmtId="0" fontId="4" fillId="4" borderId="14" xfId="0" applyFont="1" applyFill="1" applyBorder="1" applyAlignment="1">
      <alignment horizontal="left" vertical="center"/>
    </xf>
    <xf numFmtId="0" fontId="5" fillId="17" borderId="14" xfId="0" applyFont="1" applyFill="1" applyBorder="1" applyAlignment="1">
      <alignment horizontal="left" vertical="center"/>
    </xf>
    <xf numFmtId="0" fontId="5" fillId="17" borderId="11" xfId="0" applyFont="1" applyFill="1" applyBorder="1" applyAlignment="1">
      <alignment horizontal="left" vertical="center"/>
    </xf>
    <xf numFmtId="0" fontId="3" fillId="11" borderId="1" xfId="0" applyFont="1" applyFill="1" applyBorder="1" applyAlignment="1">
      <alignment horizontal="left" vertical="center"/>
    </xf>
    <xf numFmtId="0" fontId="5" fillId="7" borderId="11" xfId="0" applyFont="1" applyFill="1" applyBorder="1" applyAlignment="1">
      <alignment horizontal="left" vertical="center"/>
    </xf>
    <xf numFmtId="9" fontId="4" fillId="7" borderId="11" xfId="0" applyNumberFormat="1" applyFont="1" applyFill="1" applyBorder="1" applyAlignment="1">
      <alignment horizontal="center" vertical="center"/>
    </xf>
    <xf numFmtId="0" fontId="7" fillId="7" borderId="11" xfId="0" applyFont="1" applyFill="1" applyBorder="1" applyAlignment="1">
      <alignment horizontal="center" vertical="center"/>
    </xf>
    <xf numFmtId="165" fontId="5" fillId="7" borderId="11" xfId="0" applyNumberFormat="1" applyFont="1" applyFill="1" applyBorder="1" applyAlignment="1">
      <alignment horizontal="center" vertical="center"/>
    </xf>
    <xf numFmtId="0" fontId="5" fillId="7" borderId="11" xfId="0" applyFont="1" applyFill="1" applyBorder="1" applyAlignment="1">
      <alignment horizontal="center" vertical="center"/>
    </xf>
    <xf numFmtId="0" fontId="5" fillId="19" borderId="11" xfId="0" applyFont="1" applyFill="1" applyBorder="1" applyAlignment="1">
      <alignment horizontal="left" vertical="center"/>
    </xf>
    <xf numFmtId="9" fontId="4" fillId="19" borderId="11" xfId="0" applyNumberFormat="1" applyFont="1" applyFill="1" applyBorder="1" applyAlignment="1">
      <alignment horizontal="center" vertical="center"/>
    </xf>
    <xf numFmtId="0" fontId="7" fillId="19" borderId="11" xfId="0" applyFont="1" applyFill="1" applyBorder="1" applyAlignment="1">
      <alignment horizontal="center" vertical="center"/>
    </xf>
    <xf numFmtId="165" fontId="5" fillId="19" borderId="11" xfId="0" applyNumberFormat="1" applyFont="1" applyFill="1" applyBorder="1" applyAlignment="1">
      <alignment horizontal="center" vertical="center"/>
    </xf>
    <xf numFmtId="0" fontId="5" fillId="19" borderId="11" xfId="0" applyFont="1" applyFill="1" applyBorder="1" applyAlignment="1">
      <alignment horizontal="center" vertical="center"/>
    </xf>
    <xf numFmtId="9" fontId="3" fillId="11" borderId="1" xfId="0" applyNumberFormat="1" applyFont="1" applyFill="1" applyBorder="1" applyAlignment="1">
      <alignment horizontal="center" vertical="center"/>
    </xf>
    <xf numFmtId="0" fontId="0" fillId="11" borderId="1" xfId="0" applyFill="1" applyBorder="1"/>
    <xf numFmtId="165" fontId="23"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0" fontId="4" fillId="4" borderId="11" xfId="0" applyFont="1" applyFill="1" applyBorder="1" applyAlignment="1">
      <alignment horizontal="center" vertical="center"/>
    </xf>
    <xf numFmtId="0" fontId="7" fillId="17" borderId="11" xfId="0" applyFont="1" applyFill="1" applyBorder="1" applyAlignment="1">
      <alignment horizontal="center" vertical="center"/>
    </xf>
    <xf numFmtId="0" fontId="5" fillId="19" borderId="11" xfId="0" applyFont="1" applyFill="1" applyBorder="1" applyAlignment="1">
      <alignment horizontal="left" vertical="center" wrapText="1"/>
    </xf>
    <xf numFmtId="0" fontId="8" fillId="6" borderId="11" xfId="0" applyFont="1" applyFill="1" applyBorder="1" applyAlignment="1">
      <alignment horizontal="right" vertical="center" wrapText="1"/>
    </xf>
    <xf numFmtId="164" fontId="22" fillId="6" borderId="11" xfId="0" applyNumberFormat="1" applyFont="1" applyFill="1" applyBorder="1" applyAlignment="1">
      <alignment horizontal="center" vertical="center"/>
    </xf>
    <xf numFmtId="0" fontId="9" fillId="17" borderId="11" xfId="0" applyFont="1" applyFill="1" applyBorder="1" applyAlignment="1">
      <alignment horizontal="center" vertical="center"/>
    </xf>
    <xf numFmtId="0" fontId="4" fillId="17" borderId="14" xfId="0" applyFont="1" applyFill="1" applyBorder="1" applyAlignment="1">
      <alignment horizontal="left" vertical="center"/>
    </xf>
    <xf numFmtId="0" fontId="41" fillId="17" borderId="14" xfId="0" applyFont="1" applyFill="1" applyBorder="1" applyAlignment="1">
      <alignment horizontal="left" vertical="center"/>
    </xf>
    <xf numFmtId="0" fontId="0" fillId="17" borderId="14" xfId="0" applyFill="1" applyBorder="1" applyAlignment="1">
      <alignment horizontal="left" vertical="center"/>
    </xf>
    <xf numFmtId="0" fontId="3" fillId="3" borderId="11" xfId="0" applyFont="1" applyFill="1" applyBorder="1" applyAlignment="1">
      <alignment horizontal="center" vertical="center" wrapText="1"/>
    </xf>
    <xf numFmtId="0" fontId="5" fillId="7" borderId="14" xfId="0" applyFont="1" applyFill="1" applyBorder="1" applyAlignment="1">
      <alignment horizontal="center" vertical="center"/>
    </xf>
    <xf numFmtId="10" fontId="17" fillId="7" borderId="5" xfId="0" applyNumberFormat="1" applyFont="1" applyFill="1" applyBorder="1" applyAlignment="1">
      <alignment horizontal="center" vertical="center"/>
    </xf>
    <xf numFmtId="10" fontId="9" fillId="8" borderId="2" xfId="0" applyNumberFormat="1" applyFont="1" applyFill="1" applyBorder="1" applyAlignment="1">
      <alignment horizontal="center" vertical="center"/>
    </xf>
    <xf numFmtId="10" fontId="9" fillId="7" borderId="2" xfId="0" applyNumberFormat="1" applyFont="1" applyFill="1" applyBorder="1" applyAlignment="1">
      <alignment horizontal="center" vertical="center"/>
    </xf>
    <xf numFmtId="0" fontId="5" fillId="19" borderId="14" xfId="0" applyFont="1" applyFill="1" applyBorder="1" applyAlignment="1">
      <alignment horizontal="left" vertical="center" wrapText="1"/>
    </xf>
    <xf numFmtId="0" fontId="0" fillId="6" borderId="14" xfId="0" applyFill="1" applyBorder="1"/>
    <xf numFmtId="0" fontId="10" fillId="6" borderId="14" xfId="0" applyFont="1" applyFill="1" applyBorder="1" applyAlignment="1">
      <alignment horizontal="left" vertical="center" wrapText="1"/>
    </xf>
    <xf numFmtId="0" fontId="43" fillId="28" borderId="17" xfId="0" applyFont="1" applyFill="1" applyBorder="1" applyAlignment="1">
      <alignment horizontal="center" vertical="center" wrapText="1"/>
    </xf>
    <xf numFmtId="0" fontId="44" fillId="29" borderId="17" xfId="0" applyFont="1" applyFill="1" applyBorder="1" applyAlignment="1">
      <alignment horizontal="left" vertical="top" wrapText="1"/>
    </xf>
    <xf numFmtId="0" fontId="45" fillId="29" borderId="17" xfId="0" applyFont="1" applyFill="1" applyBorder="1" applyAlignment="1">
      <alignment horizontal="left" vertical="top" wrapText="1"/>
    </xf>
    <xf numFmtId="0" fontId="46" fillId="30" borderId="17" xfId="0" applyFont="1" applyFill="1" applyBorder="1" applyAlignment="1">
      <alignment horizontal="center" vertical="center" wrapText="1"/>
    </xf>
    <xf numFmtId="0" fontId="47" fillId="30" borderId="17" xfId="0" applyFont="1" applyFill="1" applyBorder="1" applyAlignment="1">
      <alignment horizontal="left" vertical="top" wrapText="1"/>
    </xf>
    <xf numFmtId="0" fontId="45" fillId="30" borderId="17" xfId="0" applyFont="1" applyFill="1" applyBorder="1" applyAlignment="1">
      <alignment horizontal="left" vertical="top" wrapText="1"/>
    </xf>
    <xf numFmtId="0" fontId="48" fillId="29" borderId="17" xfId="0" applyFont="1" applyFill="1" applyBorder="1" applyAlignment="1">
      <alignment horizontal="left" vertical="top" wrapText="1"/>
    </xf>
    <xf numFmtId="0" fontId="47" fillId="29" borderId="17" xfId="0" applyFont="1" applyFill="1" applyBorder="1" applyAlignment="1">
      <alignment horizontal="left" vertical="top" wrapText="1"/>
    </xf>
    <xf numFmtId="0" fontId="46" fillId="31" borderId="17" xfId="0" applyFont="1" applyFill="1" applyBorder="1" applyAlignment="1">
      <alignment horizontal="center" vertical="center" wrapText="1"/>
    </xf>
    <xf numFmtId="0" fontId="47" fillId="31" borderId="17" xfId="0" applyFont="1" applyFill="1" applyBorder="1" applyAlignment="1">
      <alignment horizontal="left" vertical="top" wrapText="1"/>
    </xf>
    <xf numFmtId="0" fontId="45" fillId="31" borderId="17" xfId="0" applyFont="1" applyFill="1" applyBorder="1" applyAlignment="1">
      <alignment horizontal="left" vertical="top" wrapText="1"/>
    </xf>
    <xf numFmtId="0" fontId="46" fillId="32" borderId="17" xfId="0" applyFont="1" applyFill="1" applyBorder="1" applyAlignment="1">
      <alignment horizontal="center" vertical="center" wrapText="1"/>
    </xf>
    <xf numFmtId="0" fontId="47" fillId="32" borderId="17" xfId="0" applyFont="1" applyFill="1" applyBorder="1" applyAlignment="1">
      <alignment horizontal="left" vertical="top" wrapText="1"/>
    </xf>
    <xf numFmtId="0" fontId="45" fillId="32" borderId="17" xfId="0" applyFont="1" applyFill="1" applyBorder="1" applyAlignment="1">
      <alignment horizontal="left" vertical="top" wrapText="1"/>
    </xf>
    <xf numFmtId="0" fontId="46" fillId="33" borderId="17" xfId="0" applyFont="1" applyFill="1" applyBorder="1" applyAlignment="1">
      <alignment horizontal="center" vertical="center" wrapText="1"/>
    </xf>
    <xf numFmtId="0" fontId="47" fillId="33" borderId="17" xfId="0" applyFont="1" applyFill="1" applyBorder="1" applyAlignment="1">
      <alignment horizontal="left" vertical="top" wrapText="1"/>
    </xf>
    <xf numFmtId="0" fontId="45" fillId="33" borderId="17" xfId="0" applyFont="1" applyFill="1" applyBorder="1" applyAlignment="1">
      <alignment horizontal="left" vertical="top" wrapText="1"/>
    </xf>
    <xf numFmtId="0" fontId="46" fillId="34" borderId="17" xfId="0" applyFont="1" applyFill="1" applyBorder="1" applyAlignment="1">
      <alignment horizontal="center" vertical="center" wrapText="1"/>
    </xf>
    <xf numFmtId="0" fontId="47" fillId="34" borderId="17" xfId="0" applyFont="1" applyFill="1" applyBorder="1" applyAlignment="1">
      <alignment horizontal="left" vertical="top" wrapText="1"/>
    </xf>
    <xf numFmtId="0" fontId="45" fillId="34" borderId="17" xfId="0" applyFont="1" applyFill="1" applyBorder="1" applyAlignment="1">
      <alignment horizontal="left" vertical="top" wrapText="1"/>
    </xf>
    <xf numFmtId="0" fontId="43" fillId="35" borderId="17" xfId="0" applyFont="1" applyFill="1" applyBorder="1" applyAlignment="1">
      <alignment horizontal="center" vertical="center" wrapText="1"/>
    </xf>
    <xf numFmtId="0" fontId="47" fillId="35" borderId="17" xfId="0" applyFont="1" applyFill="1" applyBorder="1" applyAlignment="1">
      <alignment horizontal="left" vertical="top" wrapText="1"/>
    </xf>
    <xf numFmtId="0" fontId="45" fillId="35" borderId="17" xfId="0" applyFont="1" applyFill="1" applyBorder="1" applyAlignment="1">
      <alignment horizontal="left" vertical="top" wrapText="1"/>
    </xf>
    <xf numFmtId="0" fontId="5" fillId="7" borderId="2" xfId="0" applyFont="1" applyFill="1" applyBorder="1" applyAlignment="1">
      <alignment vertical="top" wrapText="1"/>
    </xf>
    <xf numFmtId="0" fontId="5" fillId="8" borderId="2" xfId="0" applyFont="1" applyFill="1" applyBorder="1" applyAlignment="1">
      <alignment vertical="top" wrapText="1"/>
    </xf>
    <xf numFmtId="0" fontId="49" fillId="0" borderId="0" xfId="0" applyFont="1"/>
    <xf numFmtId="0" fontId="7" fillId="23" borderId="14" xfId="0" applyFont="1" applyFill="1" applyBorder="1" applyAlignment="1">
      <alignment horizontal="center" vertical="center"/>
    </xf>
    <xf numFmtId="0" fontId="5" fillId="20" borderId="14" xfId="0" applyFont="1" applyFill="1" applyBorder="1" applyAlignment="1">
      <alignment horizontal="left" vertical="center" wrapText="1"/>
    </xf>
    <xf numFmtId="0" fontId="8" fillId="6" borderId="14" xfId="0" applyFont="1" applyFill="1" applyBorder="1" applyAlignment="1">
      <alignment horizontal="right" vertical="center" wrapText="1"/>
    </xf>
    <xf numFmtId="164" fontId="22" fillId="6" borderId="14" xfId="0" applyNumberFormat="1" applyFont="1" applyFill="1" applyBorder="1" applyAlignment="1">
      <alignment horizontal="center" vertical="center"/>
    </xf>
    <xf numFmtId="0" fontId="4" fillId="25" borderId="14" xfId="0" applyFont="1" applyFill="1" applyBorder="1" applyAlignment="1">
      <alignment horizontal="right" vertical="center"/>
    </xf>
    <xf numFmtId="0" fontId="9" fillId="23" borderId="14" xfId="0" applyFont="1" applyFill="1" applyBorder="1" applyAlignment="1">
      <alignment horizontal="center" vertical="center"/>
    </xf>
    <xf numFmtId="0" fontId="5" fillId="23" borderId="14" xfId="0" applyFont="1" applyFill="1" applyBorder="1" applyAlignment="1">
      <alignment horizontal="left" vertical="center" wrapText="1"/>
    </xf>
    <xf numFmtId="0" fontId="4" fillId="25" borderId="14" xfId="0" applyFont="1" applyFill="1" applyBorder="1" applyAlignment="1">
      <alignment horizontal="left" vertical="center"/>
    </xf>
    <xf numFmtId="0" fontId="4" fillId="25" borderId="14" xfId="0" applyFont="1" applyFill="1" applyBorder="1" applyAlignment="1">
      <alignment horizontal="center" vertical="center"/>
    </xf>
    <xf numFmtId="0" fontId="4" fillId="25" borderId="14" xfId="0" applyFont="1" applyFill="1" applyBorder="1" applyAlignment="1">
      <alignment horizontal="left" vertical="center" wrapText="1"/>
    </xf>
    <xf numFmtId="0" fontId="4" fillId="4" borderId="11" xfId="0" applyFont="1" applyFill="1" applyBorder="1" applyAlignment="1">
      <alignment horizontal="right" vertical="center" wrapText="1"/>
    </xf>
    <xf numFmtId="0" fontId="4" fillId="25" borderId="14" xfId="0" applyFont="1" applyFill="1" applyBorder="1" applyAlignment="1">
      <alignment horizontal="right" vertical="center" wrapText="1"/>
    </xf>
    <xf numFmtId="0" fontId="52" fillId="3" borderId="20" xfId="0" applyFont="1" applyFill="1" applyBorder="1" applyAlignment="1">
      <alignment horizontal="left" vertical="center" wrapText="1"/>
    </xf>
    <xf numFmtId="0" fontId="53" fillId="25" borderId="20" xfId="0" applyFont="1" applyFill="1" applyBorder="1" applyAlignment="1">
      <alignment horizontal="left" vertical="top" wrapText="1"/>
    </xf>
    <xf numFmtId="0" fontId="54" fillId="0" borderId="20" xfId="0" applyFont="1" applyBorder="1" applyAlignment="1">
      <alignment horizontal="left" vertical="top" wrapText="1"/>
    </xf>
    <xf numFmtId="0" fontId="55" fillId="0" borderId="0" xfId="0" applyFont="1" applyAlignment="1">
      <alignment horizontal="center" vertical="center"/>
    </xf>
    <xf numFmtId="0" fontId="59" fillId="25" borderId="0" xfId="0" applyFont="1" applyFill="1" applyAlignment="1">
      <alignment horizontal="left" vertical="center"/>
    </xf>
    <xf numFmtId="0" fontId="60" fillId="25" borderId="0" xfId="0" applyFont="1" applyFill="1" applyAlignment="1">
      <alignment horizontal="left" vertical="center"/>
    </xf>
    <xf numFmtId="0" fontId="58" fillId="11" borderId="0" xfId="0" applyFont="1" applyFill="1" applyAlignment="1">
      <alignment horizontal="left" vertical="center"/>
    </xf>
    <xf numFmtId="0" fontId="58" fillId="3" borderId="0" xfId="0" applyFont="1" applyFill="1" applyAlignment="1">
      <alignment horizontal="right" vertical="center"/>
    </xf>
    <xf numFmtId="0" fontId="59" fillId="25" borderId="0" xfId="0" applyFont="1" applyFill="1" applyAlignment="1">
      <alignment horizontal="center" vertical="center"/>
    </xf>
    <xf numFmtId="0" fontId="61" fillId="20" borderId="0" xfId="0" applyFont="1" applyFill="1" applyAlignment="1">
      <alignment horizontal="left" vertical="center" wrapText="1"/>
    </xf>
    <xf numFmtId="0" fontId="61" fillId="20" borderId="0" xfId="0" applyFont="1" applyFill="1" applyAlignment="1">
      <alignment horizontal="center" vertical="center"/>
    </xf>
    <xf numFmtId="0" fontId="61" fillId="19" borderId="0" xfId="0" applyFont="1" applyFill="1" applyAlignment="1">
      <alignment horizontal="left" vertical="center" wrapText="1"/>
    </xf>
    <xf numFmtId="0" fontId="61" fillId="19" borderId="0" xfId="0" applyFont="1" applyFill="1" applyAlignment="1">
      <alignment horizontal="center" vertical="center"/>
    </xf>
    <xf numFmtId="0" fontId="62" fillId="6" borderId="0" xfId="0" applyFont="1" applyFill="1" applyAlignment="1">
      <alignment horizontal="right" vertical="center" wrapText="1"/>
    </xf>
    <xf numFmtId="0" fontId="62" fillId="6" borderId="0" xfId="0" applyFont="1" applyFill="1" applyAlignment="1">
      <alignment horizontal="center" vertical="center"/>
    </xf>
    <xf numFmtId="0" fontId="62" fillId="6" borderId="0" xfId="0" applyFont="1" applyFill="1" applyAlignment="1">
      <alignment horizontal="left" vertical="center"/>
    </xf>
    <xf numFmtId="0" fontId="59" fillId="25" borderId="0" xfId="0" applyFont="1" applyFill="1" applyAlignment="1">
      <alignment horizontal="right" vertical="center"/>
    </xf>
    <xf numFmtId="0" fontId="58" fillId="3" borderId="0" xfId="0" applyFont="1" applyFill="1" applyAlignment="1">
      <alignment horizontal="center" vertical="center"/>
    </xf>
    <xf numFmtId="0" fontId="61" fillId="20" borderId="0" xfId="0" applyFont="1" applyFill="1" applyAlignment="1">
      <alignment horizontal="left" vertical="center"/>
    </xf>
    <xf numFmtId="9" fontId="61" fillId="20" borderId="0" xfId="0" applyNumberFormat="1" applyFont="1" applyFill="1" applyAlignment="1">
      <alignment horizontal="center" vertical="center"/>
    </xf>
    <xf numFmtId="0" fontId="61" fillId="19" borderId="0" xfId="0" applyFont="1" applyFill="1" applyAlignment="1">
      <alignment horizontal="left" vertical="center"/>
    </xf>
    <xf numFmtId="9" fontId="61" fillId="19" borderId="0" xfId="0" applyNumberFormat="1" applyFont="1" applyFill="1" applyAlignment="1">
      <alignment horizontal="center" vertical="center"/>
    </xf>
    <xf numFmtId="0" fontId="58" fillId="11" borderId="0" xfId="0" applyFont="1" applyFill="1" applyAlignment="1">
      <alignment horizontal="center" vertical="center"/>
    </xf>
    <xf numFmtId="0" fontId="56" fillId="11" borderId="0" xfId="0" applyFont="1" applyFill="1" applyAlignment="1">
      <alignment horizontal="left" vertical="center"/>
    </xf>
    <xf numFmtId="9" fontId="58" fillId="11" borderId="0" xfId="0" applyNumberFormat="1" applyFont="1" applyFill="1" applyAlignment="1">
      <alignment horizontal="center" vertical="center"/>
    </xf>
    <xf numFmtId="0" fontId="60" fillId="25" borderId="0" xfId="0" applyFont="1" applyFill="1" applyAlignment="1">
      <alignment horizontal="center" vertical="center"/>
    </xf>
    <xf numFmtId="0" fontId="0" fillId="0" borderId="18" xfId="0" applyBorder="1"/>
    <xf numFmtId="0" fontId="0" fillId="0" borderId="19" xfId="0" applyBorder="1"/>
    <xf numFmtId="0" fontId="5" fillId="20" borderId="20" xfId="0" applyFont="1" applyFill="1" applyBorder="1" applyAlignment="1">
      <alignment horizontal="left" vertical="center" wrapText="1"/>
    </xf>
    <xf numFmtId="0" fontId="7" fillId="23" borderId="18" xfId="0" applyFont="1" applyFill="1" applyBorder="1" applyAlignment="1">
      <alignment horizontal="center" vertical="center"/>
    </xf>
    <xf numFmtId="0" fontId="5" fillId="20" borderId="18" xfId="0" applyFont="1" applyFill="1" applyBorder="1" applyAlignment="1">
      <alignment horizontal="left" vertical="center" wrapText="1"/>
    </xf>
    <xf numFmtId="0" fontId="5" fillId="19" borderId="20" xfId="0" applyFont="1" applyFill="1" applyBorder="1" applyAlignment="1">
      <alignment horizontal="left" vertical="center" wrapText="1"/>
    </xf>
    <xf numFmtId="0" fontId="7" fillId="17" borderId="18" xfId="0" applyFont="1" applyFill="1" applyBorder="1" applyAlignment="1">
      <alignment horizontal="center" vertical="center"/>
    </xf>
    <xf numFmtId="0" fontId="5" fillId="19" borderId="18" xfId="0" applyFont="1" applyFill="1" applyBorder="1" applyAlignment="1">
      <alignment horizontal="left" vertical="center" wrapText="1"/>
    </xf>
    <xf numFmtId="0" fontId="6" fillId="6" borderId="1" xfId="0" applyFont="1" applyFill="1" applyBorder="1" applyAlignment="1">
      <alignment horizontal="left" vertical="top" wrapText="1"/>
    </xf>
    <xf numFmtId="0" fontId="0" fillId="0" borderId="4" xfId="0" applyBorder="1"/>
    <xf numFmtId="0" fontId="3" fillId="3" borderId="1" xfId="0" applyFont="1" applyFill="1" applyBorder="1" applyAlignment="1">
      <alignment horizontal="left" vertical="top"/>
    </xf>
    <xf numFmtId="0" fontId="5" fillId="7" borderId="14" xfId="0" applyFont="1" applyFill="1" applyBorder="1" applyAlignment="1">
      <alignment horizontal="left" vertical="top" wrapText="1"/>
    </xf>
    <xf numFmtId="0" fontId="0" fillId="0" borderId="16" xfId="0" applyBorder="1"/>
    <xf numFmtId="0" fontId="5" fillId="8" borderId="14" xfId="0" applyFont="1" applyFill="1" applyBorder="1" applyAlignment="1">
      <alignment horizontal="left" vertical="top" wrapText="1"/>
    </xf>
    <xf numFmtId="0" fontId="1" fillId="2" borderId="1" xfId="0" applyFont="1" applyFill="1" applyBorder="1" applyAlignment="1">
      <alignment horizontal="center" vertical="top"/>
    </xf>
    <xf numFmtId="0" fontId="3" fillId="9" borderId="1" xfId="0" applyFont="1" applyFill="1" applyBorder="1" applyAlignment="1">
      <alignment horizontal="left" vertical="top"/>
    </xf>
    <xf numFmtId="0" fontId="2" fillId="2" borderId="1" xfId="0" applyFont="1" applyFill="1" applyBorder="1" applyAlignment="1">
      <alignment horizontal="center" vertical="top" wrapText="1"/>
    </xf>
    <xf numFmtId="0" fontId="3" fillId="3" borderId="1" xfId="0" applyFont="1" applyFill="1" applyBorder="1" applyAlignment="1">
      <alignment horizontal="left" vertical="center"/>
    </xf>
    <xf numFmtId="0" fontId="0" fillId="0" borderId="3" xfId="0" applyBorder="1"/>
    <xf numFmtId="0" fontId="22" fillId="6" borderId="14" xfId="0" applyFont="1" applyFill="1" applyBorder="1" applyAlignment="1">
      <alignment horizontal="left" vertical="center" wrapText="1"/>
    </xf>
    <xf numFmtId="0" fontId="0" fillId="0" borderId="15" xfId="0" applyBorder="1"/>
    <xf numFmtId="0" fontId="7" fillId="23" borderId="14" xfId="0" applyFont="1" applyFill="1" applyBorder="1" applyAlignment="1">
      <alignment horizontal="left" vertical="center"/>
    </xf>
    <xf numFmtId="0" fontId="34" fillId="21" borderId="14" xfId="0" applyFont="1" applyFill="1" applyBorder="1" applyAlignment="1">
      <alignment horizontal="center" vertical="center" wrapText="1"/>
    </xf>
    <xf numFmtId="0" fontId="0" fillId="6" borderId="14" xfId="0" applyFill="1" applyBorder="1"/>
    <xf numFmtId="0" fontId="5" fillId="19" borderId="14" xfId="0" applyFont="1" applyFill="1" applyBorder="1" applyAlignment="1">
      <alignment horizontal="left" vertical="center" wrapText="1"/>
    </xf>
    <xf numFmtId="0" fontId="5" fillId="7" borderId="14" xfId="0" applyFont="1" applyFill="1" applyBorder="1" applyAlignment="1">
      <alignment horizontal="left" vertical="center" wrapText="1"/>
    </xf>
    <xf numFmtId="0" fontId="5" fillId="17" borderId="14" xfId="0" applyFont="1" applyFill="1" applyBorder="1" applyAlignment="1">
      <alignment horizontal="left" vertical="center"/>
    </xf>
    <xf numFmtId="0" fontId="4" fillId="25" borderId="14" xfId="0" applyFont="1" applyFill="1" applyBorder="1" applyAlignment="1">
      <alignment horizontal="left" vertical="center"/>
    </xf>
    <xf numFmtId="0" fontId="5" fillId="17" borderId="14" xfId="0" applyFont="1" applyFill="1" applyBorder="1" applyAlignment="1">
      <alignment horizontal="left" vertical="center" wrapText="1"/>
    </xf>
    <xf numFmtId="0" fontId="3" fillId="11" borderId="1" xfId="0" applyFont="1" applyFill="1" applyBorder="1" applyAlignment="1">
      <alignment horizontal="left" vertical="center"/>
    </xf>
    <xf numFmtId="0" fontId="5" fillId="23" borderId="14" xfId="0" applyFont="1" applyFill="1" applyBorder="1" applyAlignment="1">
      <alignment horizontal="left" vertical="center" wrapText="1"/>
    </xf>
    <xf numFmtId="0" fontId="8" fillId="7" borderId="14" xfId="0" applyFont="1" applyFill="1" applyBorder="1" applyAlignment="1">
      <alignment horizontal="left" vertical="center" wrapText="1"/>
    </xf>
    <xf numFmtId="0" fontId="2" fillId="2" borderId="1" xfId="0" applyFont="1" applyFill="1" applyBorder="1" applyAlignment="1">
      <alignment horizontal="center" vertical="center"/>
    </xf>
    <xf numFmtId="0" fontId="5" fillId="20" borderId="14" xfId="0" applyFont="1" applyFill="1" applyBorder="1" applyAlignment="1">
      <alignment horizontal="left" vertical="center" wrapText="1"/>
    </xf>
    <xf numFmtId="0" fontId="38" fillId="23" borderId="14" xfId="0" applyFont="1" applyFill="1" applyBorder="1" applyAlignment="1">
      <alignment horizontal="left" vertical="center" wrapText="1"/>
    </xf>
    <xf numFmtId="0" fontId="4" fillId="25" borderId="14" xfId="0" applyFont="1" applyFill="1" applyBorder="1" applyAlignment="1">
      <alignment horizontal="left" vertical="center" wrapText="1"/>
    </xf>
    <xf numFmtId="0" fontId="8" fillId="20" borderId="14" xfId="0" applyFont="1" applyFill="1" applyBorder="1" applyAlignment="1">
      <alignment horizontal="left" vertical="center" wrapText="1"/>
    </xf>
    <xf numFmtId="0" fontId="5" fillId="5" borderId="14" xfId="0" applyFont="1" applyFill="1" applyBorder="1" applyAlignment="1">
      <alignment horizontal="left" vertical="center"/>
    </xf>
    <xf numFmtId="0" fontId="7" fillId="23" borderId="14" xfId="0" applyFont="1" applyFill="1" applyBorder="1" applyAlignment="1">
      <alignment horizontal="center" vertical="center"/>
    </xf>
    <xf numFmtId="0" fontId="10" fillId="6" borderId="14" xfId="0" applyFont="1" applyFill="1" applyBorder="1" applyAlignment="1">
      <alignment horizontal="left" vertical="center" wrapText="1"/>
    </xf>
    <xf numFmtId="0" fontId="36" fillId="20" borderId="14" xfId="0" applyFont="1" applyFill="1" applyBorder="1" applyAlignment="1">
      <alignment horizontal="left" vertical="top" wrapText="1"/>
    </xf>
    <xf numFmtId="0" fontId="40" fillId="25" borderId="14" xfId="0" applyFont="1" applyFill="1" applyBorder="1" applyAlignment="1">
      <alignment horizontal="center" vertical="center" wrapText="1"/>
    </xf>
    <xf numFmtId="0" fontId="7" fillId="19" borderId="1" xfId="0" applyFont="1" applyFill="1" applyBorder="1" applyAlignment="1">
      <alignment horizontal="left" vertical="center"/>
    </xf>
    <xf numFmtId="0" fontId="3" fillId="26" borderId="1" xfId="0" applyFont="1" applyFill="1" applyBorder="1" applyAlignment="1">
      <alignment horizontal="left" vertical="center"/>
    </xf>
    <xf numFmtId="0" fontId="3" fillId="3" borderId="1" xfId="0" applyFont="1" applyFill="1" applyBorder="1" applyAlignment="1">
      <alignment horizontal="left" vertical="center" wrapText="1"/>
    </xf>
    <xf numFmtId="0" fontId="4" fillId="4" borderId="14" xfId="0" applyFont="1" applyFill="1" applyBorder="1" applyAlignment="1">
      <alignment horizontal="left" vertical="center"/>
    </xf>
    <xf numFmtId="0" fontId="7" fillId="19" borderId="14" xfId="0" applyFont="1" applyFill="1" applyBorder="1" applyAlignment="1">
      <alignment horizontal="left" vertical="center" wrapText="1"/>
    </xf>
    <xf numFmtId="0" fontId="39" fillId="24" borderId="14" xfId="0" applyFont="1" applyFill="1" applyBorder="1" applyAlignment="1">
      <alignment horizontal="left" vertical="center" wrapText="1"/>
    </xf>
    <xf numFmtId="0" fontId="3" fillId="9" borderId="1" xfId="0" applyFont="1" applyFill="1" applyBorder="1" applyAlignment="1">
      <alignment horizontal="left" vertical="center"/>
    </xf>
    <xf numFmtId="0" fontId="1" fillId="2" borderId="1" xfId="0" applyFont="1" applyFill="1" applyBorder="1" applyAlignment="1">
      <alignment horizontal="center" vertical="center"/>
    </xf>
    <xf numFmtId="0" fontId="4" fillId="25" borderId="14" xfId="0" applyFont="1" applyFill="1" applyBorder="1" applyAlignment="1">
      <alignment horizontal="right" vertical="center"/>
    </xf>
    <xf numFmtId="0" fontId="0" fillId="0" borderId="8" xfId="0" applyBorder="1"/>
    <xf numFmtId="0" fontId="0" fillId="0" borderId="9" xfId="0" applyBorder="1"/>
    <xf numFmtId="0" fontId="0" fillId="0" borderId="10" xfId="0" applyBorder="1"/>
    <xf numFmtId="0" fontId="5" fillId="23" borderId="14" xfId="0" applyFont="1" applyFill="1" applyBorder="1" applyAlignment="1">
      <alignment horizontal="left" vertical="center"/>
    </xf>
    <xf numFmtId="0" fontId="35" fillId="22" borderId="14" xfId="0" applyFont="1" applyFill="1" applyBorder="1" applyAlignment="1">
      <alignment horizontal="center" vertical="center" wrapText="1"/>
    </xf>
    <xf numFmtId="0" fontId="26" fillId="15" borderId="14" xfId="0" applyFont="1" applyFill="1" applyBorder="1" applyAlignment="1">
      <alignment horizontal="left" vertical="center" wrapText="1"/>
    </xf>
    <xf numFmtId="0" fontId="0" fillId="0" borderId="12" xfId="0" applyBorder="1"/>
    <xf numFmtId="0" fontId="0" fillId="0" borderId="13" xfId="0" applyBorder="1"/>
    <xf numFmtId="0" fontId="23" fillId="11" borderId="0" xfId="0" applyFont="1" applyFill="1" applyAlignment="1">
      <alignment horizontal="center" vertical="center" wrapText="1"/>
    </xf>
    <xf numFmtId="0" fontId="0" fillId="0" borderId="0" xfId="0"/>
    <xf numFmtId="0" fontId="25" fillId="14" borderId="14" xfId="0" applyFont="1" applyFill="1" applyBorder="1" applyAlignment="1">
      <alignment horizontal="center" vertical="center" wrapText="1"/>
    </xf>
    <xf numFmtId="0" fontId="24" fillId="12" borderId="0" xfId="0" applyFont="1" applyFill="1" applyAlignment="1">
      <alignment horizontal="center" vertical="center" wrapText="1"/>
    </xf>
    <xf numFmtId="0" fontId="42" fillId="27" borderId="17" xfId="0" applyFont="1" applyFill="1" applyBorder="1" applyAlignment="1">
      <alignment horizontal="center" vertical="center" wrapText="1"/>
    </xf>
    <xf numFmtId="0" fontId="0" fillId="0" borderId="18" xfId="0" applyBorder="1"/>
    <xf numFmtId="0" fontId="0" fillId="0" borderId="19" xfId="0" applyBorder="1"/>
    <xf numFmtId="0" fontId="6" fillId="8" borderId="1" xfId="0" applyFont="1" applyFill="1" applyBorder="1" applyAlignment="1">
      <alignment horizontal="left" vertical="center" wrapText="1"/>
    </xf>
    <xf numFmtId="0" fontId="5" fillId="8" borderId="14" xfId="0" applyFont="1" applyFill="1" applyBorder="1" applyAlignment="1">
      <alignment horizontal="left" vertical="center" wrapText="1"/>
    </xf>
    <xf numFmtId="0" fontId="6" fillId="8" borderId="14" xfId="0" applyFont="1" applyFill="1" applyBorder="1" applyAlignment="1">
      <alignment horizontal="left" vertical="center" wrapText="1"/>
    </xf>
    <xf numFmtId="0" fontId="50" fillId="11" borderId="0" xfId="0" applyFont="1" applyFill="1" applyAlignment="1">
      <alignment horizontal="left" vertical="center"/>
    </xf>
    <xf numFmtId="0" fontId="51" fillId="25" borderId="0" xfId="0" applyFont="1" applyFill="1" applyAlignment="1">
      <alignment horizontal="left" vertical="top" wrapText="1"/>
    </xf>
    <xf numFmtId="0" fontId="51" fillId="0" borderId="0" xfId="0" applyFont="1" applyAlignment="1">
      <alignment horizontal="left" vertical="top" wrapText="1"/>
    </xf>
    <xf numFmtId="0" fontId="13" fillId="10" borderId="1" xfId="0" applyFont="1" applyFill="1" applyBorder="1" applyAlignment="1">
      <alignment horizontal="left" vertical="center" wrapText="1"/>
    </xf>
    <xf numFmtId="0" fontId="22" fillId="7" borderId="5" xfId="0" applyFont="1" applyFill="1" applyBorder="1" applyAlignment="1">
      <alignment horizontal="center" vertical="center" wrapText="1"/>
    </xf>
    <xf numFmtId="0" fontId="0" fillId="0" borderId="6" xfId="0" applyBorder="1"/>
    <xf numFmtId="0" fontId="0" fillId="0" borderId="7" xfId="0" applyBorder="1"/>
    <xf numFmtId="0" fontId="8" fillId="8" borderId="14" xfId="0" applyFont="1" applyFill="1" applyBorder="1" applyAlignment="1">
      <alignment horizontal="center" vertical="center" wrapText="1"/>
    </xf>
    <xf numFmtId="0" fontId="6" fillId="6" borderId="14" xfId="0" applyFont="1" applyFill="1" applyBorder="1" applyAlignment="1">
      <alignment horizontal="left" vertical="top" wrapText="1"/>
    </xf>
    <xf numFmtId="0" fontId="2" fillId="2" borderId="1" xfId="0" applyFont="1" applyFill="1" applyBorder="1" applyAlignment="1">
      <alignment horizontal="center" vertical="center" wrapText="1"/>
    </xf>
    <xf numFmtId="0" fontId="14" fillId="2" borderId="5" xfId="0" applyFont="1" applyFill="1" applyBorder="1" applyAlignment="1">
      <alignment horizontal="center" vertical="center"/>
    </xf>
    <xf numFmtId="0" fontId="4" fillId="6" borderId="1" xfId="0" applyFont="1" applyFill="1" applyBorder="1" applyAlignment="1">
      <alignment horizontal="left" vertical="center" wrapText="1"/>
    </xf>
    <xf numFmtId="0" fontId="61" fillId="20" borderId="0" xfId="0" applyFont="1" applyFill="1" applyAlignment="1">
      <alignment horizontal="left" vertical="center" wrapText="1"/>
    </xf>
    <xf numFmtId="0" fontId="58" fillId="11" borderId="0" xfId="0" applyFont="1" applyFill="1" applyAlignment="1">
      <alignment horizontal="left" vertical="center"/>
    </xf>
    <xf numFmtId="0" fontId="62" fillId="20" borderId="0" xfId="0" applyFont="1" applyFill="1" applyAlignment="1">
      <alignment horizontal="left" vertical="center" wrapText="1"/>
    </xf>
    <xf numFmtId="0" fontId="60" fillId="25" borderId="0" xfId="0" applyFont="1" applyFill="1" applyAlignment="1">
      <alignment horizontal="left" vertical="center" wrapText="1"/>
    </xf>
    <xf numFmtId="0" fontId="61" fillId="19" borderId="0" xfId="0" applyFont="1" applyFill="1" applyAlignment="1">
      <alignment horizontal="left" vertical="center" wrapText="1"/>
    </xf>
    <xf numFmtId="0" fontId="60" fillId="6" borderId="0" xfId="0" applyFont="1" applyFill="1" applyAlignment="1">
      <alignment horizontal="left" vertical="center" wrapText="1"/>
    </xf>
    <xf numFmtId="0" fontId="59" fillId="25" borderId="0" xfId="0" applyFont="1" applyFill="1" applyAlignment="1">
      <alignment horizontal="left" vertical="center"/>
    </xf>
    <xf numFmtId="0" fontId="60" fillId="25" borderId="0" xfId="0" applyFont="1" applyFill="1" applyAlignment="1">
      <alignment horizontal="left" vertical="center"/>
    </xf>
    <xf numFmtId="0" fontId="57" fillId="11" borderId="0" xfId="0" applyFont="1" applyFill="1" applyAlignment="1">
      <alignment horizontal="center" vertical="center"/>
    </xf>
    <xf numFmtId="0" fontId="58" fillId="3" borderId="0" xfId="0" applyFont="1" applyFill="1" applyAlignment="1">
      <alignment horizontal="left" vertical="center"/>
    </xf>
    <xf numFmtId="0" fontId="63" fillId="25" borderId="0" xfId="0" applyFont="1" applyFill="1" applyAlignment="1">
      <alignment horizontal="left" vertical="center"/>
    </xf>
    <xf numFmtId="0" fontId="50" fillId="11" borderId="0" xfId="0" applyFont="1" applyFill="1" applyAlignment="1">
      <alignment horizontal="center" vertical="center"/>
    </xf>
    <xf numFmtId="0" fontId="6" fillId="6" borderId="1" xfId="0" applyFont="1" applyFill="1" applyBorder="1" applyAlignment="1">
      <alignment horizontal="left" vertical="center" wrapText="1"/>
    </xf>
    <xf numFmtId="0" fontId="4" fillId="8" borderId="14" xfId="0" applyFont="1" applyFill="1" applyBorder="1" applyAlignment="1">
      <alignment horizontal="left" vertical="center" wrapText="1"/>
    </xf>
    <xf numFmtId="0" fontId="11" fillId="2" borderId="1" xfId="0" applyFont="1" applyFill="1" applyBorder="1" applyAlignment="1">
      <alignment horizontal="center" vertical="center"/>
    </xf>
    <xf numFmtId="0" fontId="2" fillId="3" borderId="1" xfId="0" applyFont="1" applyFill="1" applyBorder="1" applyAlignment="1">
      <alignment horizontal="left" vertical="center"/>
    </xf>
    <xf numFmtId="0" fontId="14" fillId="9" borderId="1" xfId="0" applyFont="1" applyFill="1" applyBorder="1" applyAlignment="1">
      <alignment horizontal="center" vertical="center"/>
    </xf>
    <xf numFmtId="0" fontId="3" fillId="2" borderId="1" xfId="0" applyFont="1" applyFill="1" applyBorder="1" applyAlignment="1">
      <alignment horizontal="left" vertical="center"/>
    </xf>
    <xf numFmtId="0" fontId="5" fillId="5" borderId="14" xfId="0" applyFont="1" applyFill="1" applyBorder="1" applyAlignment="1">
      <alignment horizontal="left" vertical="center" wrapText="1"/>
    </xf>
    <xf numFmtId="0" fontId="3" fillId="3" borderId="1" xfId="0" applyFont="1" applyFill="1" applyBorder="1" applyAlignment="1">
      <alignment horizontal="center" vertical="center"/>
    </xf>
    <xf numFmtId="0" fontId="64" fillId="36" borderId="0" xfId="0" applyFont="1" applyFill="1" applyAlignment="1">
      <alignment horizontal="center"/>
    </xf>
    <xf numFmtId="0" fontId="0" fillId="0" borderId="0" xfId="0" applyAlignment="1">
      <alignment horizontal="center"/>
    </xf>
    <xf numFmtId="0" fontId="65" fillId="37" borderId="0" xfId="0" applyFont="1" applyFill="1"/>
    <xf numFmtId="0" fontId="66" fillId="36" borderId="0" xfId="0" applyFont="1" applyFill="1" applyAlignment="1">
      <alignment horizontal="center"/>
    </xf>
    <xf numFmtId="15" fontId="66" fillId="38" borderId="0" xfId="0" applyNumberFormat="1" applyFont="1" applyFill="1" applyAlignment="1">
      <alignment horizontal="left" indent="1"/>
    </xf>
    <xf numFmtId="0" fontId="0" fillId="0" borderId="0" xfId="0" applyAlignment="1">
      <alignment horizontal="left" indent="1"/>
    </xf>
    <xf numFmtId="14" fontId="0" fillId="0" borderId="0" xfId="0" applyNumberFormat="1"/>
    <xf numFmtId="0" fontId="67" fillId="39" borderId="0" xfId="0" applyFont="1" applyFill="1" applyAlignment="1">
      <alignment horizontal="center"/>
    </xf>
    <xf numFmtId="0" fontId="0" fillId="0" borderId="0" xfId="0" applyAlignment="1">
      <alignment wrapText="1"/>
    </xf>
    <xf numFmtId="0" fontId="68" fillId="0" borderId="0" xfId="0" applyFont="1" applyAlignment="1">
      <alignment horizontal="center"/>
    </xf>
    <xf numFmtId="14" fontId="0" fillId="40" borderId="0" xfId="0" applyNumberFormat="1" applyFill="1"/>
    <xf numFmtId="0" fontId="0" fillId="40" borderId="0" xfId="0" applyFill="1"/>
    <xf numFmtId="0" fontId="0" fillId="40" borderId="0" xfId="0" applyFill="1" applyAlignment="1">
      <alignment wrapText="1"/>
    </xf>
    <xf numFmtId="0" fontId="69" fillId="41" borderId="0" xfId="0" applyFont="1" applyFill="1" applyAlignment="1">
      <alignment horizontal="center"/>
    </xf>
    <xf numFmtId="0" fontId="70" fillId="42" borderId="0" xfId="0" applyFont="1" applyFill="1" applyAlignment="1">
      <alignment horizontal="center"/>
    </xf>
    <xf numFmtId="0" fontId="71" fillId="43" borderId="0" xfId="0" applyFont="1" applyFill="1" applyAlignment="1">
      <alignment horizontal="center"/>
    </xf>
    <xf numFmtId="11" fontId="68" fillId="0" borderId="0" xfId="0" applyNumberFormat="1" applyFont="1" applyAlignment="1">
      <alignment horizontal="center"/>
    </xf>
    <xf numFmtId="0" fontId="66" fillId="36" borderId="0" xfId="0" applyFont="1" applyFill="1"/>
  </cellXfs>
  <cellStyles count="1">
    <cellStyle name="Normal" xfId="0" builtinId="0"/>
  </cellStyles>
  <dxfs count="81">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sz val="12"/>
        <color rgb="FFFFFFFF"/>
      </font>
      <fill>
        <patternFill patternType="solid">
          <fgColor rgb="FFC00000"/>
        </patternFill>
      </fill>
    </dxf>
    <dxf>
      <font>
        <b/>
        <sz val="12"/>
        <color rgb="FFFFFFFF"/>
      </font>
      <fill>
        <patternFill patternType="solid">
          <fgColor rgb="FFB7950B"/>
        </patternFill>
      </fill>
    </dxf>
    <dxf>
      <font>
        <b/>
        <sz val="12"/>
        <color rgb="FFFFFFFF"/>
      </font>
      <fill>
        <patternFill patternType="solid">
          <fgColor rgb="FF2E7D32"/>
        </patternFill>
      </fill>
    </dxf>
    <dxf>
      <font>
        <b/>
        <sz val="12"/>
        <color rgb="FFFFFFFF"/>
      </font>
      <fill>
        <patternFill patternType="solid">
          <fgColor rgb="FF006100"/>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sz val="48"/>
        <color rgb="FF9C0006"/>
      </font>
      <fill>
        <patternFill patternType="solid">
          <fgColor rgb="FFFFC7CE"/>
        </patternFill>
      </fill>
    </dxf>
    <dxf>
      <font>
        <b/>
        <sz val="48"/>
        <color rgb="FF9C6500"/>
      </font>
      <fill>
        <patternFill patternType="solid">
          <fgColor rgb="FFFFEB9C"/>
        </patternFill>
      </fill>
    </dxf>
    <dxf>
      <font>
        <b/>
        <sz val="48"/>
        <color rgb="FF006100"/>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ont>
        <b/>
        <sz val="9.5"/>
        <color rgb="FF7B4F00"/>
      </font>
      <fill>
        <patternFill patternType="solid">
          <fgColor rgb="FFFFC000"/>
        </patternFill>
      </fill>
    </dxf>
    <dxf>
      <font>
        <b/>
        <sz val="9.5"/>
        <color rgb="FFFFFFFF"/>
      </font>
      <fill>
        <patternFill patternType="solid">
          <fgColor rgb="FFC00000"/>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0779-BC53-421E-87BE-EBC006FD2F60}">
  <dimension ref="A1:E45"/>
  <sheetViews>
    <sheetView tabSelected="1" workbookViewId="0">
      <pane ySplit="3" topLeftCell="A4" activePane="bottomLeft" state="frozen"/>
      <selection pane="bottomLeft" activeCell="A4" sqref="A4:E4"/>
    </sheetView>
  </sheetViews>
  <sheetFormatPr defaultRowHeight="15" x14ac:dyDescent="0.25"/>
  <cols>
    <col min="1" max="1" width="12.7109375" customWidth="1"/>
    <col min="2" max="2" width="22.7109375" customWidth="1"/>
    <col min="3" max="3" width="14.7109375" customWidth="1"/>
    <col min="4" max="4" width="78.7109375" customWidth="1"/>
    <col min="5" max="5" width="14.7109375" customWidth="1"/>
  </cols>
  <sheetData>
    <row r="1" spans="1:5" ht="30" customHeight="1" x14ac:dyDescent="0.3">
      <c r="A1" s="268" t="s">
        <v>921</v>
      </c>
      <c r="B1" s="269"/>
      <c r="C1" s="269"/>
      <c r="D1" s="269"/>
      <c r="E1" s="269"/>
    </row>
    <row r="2" spans="1:5" ht="20.100000000000001" customHeight="1" x14ac:dyDescent="0.25">
      <c r="A2" s="270" t="s">
        <v>922</v>
      </c>
      <c r="B2" s="227"/>
      <c r="C2" s="227"/>
      <c r="D2" s="227"/>
      <c r="E2" s="227"/>
    </row>
    <row r="3" spans="1:5" ht="21.95" customHeight="1" x14ac:dyDescent="0.25">
      <c r="A3" s="271" t="s">
        <v>809</v>
      </c>
      <c r="B3" s="271" t="s">
        <v>923</v>
      </c>
      <c r="C3" s="271" t="s">
        <v>924</v>
      </c>
      <c r="D3" s="271" t="s">
        <v>613</v>
      </c>
      <c r="E3" s="271" t="s">
        <v>925</v>
      </c>
    </row>
    <row r="4" spans="1:5" ht="18" customHeight="1" x14ac:dyDescent="0.25">
      <c r="A4" s="272">
        <v>46197</v>
      </c>
      <c r="B4" s="273"/>
      <c r="C4" s="273"/>
      <c r="D4" s="273"/>
      <c r="E4" s="273"/>
    </row>
    <row r="5" spans="1:5" ht="15" hidden="1" customHeight="1" x14ac:dyDescent="0.25">
      <c r="A5" s="274">
        <v>46197</v>
      </c>
      <c r="B5" t="s">
        <v>926</v>
      </c>
      <c r="C5" s="275" t="s">
        <v>927</v>
      </c>
      <c r="D5" s="276" t="s">
        <v>928</v>
      </c>
      <c r="E5" s="277" t="s">
        <v>929</v>
      </c>
    </row>
    <row r="6" spans="1:5" ht="15" hidden="1" customHeight="1" x14ac:dyDescent="0.25">
      <c r="A6" s="278">
        <v>46197</v>
      </c>
      <c r="B6" s="279" t="s">
        <v>926</v>
      </c>
      <c r="C6" s="275" t="s">
        <v>927</v>
      </c>
      <c r="D6" s="280" t="s">
        <v>930</v>
      </c>
      <c r="E6" s="277" t="s">
        <v>931</v>
      </c>
    </row>
    <row r="7" spans="1:5" ht="15" hidden="1" customHeight="1" x14ac:dyDescent="0.25">
      <c r="A7" s="274">
        <v>46197</v>
      </c>
      <c r="B7" t="s">
        <v>932</v>
      </c>
      <c r="C7" s="281" t="s">
        <v>933</v>
      </c>
      <c r="D7" s="276" t="s">
        <v>934</v>
      </c>
      <c r="E7" s="277" t="s">
        <v>935</v>
      </c>
    </row>
    <row r="8" spans="1:5" ht="15" hidden="1" customHeight="1" x14ac:dyDescent="0.25">
      <c r="A8" s="278">
        <v>46197</v>
      </c>
      <c r="B8" s="279" t="s">
        <v>932</v>
      </c>
      <c r="C8" s="275" t="s">
        <v>927</v>
      </c>
      <c r="D8" s="280" t="s">
        <v>936</v>
      </c>
      <c r="E8" s="277" t="s">
        <v>937</v>
      </c>
    </row>
    <row r="9" spans="1:5" ht="15" hidden="1" customHeight="1" x14ac:dyDescent="0.25">
      <c r="A9" s="274">
        <v>46197</v>
      </c>
      <c r="B9" t="s">
        <v>938</v>
      </c>
      <c r="C9" s="275" t="s">
        <v>927</v>
      </c>
      <c r="D9" s="276" t="s">
        <v>939</v>
      </c>
      <c r="E9" s="277" t="s">
        <v>940</v>
      </c>
    </row>
    <row r="10" spans="1:5" ht="15" hidden="1" customHeight="1" x14ac:dyDescent="0.25">
      <c r="A10" s="278">
        <v>46197</v>
      </c>
      <c r="B10" s="279" t="s">
        <v>938</v>
      </c>
      <c r="C10" s="275" t="s">
        <v>927</v>
      </c>
      <c r="D10" s="280" t="s">
        <v>941</v>
      </c>
      <c r="E10" s="277" t="s">
        <v>940</v>
      </c>
    </row>
    <row r="11" spans="1:5" ht="18" customHeight="1" x14ac:dyDescent="0.25">
      <c r="A11" s="272">
        <v>46196</v>
      </c>
      <c r="B11" s="273"/>
      <c r="C11" s="273"/>
      <c r="D11" s="273"/>
      <c r="E11" s="273"/>
    </row>
    <row r="12" spans="1:5" ht="15" hidden="1" customHeight="1" x14ac:dyDescent="0.25">
      <c r="A12" s="278">
        <v>46196</v>
      </c>
      <c r="B12" s="279" t="s">
        <v>264</v>
      </c>
      <c r="C12" s="282" t="s">
        <v>942</v>
      </c>
      <c r="D12" s="280" t="s">
        <v>943</v>
      </c>
      <c r="E12" s="277" t="s">
        <v>944</v>
      </c>
    </row>
    <row r="13" spans="1:5" ht="15" hidden="1" customHeight="1" x14ac:dyDescent="0.25">
      <c r="A13" s="274">
        <v>46196</v>
      </c>
      <c r="B13" t="s">
        <v>264</v>
      </c>
      <c r="C13" s="281" t="s">
        <v>933</v>
      </c>
      <c r="D13" s="276" t="s">
        <v>945</v>
      </c>
      <c r="E13" s="277" t="s">
        <v>946</v>
      </c>
    </row>
    <row r="14" spans="1:5" ht="18" customHeight="1" x14ac:dyDescent="0.25">
      <c r="A14" s="272">
        <v>46192</v>
      </c>
      <c r="B14" s="273"/>
      <c r="C14" s="273"/>
      <c r="D14" s="273"/>
      <c r="E14" s="273"/>
    </row>
    <row r="15" spans="1:5" ht="15" hidden="1" customHeight="1" x14ac:dyDescent="0.25">
      <c r="A15" s="274">
        <v>46192</v>
      </c>
      <c r="B15" t="s">
        <v>947</v>
      </c>
      <c r="C15" s="275" t="s">
        <v>927</v>
      </c>
      <c r="D15" s="276" t="s">
        <v>948</v>
      </c>
      <c r="E15" s="277" t="s">
        <v>949</v>
      </c>
    </row>
    <row r="16" spans="1:5" ht="15" hidden="1" customHeight="1" x14ac:dyDescent="0.25">
      <c r="A16" s="278">
        <v>46192</v>
      </c>
      <c r="B16" s="279" t="s">
        <v>256</v>
      </c>
      <c r="C16" s="281" t="s">
        <v>933</v>
      </c>
      <c r="D16" s="280" t="s">
        <v>950</v>
      </c>
      <c r="E16" s="277" t="s">
        <v>949</v>
      </c>
    </row>
    <row r="17" spans="1:5" ht="15" hidden="1" customHeight="1" x14ac:dyDescent="0.25">
      <c r="A17" s="274">
        <v>46192</v>
      </c>
      <c r="B17" t="s">
        <v>258</v>
      </c>
      <c r="C17" s="282" t="s">
        <v>942</v>
      </c>
      <c r="D17" s="276" t="s">
        <v>951</v>
      </c>
      <c r="E17" s="277" t="s">
        <v>952</v>
      </c>
    </row>
    <row r="18" spans="1:5" ht="18" customHeight="1" x14ac:dyDescent="0.25">
      <c r="A18" s="272">
        <v>46191</v>
      </c>
      <c r="B18" s="273"/>
      <c r="C18" s="273"/>
      <c r="D18" s="273"/>
      <c r="E18" s="273"/>
    </row>
    <row r="19" spans="1:5" ht="15" hidden="1" customHeight="1" x14ac:dyDescent="0.25">
      <c r="A19" s="274">
        <v>46191</v>
      </c>
      <c r="B19" t="s">
        <v>256</v>
      </c>
      <c r="C19" s="283" t="s">
        <v>953</v>
      </c>
      <c r="D19" s="276" t="s">
        <v>954</v>
      </c>
      <c r="E19" s="284" t="s">
        <v>955</v>
      </c>
    </row>
    <row r="20" spans="1:5" ht="15" hidden="1" customHeight="1" x14ac:dyDescent="0.25">
      <c r="A20" s="278">
        <v>46191</v>
      </c>
      <c r="B20" s="279" t="s">
        <v>256</v>
      </c>
      <c r="C20" s="275" t="s">
        <v>927</v>
      </c>
      <c r="D20" s="280" t="s">
        <v>956</v>
      </c>
      <c r="E20" s="277" t="s">
        <v>957</v>
      </c>
    </row>
    <row r="21" spans="1:5" ht="15" hidden="1" customHeight="1" x14ac:dyDescent="0.25">
      <c r="A21" s="274">
        <v>46191</v>
      </c>
      <c r="B21" t="s">
        <v>266</v>
      </c>
      <c r="C21" s="275" t="s">
        <v>927</v>
      </c>
      <c r="D21" s="276" t="s">
        <v>958</v>
      </c>
      <c r="E21" s="277" t="s">
        <v>959</v>
      </c>
    </row>
    <row r="22" spans="1:5" ht="15" hidden="1" customHeight="1" x14ac:dyDescent="0.25">
      <c r="A22" s="278">
        <v>46191</v>
      </c>
      <c r="B22" s="279" t="s">
        <v>266</v>
      </c>
      <c r="C22" s="281" t="s">
        <v>933</v>
      </c>
      <c r="D22" s="280" t="s">
        <v>960</v>
      </c>
      <c r="E22" s="277" t="s">
        <v>961</v>
      </c>
    </row>
    <row r="23" spans="1:5" ht="15" hidden="1" customHeight="1" x14ac:dyDescent="0.25">
      <c r="A23" s="274">
        <v>46191</v>
      </c>
      <c r="B23" t="s">
        <v>266</v>
      </c>
      <c r="C23" s="282" t="s">
        <v>942</v>
      </c>
      <c r="D23" s="276" t="s">
        <v>962</v>
      </c>
      <c r="E23" s="277" t="s">
        <v>963</v>
      </c>
    </row>
    <row r="24" spans="1:5" ht="15" hidden="1" customHeight="1" x14ac:dyDescent="0.25">
      <c r="A24" s="278">
        <v>46191</v>
      </c>
      <c r="B24" s="279" t="s">
        <v>262</v>
      </c>
      <c r="C24" s="275" t="s">
        <v>927</v>
      </c>
      <c r="D24" s="280" t="s">
        <v>964</v>
      </c>
      <c r="E24" s="277" t="s">
        <v>965</v>
      </c>
    </row>
    <row r="25" spans="1:5" ht="15" hidden="1" customHeight="1" x14ac:dyDescent="0.25">
      <c r="A25" s="274">
        <v>46191</v>
      </c>
      <c r="B25" t="s">
        <v>256</v>
      </c>
      <c r="C25" s="281" t="s">
        <v>933</v>
      </c>
      <c r="D25" s="276" t="s">
        <v>966</v>
      </c>
      <c r="E25" s="277" t="s">
        <v>952</v>
      </c>
    </row>
    <row r="26" spans="1:5" ht="15" hidden="1" customHeight="1" x14ac:dyDescent="0.25">
      <c r="A26" s="278">
        <v>46191</v>
      </c>
      <c r="B26" s="279" t="s">
        <v>256</v>
      </c>
      <c r="C26" s="281" t="s">
        <v>933</v>
      </c>
      <c r="D26" s="280" t="s">
        <v>967</v>
      </c>
      <c r="E26" s="277" t="s">
        <v>968</v>
      </c>
    </row>
    <row r="27" spans="1:5" ht="18" customHeight="1" x14ac:dyDescent="0.25">
      <c r="A27" s="272">
        <v>46190</v>
      </c>
      <c r="B27" s="273"/>
      <c r="C27" s="273"/>
      <c r="D27" s="273"/>
      <c r="E27" s="273"/>
    </row>
    <row r="28" spans="1:5" ht="15" hidden="1" customHeight="1" x14ac:dyDescent="0.25">
      <c r="A28" s="278">
        <v>46190</v>
      </c>
      <c r="B28" s="279" t="s">
        <v>258</v>
      </c>
      <c r="C28" s="275" t="s">
        <v>927</v>
      </c>
      <c r="D28" s="280" t="s">
        <v>969</v>
      </c>
      <c r="E28" s="277" t="s">
        <v>970</v>
      </c>
    </row>
    <row r="29" spans="1:5" ht="15" hidden="1" customHeight="1" x14ac:dyDescent="0.25">
      <c r="A29" s="274">
        <v>46190</v>
      </c>
      <c r="B29" t="s">
        <v>256</v>
      </c>
      <c r="C29" s="282" t="s">
        <v>942</v>
      </c>
      <c r="D29" s="276" t="s">
        <v>971</v>
      </c>
      <c r="E29" s="277" t="s">
        <v>972</v>
      </c>
    </row>
    <row r="30" spans="1:5" ht="15" hidden="1" customHeight="1" x14ac:dyDescent="0.25">
      <c r="A30" s="278">
        <v>46190</v>
      </c>
      <c r="B30" s="279" t="s">
        <v>256</v>
      </c>
      <c r="C30" s="283" t="s">
        <v>953</v>
      </c>
      <c r="D30" s="280" t="s">
        <v>973</v>
      </c>
      <c r="E30" s="277" t="s">
        <v>974</v>
      </c>
    </row>
    <row r="31" spans="1:5" ht="15" hidden="1" customHeight="1" x14ac:dyDescent="0.25">
      <c r="A31" s="274">
        <v>46190</v>
      </c>
      <c r="B31" t="s">
        <v>256</v>
      </c>
      <c r="C31" s="281" t="s">
        <v>933</v>
      </c>
      <c r="D31" s="276" t="s">
        <v>975</v>
      </c>
      <c r="E31" s="277" t="s">
        <v>976</v>
      </c>
    </row>
    <row r="32" spans="1:5" ht="18" customHeight="1" x14ac:dyDescent="0.25">
      <c r="A32" s="272">
        <v>46189</v>
      </c>
      <c r="B32" s="273"/>
      <c r="C32" s="273"/>
      <c r="D32" s="273"/>
      <c r="E32" s="273"/>
    </row>
    <row r="33" spans="1:5" ht="15" hidden="1" customHeight="1" x14ac:dyDescent="0.25">
      <c r="A33" s="274">
        <v>46189</v>
      </c>
      <c r="B33" t="s">
        <v>256</v>
      </c>
      <c r="C33" s="275" t="s">
        <v>927</v>
      </c>
      <c r="D33" s="276" t="s">
        <v>977</v>
      </c>
      <c r="E33" s="277" t="s">
        <v>976</v>
      </c>
    </row>
    <row r="34" spans="1:5" ht="15" hidden="1" customHeight="1" x14ac:dyDescent="0.25">
      <c r="A34" s="278">
        <v>46189</v>
      </c>
      <c r="B34" s="279" t="s">
        <v>256</v>
      </c>
      <c r="C34" s="275" t="s">
        <v>927</v>
      </c>
      <c r="D34" s="280" t="s">
        <v>978</v>
      </c>
      <c r="E34" s="277" t="s">
        <v>979</v>
      </c>
    </row>
    <row r="35" spans="1:5" ht="18" customHeight="1" x14ac:dyDescent="0.25">
      <c r="A35" s="272">
        <v>46188</v>
      </c>
      <c r="B35" s="273"/>
      <c r="C35" s="273"/>
      <c r="D35" s="273"/>
      <c r="E35" s="273"/>
    </row>
    <row r="36" spans="1:5" ht="15" hidden="1" customHeight="1" x14ac:dyDescent="0.25">
      <c r="A36" s="278">
        <v>46188</v>
      </c>
      <c r="B36" s="279" t="s">
        <v>266</v>
      </c>
      <c r="C36" s="275" t="s">
        <v>927</v>
      </c>
      <c r="D36" s="280" t="s">
        <v>980</v>
      </c>
      <c r="E36" s="277" t="s">
        <v>981</v>
      </c>
    </row>
    <row r="37" spans="1:5" ht="15" hidden="1" customHeight="1" x14ac:dyDescent="0.25">
      <c r="A37" s="274">
        <v>46188</v>
      </c>
      <c r="B37" t="s">
        <v>266</v>
      </c>
      <c r="C37" s="282" t="s">
        <v>942</v>
      </c>
      <c r="D37" s="276" t="s">
        <v>982</v>
      </c>
      <c r="E37" s="277" t="s">
        <v>983</v>
      </c>
    </row>
    <row r="38" spans="1:5" ht="18" customHeight="1" x14ac:dyDescent="0.25">
      <c r="A38" s="272">
        <v>46183</v>
      </c>
      <c r="B38" s="273"/>
      <c r="C38" s="273"/>
      <c r="D38" s="273"/>
      <c r="E38" s="273"/>
    </row>
    <row r="39" spans="1:5" ht="15" hidden="1" customHeight="1" x14ac:dyDescent="0.25">
      <c r="A39" s="274">
        <v>46183</v>
      </c>
      <c r="B39" t="s">
        <v>984</v>
      </c>
      <c r="C39" s="275" t="s">
        <v>927</v>
      </c>
      <c r="D39" s="276" t="s">
        <v>985</v>
      </c>
      <c r="E39" s="277" t="s">
        <v>986</v>
      </c>
    </row>
    <row r="41" spans="1:5" x14ac:dyDescent="0.25">
      <c r="A41" s="285" t="s">
        <v>987</v>
      </c>
      <c r="B41" s="227"/>
      <c r="C41" s="227"/>
      <c r="D41" s="227"/>
      <c r="E41" s="227"/>
    </row>
    <row r="42" spans="1:5" ht="15.95" customHeight="1" x14ac:dyDescent="0.25">
      <c r="C42" s="275" t="s">
        <v>927</v>
      </c>
      <c r="D42" t="s">
        <v>988</v>
      </c>
    </row>
    <row r="43" spans="1:5" ht="15.95" customHeight="1" x14ac:dyDescent="0.25">
      <c r="C43" s="282" t="s">
        <v>942</v>
      </c>
      <c r="D43" t="s">
        <v>989</v>
      </c>
    </row>
    <row r="44" spans="1:5" ht="15.95" customHeight="1" x14ac:dyDescent="0.25">
      <c r="C44" s="281" t="s">
        <v>933</v>
      </c>
      <c r="D44" t="s">
        <v>990</v>
      </c>
    </row>
    <row r="45" spans="1:5" ht="15.95" customHeight="1" x14ac:dyDescent="0.25">
      <c r="C45" s="283" t="s">
        <v>953</v>
      </c>
      <c r="D45" t="s">
        <v>991</v>
      </c>
    </row>
  </sheetData>
  <mergeCells count="11">
    <mergeCell ref="A27:E27"/>
    <mergeCell ref="A32:E32"/>
    <mergeCell ref="A35:E35"/>
    <mergeCell ref="A38:E38"/>
    <mergeCell ref="A41:E41"/>
    <mergeCell ref="A1:E1"/>
    <mergeCell ref="A2:E2"/>
    <mergeCell ref="A4:E4"/>
    <mergeCell ref="A11:E11"/>
    <mergeCell ref="A14:E14"/>
    <mergeCell ref="A18:E18"/>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45"/>
  <sheetViews>
    <sheetView showGridLines="0" workbookViewId="0">
      <pane ySplit="2" topLeftCell="A3" activePane="bottomLeft" state="frozen"/>
      <selection pane="bottomLeft"/>
    </sheetView>
  </sheetViews>
  <sheetFormatPr defaultRowHeight="15" x14ac:dyDescent="0.25"/>
  <cols>
    <col min="1" max="1" width="3" customWidth="1"/>
    <col min="2" max="2" width="30" customWidth="1"/>
    <col min="3" max="3" width="105" customWidth="1"/>
  </cols>
  <sheetData>
    <row r="1" spans="2:3" ht="27.95" customHeight="1" x14ac:dyDescent="0.25">
      <c r="B1" s="181" t="s">
        <v>253</v>
      </c>
      <c r="C1" s="176"/>
    </row>
    <row r="2" spans="2:3" ht="30" customHeight="1" x14ac:dyDescent="0.25">
      <c r="B2" s="183" t="s">
        <v>254</v>
      </c>
      <c r="C2" s="176"/>
    </row>
    <row r="4" spans="2:3" x14ac:dyDescent="0.25">
      <c r="B4" s="177" t="s">
        <v>255</v>
      </c>
      <c r="C4" s="176"/>
    </row>
    <row r="5" spans="2:3" ht="44.1" customHeight="1" x14ac:dyDescent="0.25">
      <c r="B5" s="31" t="s">
        <v>256</v>
      </c>
      <c r="C5" s="32" t="s">
        <v>257</v>
      </c>
    </row>
    <row r="6" spans="2:3" ht="44.1" customHeight="1" x14ac:dyDescent="0.25">
      <c r="B6" s="33" t="s">
        <v>258</v>
      </c>
      <c r="C6" s="34" t="s">
        <v>259</v>
      </c>
    </row>
    <row r="7" spans="2:3" ht="44.1" customHeight="1" x14ac:dyDescent="0.25">
      <c r="B7" s="31" t="s">
        <v>260</v>
      </c>
      <c r="C7" s="32" t="s">
        <v>261</v>
      </c>
    </row>
    <row r="8" spans="2:3" ht="44.1" customHeight="1" x14ac:dyDescent="0.25">
      <c r="B8" s="33" t="s">
        <v>262</v>
      </c>
      <c r="C8" s="34" t="s">
        <v>263</v>
      </c>
    </row>
    <row r="9" spans="2:3" ht="44.1" customHeight="1" x14ac:dyDescent="0.25">
      <c r="B9" s="31" t="s">
        <v>264</v>
      </c>
      <c r="C9" s="32" t="s">
        <v>265</v>
      </c>
    </row>
    <row r="10" spans="2:3" ht="44.1" customHeight="1" x14ac:dyDescent="0.25">
      <c r="B10" s="33" t="s">
        <v>266</v>
      </c>
      <c r="C10" s="34" t="s">
        <v>267</v>
      </c>
    </row>
    <row r="12" spans="2:3" x14ac:dyDescent="0.25">
      <c r="B12" s="177" t="s">
        <v>268</v>
      </c>
      <c r="C12" s="176"/>
    </row>
    <row r="13" spans="2:3" ht="45.95" customHeight="1" x14ac:dyDescent="0.25">
      <c r="B13" s="31" t="s">
        <v>269</v>
      </c>
      <c r="C13" s="32" t="s">
        <v>270</v>
      </c>
    </row>
    <row r="14" spans="2:3" ht="45.95" customHeight="1" x14ac:dyDescent="0.25">
      <c r="B14" s="33" t="s">
        <v>271</v>
      </c>
      <c r="C14" s="34" t="s">
        <v>272</v>
      </c>
    </row>
    <row r="15" spans="2:3" ht="45.95" customHeight="1" x14ac:dyDescent="0.25">
      <c r="B15" s="31" t="s">
        <v>273</v>
      </c>
      <c r="C15" s="32" t="s">
        <v>274</v>
      </c>
    </row>
    <row r="16" spans="2:3" ht="45.95" customHeight="1" x14ac:dyDescent="0.25">
      <c r="B16" s="33" t="s">
        <v>275</v>
      </c>
      <c r="C16" s="34" t="s">
        <v>276</v>
      </c>
    </row>
    <row r="17" spans="2:3" ht="45.95" customHeight="1" x14ac:dyDescent="0.25">
      <c r="B17" s="31" t="s">
        <v>277</v>
      </c>
      <c r="C17" s="32" t="s">
        <v>278</v>
      </c>
    </row>
    <row r="18" spans="2:3" ht="45.95" customHeight="1" x14ac:dyDescent="0.25">
      <c r="B18" s="33" t="s">
        <v>279</v>
      </c>
      <c r="C18" s="34" t="s">
        <v>280</v>
      </c>
    </row>
    <row r="19" spans="2:3" ht="45.95" customHeight="1" x14ac:dyDescent="0.25">
      <c r="B19" s="31" t="s">
        <v>281</v>
      </c>
      <c r="C19" s="32" t="s">
        <v>282</v>
      </c>
    </row>
    <row r="20" spans="2:3" ht="45.95" customHeight="1" x14ac:dyDescent="0.25">
      <c r="B20" s="33" t="s">
        <v>283</v>
      </c>
      <c r="C20" s="34" t="s">
        <v>284</v>
      </c>
    </row>
    <row r="22" spans="2:3" x14ac:dyDescent="0.25">
      <c r="B22" s="177" t="s">
        <v>285</v>
      </c>
      <c r="C22" s="176"/>
    </row>
    <row r="23" spans="2:3" ht="54" customHeight="1" x14ac:dyDescent="0.25">
      <c r="B23" s="31" t="s">
        <v>286</v>
      </c>
      <c r="C23" s="32" t="s">
        <v>287</v>
      </c>
    </row>
    <row r="24" spans="2:3" ht="54" customHeight="1" x14ac:dyDescent="0.25">
      <c r="B24" s="33" t="s">
        <v>288</v>
      </c>
      <c r="C24" s="34" t="s">
        <v>289</v>
      </c>
    </row>
    <row r="25" spans="2:3" ht="54" customHeight="1" x14ac:dyDescent="0.25">
      <c r="B25" s="31" t="s">
        <v>290</v>
      </c>
      <c r="C25" s="32" t="s">
        <v>291</v>
      </c>
    </row>
    <row r="27" spans="2:3" x14ac:dyDescent="0.25">
      <c r="B27" s="177" t="s">
        <v>292</v>
      </c>
      <c r="C27" s="176"/>
    </row>
    <row r="28" spans="2:3" ht="39.950000000000003" customHeight="1" x14ac:dyDescent="0.25">
      <c r="B28" s="31" t="s">
        <v>293</v>
      </c>
      <c r="C28" s="32" t="s">
        <v>294</v>
      </c>
    </row>
    <row r="29" spans="2:3" ht="39.950000000000003" customHeight="1" x14ac:dyDescent="0.25">
      <c r="B29" s="33" t="s">
        <v>295</v>
      </c>
      <c r="C29" s="34" t="s">
        <v>296</v>
      </c>
    </row>
    <row r="30" spans="2:3" ht="39.950000000000003" customHeight="1" x14ac:dyDescent="0.25">
      <c r="B30" s="31" t="s">
        <v>297</v>
      </c>
      <c r="C30" s="32" t="s">
        <v>298</v>
      </c>
    </row>
    <row r="31" spans="2:3" ht="39.950000000000003" customHeight="1" x14ac:dyDescent="0.25">
      <c r="B31" s="33" t="s">
        <v>299</v>
      </c>
      <c r="C31" s="34" t="s">
        <v>300</v>
      </c>
    </row>
    <row r="32" spans="2:3" ht="39.950000000000003" customHeight="1" x14ac:dyDescent="0.25">
      <c r="B32" s="31" t="s">
        <v>301</v>
      </c>
      <c r="C32" s="32" t="s">
        <v>302</v>
      </c>
    </row>
    <row r="33" spans="2:3" ht="39.950000000000003" customHeight="1" x14ac:dyDescent="0.25">
      <c r="B33" s="33" t="s">
        <v>303</v>
      </c>
      <c r="C33" s="34" t="s">
        <v>304</v>
      </c>
    </row>
    <row r="35" spans="2:3" x14ac:dyDescent="0.25">
      <c r="B35" s="182" t="s">
        <v>305</v>
      </c>
      <c r="C35" s="176"/>
    </row>
    <row r="36" spans="2:3" ht="26.1" customHeight="1" x14ac:dyDescent="0.25">
      <c r="B36" s="178" t="s">
        <v>306</v>
      </c>
      <c r="C36" s="179"/>
    </row>
    <row r="37" spans="2:3" ht="26.1" customHeight="1" x14ac:dyDescent="0.25">
      <c r="B37" s="180" t="s">
        <v>307</v>
      </c>
      <c r="C37" s="179"/>
    </row>
    <row r="38" spans="2:3" ht="26.1" customHeight="1" x14ac:dyDescent="0.25">
      <c r="B38" s="178" t="s">
        <v>308</v>
      </c>
      <c r="C38" s="179"/>
    </row>
    <row r="39" spans="2:3" ht="26.1" customHeight="1" x14ac:dyDescent="0.25">
      <c r="B39" s="180" t="s">
        <v>309</v>
      </c>
      <c r="C39" s="179"/>
    </row>
    <row r="40" spans="2:3" ht="26.1" customHeight="1" x14ac:dyDescent="0.25">
      <c r="B40" s="178" t="s">
        <v>310</v>
      </c>
      <c r="C40" s="179"/>
    </row>
    <row r="41" spans="2:3" ht="26.1" customHeight="1" x14ac:dyDescent="0.25">
      <c r="B41" s="180" t="s">
        <v>311</v>
      </c>
      <c r="C41" s="179"/>
    </row>
    <row r="42" spans="2:3" ht="26.1" customHeight="1" x14ac:dyDescent="0.25">
      <c r="B42" s="178" t="s">
        <v>312</v>
      </c>
      <c r="C42" s="179"/>
    </row>
    <row r="43" spans="2:3" ht="26.1" customHeight="1" x14ac:dyDescent="0.25">
      <c r="B43" s="180" t="s">
        <v>313</v>
      </c>
      <c r="C43" s="179"/>
    </row>
    <row r="45" spans="2:3" ht="30" customHeight="1" x14ac:dyDescent="0.25">
      <c r="B45" s="175" t="s">
        <v>314</v>
      </c>
      <c r="C45" s="176"/>
    </row>
  </sheetData>
  <mergeCells count="16">
    <mergeCell ref="B1:C1"/>
    <mergeCell ref="B35:C35"/>
    <mergeCell ref="B4:C4"/>
    <mergeCell ref="B43:C43"/>
    <mergeCell ref="B12:C12"/>
    <mergeCell ref="B42:C42"/>
    <mergeCell ref="B2:C2"/>
    <mergeCell ref="B45:C45"/>
    <mergeCell ref="B22:C22"/>
    <mergeCell ref="B36:C36"/>
    <mergeCell ref="B40:C40"/>
    <mergeCell ref="B27:C27"/>
    <mergeCell ref="B39:C39"/>
    <mergeCell ref="B38:C38"/>
    <mergeCell ref="B37:C37"/>
    <mergeCell ref="B41:C4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25"/>
  <sheetViews>
    <sheetView showGridLines="0" workbookViewId="0">
      <pane ySplit="2" topLeftCell="A183" activePane="bottomLeft" state="frozen"/>
      <selection pane="bottomLeft" activeCell="B191" sqref="B191:F191"/>
    </sheetView>
  </sheetViews>
  <sheetFormatPr defaultRowHeight="15" x14ac:dyDescent="0.25"/>
  <cols>
    <col min="1" max="1" width="4" customWidth="1"/>
    <col min="2" max="2" width="58" customWidth="1"/>
    <col min="3" max="3" width="14" customWidth="1"/>
    <col min="4" max="4" width="13" customWidth="1"/>
    <col min="5" max="5" width="15" customWidth="1"/>
    <col min="6" max="6" width="46" customWidth="1"/>
    <col min="7" max="7" width="3" customWidth="1"/>
    <col min="8" max="8" width="5" customWidth="1"/>
  </cols>
  <sheetData>
    <row r="1" spans="2:6" ht="27.95" customHeight="1" x14ac:dyDescent="0.25">
      <c r="B1" s="216" t="s">
        <v>315</v>
      </c>
      <c r="C1" s="185"/>
      <c r="D1" s="185"/>
      <c r="E1" s="185"/>
      <c r="F1" s="176"/>
    </row>
    <row r="2" spans="2:6" ht="18" customHeight="1" x14ac:dyDescent="0.25">
      <c r="B2" s="199" t="s">
        <v>1</v>
      </c>
      <c r="C2" s="185"/>
      <c r="D2" s="185"/>
      <c r="E2" s="185"/>
      <c r="F2" s="176"/>
    </row>
    <row r="3" spans="2:6" x14ac:dyDescent="0.25">
      <c r="B3" s="184" t="s">
        <v>316</v>
      </c>
      <c r="C3" s="185"/>
      <c r="D3" s="185"/>
      <c r="E3" s="185"/>
      <c r="F3" s="176"/>
    </row>
    <row r="4" spans="2:6" ht="29.1" customHeight="1" x14ac:dyDescent="0.25">
      <c r="B4" s="2" t="s">
        <v>3</v>
      </c>
      <c r="C4" s="3"/>
      <c r="D4" s="4" t="s">
        <v>5</v>
      </c>
      <c r="E4" s="204"/>
      <c r="F4" s="179"/>
    </row>
    <row r="5" spans="2:6" ht="29.1" customHeight="1" x14ac:dyDescent="0.25">
      <c r="B5" s="68" t="s">
        <v>7</v>
      </c>
      <c r="C5" s="69"/>
      <c r="D5" s="92"/>
      <c r="E5" s="93"/>
      <c r="F5" s="94"/>
    </row>
    <row r="6" spans="2:6" ht="29.1" customHeight="1" x14ac:dyDescent="0.25">
      <c r="B6" s="60" t="s">
        <v>11</v>
      </c>
      <c r="C6" s="70"/>
      <c r="D6" s="67" t="s">
        <v>13</v>
      </c>
      <c r="E6" s="193"/>
      <c r="F6" s="179"/>
    </row>
    <row r="7" spans="2:6" ht="29.1" customHeight="1" x14ac:dyDescent="0.25">
      <c r="B7" s="60" t="s">
        <v>15</v>
      </c>
      <c r="C7" s="70"/>
      <c r="D7" s="67" t="s">
        <v>17</v>
      </c>
      <c r="E7" s="193"/>
      <c r="F7" s="179"/>
    </row>
    <row r="8" spans="2:6" ht="29.1" customHeight="1" x14ac:dyDescent="0.25">
      <c r="B8" s="60" t="s">
        <v>19</v>
      </c>
      <c r="C8" s="70"/>
      <c r="D8" s="67" t="s">
        <v>21</v>
      </c>
      <c r="E8" s="193"/>
      <c r="F8" s="179"/>
    </row>
    <row r="9" spans="2:6" ht="29.1" customHeight="1" x14ac:dyDescent="0.25">
      <c r="B9" s="60" t="s">
        <v>23</v>
      </c>
      <c r="C9" s="70"/>
      <c r="D9" s="67" t="s">
        <v>25</v>
      </c>
      <c r="E9" s="193"/>
      <c r="F9" s="179"/>
    </row>
    <row r="10" spans="2:6" ht="29.1" customHeight="1" x14ac:dyDescent="0.25">
      <c r="B10" s="60" t="s">
        <v>9</v>
      </c>
      <c r="C10" s="70"/>
      <c r="D10" s="67" t="s">
        <v>27</v>
      </c>
      <c r="E10" s="193"/>
      <c r="F10" s="179"/>
    </row>
    <row r="11" spans="2:6" ht="29.1" customHeight="1" x14ac:dyDescent="0.25">
      <c r="B11" s="60" t="s">
        <v>29</v>
      </c>
      <c r="C11" s="70"/>
      <c r="D11" s="67" t="s">
        <v>31</v>
      </c>
      <c r="E11" s="193"/>
      <c r="F11" s="179"/>
    </row>
    <row r="12" spans="2:6" ht="29.1" customHeight="1" x14ac:dyDescent="0.25">
      <c r="B12" s="60" t="s">
        <v>317</v>
      </c>
      <c r="C12" s="70"/>
      <c r="D12" s="67" t="s">
        <v>33</v>
      </c>
      <c r="E12" s="193"/>
      <c r="F12" s="179"/>
    </row>
    <row r="13" spans="2:6" ht="57.95" customHeight="1" x14ac:dyDescent="0.25">
      <c r="B13" s="67" t="s">
        <v>35</v>
      </c>
      <c r="C13" s="195"/>
      <c r="D13" s="187"/>
      <c r="E13" s="187"/>
      <c r="F13" s="179"/>
    </row>
    <row r="14" spans="2:6" ht="45.95" customHeight="1" x14ac:dyDescent="0.25">
      <c r="B14" s="67" t="s">
        <v>37</v>
      </c>
      <c r="C14" s="195"/>
      <c r="D14" s="187"/>
      <c r="E14" s="187"/>
      <c r="F14" s="179"/>
    </row>
    <row r="15" spans="2:6" ht="45.95" customHeight="1" x14ac:dyDescent="0.25">
      <c r="B15" s="184" t="s">
        <v>318</v>
      </c>
      <c r="C15" s="185"/>
      <c r="D15" s="185"/>
      <c r="E15" s="185"/>
      <c r="F15" s="176"/>
    </row>
    <row r="16" spans="2:6" ht="57.95" customHeight="1" x14ac:dyDescent="0.25">
      <c r="B16" s="60" t="s">
        <v>40</v>
      </c>
      <c r="C16" s="70"/>
      <c r="D16" s="67" t="s">
        <v>42</v>
      </c>
      <c r="E16" s="193"/>
      <c r="F16" s="179"/>
    </row>
    <row r="17" spans="2:6" ht="29.1" customHeight="1" x14ac:dyDescent="0.25">
      <c r="B17" s="60" t="s">
        <v>44</v>
      </c>
      <c r="C17" s="70"/>
      <c r="D17" s="67" t="s">
        <v>46</v>
      </c>
      <c r="E17" s="193"/>
      <c r="F17" s="179"/>
    </row>
    <row r="18" spans="2:6" ht="29.1" customHeight="1" x14ac:dyDescent="0.25">
      <c r="B18" s="60" t="s">
        <v>48</v>
      </c>
      <c r="C18" s="193"/>
      <c r="D18" s="187"/>
      <c r="E18" s="187"/>
      <c r="F18" s="179"/>
    </row>
    <row r="19" spans="2:6" x14ac:dyDescent="0.25">
      <c r="B19" s="60" t="s">
        <v>50</v>
      </c>
      <c r="C19" s="193"/>
      <c r="D19" s="187"/>
      <c r="E19" s="187"/>
      <c r="F19" s="179"/>
    </row>
    <row r="20" spans="2:6" x14ac:dyDescent="0.25">
      <c r="B20" s="60" t="s">
        <v>52</v>
      </c>
      <c r="C20" s="193"/>
      <c r="D20" s="187"/>
      <c r="E20" s="187"/>
      <c r="F20" s="179"/>
    </row>
    <row r="21" spans="2:6" x14ac:dyDescent="0.25">
      <c r="B21" s="212" t="s">
        <v>54</v>
      </c>
      <c r="C21" s="187"/>
      <c r="D21" s="187"/>
      <c r="E21" s="187"/>
      <c r="F21" s="179"/>
    </row>
    <row r="22" spans="2:6" ht="18" customHeight="1" x14ac:dyDescent="0.25">
      <c r="B22" s="196" t="s">
        <v>319</v>
      </c>
      <c r="C22" s="185"/>
      <c r="D22" s="185"/>
      <c r="E22" s="185"/>
      <c r="F22" s="176"/>
    </row>
    <row r="23" spans="2:6" ht="18" customHeight="1" x14ac:dyDescent="0.25">
      <c r="B23" s="9" t="s">
        <v>185</v>
      </c>
      <c r="C23" s="9" t="s">
        <v>186</v>
      </c>
      <c r="D23" s="9" t="s">
        <v>187</v>
      </c>
      <c r="E23" s="9" t="s">
        <v>188</v>
      </c>
      <c r="F23" s="9" t="s">
        <v>189</v>
      </c>
    </row>
    <row r="24" spans="2:6" ht="27.95" customHeight="1" x14ac:dyDescent="0.25">
      <c r="B24" s="72" t="s">
        <v>190</v>
      </c>
      <c r="C24" s="73" t="str">
        <f>IF(D24="","",0.3/SUMPRODUCT(($D$24:$D$30&lt;&gt;"")*{0.3;0.2;0.15;0.15;0.1;0.05;0.05}))</f>
        <v/>
      </c>
      <c r="D24" s="74" t="str">
        <f>IF(C44="",C43,C44)</f>
        <v/>
      </c>
      <c r="E24" s="75" t="str">
        <f t="shared" ref="E24:E30" si="0">IF(D24="","",(D24/5)*C24)</f>
        <v/>
      </c>
      <c r="F24" s="76" t="str">
        <f t="shared" ref="F24:F30" si="1">IF(D24="","",IF(D24&gt;=4,"Strong",IF(D24=3,"Developing","Needs Focus")))</f>
        <v/>
      </c>
    </row>
    <row r="25" spans="2:6" ht="27.95" customHeight="1" x14ac:dyDescent="0.25">
      <c r="B25" s="77" t="s">
        <v>192</v>
      </c>
      <c r="C25" s="78" t="str">
        <f>IF(D25="","",0.2/SUMPRODUCT(($D$24:$D$30&lt;&gt;"")*{0.3;0.2;0.15;0.15;0.1;0.05;0.05}))</f>
        <v/>
      </c>
      <c r="D25" s="79" t="str">
        <f>IF(C56="",C55,C56)</f>
        <v/>
      </c>
      <c r="E25" s="80" t="str">
        <f t="shared" si="0"/>
        <v/>
      </c>
      <c r="F25" s="81" t="str">
        <f t="shared" si="1"/>
        <v/>
      </c>
    </row>
    <row r="26" spans="2:6" ht="27.95" customHeight="1" x14ac:dyDescent="0.25">
      <c r="B26" s="72" t="s">
        <v>194</v>
      </c>
      <c r="C26" s="73" t="str">
        <f>IF(D26="","",0.15/SUMPRODUCT(($D$24:$D$30&lt;&gt;"")*{0.3;0.2;0.15;0.15;0.1;0.05;0.05}))</f>
        <v/>
      </c>
      <c r="D26" s="74" t="str">
        <f>IF(C70="",C69,C70)</f>
        <v/>
      </c>
      <c r="E26" s="75" t="str">
        <f t="shared" si="0"/>
        <v/>
      </c>
      <c r="F26" s="76" t="str">
        <f t="shared" si="1"/>
        <v/>
      </c>
    </row>
    <row r="27" spans="2:6" ht="27.95" customHeight="1" x14ac:dyDescent="0.25">
      <c r="B27" s="77" t="s">
        <v>196</v>
      </c>
      <c r="C27" s="78" t="str">
        <f>IF(D27="","",0.15/SUMPRODUCT(($D$24:$D$30&lt;&gt;"")*{0.3;0.2;0.15;0.15;0.1;0.05;0.05}))</f>
        <v/>
      </c>
      <c r="D27" s="79" t="str">
        <f>IF(C83="",C82,C83)</f>
        <v/>
      </c>
      <c r="E27" s="80" t="str">
        <f t="shared" si="0"/>
        <v/>
      </c>
      <c r="F27" s="81" t="str">
        <f t="shared" si="1"/>
        <v/>
      </c>
    </row>
    <row r="28" spans="2:6" ht="27.95" customHeight="1" x14ac:dyDescent="0.25">
      <c r="B28" s="72" t="s">
        <v>197</v>
      </c>
      <c r="C28" s="73" t="str">
        <f>IF(D28="","",0.1/SUMPRODUCT(($D$24:$D$30&lt;&gt;"")*{0.3;0.2;0.15;0.15;0.1;0.05;0.05}))</f>
        <v/>
      </c>
      <c r="D28" s="74" t="str">
        <f>IF(C94="",C93,C94)</f>
        <v/>
      </c>
      <c r="E28" s="75" t="str">
        <f t="shared" si="0"/>
        <v/>
      </c>
      <c r="F28" s="76" t="str">
        <f t="shared" si="1"/>
        <v/>
      </c>
    </row>
    <row r="29" spans="2:6" ht="27.95" customHeight="1" x14ac:dyDescent="0.25">
      <c r="B29" s="77" t="s">
        <v>199</v>
      </c>
      <c r="C29" s="78" t="str">
        <f>IF(D29="","",0.05/SUMPRODUCT(($D$24:$D$30&lt;&gt;"")*{0.3;0.2;0.15;0.15;0.1;0.05;0.05}))</f>
        <v/>
      </c>
      <c r="D29" s="79" t="str">
        <f>IF(C113="",C112,C113)</f>
        <v/>
      </c>
      <c r="E29" s="80" t="str">
        <f t="shared" si="0"/>
        <v/>
      </c>
      <c r="F29" s="81" t="str">
        <f t="shared" si="1"/>
        <v/>
      </c>
    </row>
    <row r="30" spans="2:6" ht="27.95" customHeight="1" x14ac:dyDescent="0.25">
      <c r="B30" s="72" t="s">
        <v>201</v>
      </c>
      <c r="C30" s="73" t="str">
        <f>IF(D30="","",0.05/SUMPRODUCT(($D$24:$D$30&lt;&gt;"")*{0.3;0.2;0.15;0.15;0.1;0.05;0.05}))</f>
        <v/>
      </c>
      <c r="D30" s="74" t="str">
        <f>IF(C126="",C125,C126)</f>
        <v/>
      </c>
      <c r="E30" s="75" t="str">
        <f t="shared" si="0"/>
        <v/>
      </c>
      <c r="F30" s="76" t="str">
        <f t="shared" si="1"/>
        <v/>
      </c>
    </row>
    <row r="31" spans="2:6" ht="24" customHeight="1" x14ac:dyDescent="0.25">
      <c r="B31" s="71" t="s">
        <v>202</v>
      </c>
      <c r="C31" s="82">
        <f>SUM(C24:C30)</f>
        <v>0</v>
      </c>
      <c r="D31" s="83"/>
      <c r="E31" s="84" t="str">
        <f>IF(AND(COUNT(D24:D30)=0,NOT(OR(C152="No",C153="No",C154="No",COUNTIF(C156:C166,"Yes")&gt;0))),"",IF(OR(C152="No",C153="No",C154="No",COUNTIF(C156:C166,"Yes")&gt;0),0,SUM(E24:E30)))</f>
        <v/>
      </c>
      <c r="F31" s="85" t="str">
        <f>IF(E31="","",IF(OR(C152="No",C153="No",C154="No",COUNTIF(C156:C166,"Yes")&gt;0),"AUTO-ZERO (0%)",IF(E31&gt;=0.85,"MEETS / EXCEEDS",IF(E31&gt;=0.7,"DEVELOPING","NEEDS IMPROVEMENT"))))</f>
        <v/>
      </c>
    </row>
    <row r="32" spans="2:6" ht="24" customHeight="1" x14ac:dyDescent="0.25">
      <c r="B32" s="196" t="s">
        <v>320</v>
      </c>
      <c r="C32" s="185"/>
      <c r="D32" s="185"/>
      <c r="E32" s="185"/>
      <c r="F32" s="176"/>
    </row>
    <row r="33" spans="2:8" ht="18" customHeight="1" x14ac:dyDescent="0.25">
      <c r="B33" s="184" t="s">
        <v>57</v>
      </c>
      <c r="C33" s="185"/>
      <c r="D33" s="185"/>
      <c r="E33" s="176"/>
      <c r="F33" s="5" t="s">
        <v>58</v>
      </c>
    </row>
    <row r="34" spans="2:8" ht="27.95" customHeight="1" x14ac:dyDescent="0.25">
      <c r="B34" s="186" t="s">
        <v>59</v>
      </c>
      <c r="C34" s="187"/>
      <c r="D34" s="187"/>
      <c r="E34" s="187"/>
      <c r="F34" s="179"/>
    </row>
    <row r="35" spans="2:8" ht="18" customHeight="1" x14ac:dyDescent="0.25">
      <c r="B35" s="60" t="s">
        <v>60</v>
      </c>
      <c r="C35" s="86" t="s">
        <v>61</v>
      </c>
      <c r="D35" s="212" t="s">
        <v>62</v>
      </c>
      <c r="E35" s="187"/>
      <c r="F35" s="179"/>
      <c r="H35" s="137" t="s">
        <v>321</v>
      </c>
    </row>
    <row r="36" spans="2:8" ht="27.95" customHeight="1" x14ac:dyDescent="0.25">
      <c r="B36" s="61" t="s">
        <v>63</v>
      </c>
      <c r="C36" s="87"/>
      <c r="D36" s="192"/>
      <c r="E36" s="187"/>
      <c r="F36" s="179"/>
      <c r="H36" s="144">
        <v>3</v>
      </c>
    </row>
    <row r="37" spans="2:8" ht="27.95" customHeight="1" x14ac:dyDescent="0.25">
      <c r="B37" s="88" t="s">
        <v>66</v>
      </c>
      <c r="C37" s="87"/>
      <c r="D37" s="191"/>
      <c r="E37" s="187"/>
      <c r="F37" s="179"/>
      <c r="H37" s="144">
        <v>2</v>
      </c>
    </row>
    <row r="38" spans="2:8" ht="27.95" customHeight="1" x14ac:dyDescent="0.25">
      <c r="B38" s="61" t="s">
        <v>69</v>
      </c>
      <c r="C38" s="87"/>
      <c r="D38" s="192"/>
      <c r="E38" s="187"/>
      <c r="F38" s="179"/>
      <c r="H38" s="144">
        <v>1</v>
      </c>
    </row>
    <row r="39" spans="2:8" ht="27.95" customHeight="1" x14ac:dyDescent="0.25">
      <c r="B39" s="88" t="s">
        <v>71</v>
      </c>
      <c r="C39" s="87"/>
      <c r="D39" s="191"/>
      <c r="E39" s="187"/>
      <c r="F39" s="179"/>
      <c r="H39" s="144">
        <v>2</v>
      </c>
    </row>
    <row r="40" spans="2:8" ht="27.95" customHeight="1" x14ac:dyDescent="0.25">
      <c r="B40" s="172" t="s">
        <v>912</v>
      </c>
      <c r="C40" s="173"/>
      <c r="D40" s="174"/>
      <c r="E40" s="167"/>
      <c r="F40" s="168"/>
      <c r="H40" s="144">
        <v>2</v>
      </c>
    </row>
    <row r="41" spans="2:8" ht="27.95" customHeight="1" x14ac:dyDescent="0.25">
      <c r="B41" s="172" t="s">
        <v>913</v>
      </c>
      <c r="C41" s="173"/>
      <c r="D41" s="174"/>
      <c r="E41" s="167"/>
      <c r="F41" s="168"/>
      <c r="H41" s="144">
        <v>2</v>
      </c>
    </row>
    <row r="42" spans="2:8" ht="27.95" customHeight="1" x14ac:dyDescent="0.25">
      <c r="B42" s="198" t="s">
        <v>73</v>
      </c>
      <c r="C42" s="187"/>
      <c r="D42" s="187"/>
      <c r="E42" s="187"/>
      <c r="F42" s="179"/>
    </row>
    <row r="43" spans="2:8" ht="27.95" customHeight="1" x14ac:dyDescent="0.25">
      <c r="B43" s="89" t="s">
        <v>74</v>
      </c>
      <c r="C43" s="90" t="str">
        <f>IF(SUMPRODUCT(((C36:C41="Met")+(C36:C41="Partial")+(C36:C41="Missed"))*H36:H41)=0,"",ROUND((5*SUMPRODUCT((C36:C41="Met")*H36:H41)+2.5*SUMPRODUCT((C36:C41="Partial")*H36:H41))/SUMPRODUCT(((C36:C41="Met")+(C36:C41="Partial")+(C36:C41="Missed"))*H36:H41),1))</f>
        <v/>
      </c>
      <c r="D43" s="190"/>
      <c r="E43" s="187"/>
      <c r="F43" s="179"/>
    </row>
    <row r="44" spans="2:8" ht="24" customHeight="1" x14ac:dyDescent="0.25">
      <c r="B44" s="62" t="s">
        <v>322</v>
      </c>
      <c r="C44" s="91"/>
      <c r="D44" s="206" t="str">
        <f>IF(IF(C44="",C43,C44)="","← rate the indicators above (auto-scores), or type an override",CHOOSE(IF(C44="",C43,C44)+1,"Agent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44" s="187"/>
      <c r="F44" s="179"/>
    </row>
    <row r="45" spans="2:8" ht="36" customHeight="1" x14ac:dyDescent="0.25">
      <c r="B45" s="139" t="s">
        <v>76</v>
      </c>
      <c r="C45" s="195"/>
      <c r="D45" s="187"/>
      <c r="E45" s="187"/>
      <c r="F45" s="179"/>
    </row>
    <row r="46" spans="2:8" ht="18" customHeight="1" x14ac:dyDescent="0.25">
      <c r="B46" s="184" t="s">
        <v>80</v>
      </c>
      <c r="C46" s="185"/>
      <c r="D46" s="185"/>
      <c r="E46" s="176"/>
      <c r="F46" s="5" t="s">
        <v>81</v>
      </c>
    </row>
    <row r="47" spans="2:8" ht="27.95" customHeight="1" x14ac:dyDescent="0.25">
      <c r="B47" s="186" t="s">
        <v>82</v>
      </c>
      <c r="C47" s="187"/>
      <c r="D47" s="187"/>
      <c r="E47" s="187"/>
      <c r="F47" s="179"/>
    </row>
    <row r="48" spans="2:8" ht="36" customHeight="1" x14ac:dyDescent="0.25">
      <c r="B48" s="60" t="s">
        <v>60</v>
      </c>
      <c r="C48" s="86" t="s">
        <v>61</v>
      </c>
      <c r="D48" s="212" t="s">
        <v>62</v>
      </c>
      <c r="E48" s="187"/>
      <c r="F48" s="179"/>
      <c r="H48" s="137" t="s">
        <v>321</v>
      </c>
    </row>
    <row r="49" spans="2:8" ht="27.95" customHeight="1" x14ac:dyDescent="0.25">
      <c r="B49" s="61" t="s">
        <v>83</v>
      </c>
      <c r="C49" s="87"/>
      <c r="D49" s="192"/>
      <c r="E49" s="187"/>
      <c r="F49" s="179"/>
      <c r="H49" s="144">
        <v>3</v>
      </c>
    </row>
    <row r="50" spans="2:8" ht="27.95" customHeight="1" x14ac:dyDescent="0.25">
      <c r="B50" s="88" t="s">
        <v>85</v>
      </c>
      <c r="C50" s="87"/>
      <c r="D50" s="191"/>
      <c r="E50" s="187"/>
      <c r="F50" s="179"/>
      <c r="H50" s="144">
        <v>3</v>
      </c>
    </row>
    <row r="51" spans="2:8" ht="27.95" customHeight="1" x14ac:dyDescent="0.25">
      <c r="B51" s="61" t="s">
        <v>87</v>
      </c>
      <c r="C51" s="87"/>
      <c r="D51" s="192"/>
      <c r="E51" s="187"/>
      <c r="F51" s="179"/>
      <c r="H51" s="144">
        <v>1</v>
      </c>
    </row>
    <row r="52" spans="2:8" ht="27.95" customHeight="1" x14ac:dyDescent="0.25">
      <c r="B52" s="61" t="s">
        <v>89</v>
      </c>
      <c r="C52" s="87"/>
      <c r="D52" s="61"/>
      <c r="H52" s="144">
        <v>1</v>
      </c>
    </row>
    <row r="53" spans="2:8" ht="27.95" customHeight="1" x14ac:dyDescent="0.25">
      <c r="B53" s="61" t="s">
        <v>91</v>
      </c>
      <c r="C53" s="87"/>
      <c r="D53" s="192"/>
      <c r="E53" s="187"/>
      <c r="F53" s="179"/>
      <c r="H53" s="144">
        <v>2</v>
      </c>
    </row>
    <row r="54" spans="2:8" ht="27.95" customHeight="1" x14ac:dyDescent="0.25">
      <c r="B54" s="198" t="s">
        <v>93</v>
      </c>
      <c r="C54" s="187"/>
      <c r="D54" s="187"/>
      <c r="E54" s="187"/>
      <c r="F54" s="179"/>
    </row>
    <row r="55" spans="2:8" ht="27.95" customHeight="1" x14ac:dyDescent="0.25">
      <c r="B55" s="89" t="s">
        <v>74</v>
      </c>
      <c r="C55" s="90" t="str">
        <f>IF(SUMPRODUCT(((C49:C53="Met")+(C49:C53="Partial")+(C49:C53="Missed"))*H49:H53)=0,"",ROUND((5*SUMPRODUCT((C49:C53="Met")*H49:H53)+2.5*SUMPRODUCT((C49:C53="Partial")*H49:H53))/SUMPRODUCT(((C49:C53="Met")+(C49:C53="Partial")+(C49:C53="Missed"))*H49:H53),0))</f>
        <v/>
      </c>
      <c r="D55" s="190"/>
      <c r="E55" s="187"/>
      <c r="F55" s="179"/>
    </row>
    <row r="56" spans="2:8" ht="24" customHeight="1" x14ac:dyDescent="0.25">
      <c r="B56" s="62" t="s">
        <v>322</v>
      </c>
      <c r="C56" s="91"/>
      <c r="D56" s="206" t="str">
        <f>IF(IF(C56="",C55,C56)="","← rate the indicators above (auto-scores), or type an override",CHOOSE(IF(C56="",C55,C56)+1,"Agent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56" s="187"/>
      <c r="F56" s="179"/>
    </row>
    <row r="57" spans="2:8" ht="36" customHeight="1" x14ac:dyDescent="0.25">
      <c r="B57" s="139" t="s">
        <v>76</v>
      </c>
      <c r="C57" s="195"/>
      <c r="D57" s="187"/>
      <c r="E57" s="187"/>
      <c r="F57" s="179"/>
    </row>
    <row r="58" spans="2:8" ht="18" customHeight="1" x14ac:dyDescent="0.25">
      <c r="B58" s="184" t="s">
        <v>95</v>
      </c>
      <c r="C58" s="185"/>
      <c r="D58" s="185"/>
      <c r="E58" s="176"/>
      <c r="F58" s="5" t="s">
        <v>96</v>
      </c>
    </row>
    <row r="59" spans="2:8" ht="27.95" customHeight="1" x14ac:dyDescent="0.25">
      <c r="B59" s="186" t="s">
        <v>97</v>
      </c>
      <c r="C59" s="187"/>
      <c r="D59" s="187"/>
      <c r="E59" s="187"/>
      <c r="F59" s="179"/>
    </row>
    <row r="60" spans="2:8" ht="24" customHeight="1" x14ac:dyDescent="0.25">
      <c r="B60" s="60" t="s">
        <v>60</v>
      </c>
      <c r="C60" s="86" t="s">
        <v>61</v>
      </c>
      <c r="D60" s="212" t="s">
        <v>62</v>
      </c>
      <c r="E60" s="187"/>
      <c r="F60" s="179"/>
      <c r="H60" s="137" t="s">
        <v>321</v>
      </c>
    </row>
    <row r="61" spans="2:8" ht="27.95" customHeight="1" x14ac:dyDescent="0.25">
      <c r="B61" s="61" t="s">
        <v>98</v>
      </c>
      <c r="C61" s="87"/>
      <c r="D61" s="192"/>
      <c r="E61" s="187"/>
      <c r="F61" s="179"/>
      <c r="H61" s="144">
        <v>1</v>
      </c>
    </row>
    <row r="62" spans="2:8" ht="27.95" customHeight="1" x14ac:dyDescent="0.25">
      <c r="B62" s="88" t="s">
        <v>100</v>
      </c>
      <c r="C62" s="87"/>
      <c r="D62" s="191"/>
      <c r="E62" s="187"/>
      <c r="F62" s="179"/>
      <c r="H62" s="144">
        <v>3</v>
      </c>
    </row>
    <row r="63" spans="2:8" ht="27.95" customHeight="1" x14ac:dyDescent="0.25">
      <c r="B63" s="61" t="s">
        <v>102</v>
      </c>
      <c r="C63" s="87"/>
      <c r="D63" s="192"/>
      <c r="E63" s="187"/>
      <c r="F63" s="179"/>
      <c r="H63" s="144">
        <v>2</v>
      </c>
    </row>
    <row r="64" spans="2:8" ht="27.95" customHeight="1" x14ac:dyDescent="0.25">
      <c r="B64" s="88" t="s">
        <v>104</v>
      </c>
      <c r="C64" s="87"/>
      <c r="D64" s="191"/>
      <c r="E64" s="187"/>
      <c r="F64" s="179"/>
      <c r="H64" s="144">
        <v>3</v>
      </c>
    </row>
    <row r="65" spans="2:8" ht="27.95" customHeight="1" x14ac:dyDescent="0.25">
      <c r="B65" s="88" t="s">
        <v>106</v>
      </c>
      <c r="C65" s="87"/>
      <c r="D65" s="191"/>
      <c r="E65" s="187"/>
      <c r="F65" s="179"/>
      <c r="H65" s="144">
        <v>1</v>
      </c>
    </row>
    <row r="66" spans="2:8" ht="27.95" customHeight="1" x14ac:dyDescent="0.25">
      <c r="B66" s="61" t="s">
        <v>108</v>
      </c>
      <c r="C66" s="87"/>
      <c r="D66" s="192"/>
      <c r="E66" s="187"/>
      <c r="F66" s="179"/>
      <c r="H66" s="144">
        <v>1</v>
      </c>
    </row>
    <row r="67" spans="2:8" ht="27.95" customHeight="1" x14ac:dyDescent="0.25">
      <c r="B67" s="88" t="s">
        <v>110</v>
      </c>
      <c r="C67" s="87"/>
      <c r="D67" s="191"/>
      <c r="E67" s="187"/>
      <c r="F67" s="179"/>
      <c r="H67" s="144">
        <v>1</v>
      </c>
    </row>
    <row r="68" spans="2:8" ht="27.95" customHeight="1" x14ac:dyDescent="0.25">
      <c r="B68" s="198" t="s">
        <v>113</v>
      </c>
      <c r="C68" s="187"/>
      <c r="D68" s="187"/>
      <c r="E68" s="187"/>
      <c r="F68" s="179"/>
    </row>
    <row r="69" spans="2:8" ht="27.95" customHeight="1" x14ac:dyDescent="0.25">
      <c r="B69" s="89" t="s">
        <v>74</v>
      </c>
      <c r="C69" s="90" t="str">
        <f>IF(SUMPRODUCT(((C61:C67="Met")+(C61:C67="Partial")+(C61:C67="Missed"))*H61:H67)=0,"",ROUND((5*SUMPRODUCT((C61:C67="Met")*H61:H67)+2.5*SUMPRODUCT((C61:C67="Partial")*H61:H67))/SUMPRODUCT(((C61:C67="Met")+(C61:C67="Partial")+(C61:C67="Missed"))*H61:H67),0))</f>
        <v/>
      </c>
      <c r="D69" s="190"/>
      <c r="E69" s="187"/>
      <c r="F69" s="179"/>
    </row>
    <row r="70" spans="2:8" ht="24" customHeight="1" x14ac:dyDescent="0.25">
      <c r="B70" s="62" t="s">
        <v>322</v>
      </c>
      <c r="C70" s="91"/>
      <c r="D70" s="206" t="str">
        <f>IF(IF(C70="",C69,C70)="","← rate the indicators above (auto-scores), or type an override",CHOOSE(IF(C70="",C69,C70)+1,"Agent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0" s="187"/>
      <c r="F70" s="179"/>
    </row>
    <row r="71" spans="2:8" ht="36" customHeight="1" x14ac:dyDescent="0.25">
      <c r="B71" s="139" t="s">
        <v>76</v>
      </c>
      <c r="C71" s="195"/>
      <c r="D71" s="187"/>
      <c r="E71" s="187"/>
      <c r="F71" s="179"/>
    </row>
    <row r="72" spans="2:8" ht="18" customHeight="1" x14ac:dyDescent="0.25">
      <c r="B72" s="184" t="s">
        <v>116</v>
      </c>
      <c r="C72" s="185"/>
      <c r="D72" s="185"/>
      <c r="E72" s="176"/>
      <c r="F72" s="5" t="s">
        <v>96</v>
      </c>
    </row>
    <row r="73" spans="2:8" ht="27.95" customHeight="1" x14ac:dyDescent="0.25">
      <c r="B73" s="186" t="s">
        <v>117</v>
      </c>
      <c r="C73" s="187"/>
      <c r="D73" s="187"/>
      <c r="E73" s="187"/>
      <c r="F73" s="179"/>
    </row>
    <row r="74" spans="2:8" ht="24" customHeight="1" x14ac:dyDescent="0.25">
      <c r="B74" s="60" t="s">
        <v>60</v>
      </c>
      <c r="C74" s="86" t="s">
        <v>61</v>
      </c>
      <c r="D74" s="212" t="s">
        <v>62</v>
      </c>
      <c r="E74" s="187"/>
      <c r="F74" s="179"/>
      <c r="H74" s="137" t="s">
        <v>321</v>
      </c>
    </row>
    <row r="75" spans="2:8" ht="27.95" customHeight="1" x14ac:dyDescent="0.25">
      <c r="B75" s="61" t="s">
        <v>118</v>
      </c>
      <c r="C75" s="87"/>
      <c r="D75" s="192"/>
      <c r="E75" s="187"/>
      <c r="F75" s="179"/>
      <c r="H75" s="144">
        <v>3</v>
      </c>
    </row>
    <row r="76" spans="2:8" ht="27.95" customHeight="1" x14ac:dyDescent="0.25">
      <c r="B76" s="61" t="s">
        <v>120</v>
      </c>
      <c r="C76" s="87"/>
      <c r="D76" s="192"/>
      <c r="E76" s="187"/>
      <c r="F76" s="179"/>
      <c r="H76" s="144">
        <v>2</v>
      </c>
    </row>
    <row r="77" spans="2:8" ht="27.95" customHeight="1" x14ac:dyDescent="0.25">
      <c r="B77" s="100" t="s">
        <v>122</v>
      </c>
      <c r="C77" s="129"/>
      <c r="D77" s="191"/>
      <c r="E77" s="187"/>
      <c r="F77" s="179"/>
      <c r="H77" s="144">
        <v>2</v>
      </c>
    </row>
    <row r="78" spans="2:8" ht="27.95" customHeight="1" x14ac:dyDescent="0.25">
      <c r="B78" s="130" t="s">
        <v>124</v>
      </c>
      <c r="C78" s="129"/>
      <c r="D78" s="200"/>
      <c r="E78" s="187"/>
      <c r="F78" s="179"/>
      <c r="H78" s="144">
        <v>1</v>
      </c>
    </row>
    <row r="79" spans="2:8" ht="27.95" customHeight="1" x14ac:dyDescent="0.25">
      <c r="B79" s="169" t="s">
        <v>914</v>
      </c>
      <c r="C79" s="170"/>
      <c r="D79" s="171"/>
      <c r="E79" s="167"/>
      <c r="F79" s="168"/>
      <c r="H79" s="144">
        <v>2</v>
      </c>
    </row>
    <row r="80" spans="2:8" ht="27.95" customHeight="1" x14ac:dyDescent="0.25">
      <c r="B80" s="169" t="s">
        <v>915</v>
      </c>
      <c r="C80" s="170"/>
      <c r="D80" s="171"/>
      <c r="E80" s="167"/>
      <c r="F80" s="168"/>
      <c r="H80" s="144">
        <v>2</v>
      </c>
    </row>
    <row r="81" spans="2:8" ht="27.95" customHeight="1" x14ac:dyDescent="0.25">
      <c r="B81" s="203" t="s">
        <v>126</v>
      </c>
      <c r="C81" s="187"/>
      <c r="D81" s="187"/>
      <c r="E81" s="187"/>
      <c r="F81" s="179"/>
    </row>
    <row r="82" spans="2:8" ht="27.95" customHeight="1" x14ac:dyDescent="0.25">
      <c r="B82" s="131" t="s">
        <v>74</v>
      </c>
      <c r="C82" s="132" t="str">
        <f>IF(SUMPRODUCT(((C75:C80="Met")+(C75:C80="Partial")+(C75:C80="Missed"))*H75:H80)=0,"",ROUND((5*SUMPRODUCT((C75:C80="Met")*H75:H80)+2.5*SUMPRODUCT((C75:C80="Partial")*H75:H80))/SUMPRODUCT(((C75:C80="Met")+(C75:C80="Partial")+(C75:C80="Missed"))*H75:H80),1))</f>
        <v/>
      </c>
      <c r="D82" s="190"/>
      <c r="E82" s="187"/>
      <c r="F82" s="179"/>
    </row>
    <row r="83" spans="2:8" ht="24" customHeight="1" x14ac:dyDescent="0.25">
      <c r="B83" s="133" t="s">
        <v>322</v>
      </c>
      <c r="C83" s="134"/>
      <c r="D83" s="206" t="str">
        <f>IF(IF(C83="",C82,C83)="","← rate the indicators above (auto-scores), or type an override",CHOOSE(IF(C83="",C82,C83)+1,"Agent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83" s="187"/>
      <c r="F83" s="179"/>
    </row>
    <row r="84" spans="2:8" ht="36" customHeight="1" x14ac:dyDescent="0.25">
      <c r="B84" s="140" t="s">
        <v>76</v>
      </c>
      <c r="C84" s="197"/>
      <c r="D84" s="187"/>
      <c r="E84" s="187"/>
      <c r="F84" s="179"/>
    </row>
    <row r="85" spans="2:8" ht="18" customHeight="1" x14ac:dyDescent="0.25">
      <c r="B85" s="184" t="s">
        <v>129</v>
      </c>
      <c r="C85" s="185"/>
      <c r="D85" s="185"/>
      <c r="E85" s="176"/>
      <c r="F85" s="5" t="s">
        <v>130</v>
      </c>
    </row>
    <row r="86" spans="2:8" ht="27.95" customHeight="1" x14ac:dyDescent="0.25">
      <c r="B86" s="186" t="s">
        <v>131</v>
      </c>
      <c r="C86" s="187"/>
      <c r="D86" s="187"/>
      <c r="E86" s="187"/>
      <c r="F86" s="179"/>
    </row>
    <row r="87" spans="2:8" ht="18" customHeight="1" x14ac:dyDescent="0.25">
      <c r="B87" s="136" t="s">
        <v>60</v>
      </c>
      <c r="C87" s="137" t="s">
        <v>61</v>
      </c>
      <c r="D87" s="194" t="s">
        <v>62</v>
      </c>
      <c r="E87" s="187"/>
      <c r="F87" s="179"/>
      <c r="H87" s="137" t="s">
        <v>321</v>
      </c>
    </row>
    <row r="88" spans="2:8" ht="27.95" customHeight="1" x14ac:dyDescent="0.25">
      <c r="B88" s="130" t="s">
        <v>132</v>
      </c>
      <c r="C88" s="129"/>
      <c r="D88" s="200"/>
      <c r="E88" s="187"/>
      <c r="F88" s="179"/>
      <c r="H88" s="144">
        <v>3</v>
      </c>
    </row>
    <row r="89" spans="2:8" ht="27.95" customHeight="1" x14ac:dyDescent="0.25">
      <c r="B89" s="100" t="s">
        <v>916</v>
      </c>
      <c r="C89" s="129"/>
      <c r="D89" s="191"/>
      <c r="E89" s="187"/>
      <c r="F89" s="179"/>
      <c r="H89" s="144">
        <v>2</v>
      </c>
    </row>
    <row r="90" spans="2:8" ht="27.95" customHeight="1" x14ac:dyDescent="0.25">
      <c r="B90" s="130" t="s">
        <v>136</v>
      </c>
      <c r="C90" s="129"/>
      <c r="D90" s="200"/>
      <c r="E90" s="187"/>
      <c r="F90" s="179"/>
      <c r="H90" s="144">
        <v>3</v>
      </c>
    </row>
    <row r="91" spans="2:8" ht="27.95" customHeight="1" x14ac:dyDescent="0.25">
      <c r="B91" s="130" t="s">
        <v>138</v>
      </c>
      <c r="C91" s="129"/>
      <c r="D91" s="200"/>
      <c r="E91" s="187"/>
      <c r="F91" s="179"/>
      <c r="H91" s="144">
        <v>1</v>
      </c>
    </row>
    <row r="92" spans="2:8" ht="27.95" customHeight="1" x14ac:dyDescent="0.25">
      <c r="B92" s="203" t="s">
        <v>140</v>
      </c>
      <c r="C92" s="187"/>
      <c r="D92" s="187"/>
      <c r="E92" s="187"/>
      <c r="F92" s="179"/>
    </row>
    <row r="93" spans="2:8" ht="27.95" customHeight="1" x14ac:dyDescent="0.25">
      <c r="B93" s="131" t="s">
        <v>74</v>
      </c>
      <c r="C93" s="132" t="str">
        <f>IF(SUMPRODUCT(((C88:C91="Met")+(C88:C91="Partial")+(C88:C91="Missed"))*H88:H91)=0,"",ROUND((5*SUMPRODUCT((C88:C91="Met")*H88:H91)+2.5*SUMPRODUCT((C88:C91="Partial")*H88:H91))/SUMPRODUCT(((C88:C91="Met")+(C88:C91="Partial")+(C88:C91="Missed"))*H88:H91),0))</f>
        <v/>
      </c>
      <c r="D93" s="190"/>
      <c r="E93" s="187"/>
      <c r="F93" s="179"/>
    </row>
    <row r="94" spans="2:8" ht="24" customHeight="1" x14ac:dyDescent="0.25">
      <c r="B94" s="133" t="s">
        <v>322</v>
      </c>
      <c r="C94" s="134"/>
      <c r="D94" s="206" t="str">
        <f>IF(IF(C94="",C93,C94)="","← rate the indicators above (auto-scores), or type an override",CHOOSE(IF(C94="",C93,C94)+1,"Agent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94" s="187"/>
      <c r="F94" s="179"/>
    </row>
    <row r="95" spans="2:8" ht="36" customHeight="1" x14ac:dyDescent="0.25">
      <c r="B95" s="140" t="s">
        <v>76</v>
      </c>
      <c r="C95" s="197"/>
      <c r="D95" s="187"/>
      <c r="E95" s="187"/>
      <c r="F95" s="179"/>
    </row>
    <row r="96" spans="2:8" ht="20.100000000000001" customHeight="1" x14ac:dyDescent="0.25">
      <c r="B96" s="184" t="s">
        <v>143</v>
      </c>
      <c r="C96" s="185"/>
      <c r="D96" s="185"/>
      <c r="E96" s="185"/>
      <c r="F96" s="176"/>
    </row>
    <row r="97" spans="2:8" ht="20.100000000000001" customHeight="1" x14ac:dyDescent="0.25">
      <c r="B97" s="217" t="s">
        <v>144</v>
      </c>
      <c r="C97" s="218"/>
      <c r="D97" s="101"/>
      <c r="F97" s="5"/>
    </row>
    <row r="98" spans="2:8" ht="45" customHeight="1" x14ac:dyDescent="0.25">
      <c r="B98" s="219"/>
      <c r="C98" s="220"/>
      <c r="D98" s="102"/>
      <c r="F98" s="5"/>
    </row>
    <row r="99" spans="2:8" ht="18" customHeight="1" x14ac:dyDescent="0.25">
      <c r="B99" s="184" t="s">
        <v>146</v>
      </c>
      <c r="C99" s="185"/>
      <c r="D99" s="185"/>
      <c r="E99" s="185"/>
      <c r="F99" s="176"/>
    </row>
    <row r="100" spans="2:8" ht="27.95" customHeight="1" x14ac:dyDescent="0.25">
      <c r="B100" s="133" t="s">
        <v>147</v>
      </c>
      <c r="C100" s="205"/>
      <c r="D100" s="187"/>
      <c r="E100" s="187"/>
      <c r="F100" s="179"/>
    </row>
    <row r="101" spans="2:8" ht="27.95" customHeight="1" x14ac:dyDescent="0.25">
      <c r="B101" s="133" t="s">
        <v>149</v>
      </c>
      <c r="C101" s="205"/>
      <c r="D101" s="187"/>
      <c r="E101" s="187"/>
      <c r="F101" s="179"/>
    </row>
    <row r="102" spans="2:8" ht="27.95" customHeight="1" x14ac:dyDescent="0.25">
      <c r="B102" s="133" t="s">
        <v>150</v>
      </c>
      <c r="C102" s="205"/>
      <c r="D102" s="187"/>
      <c r="E102" s="187"/>
      <c r="F102" s="179"/>
    </row>
    <row r="103" spans="2:8" ht="18" customHeight="1" x14ac:dyDescent="0.25">
      <c r="B103" s="184" t="s">
        <v>151</v>
      </c>
      <c r="C103" s="185"/>
      <c r="D103" s="185"/>
      <c r="E103" s="176"/>
      <c r="F103" s="5" t="s">
        <v>152</v>
      </c>
    </row>
    <row r="104" spans="2:8" ht="27.95" customHeight="1" x14ac:dyDescent="0.25">
      <c r="B104" s="186" t="s">
        <v>153</v>
      </c>
      <c r="C104" s="187"/>
      <c r="D104" s="187"/>
      <c r="E104" s="187"/>
      <c r="F104" s="179"/>
    </row>
    <row r="105" spans="2:8" ht="27.95" customHeight="1" x14ac:dyDescent="0.25">
      <c r="B105" s="136" t="s">
        <v>60</v>
      </c>
      <c r="C105" s="137" t="s">
        <v>61</v>
      </c>
      <c r="D105" s="194" t="s">
        <v>62</v>
      </c>
      <c r="E105" s="187"/>
      <c r="F105" s="179"/>
      <c r="H105" s="137" t="s">
        <v>321</v>
      </c>
    </row>
    <row r="106" spans="2:8" ht="27.95" customHeight="1" x14ac:dyDescent="0.25">
      <c r="B106" s="130" t="s">
        <v>154</v>
      </c>
      <c r="C106" s="129"/>
      <c r="D106" s="200"/>
      <c r="E106" s="187"/>
      <c r="F106" s="179"/>
      <c r="H106" s="144">
        <v>2</v>
      </c>
    </row>
    <row r="107" spans="2:8" ht="27.95" customHeight="1" x14ac:dyDescent="0.25">
      <c r="B107" s="100" t="s">
        <v>156</v>
      </c>
      <c r="C107" s="129"/>
      <c r="D107" s="191"/>
      <c r="E107" s="187"/>
      <c r="F107" s="179"/>
      <c r="H107" s="144">
        <v>3</v>
      </c>
    </row>
    <row r="108" spans="2:8" ht="27.95" customHeight="1" x14ac:dyDescent="0.25">
      <c r="B108" s="130" t="s">
        <v>158</v>
      </c>
      <c r="C108" s="129"/>
      <c r="D108" s="200"/>
      <c r="E108" s="187"/>
      <c r="F108" s="179"/>
      <c r="H108" s="144">
        <v>1</v>
      </c>
    </row>
    <row r="109" spans="2:8" ht="27.95" customHeight="1" x14ac:dyDescent="0.25">
      <c r="B109" s="130" t="s">
        <v>160</v>
      </c>
      <c r="C109" s="129"/>
      <c r="D109" s="200"/>
      <c r="E109" s="187"/>
      <c r="F109" s="179"/>
      <c r="H109" s="144">
        <v>1</v>
      </c>
    </row>
    <row r="110" spans="2:8" ht="27.95" customHeight="1" x14ac:dyDescent="0.25">
      <c r="B110" s="100" t="s">
        <v>162</v>
      </c>
      <c r="C110" s="129"/>
      <c r="D110" s="191"/>
      <c r="E110" s="187"/>
      <c r="F110" s="179"/>
      <c r="H110" s="144">
        <v>2</v>
      </c>
    </row>
    <row r="111" spans="2:8" ht="27.95" customHeight="1" x14ac:dyDescent="0.25">
      <c r="B111" s="203" t="s">
        <v>164</v>
      </c>
      <c r="C111" s="187"/>
      <c r="D111" s="187"/>
      <c r="E111" s="187"/>
      <c r="F111" s="179"/>
    </row>
    <row r="112" spans="2:8" ht="27.95" customHeight="1" x14ac:dyDescent="0.25">
      <c r="B112" s="131" t="s">
        <v>74</v>
      </c>
      <c r="C112" s="132" t="str">
        <f>IF(SUMPRODUCT(((C106:C110="Met")+(C106:C110="Partial")+(C106:C110="Missed"))*H106:H110)=0,"",ROUND((5*SUMPRODUCT((C106:C110="Met")*H106:H110)+2.5*SUMPRODUCT((C106:C110="Partial")*H106:H110))/SUMPRODUCT(((C106:C110="Met")+(C106:C110="Partial")+(C106:C110="Missed"))*H106:H110),0))</f>
        <v/>
      </c>
      <c r="D112" s="190"/>
      <c r="E112" s="187"/>
      <c r="F112" s="179"/>
    </row>
    <row r="113" spans="2:8" ht="24" customHeight="1" x14ac:dyDescent="0.25">
      <c r="B113" s="133" t="s">
        <v>322</v>
      </c>
      <c r="C113" s="134"/>
      <c r="D113" s="206" t="str">
        <f>IF(IF(C113="",C112,C113)="","← rate the indicators above (auto-scores), or type an override",CHOOSE(IF(C113="",C112,C113)+1,"Agent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13" s="187"/>
      <c r="F113" s="179"/>
    </row>
    <row r="114" spans="2:8" ht="36" customHeight="1" x14ac:dyDescent="0.25">
      <c r="B114" s="140" t="s">
        <v>76</v>
      </c>
      <c r="C114" s="197"/>
      <c r="D114" s="187"/>
      <c r="E114" s="187"/>
      <c r="F114" s="179"/>
    </row>
    <row r="115" spans="2:8" ht="18" customHeight="1" x14ac:dyDescent="0.25">
      <c r="B115" s="184" t="s">
        <v>167</v>
      </c>
      <c r="C115" s="185"/>
      <c r="D115" s="185"/>
      <c r="E115" s="176"/>
      <c r="F115" s="5" t="s">
        <v>152</v>
      </c>
    </row>
    <row r="116" spans="2:8" ht="27.95" customHeight="1" x14ac:dyDescent="0.25">
      <c r="B116" s="186" t="s">
        <v>168</v>
      </c>
      <c r="C116" s="187"/>
      <c r="D116" s="187"/>
      <c r="E116" s="187"/>
      <c r="F116" s="179"/>
    </row>
    <row r="117" spans="2:8" ht="36" customHeight="1" x14ac:dyDescent="0.25">
      <c r="B117" s="136" t="s">
        <v>60</v>
      </c>
      <c r="C117" s="137" t="s">
        <v>61</v>
      </c>
      <c r="D117" s="194" t="s">
        <v>62</v>
      </c>
      <c r="E117" s="187"/>
      <c r="F117" s="179"/>
      <c r="H117" s="137" t="s">
        <v>321</v>
      </c>
    </row>
    <row r="118" spans="2:8" ht="27.95" customHeight="1" x14ac:dyDescent="0.25">
      <c r="B118" s="130" t="s">
        <v>169</v>
      </c>
      <c r="C118" s="129"/>
      <c r="D118" s="200"/>
      <c r="E118" s="187"/>
      <c r="F118" s="179"/>
      <c r="H118" s="144">
        <v>3</v>
      </c>
    </row>
    <row r="119" spans="2:8" ht="27.95" customHeight="1" x14ac:dyDescent="0.25">
      <c r="B119" s="100" t="s">
        <v>171</v>
      </c>
      <c r="C119" s="129"/>
      <c r="D119" s="191"/>
      <c r="E119" s="187"/>
      <c r="F119" s="179"/>
      <c r="H119" s="144">
        <v>3</v>
      </c>
    </row>
    <row r="120" spans="2:8" ht="27.95" customHeight="1" x14ac:dyDescent="0.25">
      <c r="B120" s="130" t="s">
        <v>173</v>
      </c>
      <c r="C120" s="129"/>
      <c r="D120" s="200"/>
      <c r="E120" s="187"/>
      <c r="F120" s="179"/>
      <c r="H120" s="144">
        <v>3</v>
      </c>
    </row>
    <row r="121" spans="2:8" ht="27.95" customHeight="1" x14ac:dyDescent="0.25">
      <c r="B121" s="100" t="s">
        <v>323</v>
      </c>
      <c r="C121" s="129"/>
      <c r="D121" s="191"/>
      <c r="E121" s="187"/>
      <c r="F121" s="179"/>
      <c r="H121" s="144">
        <v>3</v>
      </c>
    </row>
    <row r="122" spans="2:8" ht="27.95" customHeight="1" x14ac:dyDescent="0.25">
      <c r="B122" s="100" t="s">
        <v>177</v>
      </c>
      <c r="C122" s="129"/>
      <c r="D122" s="191"/>
      <c r="E122" s="187"/>
      <c r="F122" s="179"/>
      <c r="H122" s="144">
        <v>2</v>
      </c>
    </row>
    <row r="123" spans="2:8" ht="27.95" customHeight="1" x14ac:dyDescent="0.25">
      <c r="B123" s="130" t="s">
        <v>179</v>
      </c>
      <c r="C123" s="129"/>
      <c r="D123" s="200"/>
      <c r="E123" s="187"/>
      <c r="F123" s="179"/>
      <c r="H123" s="144">
        <v>1</v>
      </c>
    </row>
    <row r="124" spans="2:8" ht="27.95" customHeight="1" x14ac:dyDescent="0.25">
      <c r="B124" s="203" t="s">
        <v>181</v>
      </c>
      <c r="C124" s="187"/>
      <c r="D124" s="187"/>
      <c r="E124" s="187"/>
      <c r="F124" s="179"/>
    </row>
    <row r="125" spans="2:8" ht="51.95" customHeight="1" x14ac:dyDescent="0.25">
      <c r="B125" s="131" t="s">
        <v>74</v>
      </c>
      <c r="C125" s="132" t="str">
        <f>IF(SUMPRODUCT(((C118:C123="Met")+(C118:C123="Partial")+(C118:C123="Missed"))*H118:H123)=0,"",ROUND((5*SUMPRODUCT((C118:C123="Met")*H118:H123)+2.5*SUMPRODUCT((C118:C123="Partial")*H118:H123))/SUMPRODUCT(((C118:C123="Met")+(C118:C123="Partial")+(C118:C123="Missed"))*H118:H123),0))</f>
        <v/>
      </c>
      <c r="D125" s="190"/>
      <c r="E125" s="187"/>
      <c r="F125" s="179"/>
    </row>
    <row r="126" spans="2:8" ht="24" customHeight="1" x14ac:dyDescent="0.25">
      <c r="B126" s="133" t="s">
        <v>322</v>
      </c>
      <c r="C126" s="134"/>
      <c r="D126" s="206" t="str">
        <f>IF(IF(C126="",C125,C126)="","← rate the indicators above (auto-scores), or type an override",CHOOSE(IF(C126="",C125,C126)+1,"Agent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26" s="187"/>
      <c r="F126" s="179"/>
    </row>
    <row r="127" spans="2:8" ht="36" customHeight="1" x14ac:dyDescent="0.25">
      <c r="B127" s="140" t="s">
        <v>76</v>
      </c>
      <c r="C127" s="197"/>
      <c r="D127" s="187"/>
      <c r="E127" s="187"/>
      <c r="F127" s="179"/>
    </row>
    <row r="128" spans="2:8" ht="30" customHeight="1" x14ac:dyDescent="0.25">
      <c r="B128" s="184" t="s">
        <v>324</v>
      </c>
      <c r="C128" s="185"/>
      <c r="D128" s="185"/>
      <c r="E128" s="185"/>
      <c r="F128" s="176"/>
    </row>
    <row r="129" spans="1:7" ht="27.95" customHeight="1" x14ac:dyDescent="0.25">
      <c r="B129" s="136" t="s">
        <v>205</v>
      </c>
      <c r="C129" s="188"/>
      <c r="D129" s="187"/>
      <c r="E129" s="187"/>
      <c r="F129" s="179"/>
    </row>
    <row r="130" spans="1:7" ht="51.95" customHeight="1" x14ac:dyDescent="0.25">
      <c r="B130" s="138" t="s">
        <v>206</v>
      </c>
      <c r="C130" s="221"/>
      <c r="D130" s="187"/>
      <c r="E130" s="187"/>
      <c r="F130" s="179"/>
    </row>
    <row r="131" spans="1:7" ht="51.95" customHeight="1" x14ac:dyDescent="0.25">
      <c r="B131" s="136" t="s">
        <v>208</v>
      </c>
      <c r="C131" s="197"/>
      <c r="D131" s="187"/>
      <c r="E131" s="187"/>
      <c r="F131" s="179"/>
    </row>
    <row r="132" spans="1:7" ht="26.1" customHeight="1" x14ac:dyDescent="0.25">
      <c r="B132" s="184" t="s">
        <v>325</v>
      </c>
      <c r="C132" s="185"/>
      <c r="D132" s="185"/>
      <c r="E132" s="185"/>
      <c r="F132" s="176"/>
    </row>
    <row r="133" spans="1:7" ht="30" customHeight="1" x14ac:dyDescent="0.25">
      <c r="B133" s="138" t="s">
        <v>211</v>
      </c>
      <c r="C133" s="129" t="s">
        <v>212</v>
      </c>
      <c r="D133" s="203" t="s">
        <v>213</v>
      </c>
      <c r="E133" s="187"/>
      <c r="F133" s="179"/>
    </row>
    <row r="134" spans="1:7" ht="30" customHeight="1" x14ac:dyDescent="0.25">
      <c r="A134" s="63"/>
      <c r="B134" s="136" t="s">
        <v>214</v>
      </c>
      <c r="C134" s="221" t="s">
        <v>215</v>
      </c>
      <c r="D134" s="179"/>
      <c r="E134" s="213" t="str">
        <f>IF(AND(C133="Yes",OR(C134="None",C134="N.A. — no disconnect")),"⚠ MISSED OWNERSHIP OPPORTUNITY — flag in Customer Ownership and Critical Failures","OK")</f>
        <v>OK</v>
      </c>
      <c r="F134" s="179"/>
      <c r="G134" s="63"/>
    </row>
    <row r="135" spans="1:7" ht="21.95" customHeight="1" x14ac:dyDescent="0.25">
      <c r="A135" s="63"/>
      <c r="B135" s="189" t="s">
        <v>326</v>
      </c>
      <c r="C135" s="187"/>
      <c r="D135" s="187"/>
      <c r="E135" s="187"/>
      <c r="F135" s="179"/>
      <c r="G135" s="63"/>
    </row>
    <row r="136" spans="1:7" ht="18" customHeight="1" x14ac:dyDescent="0.25">
      <c r="A136" s="63"/>
      <c r="B136" s="64" t="s">
        <v>217</v>
      </c>
      <c r="C136" s="64" t="s">
        <v>218</v>
      </c>
      <c r="D136" s="222" t="s">
        <v>219</v>
      </c>
      <c r="E136" s="187"/>
      <c r="F136" s="179"/>
      <c r="G136" s="63"/>
    </row>
    <row r="137" spans="1:7" ht="27.95" customHeight="1" x14ac:dyDescent="0.25">
      <c r="A137" s="63"/>
      <c r="B137" s="65" t="s">
        <v>220</v>
      </c>
      <c r="C137" s="66" t="str">
        <f>IF(OR(C53="Partial",C53="Missed"),C53,"")</f>
        <v/>
      </c>
      <c r="D137" s="201" t="s">
        <v>221</v>
      </c>
      <c r="E137" s="187"/>
      <c r="F137" s="179"/>
      <c r="G137" s="63"/>
    </row>
    <row r="138" spans="1:7" ht="27.95" customHeight="1" x14ac:dyDescent="0.25">
      <c r="A138" s="63"/>
      <c r="B138" s="65" t="s">
        <v>222</v>
      </c>
      <c r="C138" s="66" t="str">
        <f>IF(OR(C78="Partial",C78="Missed"),C78,"")</f>
        <v/>
      </c>
      <c r="D138" s="201" t="s">
        <v>223</v>
      </c>
      <c r="E138" s="187"/>
      <c r="F138" s="179"/>
      <c r="G138" s="63"/>
    </row>
    <row r="139" spans="1:7" ht="27.95" customHeight="1" x14ac:dyDescent="0.25">
      <c r="A139" s="63"/>
      <c r="B139" s="65" t="s">
        <v>224</v>
      </c>
      <c r="C139" s="66" t="str">
        <f>IF(OR(C76="Partial",C76="Missed"),C76,"")</f>
        <v/>
      </c>
      <c r="D139" s="201" t="s">
        <v>225</v>
      </c>
      <c r="E139" s="187"/>
      <c r="F139" s="179"/>
      <c r="G139" s="63"/>
    </row>
    <row r="140" spans="1:7" ht="27.95" customHeight="1" x14ac:dyDescent="0.25">
      <c r="A140" s="63"/>
      <c r="B140" s="65" t="s">
        <v>226</v>
      </c>
      <c r="C140" s="66" t="str">
        <f>IF(OR(C39="Partial",C39="Missed"),C39,"")</f>
        <v/>
      </c>
      <c r="D140" s="201" t="s">
        <v>227</v>
      </c>
      <c r="E140" s="187"/>
      <c r="F140" s="179"/>
      <c r="G140" s="63"/>
    </row>
    <row r="141" spans="1:7" ht="27.95" customHeight="1" x14ac:dyDescent="0.25">
      <c r="A141" s="63"/>
      <c r="B141" s="65" t="s">
        <v>228</v>
      </c>
      <c r="C141" s="66" t="str">
        <f>IF(OR(C88="Partial",C88="Missed"),C88,"")</f>
        <v/>
      </c>
      <c r="D141" s="201" t="s">
        <v>229</v>
      </c>
      <c r="E141" s="187"/>
      <c r="F141" s="179"/>
      <c r="G141" s="63"/>
    </row>
    <row r="142" spans="1:7" ht="27.95" customHeight="1" x14ac:dyDescent="0.25">
      <c r="A142" s="63"/>
      <c r="B142" s="65" t="s">
        <v>230</v>
      </c>
      <c r="C142" s="66" t="str">
        <f>IF(OR(C89="Partial",C89="Missed"),C89,"")</f>
        <v/>
      </c>
      <c r="D142" s="201" t="s">
        <v>231</v>
      </c>
      <c r="E142" s="187"/>
      <c r="F142" s="179"/>
      <c r="G142" s="63"/>
    </row>
    <row r="143" spans="1:7" ht="27.95" customHeight="1" x14ac:dyDescent="0.25">
      <c r="A143" s="63"/>
      <c r="B143" s="65" t="s">
        <v>232</v>
      </c>
      <c r="C143" s="66" t="str">
        <f>IF(OR(C107="Partial",C107="Missed"),C107,"")</f>
        <v/>
      </c>
      <c r="D143" s="201" t="s">
        <v>233</v>
      </c>
      <c r="E143" s="187"/>
      <c r="F143" s="179"/>
      <c r="G143" s="63"/>
    </row>
    <row r="144" spans="1:7" ht="27.95" customHeight="1" x14ac:dyDescent="0.25">
      <c r="A144" s="63"/>
      <c r="B144" s="65" t="s">
        <v>234</v>
      </c>
      <c r="C144" s="66" t="str">
        <f>IF(OR(C123="Partial",C123="Missed"),C123,"")</f>
        <v/>
      </c>
      <c r="D144" s="201" t="s">
        <v>235</v>
      </c>
      <c r="E144" s="187"/>
      <c r="F144" s="179"/>
      <c r="G144" s="63"/>
    </row>
    <row r="145" spans="1:7" ht="21.95" customHeight="1" x14ac:dyDescent="0.25">
      <c r="A145" s="63"/>
      <c r="B145" s="214" t="s">
        <v>327</v>
      </c>
      <c r="C145" s="187"/>
      <c r="D145" s="187"/>
      <c r="E145" s="187"/>
      <c r="F145" s="179"/>
      <c r="G145" s="63"/>
    </row>
    <row r="146" spans="1:7" ht="21.95" customHeight="1" x14ac:dyDescent="0.25">
      <c r="A146" s="63"/>
      <c r="B146" s="208" t="str">
        <f>IF(COUNTIF(C137:C144,"Partial")+COUNTIF(C137:C144,"Missed")=0,"✓  No coaching flags triggered — all key indicators met",COUNTIF(C137:C144,"Partial")+COUNTIF(C137:C144,"Missed")&amp;" coaching flag(s) triggered — review and coaching action required")</f>
        <v>✓  No coaching flags triggered — all key indicators met</v>
      </c>
      <c r="C146" s="187"/>
      <c r="D146" s="187"/>
      <c r="E146" s="187"/>
      <c r="F146" s="179"/>
      <c r="G146" s="63"/>
    </row>
    <row r="147" spans="1:7" ht="65.099999999999994" customHeight="1" x14ac:dyDescent="0.25">
      <c r="A147" s="63"/>
      <c r="B147" s="207" t="str">
        <f>IF(COUNTIF(C137:C144,"Partial")+COUNTIF(C137:C144,"Missed")=0,"All key indicators met — no coaching action required",_xludf.TEXTJOIN(CHAR(10),TRUE,IF(C137&lt;&gt;"","⚑ "&amp;B137&amp;" ["&amp;C137&amp;"]",""),IF(C138&lt;&gt;"","⚑ "&amp;B138&amp;" ["&amp;C138&amp;"]",""),IF(C139&lt;&gt;"","⚑ "&amp;B139&amp;" ["&amp;C139&amp;"]",""),IF(C140&lt;&gt;"","⚑ "&amp;B140&amp;" ["&amp;C140&amp;"]",""),IF(C141&lt;&gt;"","⚑ "&amp;B141&amp;" ["&amp;C141&amp;"]",""),IF(C142&lt;&gt;"","⚑ "&amp;B142&amp;" ["&amp;C142&amp;"]",""),IF(C143&lt;&gt;"","⚑ "&amp;B143&amp;" ["&amp;C143&amp;"]",""),IF(C144&lt;&gt;"","⚑ "&amp;B144&amp;" ["&amp;C144&amp;"]","")))</f>
        <v>All key indicators met — no coaching action required</v>
      </c>
      <c r="C147" s="187"/>
      <c r="D147" s="187"/>
      <c r="E147" s="187"/>
      <c r="F147" s="179"/>
      <c r="G147" s="63"/>
    </row>
    <row r="148" spans="1:7" ht="6" customHeight="1" x14ac:dyDescent="0.25">
      <c r="A148" s="63"/>
      <c r="B148" s="210"/>
      <c r="C148" s="185"/>
      <c r="D148" s="185"/>
      <c r="E148" s="185"/>
      <c r="F148" s="176"/>
      <c r="G148" s="63"/>
    </row>
    <row r="149" spans="1:7" ht="21.95" customHeight="1" x14ac:dyDescent="0.25">
      <c r="A149" s="63"/>
      <c r="B149" s="215" t="s">
        <v>328</v>
      </c>
      <c r="C149" s="185"/>
      <c r="D149" s="185"/>
      <c r="E149" s="185"/>
      <c r="F149" s="176"/>
      <c r="G149" s="63"/>
    </row>
    <row r="150" spans="1:7" ht="30" customHeight="1" x14ac:dyDescent="0.25">
      <c r="B150" s="203" t="s">
        <v>329</v>
      </c>
      <c r="C150" s="187"/>
      <c r="D150" s="187"/>
      <c r="E150" s="187"/>
      <c r="F150" s="179"/>
    </row>
    <row r="151" spans="1:7" ht="30" customHeight="1" x14ac:dyDescent="0.25">
      <c r="B151" s="1" t="s">
        <v>330</v>
      </c>
      <c r="C151" s="9" t="s">
        <v>331</v>
      </c>
      <c r="D151" s="184" t="s">
        <v>332</v>
      </c>
      <c r="E151" s="185"/>
      <c r="F151" s="176"/>
    </row>
    <row r="152" spans="1:7" ht="26.1" customHeight="1" x14ac:dyDescent="0.25">
      <c r="B152" s="130" t="s">
        <v>333</v>
      </c>
      <c r="C152" s="129" t="s">
        <v>28</v>
      </c>
      <c r="D152" s="200"/>
      <c r="E152" s="187"/>
      <c r="F152" s="179"/>
    </row>
    <row r="153" spans="1:7" ht="26.1" customHeight="1" x14ac:dyDescent="0.25">
      <c r="B153" s="130" t="s">
        <v>334</v>
      </c>
      <c r="C153" s="129" t="s">
        <v>28</v>
      </c>
      <c r="D153" s="200"/>
      <c r="E153" s="187"/>
      <c r="F153" s="179"/>
    </row>
    <row r="154" spans="1:7" ht="26.1" customHeight="1" x14ac:dyDescent="0.25">
      <c r="B154" s="130" t="s">
        <v>335</v>
      </c>
      <c r="C154" s="129" t="s">
        <v>28</v>
      </c>
      <c r="D154" s="200"/>
      <c r="E154" s="187"/>
      <c r="F154" s="179"/>
    </row>
    <row r="155" spans="1:7" ht="32.1" customHeight="1" x14ac:dyDescent="0.25">
      <c r="B155" s="1" t="s">
        <v>336</v>
      </c>
      <c r="C155" s="9" t="s">
        <v>337</v>
      </c>
      <c r="D155" s="184" t="s">
        <v>332</v>
      </c>
      <c r="E155" s="185"/>
      <c r="F155" s="176"/>
    </row>
    <row r="156" spans="1:7" ht="26.1" customHeight="1" x14ac:dyDescent="0.25">
      <c r="B156" s="130" t="s">
        <v>338</v>
      </c>
      <c r="C156" s="129" t="s">
        <v>212</v>
      </c>
      <c r="D156" s="200"/>
      <c r="E156" s="187"/>
      <c r="F156" s="179"/>
    </row>
    <row r="157" spans="1:7" ht="26.1" customHeight="1" x14ac:dyDescent="0.25">
      <c r="B157" s="130" t="s">
        <v>339</v>
      </c>
      <c r="C157" s="129" t="s">
        <v>212</v>
      </c>
      <c r="D157" s="200"/>
      <c r="E157" s="187"/>
      <c r="F157" s="179"/>
    </row>
    <row r="158" spans="1:7" ht="26.1" customHeight="1" x14ac:dyDescent="0.25">
      <c r="B158" s="130" t="s">
        <v>340</v>
      </c>
      <c r="C158" s="129" t="s">
        <v>212</v>
      </c>
      <c r="D158" s="200"/>
      <c r="E158" s="187"/>
      <c r="F158" s="179"/>
    </row>
    <row r="159" spans="1:7" ht="26.1" customHeight="1" x14ac:dyDescent="0.25">
      <c r="B159" s="130" t="s">
        <v>341</v>
      </c>
      <c r="C159" s="129" t="s">
        <v>212</v>
      </c>
      <c r="D159" s="200"/>
      <c r="E159" s="187"/>
      <c r="F159" s="179"/>
    </row>
    <row r="160" spans="1:7" ht="26.1" customHeight="1" x14ac:dyDescent="0.25">
      <c r="B160" s="130" t="s">
        <v>342</v>
      </c>
      <c r="C160" s="129" t="s">
        <v>212</v>
      </c>
      <c r="D160" s="200"/>
      <c r="E160" s="187"/>
      <c r="F160" s="179"/>
    </row>
    <row r="161" spans="2:6" ht="26.1" customHeight="1" x14ac:dyDescent="0.25">
      <c r="B161" s="130" t="s">
        <v>343</v>
      </c>
      <c r="C161" s="129" t="s">
        <v>212</v>
      </c>
      <c r="D161" s="200"/>
      <c r="E161" s="187"/>
      <c r="F161" s="179"/>
    </row>
    <row r="162" spans="2:6" ht="26.1" customHeight="1" x14ac:dyDescent="0.25">
      <c r="B162" s="130" t="s">
        <v>344</v>
      </c>
      <c r="C162" s="129" t="s">
        <v>212</v>
      </c>
      <c r="D162" s="200"/>
      <c r="E162" s="187"/>
      <c r="F162" s="179"/>
    </row>
    <row r="163" spans="2:6" ht="26.1" customHeight="1" x14ac:dyDescent="0.25">
      <c r="B163" s="130" t="s">
        <v>345</v>
      </c>
      <c r="C163" s="129" t="s">
        <v>212</v>
      </c>
      <c r="D163" s="200"/>
      <c r="E163" s="187"/>
      <c r="F163" s="179"/>
    </row>
    <row r="164" spans="2:6" ht="26.1" customHeight="1" x14ac:dyDescent="0.25">
      <c r="B164" s="130" t="s">
        <v>346</v>
      </c>
      <c r="C164" s="129" t="s">
        <v>212</v>
      </c>
      <c r="D164" s="200"/>
      <c r="E164" s="187"/>
      <c r="F164" s="179"/>
    </row>
    <row r="165" spans="2:6" ht="26.1" customHeight="1" x14ac:dyDescent="0.25">
      <c r="B165" s="130" t="s">
        <v>347</v>
      </c>
      <c r="C165" s="129" t="s">
        <v>212</v>
      </c>
      <c r="D165" s="200"/>
      <c r="E165" s="187"/>
      <c r="F165" s="179"/>
    </row>
    <row r="166" spans="2:6" ht="26.1" customHeight="1" x14ac:dyDescent="0.25">
      <c r="B166" s="130" t="s">
        <v>348</v>
      </c>
      <c r="C166" s="129" t="s">
        <v>212</v>
      </c>
      <c r="D166" s="200"/>
      <c r="E166" s="187"/>
      <c r="F166" s="179"/>
    </row>
    <row r="167" spans="2:6" ht="24" customHeight="1" x14ac:dyDescent="0.25">
      <c r="B167" s="15" t="s">
        <v>349</v>
      </c>
      <c r="C167" s="209" t="str">
        <f>IF(OR(C152="No",C153="No",C154="No",COUNTIF(C156:C166,"Yes")&gt;0),"YES — Quality Score forced to 0%","No")</f>
        <v>No</v>
      </c>
      <c r="D167" s="185"/>
      <c r="E167" s="185"/>
      <c r="F167" s="176"/>
    </row>
    <row r="168" spans="2:6" ht="20.100000000000001" customHeight="1" x14ac:dyDescent="0.25">
      <c r="B168" s="196" t="s">
        <v>350</v>
      </c>
      <c r="C168" s="185"/>
      <c r="D168" s="185"/>
      <c r="E168" s="185"/>
      <c r="F168" s="176"/>
    </row>
    <row r="169" spans="2:6" ht="30" customHeight="1" x14ac:dyDescent="0.25">
      <c r="B169" s="211" t="s">
        <v>351</v>
      </c>
      <c r="C169" s="185"/>
      <c r="D169" s="185"/>
      <c r="E169" s="185"/>
      <c r="F169" s="176"/>
    </row>
    <row r="170" spans="2:6" ht="57.95" customHeight="1" x14ac:dyDescent="0.25">
      <c r="B170" s="197"/>
      <c r="C170" s="187"/>
      <c r="D170" s="187"/>
      <c r="E170" s="187"/>
      <c r="F170" s="179"/>
    </row>
    <row r="171" spans="2:6" ht="30" customHeight="1" x14ac:dyDescent="0.25">
      <c r="B171" s="211" t="s">
        <v>352</v>
      </c>
      <c r="C171" s="185"/>
      <c r="D171" s="185"/>
      <c r="E171" s="185"/>
      <c r="F171" s="176"/>
    </row>
    <row r="172" spans="2:6" ht="24" customHeight="1" x14ac:dyDescent="0.25">
      <c r="B172" s="202" t="s">
        <v>353</v>
      </c>
      <c r="C172" s="187"/>
      <c r="D172" s="187"/>
      <c r="E172" s="187"/>
      <c r="F172" s="179"/>
    </row>
    <row r="173" spans="2:6" ht="32.1" customHeight="1" x14ac:dyDescent="0.25">
      <c r="B173" s="137" t="s">
        <v>147</v>
      </c>
      <c r="C173" s="197"/>
      <c r="D173" s="187"/>
      <c r="E173" s="187"/>
      <c r="F173" s="179"/>
    </row>
    <row r="174" spans="2:6" ht="32.1" customHeight="1" x14ac:dyDescent="0.25">
      <c r="B174" s="137" t="s">
        <v>149</v>
      </c>
      <c r="C174" s="197"/>
      <c r="D174" s="187"/>
      <c r="E174" s="187"/>
      <c r="F174" s="179"/>
    </row>
    <row r="175" spans="2:6" ht="32.1" customHeight="1" x14ac:dyDescent="0.25">
      <c r="B175" s="137" t="s">
        <v>150</v>
      </c>
      <c r="C175" s="197"/>
      <c r="D175" s="187"/>
      <c r="E175" s="187"/>
      <c r="F175" s="179"/>
    </row>
    <row r="176" spans="2:6" ht="24" customHeight="1" x14ac:dyDescent="0.25">
      <c r="B176" s="202" t="s">
        <v>354</v>
      </c>
      <c r="C176" s="187"/>
      <c r="D176" s="187"/>
      <c r="E176" s="187"/>
      <c r="F176" s="179"/>
    </row>
    <row r="177" spans="2:6" ht="32.1" customHeight="1" x14ac:dyDescent="0.25">
      <c r="B177" s="137" t="s">
        <v>147</v>
      </c>
      <c r="C177" s="197"/>
      <c r="D177" s="187"/>
      <c r="E177" s="187"/>
      <c r="F177" s="179"/>
    </row>
    <row r="178" spans="2:6" ht="32.1" customHeight="1" x14ac:dyDescent="0.25">
      <c r="B178" s="137" t="s">
        <v>149</v>
      </c>
      <c r="C178" s="197"/>
      <c r="D178" s="187"/>
      <c r="E178" s="187"/>
      <c r="F178" s="179"/>
    </row>
    <row r="179" spans="2:6" ht="32.1" customHeight="1" x14ac:dyDescent="0.25">
      <c r="B179" s="137" t="s">
        <v>150</v>
      </c>
      <c r="C179" s="197"/>
      <c r="D179" s="187"/>
      <c r="E179" s="187"/>
      <c r="F179" s="179"/>
    </row>
    <row r="180" spans="2:6" ht="24" customHeight="1" x14ac:dyDescent="0.25">
      <c r="B180" s="202" t="s">
        <v>355</v>
      </c>
      <c r="C180" s="187"/>
      <c r="D180" s="187"/>
      <c r="E180" s="187"/>
      <c r="F180" s="179"/>
    </row>
    <row r="181" spans="2:6" ht="57.95" customHeight="1" x14ac:dyDescent="0.25">
      <c r="B181" s="197"/>
      <c r="C181" s="187"/>
      <c r="D181" s="187"/>
      <c r="E181" s="187"/>
      <c r="F181" s="179"/>
    </row>
    <row r="182" spans="2:6" ht="20.100000000000001" customHeight="1" x14ac:dyDescent="0.25">
      <c r="B182" s="202" t="s">
        <v>356</v>
      </c>
      <c r="C182" s="187"/>
      <c r="D182" s="187"/>
      <c r="E182" s="187"/>
      <c r="F182" s="179"/>
    </row>
    <row r="183" spans="2:6" ht="27.95" customHeight="1" x14ac:dyDescent="0.25">
      <c r="B183" s="135" t="s">
        <v>147</v>
      </c>
      <c r="C183" s="197"/>
      <c r="D183" s="187"/>
      <c r="E183" s="187"/>
      <c r="F183" s="179"/>
    </row>
    <row r="184" spans="2:6" ht="27.95" customHeight="1" x14ac:dyDescent="0.25">
      <c r="B184" s="135" t="s">
        <v>149</v>
      </c>
      <c r="C184" s="197"/>
      <c r="D184" s="187"/>
      <c r="E184" s="187"/>
      <c r="F184" s="179"/>
    </row>
    <row r="185" spans="2:6" ht="27.95" customHeight="1" x14ac:dyDescent="0.25">
      <c r="B185" s="135" t="s">
        <v>150</v>
      </c>
      <c r="C185" s="205"/>
      <c r="D185" s="187"/>
      <c r="E185" s="187"/>
      <c r="F185" s="179"/>
    </row>
    <row r="186" spans="2:6" ht="32.1" customHeight="1" x14ac:dyDescent="0.25">
      <c r="B186" s="211" t="s">
        <v>357</v>
      </c>
      <c r="C186" s="185"/>
      <c r="D186" s="185"/>
      <c r="E186" s="185"/>
      <c r="F186" s="176"/>
    </row>
    <row r="187" spans="2:6" ht="24" customHeight="1" x14ac:dyDescent="0.25">
      <c r="B187" s="202" t="s">
        <v>358</v>
      </c>
      <c r="C187" s="187"/>
      <c r="D187" s="187"/>
      <c r="E187" s="187"/>
      <c r="F187" s="179"/>
    </row>
    <row r="188" spans="2:6" ht="57.95" customHeight="1" x14ac:dyDescent="0.25">
      <c r="B188" s="197"/>
      <c r="C188" s="187"/>
      <c r="D188" s="187"/>
      <c r="E188" s="187"/>
      <c r="F188" s="179"/>
    </row>
    <row r="189" spans="2:6" ht="24" customHeight="1" x14ac:dyDescent="0.25">
      <c r="B189" s="202" t="s">
        <v>359</v>
      </c>
      <c r="C189" s="187"/>
      <c r="D189" s="187"/>
      <c r="E189" s="187"/>
      <c r="F189" s="179"/>
    </row>
    <row r="190" spans="2:6" ht="57.95" customHeight="1" x14ac:dyDescent="0.25">
      <c r="B190" s="197"/>
      <c r="C190" s="187"/>
      <c r="D190" s="187"/>
      <c r="E190" s="187"/>
      <c r="F190" s="179"/>
    </row>
    <row r="191" spans="2:6" ht="24" customHeight="1" x14ac:dyDescent="0.25">
      <c r="B191" s="202" t="s">
        <v>360</v>
      </c>
      <c r="C191" s="187"/>
      <c r="D191" s="187"/>
      <c r="E191" s="187"/>
      <c r="F191" s="179"/>
    </row>
    <row r="192" spans="2:6" ht="57.95" customHeight="1" x14ac:dyDescent="0.25">
      <c r="B192" s="197"/>
      <c r="C192" s="187"/>
      <c r="D192" s="187"/>
      <c r="E192" s="187"/>
      <c r="F192" s="179"/>
    </row>
    <row r="193" ht="24" customHeight="1" x14ac:dyDescent="0.25"/>
    <row r="194" ht="57.95" customHeight="1" x14ac:dyDescent="0.25"/>
    <row r="195" ht="20.100000000000001" customHeight="1" x14ac:dyDescent="0.25"/>
    <row r="196" ht="30" customHeight="1" x14ac:dyDescent="0.25"/>
    <row r="197" ht="57.95" customHeight="1" x14ac:dyDescent="0.25"/>
    <row r="198" ht="30" customHeight="1" x14ac:dyDescent="0.25"/>
    <row r="199" ht="24" customHeight="1" x14ac:dyDescent="0.25"/>
    <row r="200" ht="32.1" customHeight="1" x14ac:dyDescent="0.25"/>
    <row r="201" ht="32.1" customHeight="1" x14ac:dyDescent="0.25"/>
    <row r="202" ht="32.1" customHeight="1" x14ac:dyDescent="0.25"/>
    <row r="203" ht="24" customHeight="1" x14ac:dyDescent="0.25"/>
    <row r="204" ht="32.1" customHeight="1" x14ac:dyDescent="0.25"/>
    <row r="205" ht="32.1" customHeight="1" x14ac:dyDescent="0.25"/>
    <row r="206" ht="32.1" customHeight="1" x14ac:dyDescent="0.25"/>
    <row r="207" ht="24" customHeight="1" x14ac:dyDescent="0.25"/>
    <row r="208" ht="57.95" customHeight="1" x14ac:dyDescent="0.25"/>
    <row r="209" ht="20.100000000000001" customHeight="1" x14ac:dyDescent="0.25"/>
    <row r="210" ht="27.95" customHeight="1" x14ac:dyDescent="0.25"/>
    <row r="211" ht="27.95" customHeight="1" x14ac:dyDescent="0.25"/>
    <row r="212" ht="27.95" customHeight="1" x14ac:dyDescent="0.25"/>
    <row r="213" ht="32.1" customHeight="1" x14ac:dyDescent="0.25"/>
    <row r="214" ht="24" customHeight="1" x14ac:dyDescent="0.25"/>
    <row r="215" ht="57.95" customHeight="1" x14ac:dyDescent="0.25"/>
    <row r="216" ht="24" customHeight="1" x14ac:dyDescent="0.25"/>
    <row r="217" ht="57.95" customHeight="1" x14ac:dyDescent="0.25"/>
    <row r="218" ht="24" customHeight="1" x14ac:dyDescent="0.25"/>
    <row r="219" ht="57.95" customHeight="1" x14ac:dyDescent="0.25"/>
    <row r="220" ht="57.95" customHeight="1" x14ac:dyDescent="0.25"/>
    <row r="221" ht="24" customHeight="1" x14ac:dyDescent="0.25"/>
    <row r="222" ht="57.95" customHeight="1" x14ac:dyDescent="0.25"/>
    <row r="223" ht="24" customHeight="1" x14ac:dyDescent="0.25"/>
    <row r="224" ht="57.95" customHeight="1" x14ac:dyDescent="0.25"/>
    <row r="225" ht="57.95" customHeight="1" x14ac:dyDescent="0.25"/>
  </sheetData>
  <mergeCells count="177">
    <mergeCell ref="C173:F173"/>
    <mergeCell ref="D51:F51"/>
    <mergeCell ref="D165:F165"/>
    <mergeCell ref="D118:F118"/>
    <mergeCell ref="E9:F9"/>
    <mergeCell ref="D66:F66"/>
    <mergeCell ref="D38:F38"/>
    <mergeCell ref="C130:F130"/>
    <mergeCell ref="D93:F93"/>
    <mergeCell ref="D89:F89"/>
    <mergeCell ref="D56:F56"/>
    <mergeCell ref="B150:F150"/>
    <mergeCell ref="D62:F62"/>
    <mergeCell ref="D107:F107"/>
    <mergeCell ref="D138:F138"/>
    <mergeCell ref="B81:F81"/>
    <mergeCell ref="D64:F64"/>
    <mergeCell ref="D122:F122"/>
    <mergeCell ref="D78:F78"/>
    <mergeCell ref="D120:F120"/>
    <mergeCell ref="B186:F186"/>
    <mergeCell ref="C134:D134"/>
    <mergeCell ref="B116:F116"/>
    <mergeCell ref="B72:E72"/>
    <mergeCell ref="D83:F83"/>
    <mergeCell ref="E11:F11"/>
    <mergeCell ref="D157:F157"/>
    <mergeCell ref="B115:E115"/>
    <mergeCell ref="C57:F57"/>
    <mergeCell ref="B42:F42"/>
    <mergeCell ref="D65:F65"/>
    <mergeCell ref="C184:F184"/>
    <mergeCell ref="D94:F94"/>
    <mergeCell ref="B99:F99"/>
    <mergeCell ref="B181:F181"/>
    <mergeCell ref="D67:F67"/>
    <mergeCell ref="D143:F143"/>
    <mergeCell ref="D161:F161"/>
    <mergeCell ref="B59:F59"/>
    <mergeCell ref="B86:F86"/>
    <mergeCell ref="C102:F102"/>
    <mergeCell ref="B92:F92"/>
    <mergeCell ref="D69:F69"/>
    <mergeCell ref="D136:F136"/>
    <mergeCell ref="B1:F1"/>
    <mergeCell ref="B85:E85"/>
    <mergeCell ref="D125:F125"/>
    <mergeCell ref="D75:F75"/>
    <mergeCell ref="D53:F53"/>
    <mergeCell ref="D44:F44"/>
    <mergeCell ref="D117:F117"/>
    <mergeCell ref="B58:E58"/>
    <mergeCell ref="E6:F6"/>
    <mergeCell ref="C101:F101"/>
    <mergeCell ref="C20:F20"/>
    <mergeCell ref="D35:F35"/>
    <mergeCell ref="D61:F61"/>
    <mergeCell ref="D119:F119"/>
    <mergeCell ref="B97:C98"/>
    <mergeCell ref="C84:F84"/>
    <mergeCell ref="E7:F7"/>
    <mergeCell ref="D88:F88"/>
    <mergeCell ref="B46:E46"/>
    <mergeCell ref="D36:F36"/>
    <mergeCell ref="D105:F105"/>
    <mergeCell ref="B103:E103"/>
    <mergeCell ref="B104:F104"/>
    <mergeCell ref="D63:F63"/>
    <mergeCell ref="B192:F192"/>
    <mergeCell ref="D108:F108"/>
    <mergeCell ref="C114:F114"/>
    <mergeCell ref="D164:F164"/>
    <mergeCell ref="C185:F185"/>
    <mergeCell ref="E134:F134"/>
    <mergeCell ref="D140:F140"/>
    <mergeCell ref="C95:F95"/>
    <mergeCell ref="B145:F145"/>
    <mergeCell ref="D154:F154"/>
    <mergeCell ref="C178:F178"/>
    <mergeCell ref="D126:F126"/>
    <mergeCell ref="C183:F183"/>
    <mergeCell ref="B149:F149"/>
    <mergeCell ref="B182:F182"/>
    <mergeCell ref="D152:F152"/>
    <mergeCell ref="B132:F132"/>
    <mergeCell ref="D142:F142"/>
    <mergeCell ref="B187:F187"/>
    <mergeCell ref="C131:F131"/>
    <mergeCell ref="B168:F168"/>
    <mergeCell ref="D144:F144"/>
    <mergeCell ref="D159:F159"/>
    <mergeCell ref="D153:F153"/>
    <mergeCell ref="B191:F191"/>
    <mergeCell ref="D113:F113"/>
    <mergeCell ref="E16:F16"/>
    <mergeCell ref="B128:F128"/>
    <mergeCell ref="D48:F48"/>
    <mergeCell ref="D162:F162"/>
    <mergeCell ref="B47:F47"/>
    <mergeCell ref="D112:F112"/>
    <mergeCell ref="D90:F90"/>
    <mergeCell ref="C127:F127"/>
    <mergeCell ref="D82:F82"/>
    <mergeCell ref="D91:F91"/>
    <mergeCell ref="B21:F21"/>
    <mergeCell ref="C18:F18"/>
    <mergeCell ref="D60:F60"/>
    <mergeCell ref="D155:F155"/>
    <mergeCell ref="B169:F169"/>
    <mergeCell ref="B68:F68"/>
    <mergeCell ref="D139:F139"/>
    <mergeCell ref="D50:F50"/>
    <mergeCell ref="B22:F22"/>
    <mergeCell ref="E17:F17"/>
    <mergeCell ref="C174:F174"/>
    <mergeCell ref="D74:F74"/>
    <mergeCell ref="B190:F190"/>
    <mergeCell ref="B172:F172"/>
    <mergeCell ref="B147:F147"/>
    <mergeCell ref="B96:F96"/>
    <mergeCell ref="D123:F123"/>
    <mergeCell ref="C177:F177"/>
    <mergeCell ref="D163:F163"/>
    <mergeCell ref="B15:F15"/>
    <mergeCell ref="C45:F45"/>
    <mergeCell ref="B146:F146"/>
    <mergeCell ref="C167:F167"/>
    <mergeCell ref="D109:F109"/>
    <mergeCell ref="B148:F148"/>
    <mergeCell ref="D158:F158"/>
    <mergeCell ref="D43:F43"/>
    <mergeCell ref="B189:F189"/>
    <mergeCell ref="B33:E33"/>
    <mergeCell ref="C19:F19"/>
    <mergeCell ref="D166:F166"/>
    <mergeCell ref="D151:F151"/>
    <mergeCell ref="D160:F160"/>
    <mergeCell ref="B171:F171"/>
    <mergeCell ref="B180:F180"/>
    <mergeCell ref="D141:F141"/>
    <mergeCell ref="B188:F188"/>
    <mergeCell ref="B54:F54"/>
    <mergeCell ref="C13:F13"/>
    <mergeCell ref="D37:F37"/>
    <mergeCell ref="B2:F2"/>
    <mergeCell ref="D106:F106"/>
    <mergeCell ref="D39:F39"/>
    <mergeCell ref="D156:F156"/>
    <mergeCell ref="B170:F170"/>
    <mergeCell ref="D137:F137"/>
    <mergeCell ref="B34:F34"/>
    <mergeCell ref="B176:F176"/>
    <mergeCell ref="D133:F133"/>
    <mergeCell ref="C175:F175"/>
    <mergeCell ref="E12:F12"/>
    <mergeCell ref="E4:F4"/>
    <mergeCell ref="D110:F110"/>
    <mergeCell ref="C71:F71"/>
    <mergeCell ref="C100:F100"/>
    <mergeCell ref="B124:F124"/>
    <mergeCell ref="C179:F179"/>
    <mergeCell ref="B111:F111"/>
    <mergeCell ref="D76:F76"/>
    <mergeCell ref="D70:F70"/>
    <mergeCell ref="B3:F3"/>
    <mergeCell ref="B73:F73"/>
    <mergeCell ref="C129:F129"/>
    <mergeCell ref="B135:F135"/>
    <mergeCell ref="D55:F55"/>
    <mergeCell ref="D77:F77"/>
    <mergeCell ref="D49:F49"/>
    <mergeCell ref="E8:F8"/>
    <mergeCell ref="D87:F87"/>
    <mergeCell ref="D121:F121"/>
    <mergeCell ref="C14:F14"/>
    <mergeCell ref="E10:F10"/>
    <mergeCell ref="B32:F32"/>
  </mergeCells>
  <conditionalFormatting sqref="C36:C41">
    <cfRule type="cellIs" dxfId="80" priority="64" operator="equal">
      <formula>"Met"</formula>
    </cfRule>
    <cfRule type="cellIs" dxfId="79" priority="64" operator="equal">
      <formula>"Partial"</formula>
    </cfRule>
    <cfRule type="cellIs" dxfId="78" priority="64" operator="equal">
      <formula>"Missed"</formula>
    </cfRule>
  </conditionalFormatting>
  <conditionalFormatting sqref="C45">
    <cfRule type="expression" dxfId="77" priority="57">
      <formula>AND(C44&lt;&gt;"",C45="")</formula>
    </cfRule>
  </conditionalFormatting>
  <conditionalFormatting sqref="C49:C53">
    <cfRule type="cellIs" dxfId="76" priority="65" operator="equal">
      <formula>"Met"</formula>
    </cfRule>
    <cfRule type="cellIs" dxfId="75" priority="65" operator="equal">
      <formula>"Partial"</formula>
    </cfRule>
    <cfRule type="cellIs" dxfId="74" priority="65" operator="equal">
      <formula>"Missed"</formula>
    </cfRule>
  </conditionalFormatting>
  <conditionalFormatting sqref="C57">
    <cfRule type="expression" dxfId="73" priority="58">
      <formula>AND(C56&lt;&gt;"",C57="")</formula>
    </cfRule>
  </conditionalFormatting>
  <conditionalFormatting sqref="C61:C67">
    <cfRule type="cellIs" dxfId="72" priority="66" operator="equal">
      <formula>"Met"</formula>
    </cfRule>
    <cfRule type="cellIs" dxfId="71" priority="66" operator="equal">
      <formula>"Partial"</formula>
    </cfRule>
    <cfRule type="cellIs" dxfId="70" priority="66" operator="equal">
      <formula>"Missed"</formula>
    </cfRule>
  </conditionalFormatting>
  <conditionalFormatting sqref="C71">
    <cfRule type="expression" dxfId="69" priority="59">
      <formula>AND(C70&lt;&gt;"",C71="")</formula>
    </cfRule>
  </conditionalFormatting>
  <conditionalFormatting sqref="C75:C80">
    <cfRule type="cellIs" dxfId="68" priority="67" operator="equal">
      <formula>"Partial"</formula>
    </cfRule>
    <cfRule type="cellIs" dxfId="67" priority="68" operator="equal">
      <formula>"Missed"</formula>
    </cfRule>
    <cfRule type="cellIs" dxfId="66" priority="67" operator="equal">
      <formula>"Met"</formula>
    </cfRule>
  </conditionalFormatting>
  <conditionalFormatting sqref="C84">
    <cfRule type="expression" dxfId="65" priority="60">
      <formula>AND(C83&lt;&gt;"",C84="")</formula>
    </cfRule>
  </conditionalFormatting>
  <conditionalFormatting sqref="C88:C91">
    <cfRule type="cellIs" dxfId="64" priority="71" operator="equal">
      <formula>"Missed"</formula>
    </cfRule>
    <cfRule type="cellIs" dxfId="63" priority="70" operator="equal">
      <formula>"Partial"</formula>
    </cfRule>
    <cfRule type="cellIs" dxfId="62" priority="69" operator="equal">
      <formula>"Met"</formula>
    </cfRule>
  </conditionalFormatting>
  <conditionalFormatting sqref="C95">
    <cfRule type="expression" dxfId="61" priority="61">
      <formula>AND(C94&lt;&gt;"",C95="")</formula>
    </cfRule>
  </conditionalFormatting>
  <conditionalFormatting sqref="C106:C110">
    <cfRule type="cellIs" dxfId="60" priority="73" operator="equal">
      <formula>"Partial"</formula>
    </cfRule>
    <cfRule type="cellIs" dxfId="59" priority="72" operator="equal">
      <formula>"Met"</formula>
    </cfRule>
    <cfRule type="cellIs" dxfId="58" priority="74" operator="equal">
      <formula>"Missed"</formula>
    </cfRule>
  </conditionalFormatting>
  <conditionalFormatting sqref="C114">
    <cfRule type="expression" dxfId="57" priority="62">
      <formula>AND(C113&lt;&gt;"",C114="")</formula>
    </cfRule>
  </conditionalFormatting>
  <conditionalFormatting sqref="C118:C123">
    <cfRule type="cellIs" dxfId="56" priority="75" operator="equal">
      <formula>"Met"</formula>
    </cfRule>
    <cfRule type="cellIs" dxfId="55" priority="76" operator="equal">
      <formula>"Partial"</formula>
    </cfRule>
    <cfRule type="cellIs" dxfId="54" priority="77" operator="equal">
      <formula>"Missed"</formula>
    </cfRule>
  </conditionalFormatting>
  <conditionalFormatting sqref="C127">
    <cfRule type="expression" dxfId="53" priority="63">
      <formula>AND(C126&lt;&gt;"",C127="")</formula>
    </cfRule>
  </conditionalFormatting>
  <conditionalFormatting sqref="C137:C144">
    <cfRule type="cellIs" dxfId="52" priority="55" operator="equal">
      <formula>"Missed"</formula>
    </cfRule>
    <cfRule type="cellIs" dxfId="51" priority="54" operator="equal">
      <formula>"Partial"</formula>
    </cfRule>
  </conditionalFormatting>
  <conditionalFormatting sqref="C152:C154">
    <cfRule type="cellIs" dxfId="50" priority="89" operator="equal">
      <formula>"No"</formula>
    </cfRule>
    <cfRule type="cellIs" dxfId="49" priority="90" operator="equal">
      <formula>"Yes"</formula>
    </cfRule>
  </conditionalFormatting>
  <conditionalFormatting sqref="C156:C166">
    <cfRule type="cellIs" dxfId="48" priority="92" operator="equal">
      <formula>"No"</formula>
    </cfRule>
    <cfRule type="cellIs" dxfId="47" priority="91" operator="equal">
      <formula>"Yes"</formula>
    </cfRule>
  </conditionalFormatting>
  <conditionalFormatting sqref="D24:D30">
    <cfRule type="expression" dxfId="46" priority="78">
      <formula>AND(ISNUMBER($D24),$D24&lt;=2)</formula>
    </cfRule>
    <cfRule type="expression" dxfId="45" priority="80">
      <formula>AND(ISNUMBER($D24),$D24&gt;=4)</formula>
    </cfRule>
    <cfRule type="expression" dxfId="44" priority="79">
      <formula>AND(ISNUMBER($D24),$D24=3)</formula>
    </cfRule>
  </conditionalFormatting>
  <conditionalFormatting sqref="E31">
    <cfRule type="expression" dxfId="43" priority="46">
      <formula>AND($E$31&lt;&gt;"",$E$31&gt;=0.85)</formula>
    </cfRule>
    <cfRule type="expression" dxfId="42" priority="48">
      <formula>AND($E$31&lt;&gt;"",$E$31&lt;0.7)</formula>
    </cfRule>
    <cfRule type="expression" dxfId="41" priority="47">
      <formula>AND($E$31&lt;&gt;"",$E$31&gt;=0.7,$E$31&lt;0.85)</formula>
    </cfRule>
  </conditionalFormatting>
  <conditionalFormatting sqref="E134">
    <cfRule type="expression" dxfId="40" priority="88">
      <formula>$E134&lt;&gt;"OK"</formula>
    </cfRule>
    <cfRule type="expression" dxfId="39" priority="87">
      <formula>$E134="OK"</formula>
    </cfRule>
  </conditionalFormatting>
  <conditionalFormatting sqref="F24:F30">
    <cfRule type="cellIs" dxfId="38" priority="81" operator="equal">
      <formula>"Strong"</formula>
    </cfRule>
    <cfRule type="cellIs" dxfId="37" priority="82" operator="equal">
      <formula>"Developing"</formula>
    </cfRule>
    <cfRule type="cellIs" dxfId="36" priority="83" operator="equal">
      <formula>"Needs Focus"</formula>
    </cfRule>
  </conditionalFormatting>
  <dataValidations count="24">
    <dataValidation type="list" allowBlank="1" sqref="C36 C37 C38 C39:C41 C49 C50 C51 C52 C53 C61 C62 C63 C64 C65 C66 C67 C75 C76 C77 C78:C80 C88 C89 C90 C91 C106 C107 C108 C109 C110 C118 C119 C120 C121 C122 C123" xr:uid="{00000000-0002-0000-0100-000000000000}">
      <formula1>"Met,Partial,Missed,N.A."</formula1>
    </dataValidation>
    <dataValidation type="whole" allowBlank="1" sqref="C44 C56 C70 C83 C94 C113 C126" xr:uid="{00000000-0002-0000-0100-000001000000}">
      <formula1>0</formula1>
    </dataValidation>
    <dataValidation type="list" allowBlank="1" sqref="C133 E10" xr:uid="{00000000-0002-0000-0100-000002000000}">
      <formula1>"No,Yes"</formula1>
    </dataValidation>
    <dataValidation type="list" allowBlank="1" sqref="C8" xr:uid="{00000000-0002-0000-0100-000003000000}">
      <formula1>"In-Warranty,Out-of-Warranty,Unknown"</formula1>
    </dataValidation>
    <dataValidation type="list" allowBlank="1" sqref="E7" xr:uid="{00000000-0002-0000-0100-000004000000}">
      <formula1>"Phone,Chat,Email,Social,Other"</formula1>
    </dataValidation>
    <dataValidation type="list" allowBlank="1" sqref="C9" xr:uid="{00000000-0002-0000-0100-000005000000}">
      <formula1>"Technical Issue,Setup/How-To,RMA/Replacement,Billing/Account,Connectivity,Other"</formula1>
    </dataValidation>
    <dataValidation type="list" allowBlank="1" sqref="E12" xr:uid="{00000000-0002-0000-0100-000006000000}">
      <formula1>"Within SLA,Breached,N.A."</formula1>
    </dataValidation>
    <dataValidation type="list" allowBlank="1" sqref="C129" xr:uid="{00000000-0002-0000-0100-000007000000}">
      <formula1>"Successful Resolution,Partial Resolution,Appropriate Escalation,Ownership Gap,Unresolved"</formula1>
    </dataValidation>
    <dataValidation type="list" allowBlank="1" sqref="C130" xr:uid="{00000000-0002-0000-01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34" xr:uid="{00000000-0002-0000-0100-000009000000}">
      <formula1>"Callback attempt,Follow-up email,Private note documenting actions,Documented why follow-up not possible,None,N.A. — no disconnect"</formula1>
    </dataValidation>
    <dataValidation type="list" allowBlank="1" sqref="C152:C154" xr:uid="{00000000-0002-0000-0100-00000A000000}">
      <formula1>"Yes,No,N.A."</formula1>
    </dataValidation>
    <dataValidation type="list" allowBlank="1" showInputMessage="1" showErrorMessage="1" errorTitle="Invalid selection" error="Please choose Level 1 or Level 2." promptTitle="Agent Level" prompt="Select Level 1 for front-line support agents or Level 2 for senior/escalation agents." sqref="C5" xr:uid="{00000000-0002-0000-0100-00000B000000}">
      <formula1>"Level 1,Level 2"</formula1>
    </dataValidation>
    <dataValidation type="textLength" operator="lessThanOrEqual" allowBlank="1" showInputMessage="1" promptTitle="Override reason" prompt="Required only if you entered an override score above. Explain why the indicator-based auto score does not reflect the true outcome (context, customer behavior, judgment, etc.)." sqref="C45:F45 C127:F127 C114:F114 C95:F95 C84:F84 C71:F71 C57:F57" xr:uid="{00000000-0002-0000-0100-00000C000000}">
      <formula1>1000</formula1>
    </dataValidation>
    <dataValidation type="list" allowBlank="1" showInputMessage="1" showErrorMessage="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sqref="C156" xr:uid="{00000000-0002-0000-0100-000013000000}">
      <formula1>"No,Yes"</formula1>
    </dataValidation>
    <dataValidation type="list" allowBlank="1" showInputMessage="1" showErrorMessage="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sqref="C157" xr:uid="{00000000-0002-0000-0100-000014000000}">
      <formula1>"No,Yes"</formula1>
    </dataValidation>
    <dataValidation type="list" allowBlank="1" showInputMessage="1" showErrorMessage="1" errorTitle="Invalid" error="Choose No or Yes." promptTitle="Against Agent (Auto-Zero)" prompt="Agent uses rude, dismissive, sarcastic, argumentative, or unprofessional language/tone. — triggers this agent's auto-zero (Quality Score → 0%). See the Auto-Zero Guide sheet for team-level handling." sqref="C158" xr:uid="{00000000-0002-0000-0100-000015000000}">
      <formula1>"No,Yes"</formula1>
    </dataValidation>
    <dataValidation type="list" allowBlank="1" showInputMessage="1" showErrorMessage="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sqref="C159" xr:uid="{00000000-0002-0000-0100-000016000000}">
      <formula1>"No,Yes"</formula1>
    </dataValidation>
    <dataValidation type="list" allowBlank="1" showInputMessage="1" showErrorMessage="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sqref="C160" xr:uid="{00000000-0002-0000-0100-000017000000}">
      <formula1>"No,Yes"</formula1>
    </dataValidation>
    <dataValidation type="list" allowBlank="1" showInputMessage="1" showErrorMessage="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sqref="C161" xr:uid="{00000000-0002-0000-0100-000018000000}">
      <formula1>"No,Yes"</formula1>
    </dataValidation>
    <dataValidation type="list" allowBlank="1" showInputMessage="1" showErrorMessage="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sqref="C162" xr:uid="{00000000-0002-0000-0100-000019000000}">
      <formula1>"No,Yes"</formula1>
    </dataValidation>
    <dataValidation type="list" allowBlank="1" showInputMessage="1" showErrorMessage="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sqref="C163" xr:uid="{00000000-0002-0000-0100-00001A000000}">
      <formula1>"No,Yes"</formula1>
    </dataValidation>
    <dataValidation type="list" allowBlank="1" showInputMessage="1" showErrorMessage="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sqref="C164" xr:uid="{00000000-0002-0000-0100-00001B000000}">
      <formula1>"No,Yes"</formula1>
    </dataValidation>
    <dataValidation type="list" allowBlank="1" showInputMessage="1" showErrorMessage="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sqref="C165" xr:uid="{00000000-0002-0000-0100-00001C000000}">
      <formula1>"No,Yes"</formula1>
    </dataValidation>
    <dataValidation type="list" allowBlank="1" showInputMessage="1" showErrorMessage="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sqref="C166" xr:uid="{00000000-0002-0000-0100-00001D000000}">
      <formula1>"No,Yes"</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59"/>
  <sheetViews>
    <sheetView workbookViewId="0">
      <pane ySplit="3" topLeftCell="A30" activePane="bottomLeft" state="frozen"/>
      <selection pane="bottomLeft" activeCell="D14" sqref="D14"/>
    </sheetView>
  </sheetViews>
  <sheetFormatPr defaultRowHeight="15" x14ac:dyDescent="0.25"/>
  <cols>
    <col min="1" max="1" width="30" customWidth="1"/>
    <col min="2" max="2" width="44" customWidth="1"/>
    <col min="3" max="3" width="11" customWidth="1"/>
    <col min="4" max="5" width="62" customWidth="1"/>
  </cols>
  <sheetData>
    <row r="1" spans="1:5" ht="27.95" customHeight="1" x14ac:dyDescent="0.25">
      <c r="A1" s="226" t="s">
        <v>361</v>
      </c>
      <c r="B1" s="227"/>
      <c r="C1" s="227"/>
      <c r="D1" s="227"/>
      <c r="E1" s="227"/>
    </row>
    <row r="2" spans="1:5" ht="18" customHeight="1" x14ac:dyDescent="0.25">
      <c r="A2" s="229" t="s">
        <v>362</v>
      </c>
      <c r="B2" s="227"/>
      <c r="C2" s="227"/>
      <c r="D2" s="227"/>
      <c r="E2" s="227"/>
    </row>
    <row r="3" spans="1:5" ht="21.95" customHeight="1" x14ac:dyDescent="0.25">
      <c r="A3" s="47" t="s">
        <v>363</v>
      </c>
      <c r="B3" s="47" t="s">
        <v>60</v>
      </c>
      <c r="C3" s="47" t="s">
        <v>218</v>
      </c>
      <c r="D3" s="47" t="s">
        <v>364</v>
      </c>
      <c r="E3" s="47" t="s">
        <v>365</v>
      </c>
    </row>
    <row r="4" spans="1:5" ht="72" customHeight="1" x14ac:dyDescent="0.25">
      <c r="A4" s="228" t="s">
        <v>366</v>
      </c>
      <c r="B4" s="223" t="s">
        <v>367</v>
      </c>
      <c r="C4" s="48" t="s">
        <v>67</v>
      </c>
      <c r="D4" s="49" t="s">
        <v>368</v>
      </c>
      <c r="E4" s="50" t="s">
        <v>369</v>
      </c>
    </row>
    <row r="5" spans="1:5" ht="72" customHeight="1" x14ac:dyDescent="0.25">
      <c r="A5" s="224"/>
      <c r="B5" s="224"/>
      <c r="C5" s="51" t="s">
        <v>64</v>
      </c>
      <c r="D5" s="52" t="s">
        <v>370</v>
      </c>
      <c r="E5" s="53" t="s">
        <v>371</v>
      </c>
    </row>
    <row r="6" spans="1:5" ht="72" customHeight="1" x14ac:dyDescent="0.25">
      <c r="A6" s="224"/>
      <c r="B6" s="224"/>
      <c r="C6" s="54" t="s">
        <v>111</v>
      </c>
      <c r="D6" s="55" t="s">
        <v>372</v>
      </c>
      <c r="E6" s="56" t="s">
        <v>373</v>
      </c>
    </row>
    <row r="7" spans="1:5" ht="72" customHeight="1" x14ac:dyDescent="0.25">
      <c r="A7" s="224"/>
      <c r="B7" s="225"/>
      <c r="C7" s="57" t="s">
        <v>374</v>
      </c>
      <c r="D7" s="58" t="s">
        <v>375</v>
      </c>
      <c r="E7" s="59"/>
    </row>
    <row r="8" spans="1:5" ht="72" customHeight="1" x14ac:dyDescent="0.25">
      <c r="A8" s="224"/>
      <c r="B8" s="223" t="s">
        <v>66</v>
      </c>
      <c r="C8" s="48" t="s">
        <v>67</v>
      </c>
      <c r="D8" s="49" t="s">
        <v>376</v>
      </c>
      <c r="E8" s="50" t="s">
        <v>377</v>
      </c>
    </row>
    <row r="9" spans="1:5" ht="72" customHeight="1" x14ac:dyDescent="0.25">
      <c r="A9" s="224"/>
      <c r="B9" s="224"/>
      <c r="C9" s="51" t="s">
        <v>64</v>
      </c>
      <c r="D9" s="52" t="s">
        <v>378</v>
      </c>
      <c r="E9" s="53" t="s">
        <v>379</v>
      </c>
    </row>
    <row r="10" spans="1:5" ht="72" customHeight="1" x14ac:dyDescent="0.25">
      <c r="A10" s="224"/>
      <c r="B10" s="224"/>
      <c r="C10" s="54" t="s">
        <v>111</v>
      </c>
      <c r="D10" s="55" t="s">
        <v>380</v>
      </c>
      <c r="E10" s="56" t="s">
        <v>381</v>
      </c>
    </row>
    <row r="11" spans="1:5" ht="72" customHeight="1" x14ac:dyDescent="0.25">
      <c r="A11" s="224"/>
      <c r="B11" s="225"/>
      <c r="C11" s="57" t="s">
        <v>374</v>
      </c>
      <c r="D11" s="58" t="s">
        <v>382</v>
      </c>
      <c r="E11" s="59"/>
    </row>
    <row r="12" spans="1:5" ht="72" customHeight="1" x14ac:dyDescent="0.25">
      <c r="A12" s="224"/>
      <c r="B12" s="223" t="s">
        <v>69</v>
      </c>
      <c r="C12" s="48" t="s">
        <v>67</v>
      </c>
      <c r="D12" s="49" t="s">
        <v>383</v>
      </c>
      <c r="E12" s="50" t="s">
        <v>384</v>
      </c>
    </row>
    <row r="13" spans="1:5" ht="72" customHeight="1" x14ac:dyDescent="0.25">
      <c r="A13" s="224"/>
      <c r="B13" s="224"/>
      <c r="C13" s="51" t="s">
        <v>64</v>
      </c>
      <c r="D13" s="52" t="s">
        <v>385</v>
      </c>
      <c r="E13" s="53" t="s">
        <v>386</v>
      </c>
    </row>
    <row r="14" spans="1:5" ht="72" customHeight="1" x14ac:dyDescent="0.25">
      <c r="A14" s="224"/>
      <c r="B14" s="224"/>
      <c r="C14" s="54" t="s">
        <v>111</v>
      </c>
      <c r="D14" s="55" t="s">
        <v>387</v>
      </c>
      <c r="E14" s="56" t="s">
        <v>388</v>
      </c>
    </row>
    <row r="15" spans="1:5" ht="72" customHeight="1" x14ac:dyDescent="0.25">
      <c r="A15" s="224"/>
      <c r="B15" s="225"/>
      <c r="C15" s="57" t="s">
        <v>374</v>
      </c>
      <c r="D15" s="58" t="s">
        <v>389</v>
      </c>
      <c r="E15" s="59"/>
    </row>
    <row r="16" spans="1:5" ht="72" customHeight="1" x14ac:dyDescent="0.25">
      <c r="A16" s="224"/>
      <c r="B16" s="223" t="s">
        <v>71</v>
      </c>
      <c r="C16" s="48" t="s">
        <v>67</v>
      </c>
      <c r="D16" s="49" t="s">
        <v>390</v>
      </c>
      <c r="E16" s="50" t="s">
        <v>391</v>
      </c>
    </row>
    <row r="17" spans="1:5" ht="72" customHeight="1" x14ac:dyDescent="0.25">
      <c r="A17" s="224"/>
      <c r="B17" s="224"/>
      <c r="C17" s="51" t="s">
        <v>64</v>
      </c>
      <c r="D17" s="52" t="s">
        <v>392</v>
      </c>
      <c r="E17" s="53" t="s">
        <v>393</v>
      </c>
    </row>
    <row r="18" spans="1:5" ht="72" customHeight="1" x14ac:dyDescent="0.25">
      <c r="A18" s="224"/>
      <c r="B18" s="224"/>
      <c r="C18" s="54" t="s">
        <v>111</v>
      </c>
      <c r="D18" s="55" t="s">
        <v>394</v>
      </c>
      <c r="E18" s="56" t="s">
        <v>395</v>
      </c>
    </row>
    <row r="19" spans="1:5" ht="72" customHeight="1" x14ac:dyDescent="0.25">
      <c r="A19" s="225"/>
      <c r="B19" s="225"/>
      <c r="C19" s="57" t="s">
        <v>374</v>
      </c>
      <c r="D19" s="58" t="s">
        <v>396</v>
      </c>
      <c r="E19" s="59"/>
    </row>
    <row r="20" spans="1:5" ht="72" customHeight="1" x14ac:dyDescent="0.25">
      <c r="A20" s="228" t="s">
        <v>397</v>
      </c>
      <c r="B20" s="223" t="s">
        <v>83</v>
      </c>
      <c r="C20" s="48" t="s">
        <v>67</v>
      </c>
      <c r="D20" s="49" t="s">
        <v>398</v>
      </c>
      <c r="E20" s="50" t="s">
        <v>399</v>
      </c>
    </row>
    <row r="21" spans="1:5" ht="72" customHeight="1" x14ac:dyDescent="0.25">
      <c r="A21" s="224"/>
      <c r="B21" s="224"/>
      <c r="C21" s="51" t="s">
        <v>64</v>
      </c>
      <c r="D21" s="52" t="s">
        <v>400</v>
      </c>
      <c r="E21" s="53" t="s">
        <v>401</v>
      </c>
    </row>
    <row r="22" spans="1:5" ht="72" customHeight="1" x14ac:dyDescent="0.25">
      <c r="A22" s="224"/>
      <c r="B22" s="224"/>
      <c r="C22" s="54" t="s">
        <v>111</v>
      </c>
      <c r="D22" s="55" t="s">
        <v>402</v>
      </c>
      <c r="E22" s="56" t="s">
        <v>403</v>
      </c>
    </row>
    <row r="23" spans="1:5" ht="72" customHeight="1" x14ac:dyDescent="0.25">
      <c r="A23" s="224"/>
      <c r="B23" s="225"/>
      <c r="C23" s="57" t="s">
        <v>374</v>
      </c>
      <c r="D23" s="58" t="s">
        <v>404</v>
      </c>
      <c r="E23" s="59"/>
    </row>
    <row r="24" spans="1:5" ht="72" customHeight="1" x14ac:dyDescent="0.25">
      <c r="A24" s="224"/>
      <c r="B24" s="223" t="s">
        <v>85</v>
      </c>
      <c r="C24" s="48" t="s">
        <v>67</v>
      </c>
      <c r="D24" s="49" t="s">
        <v>405</v>
      </c>
      <c r="E24" s="50" t="s">
        <v>406</v>
      </c>
    </row>
    <row r="25" spans="1:5" ht="72" customHeight="1" x14ac:dyDescent="0.25">
      <c r="A25" s="224"/>
      <c r="B25" s="224"/>
      <c r="C25" s="51" t="s">
        <v>64</v>
      </c>
      <c r="D25" s="52" t="s">
        <v>407</v>
      </c>
      <c r="E25" s="53" t="s">
        <v>408</v>
      </c>
    </row>
    <row r="26" spans="1:5" ht="72" customHeight="1" x14ac:dyDescent="0.25">
      <c r="A26" s="224"/>
      <c r="B26" s="224"/>
      <c r="C26" s="54" t="s">
        <v>111</v>
      </c>
      <c r="D26" s="55" t="s">
        <v>409</v>
      </c>
      <c r="E26" s="56" t="s">
        <v>410</v>
      </c>
    </row>
    <row r="27" spans="1:5" ht="72" customHeight="1" x14ac:dyDescent="0.25">
      <c r="A27" s="224"/>
      <c r="B27" s="225"/>
      <c r="C27" s="57" t="s">
        <v>374</v>
      </c>
      <c r="D27" s="58" t="s">
        <v>411</v>
      </c>
      <c r="E27" s="59"/>
    </row>
    <row r="28" spans="1:5" ht="72" customHeight="1" x14ac:dyDescent="0.25">
      <c r="A28" s="224"/>
      <c r="B28" s="223" t="s">
        <v>87</v>
      </c>
      <c r="C28" s="48" t="s">
        <v>67</v>
      </c>
      <c r="D28" s="49" t="s">
        <v>412</v>
      </c>
      <c r="E28" s="50" t="s">
        <v>413</v>
      </c>
    </row>
    <row r="29" spans="1:5" ht="72" customHeight="1" x14ac:dyDescent="0.25">
      <c r="A29" s="224"/>
      <c r="B29" s="224"/>
      <c r="C29" s="51" t="s">
        <v>64</v>
      </c>
      <c r="D29" s="52" t="s">
        <v>414</v>
      </c>
      <c r="E29" s="53" t="s">
        <v>415</v>
      </c>
    </row>
    <row r="30" spans="1:5" ht="72" customHeight="1" x14ac:dyDescent="0.25">
      <c r="A30" s="224"/>
      <c r="B30" s="224"/>
      <c r="C30" s="54" t="s">
        <v>111</v>
      </c>
      <c r="D30" s="55" t="s">
        <v>416</v>
      </c>
      <c r="E30" s="56" t="s">
        <v>417</v>
      </c>
    </row>
    <row r="31" spans="1:5" ht="72" customHeight="1" x14ac:dyDescent="0.25">
      <c r="A31" s="224"/>
      <c r="B31" s="225"/>
      <c r="C31" s="57" t="s">
        <v>374</v>
      </c>
      <c r="D31" s="58" t="s">
        <v>418</v>
      </c>
      <c r="E31" s="59"/>
    </row>
    <row r="32" spans="1:5" ht="72" customHeight="1" x14ac:dyDescent="0.25">
      <c r="A32" s="224"/>
      <c r="B32" s="223" t="s">
        <v>89</v>
      </c>
      <c r="C32" s="48" t="s">
        <v>67</v>
      </c>
      <c r="D32" s="49" t="s">
        <v>419</v>
      </c>
      <c r="E32" s="50" t="s">
        <v>420</v>
      </c>
    </row>
    <row r="33" spans="1:5" ht="72" customHeight="1" x14ac:dyDescent="0.25">
      <c r="A33" s="224"/>
      <c r="B33" s="224"/>
      <c r="C33" s="51" t="s">
        <v>64</v>
      </c>
      <c r="D33" s="52" t="s">
        <v>421</v>
      </c>
      <c r="E33" s="53" t="s">
        <v>422</v>
      </c>
    </row>
    <row r="34" spans="1:5" ht="72" customHeight="1" x14ac:dyDescent="0.25">
      <c r="A34" s="224"/>
      <c r="B34" s="224"/>
      <c r="C34" s="54" t="s">
        <v>111</v>
      </c>
      <c r="D34" s="55" t="s">
        <v>423</v>
      </c>
      <c r="E34" s="56" t="s">
        <v>424</v>
      </c>
    </row>
    <row r="35" spans="1:5" ht="72" customHeight="1" x14ac:dyDescent="0.25">
      <c r="A35" s="224"/>
      <c r="B35" s="225"/>
      <c r="C35" s="57" t="s">
        <v>374</v>
      </c>
      <c r="D35" s="58" t="s">
        <v>425</v>
      </c>
      <c r="E35" s="59"/>
    </row>
    <row r="36" spans="1:5" ht="72" customHeight="1" x14ac:dyDescent="0.25">
      <c r="A36" s="224"/>
      <c r="B36" s="223" t="s">
        <v>91</v>
      </c>
      <c r="C36" s="48" t="s">
        <v>67</v>
      </c>
      <c r="D36" s="49" t="s">
        <v>426</v>
      </c>
      <c r="E36" s="50" t="s">
        <v>427</v>
      </c>
    </row>
    <row r="37" spans="1:5" ht="72" customHeight="1" x14ac:dyDescent="0.25">
      <c r="A37" s="224"/>
      <c r="B37" s="224"/>
      <c r="C37" s="51" t="s">
        <v>64</v>
      </c>
      <c r="D37" s="52" t="s">
        <v>428</v>
      </c>
      <c r="E37" s="53" t="s">
        <v>429</v>
      </c>
    </row>
    <row r="38" spans="1:5" ht="72" customHeight="1" x14ac:dyDescent="0.25">
      <c r="A38" s="224"/>
      <c r="B38" s="224"/>
      <c r="C38" s="54" t="s">
        <v>111</v>
      </c>
      <c r="D38" s="55" t="s">
        <v>430</v>
      </c>
      <c r="E38" s="56" t="s">
        <v>431</v>
      </c>
    </row>
    <row r="39" spans="1:5" ht="72" customHeight="1" x14ac:dyDescent="0.25">
      <c r="A39" s="225"/>
      <c r="B39" s="225"/>
      <c r="C39" s="57" t="s">
        <v>374</v>
      </c>
      <c r="D39" s="58" t="s">
        <v>432</v>
      </c>
      <c r="E39" s="59"/>
    </row>
    <row r="40" spans="1:5" ht="72" customHeight="1" x14ac:dyDescent="0.25">
      <c r="A40" s="228" t="s">
        <v>433</v>
      </c>
      <c r="B40" s="223" t="s">
        <v>98</v>
      </c>
      <c r="C40" s="48" t="s">
        <v>67</v>
      </c>
      <c r="D40" s="49" t="s">
        <v>434</v>
      </c>
      <c r="E40" s="50" t="s">
        <v>435</v>
      </c>
    </row>
    <row r="41" spans="1:5" ht="72" customHeight="1" x14ac:dyDescent="0.25">
      <c r="A41" s="224"/>
      <c r="B41" s="224"/>
      <c r="C41" s="51" t="s">
        <v>64</v>
      </c>
      <c r="D41" s="52" t="s">
        <v>436</v>
      </c>
      <c r="E41" s="53" t="s">
        <v>437</v>
      </c>
    </row>
    <row r="42" spans="1:5" ht="72" customHeight="1" x14ac:dyDescent="0.25">
      <c r="A42" s="224"/>
      <c r="B42" s="224"/>
      <c r="C42" s="54" t="s">
        <v>111</v>
      </c>
      <c r="D42" s="55" t="s">
        <v>438</v>
      </c>
      <c r="E42" s="56" t="s">
        <v>439</v>
      </c>
    </row>
    <row r="43" spans="1:5" ht="72" customHeight="1" x14ac:dyDescent="0.25">
      <c r="A43" s="224"/>
      <c r="B43" s="225"/>
      <c r="C43" s="57" t="s">
        <v>374</v>
      </c>
      <c r="D43" s="58" t="s">
        <v>440</v>
      </c>
      <c r="E43" s="59"/>
    </row>
    <row r="44" spans="1:5" ht="72" customHeight="1" x14ac:dyDescent="0.25">
      <c r="A44" s="224"/>
      <c r="B44" s="223" t="s">
        <v>100</v>
      </c>
      <c r="C44" s="48" t="s">
        <v>67</v>
      </c>
      <c r="D44" s="49" t="s">
        <v>441</v>
      </c>
      <c r="E44" s="50" t="s">
        <v>442</v>
      </c>
    </row>
    <row r="45" spans="1:5" ht="72" customHeight="1" x14ac:dyDescent="0.25">
      <c r="A45" s="224"/>
      <c r="B45" s="224"/>
      <c r="C45" s="51" t="s">
        <v>64</v>
      </c>
      <c r="D45" s="52" t="s">
        <v>443</v>
      </c>
      <c r="E45" s="53" t="s">
        <v>444</v>
      </c>
    </row>
    <row r="46" spans="1:5" ht="72" customHeight="1" x14ac:dyDescent="0.25">
      <c r="A46" s="224"/>
      <c r="B46" s="224"/>
      <c r="C46" s="54" t="s">
        <v>111</v>
      </c>
      <c r="D46" s="55" t="s">
        <v>445</v>
      </c>
      <c r="E46" s="56" t="s">
        <v>446</v>
      </c>
    </row>
    <row r="47" spans="1:5" ht="72" customHeight="1" x14ac:dyDescent="0.25">
      <c r="A47" s="224"/>
      <c r="B47" s="225"/>
      <c r="C47" s="57" t="s">
        <v>374</v>
      </c>
      <c r="D47" s="58" t="s">
        <v>396</v>
      </c>
      <c r="E47" s="59"/>
    </row>
    <row r="48" spans="1:5" ht="72" customHeight="1" x14ac:dyDescent="0.25">
      <c r="A48" s="224"/>
      <c r="B48" s="223" t="s">
        <v>102</v>
      </c>
      <c r="C48" s="48" t="s">
        <v>67</v>
      </c>
      <c r="D48" s="49" t="s">
        <v>447</v>
      </c>
      <c r="E48" s="50" t="s">
        <v>448</v>
      </c>
    </row>
    <row r="49" spans="1:5" ht="72" customHeight="1" x14ac:dyDescent="0.25">
      <c r="A49" s="224"/>
      <c r="B49" s="224"/>
      <c r="C49" s="51" t="s">
        <v>64</v>
      </c>
      <c r="D49" s="52" t="s">
        <v>449</v>
      </c>
      <c r="E49" s="53" t="s">
        <v>450</v>
      </c>
    </row>
    <row r="50" spans="1:5" ht="72" customHeight="1" x14ac:dyDescent="0.25">
      <c r="A50" s="224"/>
      <c r="B50" s="224"/>
      <c r="C50" s="54" t="s">
        <v>111</v>
      </c>
      <c r="D50" s="55" t="s">
        <v>451</v>
      </c>
      <c r="E50" s="56" t="s">
        <v>452</v>
      </c>
    </row>
    <row r="51" spans="1:5" ht="72" customHeight="1" x14ac:dyDescent="0.25">
      <c r="A51" s="224"/>
      <c r="B51" s="225"/>
      <c r="C51" s="57" t="s">
        <v>374</v>
      </c>
      <c r="D51" s="58" t="s">
        <v>396</v>
      </c>
      <c r="E51" s="59"/>
    </row>
    <row r="52" spans="1:5" ht="72" customHeight="1" x14ac:dyDescent="0.25">
      <c r="A52" s="224"/>
      <c r="B52" s="223" t="s">
        <v>104</v>
      </c>
      <c r="C52" s="48" t="s">
        <v>67</v>
      </c>
      <c r="D52" s="49" t="s">
        <v>453</v>
      </c>
      <c r="E52" s="50" t="s">
        <v>454</v>
      </c>
    </row>
    <row r="53" spans="1:5" ht="72" customHeight="1" x14ac:dyDescent="0.25">
      <c r="A53" s="224"/>
      <c r="B53" s="224"/>
      <c r="C53" s="51" t="s">
        <v>64</v>
      </c>
      <c r="D53" s="52" t="s">
        <v>455</v>
      </c>
      <c r="E53" s="53" t="s">
        <v>456</v>
      </c>
    </row>
    <row r="54" spans="1:5" ht="72" customHeight="1" x14ac:dyDescent="0.25">
      <c r="A54" s="224"/>
      <c r="B54" s="224"/>
      <c r="C54" s="54" t="s">
        <v>111</v>
      </c>
      <c r="D54" s="55" t="s">
        <v>457</v>
      </c>
      <c r="E54" s="56" t="s">
        <v>458</v>
      </c>
    </row>
    <row r="55" spans="1:5" ht="72" customHeight="1" x14ac:dyDescent="0.25">
      <c r="A55" s="224"/>
      <c r="B55" s="225"/>
      <c r="C55" s="57" t="s">
        <v>374</v>
      </c>
      <c r="D55" s="58" t="s">
        <v>396</v>
      </c>
      <c r="E55" s="59"/>
    </row>
    <row r="56" spans="1:5" ht="72" customHeight="1" x14ac:dyDescent="0.25">
      <c r="A56" s="224"/>
      <c r="B56" s="223" t="s">
        <v>106</v>
      </c>
      <c r="C56" s="48" t="s">
        <v>67</v>
      </c>
      <c r="D56" s="49" t="s">
        <v>459</v>
      </c>
      <c r="E56" s="50" t="s">
        <v>460</v>
      </c>
    </row>
    <row r="57" spans="1:5" ht="72" customHeight="1" x14ac:dyDescent="0.25">
      <c r="A57" s="224"/>
      <c r="B57" s="224"/>
      <c r="C57" s="51" t="s">
        <v>64</v>
      </c>
      <c r="D57" s="52" t="s">
        <v>461</v>
      </c>
      <c r="E57" s="53" t="s">
        <v>462</v>
      </c>
    </row>
    <row r="58" spans="1:5" ht="72" customHeight="1" x14ac:dyDescent="0.25">
      <c r="A58" s="224"/>
      <c r="B58" s="224"/>
      <c r="C58" s="54" t="s">
        <v>111</v>
      </c>
      <c r="D58" s="55" t="s">
        <v>463</v>
      </c>
      <c r="E58" s="56" t="s">
        <v>464</v>
      </c>
    </row>
    <row r="59" spans="1:5" ht="72" customHeight="1" x14ac:dyDescent="0.25">
      <c r="A59" s="224"/>
      <c r="B59" s="225"/>
      <c r="C59" s="57" t="s">
        <v>374</v>
      </c>
      <c r="D59" s="58" t="s">
        <v>396</v>
      </c>
      <c r="E59" s="59"/>
    </row>
    <row r="60" spans="1:5" ht="72" customHeight="1" x14ac:dyDescent="0.25">
      <c r="A60" s="224"/>
      <c r="B60" s="223" t="s">
        <v>108</v>
      </c>
      <c r="C60" s="48" t="s">
        <v>67</v>
      </c>
      <c r="D60" s="49" t="s">
        <v>465</v>
      </c>
      <c r="E60" s="50" t="s">
        <v>466</v>
      </c>
    </row>
    <row r="61" spans="1:5" ht="72" customHeight="1" x14ac:dyDescent="0.25">
      <c r="A61" s="224"/>
      <c r="B61" s="224"/>
      <c r="C61" s="51" t="s">
        <v>64</v>
      </c>
      <c r="D61" s="52" t="s">
        <v>467</v>
      </c>
      <c r="E61" s="53" t="s">
        <v>468</v>
      </c>
    </row>
    <row r="62" spans="1:5" ht="72" customHeight="1" x14ac:dyDescent="0.25">
      <c r="A62" s="224"/>
      <c r="B62" s="224"/>
      <c r="C62" s="54" t="s">
        <v>111</v>
      </c>
      <c r="D62" s="55" t="s">
        <v>469</v>
      </c>
      <c r="E62" s="56" t="s">
        <v>470</v>
      </c>
    </row>
    <row r="63" spans="1:5" ht="72" customHeight="1" x14ac:dyDescent="0.25">
      <c r="A63" s="224"/>
      <c r="B63" s="225"/>
      <c r="C63" s="57" t="s">
        <v>374</v>
      </c>
      <c r="D63" s="58" t="s">
        <v>471</v>
      </c>
      <c r="E63" s="59"/>
    </row>
    <row r="64" spans="1:5" ht="72" customHeight="1" x14ac:dyDescent="0.25">
      <c r="A64" s="224"/>
      <c r="B64" s="223" t="s">
        <v>472</v>
      </c>
      <c r="C64" s="48" t="s">
        <v>67</v>
      </c>
      <c r="D64" s="49" t="s">
        <v>473</v>
      </c>
      <c r="E64" s="50" t="s">
        <v>474</v>
      </c>
    </row>
    <row r="65" spans="1:5" ht="72" customHeight="1" x14ac:dyDescent="0.25">
      <c r="A65" s="224"/>
      <c r="B65" s="224"/>
      <c r="C65" s="51" t="s">
        <v>64</v>
      </c>
      <c r="D65" s="52" t="s">
        <v>475</v>
      </c>
      <c r="E65" s="53" t="s">
        <v>476</v>
      </c>
    </row>
    <row r="66" spans="1:5" ht="72" customHeight="1" x14ac:dyDescent="0.25">
      <c r="A66" s="224"/>
      <c r="B66" s="224"/>
      <c r="C66" s="54" t="s">
        <v>111</v>
      </c>
      <c r="D66" s="55" t="s">
        <v>477</v>
      </c>
      <c r="E66" s="56" t="s">
        <v>478</v>
      </c>
    </row>
    <row r="67" spans="1:5" ht="72" customHeight="1" x14ac:dyDescent="0.25">
      <c r="A67" s="225"/>
      <c r="B67" s="225"/>
      <c r="C67" s="57" t="s">
        <v>374</v>
      </c>
      <c r="D67" s="58" t="s">
        <v>479</v>
      </c>
      <c r="E67" s="59"/>
    </row>
    <row r="68" spans="1:5" ht="72" customHeight="1" x14ac:dyDescent="0.25">
      <c r="A68" s="228" t="s">
        <v>480</v>
      </c>
      <c r="B68" s="223" t="s">
        <v>118</v>
      </c>
      <c r="C68" s="48" t="s">
        <v>67</v>
      </c>
      <c r="D68" s="49" t="s">
        <v>481</v>
      </c>
      <c r="E68" s="50" t="s">
        <v>482</v>
      </c>
    </row>
    <row r="69" spans="1:5" ht="72" customHeight="1" x14ac:dyDescent="0.25">
      <c r="A69" s="224"/>
      <c r="B69" s="224"/>
      <c r="C69" s="51" t="s">
        <v>64</v>
      </c>
      <c r="D69" s="52" t="s">
        <v>483</v>
      </c>
      <c r="E69" s="53" t="s">
        <v>484</v>
      </c>
    </row>
    <row r="70" spans="1:5" ht="72" customHeight="1" x14ac:dyDescent="0.25">
      <c r="A70" s="224"/>
      <c r="B70" s="224"/>
      <c r="C70" s="54" t="s">
        <v>111</v>
      </c>
      <c r="D70" s="55" t="s">
        <v>485</v>
      </c>
      <c r="E70" s="56" t="s">
        <v>486</v>
      </c>
    </row>
    <row r="71" spans="1:5" ht="72" customHeight="1" x14ac:dyDescent="0.25">
      <c r="A71" s="224"/>
      <c r="B71" s="225"/>
      <c r="C71" s="57" t="s">
        <v>374</v>
      </c>
      <c r="D71" s="58" t="s">
        <v>487</v>
      </c>
      <c r="E71" s="59"/>
    </row>
    <row r="72" spans="1:5" ht="72" customHeight="1" x14ac:dyDescent="0.25">
      <c r="A72" s="224"/>
      <c r="B72" s="223" t="s">
        <v>120</v>
      </c>
      <c r="C72" s="48" t="s">
        <v>67</v>
      </c>
      <c r="D72" s="49" t="s">
        <v>488</v>
      </c>
      <c r="E72" s="50" t="s">
        <v>489</v>
      </c>
    </row>
    <row r="73" spans="1:5" ht="72" customHeight="1" x14ac:dyDescent="0.25">
      <c r="A73" s="224"/>
      <c r="B73" s="224"/>
      <c r="C73" s="51" t="s">
        <v>64</v>
      </c>
      <c r="D73" s="52" t="s">
        <v>490</v>
      </c>
      <c r="E73" s="53" t="s">
        <v>491</v>
      </c>
    </row>
    <row r="74" spans="1:5" ht="72" customHeight="1" x14ac:dyDescent="0.25">
      <c r="A74" s="224"/>
      <c r="B74" s="224"/>
      <c r="C74" s="54" t="s">
        <v>111</v>
      </c>
      <c r="D74" s="55" t="s">
        <v>492</v>
      </c>
      <c r="E74" s="56" t="s">
        <v>493</v>
      </c>
    </row>
    <row r="75" spans="1:5" ht="72" customHeight="1" x14ac:dyDescent="0.25">
      <c r="A75" s="224"/>
      <c r="B75" s="225"/>
      <c r="C75" s="57" t="s">
        <v>374</v>
      </c>
      <c r="D75" s="58" t="s">
        <v>494</v>
      </c>
      <c r="E75" s="59"/>
    </row>
    <row r="76" spans="1:5" ht="72" customHeight="1" x14ac:dyDescent="0.25">
      <c r="A76" s="224"/>
      <c r="B76" s="223" t="s">
        <v>122</v>
      </c>
      <c r="C76" s="48" t="s">
        <v>67</v>
      </c>
      <c r="D76" s="49" t="s">
        <v>495</v>
      </c>
      <c r="E76" s="50" t="s">
        <v>496</v>
      </c>
    </row>
    <row r="77" spans="1:5" ht="72" customHeight="1" x14ac:dyDescent="0.25">
      <c r="A77" s="224"/>
      <c r="B77" s="224"/>
      <c r="C77" s="51" t="s">
        <v>64</v>
      </c>
      <c r="D77" s="52" t="s">
        <v>497</v>
      </c>
      <c r="E77" s="53" t="s">
        <v>498</v>
      </c>
    </row>
    <row r="78" spans="1:5" ht="72" customHeight="1" x14ac:dyDescent="0.25">
      <c r="A78" s="224"/>
      <c r="B78" s="224"/>
      <c r="C78" s="54" t="s">
        <v>111</v>
      </c>
      <c r="D78" s="55" t="s">
        <v>499</v>
      </c>
      <c r="E78" s="56" t="s">
        <v>500</v>
      </c>
    </row>
    <row r="79" spans="1:5" ht="72" customHeight="1" x14ac:dyDescent="0.25">
      <c r="A79" s="224"/>
      <c r="B79" s="225"/>
      <c r="C79" s="57" t="s">
        <v>374</v>
      </c>
      <c r="D79" s="58" t="s">
        <v>501</v>
      </c>
      <c r="E79" s="59"/>
    </row>
    <row r="80" spans="1:5" ht="72" customHeight="1" x14ac:dyDescent="0.25">
      <c r="A80" s="224"/>
      <c r="B80" s="223" t="s">
        <v>124</v>
      </c>
      <c r="C80" s="48" t="s">
        <v>67</v>
      </c>
      <c r="D80" s="49" t="s">
        <v>502</v>
      </c>
      <c r="E80" s="50" t="s">
        <v>503</v>
      </c>
    </row>
    <row r="81" spans="1:5" ht="72" customHeight="1" x14ac:dyDescent="0.25">
      <c r="A81" s="224"/>
      <c r="B81" s="224"/>
      <c r="C81" s="51" t="s">
        <v>64</v>
      </c>
      <c r="D81" s="52" t="s">
        <v>504</v>
      </c>
      <c r="E81" s="53" t="s">
        <v>505</v>
      </c>
    </row>
    <row r="82" spans="1:5" ht="72" customHeight="1" x14ac:dyDescent="0.25">
      <c r="A82" s="224"/>
      <c r="B82" s="224"/>
      <c r="C82" s="54" t="s">
        <v>111</v>
      </c>
      <c r="D82" s="55" t="s">
        <v>506</v>
      </c>
      <c r="E82" s="56" t="s">
        <v>507</v>
      </c>
    </row>
    <row r="83" spans="1:5" ht="72" customHeight="1" x14ac:dyDescent="0.25">
      <c r="A83" s="225"/>
      <c r="B83" s="225"/>
      <c r="C83" s="57" t="s">
        <v>374</v>
      </c>
      <c r="D83" s="58" t="s">
        <v>508</v>
      </c>
      <c r="E83" s="59"/>
    </row>
    <row r="84" spans="1:5" ht="72" customHeight="1" x14ac:dyDescent="0.25">
      <c r="A84" s="228" t="s">
        <v>509</v>
      </c>
      <c r="B84" s="223" t="s">
        <v>132</v>
      </c>
      <c r="C84" s="48" t="s">
        <v>67</v>
      </c>
      <c r="D84" s="49" t="s">
        <v>510</v>
      </c>
      <c r="E84" s="50" t="s">
        <v>511</v>
      </c>
    </row>
    <row r="85" spans="1:5" ht="72" customHeight="1" x14ac:dyDescent="0.25">
      <c r="A85" s="224"/>
      <c r="B85" s="224"/>
      <c r="C85" s="51" t="s">
        <v>64</v>
      </c>
      <c r="D85" s="52" t="s">
        <v>512</v>
      </c>
      <c r="E85" s="53" t="s">
        <v>513</v>
      </c>
    </row>
    <row r="86" spans="1:5" ht="72" customHeight="1" x14ac:dyDescent="0.25">
      <c r="A86" s="224"/>
      <c r="B86" s="224"/>
      <c r="C86" s="54" t="s">
        <v>111</v>
      </c>
      <c r="D86" s="55" t="s">
        <v>514</v>
      </c>
      <c r="E86" s="56" t="s">
        <v>515</v>
      </c>
    </row>
    <row r="87" spans="1:5" ht="72" customHeight="1" x14ac:dyDescent="0.25">
      <c r="A87" s="224"/>
      <c r="B87" s="225"/>
      <c r="C87" s="57" t="s">
        <v>374</v>
      </c>
      <c r="D87" s="58" t="s">
        <v>516</v>
      </c>
      <c r="E87" s="59"/>
    </row>
    <row r="88" spans="1:5" ht="72" customHeight="1" x14ac:dyDescent="0.25">
      <c r="A88" s="224"/>
      <c r="B88" s="223" t="s">
        <v>134</v>
      </c>
      <c r="C88" s="48" t="s">
        <v>67</v>
      </c>
      <c r="D88" s="49" t="s">
        <v>517</v>
      </c>
      <c r="E88" s="50" t="s">
        <v>518</v>
      </c>
    </row>
    <row r="89" spans="1:5" ht="72" customHeight="1" x14ac:dyDescent="0.25">
      <c r="A89" s="224"/>
      <c r="B89" s="224"/>
      <c r="C89" s="51" t="s">
        <v>64</v>
      </c>
      <c r="D89" s="52" t="s">
        <v>519</v>
      </c>
      <c r="E89" s="53" t="s">
        <v>520</v>
      </c>
    </row>
    <row r="90" spans="1:5" ht="72" customHeight="1" x14ac:dyDescent="0.25">
      <c r="A90" s="224"/>
      <c r="B90" s="224"/>
      <c r="C90" s="54" t="s">
        <v>111</v>
      </c>
      <c r="D90" s="55" t="s">
        <v>521</v>
      </c>
      <c r="E90" s="56" t="s">
        <v>522</v>
      </c>
    </row>
    <row r="91" spans="1:5" ht="72" customHeight="1" x14ac:dyDescent="0.25">
      <c r="A91" s="224"/>
      <c r="B91" s="225"/>
      <c r="C91" s="57" t="s">
        <v>374</v>
      </c>
      <c r="D91" s="58" t="s">
        <v>516</v>
      </c>
      <c r="E91" s="59"/>
    </row>
    <row r="92" spans="1:5" ht="72" customHeight="1" x14ac:dyDescent="0.25">
      <c r="A92" s="224"/>
      <c r="B92" s="223" t="s">
        <v>136</v>
      </c>
      <c r="C92" s="48" t="s">
        <v>67</v>
      </c>
      <c r="D92" s="49" t="s">
        <v>523</v>
      </c>
      <c r="E92" s="50" t="s">
        <v>524</v>
      </c>
    </row>
    <row r="93" spans="1:5" ht="72" customHeight="1" x14ac:dyDescent="0.25">
      <c r="A93" s="224"/>
      <c r="B93" s="224"/>
      <c r="C93" s="51" t="s">
        <v>64</v>
      </c>
      <c r="D93" s="52" t="s">
        <v>525</v>
      </c>
      <c r="E93" s="53" t="s">
        <v>526</v>
      </c>
    </row>
    <row r="94" spans="1:5" ht="72" customHeight="1" x14ac:dyDescent="0.25">
      <c r="A94" s="224"/>
      <c r="B94" s="224"/>
      <c r="C94" s="54" t="s">
        <v>111</v>
      </c>
      <c r="D94" s="55" t="s">
        <v>527</v>
      </c>
      <c r="E94" s="56" t="s">
        <v>528</v>
      </c>
    </row>
    <row r="95" spans="1:5" ht="72" customHeight="1" x14ac:dyDescent="0.25">
      <c r="A95" s="224"/>
      <c r="B95" s="225"/>
      <c r="C95" s="57" t="s">
        <v>374</v>
      </c>
      <c r="D95" s="58" t="s">
        <v>516</v>
      </c>
      <c r="E95" s="59"/>
    </row>
    <row r="96" spans="1:5" ht="72" customHeight="1" x14ac:dyDescent="0.25">
      <c r="A96" s="224"/>
      <c r="B96" s="223" t="s">
        <v>138</v>
      </c>
      <c r="C96" s="48" t="s">
        <v>67</v>
      </c>
      <c r="D96" s="49" t="s">
        <v>529</v>
      </c>
      <c r="E96" s="50" t="s">
        <v>530</v>
      </c>
    </row>
    <row r="97" spans="1:5" ht="72" customHeight="1" x14ac:dyDescent="0.25">
      <c r="A97" s="224"/>
      <c r="B97" s="224"/>
      <c r="C97" s="51" t="s">
        <v>64</v>
      </c>
      <c r="D97" s="52" t="s">
        <v>531</v>
      </c>
      <c r="E97" s="53" t="s">
        <v>532</v>
      </c>
    </row>
    <row r="98" spans="1:5" ht="72" customHeight="1" x14ac:dyDescent="0.25">
      <c r="A98" s="224"/>
      <c r="B98" s="224"/>
      <c r="C98" s="54" t="s">
        <v>111</v>
      </c>
      <c r="D98" s="55" t="s">
        <v>533</v>
      </c>
      <c r="E98" s="56" t="s">
        <v>534</v>
      </c>
    </row>
    <row r="99" spans="1:5" ht="72" customHeight="1" x14ac:dyDescent="0.25">
      <c r="A99" s="225"/>
      <c r="B99" s="225"/>
      <c r="C99" s="57" t="s">
        <v>374</v>
      </c>
      <c r="D99" s="58" t="s">
        <v>516</v>
      </c>
      <c r="E99" s="59"/>
    </row>
    <row r="100" spans="1:5" ht="72" customHeight="1" x14ac:dyDescent="0.25">
      <c r="A100" s="228" t="s">
        <v>535</v>
      </c>
      <c r="B100" s="223" t="s">
        <v>154</v>
      </c>
      <c r="C100" s="48" t="s">
        <v>67</v>
      </c>
      <c r="D100" s="49" t="s">
        <v>536</v>
      </c>
      <c r="E100" s="50" t="s">
        <v>537</v>
      </c>
    </row>
    <row r="101" spans="1:5" ht="72" customHeight="1" x14ac:dyDescent="0.25">
      <c r="A101" s="224"/>
      <c r="B101" s="224"/>
      <c r="C101" s="51" t="s">
        <v>64</v>
      </c>
      <c r="D101" s="52" t="s">
        <v>538</v>
      </c>
      <c r="E101" s="53" t="s">
        <v>539</v>
      </c>
    </row>
    <row r="102" spans="1:5" ht="72" customHeight="1" x14ac:dyDescent="0.25">
      <c r="A102" s="224"/>
      <c r="B102" s="224"/>
      <c r="C102" s="54" t="s">
        <v>111</v>
      </c>
      <c r="D102" s="55" t="s">
        <v>540</v>
      </c>
      <c r="E102" s="56" t="s">
        <v>541</v>
      </c>
    </row>
    <row r="103" spans="1:5" ht="72" customHeight="1" x14ac:dyDescent="0.25">
      <c r="A103" s="224"/>
      <c r="B103" s="225"/>
      <c r="C103" s="57" t="s">
        <v>374</v>
      </c>
      <c r="D103" s="58" t="s">
        <v>542</v>
      </c>
      <c r="E103" s="59"/>
    </row>
    <row r="104" spans="1:5" ht="72" customHeight="1" x14ac:dyDescent="0.25">
      <c r="A104" s="224"/>
      <c r="B104" s="223" t="s">
        <v>156</v>
      </c>
      <c r="C104" s="48" t="s">
        <v>67</v>
      </c>
      <c r="D104" s="49" t="s">
        <v>543</v>
      </c>
      <c r="E104" s="50" t="s">
        <v>544</v>
      </c>
    </row>
    <row r="105" spans="1:5" ht="72" customHeight="1" x14ac:dyDescent="0.25">
      <c r="A105" s="224"/>
      <c r="B105" s="224"/>
      <c r="C105" s="51" t="s">
        <v>64</v>
      </c>
      <c r="D105" s="52" t="s">
        <v>545</v>
      </c>
      <c r="E105" s="53" t="s">
        <v>546</v>
      </c>
    </row>
    <row r="106" spans="1:5" ht="72" customHeight="1" x14ac:dyDescent="0.25">
      <c r="A106" s="224"/>
      <c r="B106" s="224"/>
      <c r="C106" s="54" t="s">
        <v>111</v>
      </c>
      <c r="D106" s="55" t="s">
        <v>547</v>
      </c>
      <c r="E106" s="56" t="s">
        <v>548</v>
      </c>
    </row>
    <row r="107" spans="1:5" ht="72" customHeight="1" x14ac:dyDescent="0.25">
      <c r="A107" s="224"/>
      <c r="B107" s="225"/>
      <c r="C107" s="57" t="s">
        <v>374</v>
      </c>
      <c r="D107" s="58" t="s">
        <v>549</v>
      </c>
      <c r="E107" s="59"/>
    </row>
    <row r="108" spans="1:5" ht="72" customHeight="1" x14ac:dyDescent="0.25">
      <c r="A108" s="224"/>
      <c r="B108" s="223" t="s">
        <v>158</v>
      </c>
      <c r="C108" s="48" t="s">
        <v>67</v>
      </c>
      <c r="D108" s="49" t="s">
        <v>550</v>
      </c>
      <c r="E108" s="50" t="s">
        <v>551</v>
      </c>
    </row>
    <row r="109" spans="1:5" ht="72" customHeight="1" x14ac:dyDescent="0.25">
      <c r="A109" s="224"/>
      <c r="B109" s="224"/>
      <c r="C109" s="51" t="s">
        <v>64</v>
      </c>
      <c r="D109" s="52" t="s">
        <v>552</v>
      </c>
      <c r="E109" s="53" t="s">
        <v>553</v>
      </c>
    </row>
    <row r="110" spans="1:5" ht="72" customHeight="1" x14ac:dyDescent="0.25">
      <c r="A110" s="224"/>
      <c r="B110" s="224"/>
      <c r="C110" s="54" t="s">
        <v>111</v>
      </c>
      <c r="D110" s="55" t="s">
        <v>554</v>
      </c>
      <c r="E110" s="56" t="s">
        <v>555</v>
      </c>
    </row>
    <row r="111" spans="1:5" ht="72" customHeight="1" x14ac:dyDescent="0.25">
      <c r="A111" s="224"/>
      <c r="B111" s="225"/>
      <c r="C111" s="57" t="s">
        <v>374</v>
      </c>
      <c r="D111" s="58" t="s">
        <v>556</v>
      </c>
      <c r="E111" s="59"/>
    </row>
    <row r="112" spans="1:5" ht="72" customHeight="1" x14ac:dyDescent="0.25">
      <c r="A112" s="224"/>
      <c r="B112" s="223" t="s">
        <v>160</v>
      </c>
      <c r="C112" s="48" t="s">
        <v>67</v>
      </c>
      <c r="D112" s="49" t="s">
        <v>557</v>
      </c>
      <c r="E112" s="50" t="s">
        <v>558</v>
      </c>
    </row>
    <row r="113" spans="1:5" ht="72" customHeight="1" x14ac:dyDescent="0.25">
      <c r="A113" s="224"/>
      <c r="B113" s="224"/>
      <c r="C113" s="51" t="s">
        <v>64</v>
      </c>
      <c r="D113" s="52" t="s">
        <v>559</v>
      </c>
      <c r="E113" s="53" t="s">
        <v>560</v>
      </c>
    </row>
    <row r="114" spans="1:5" ht="72" customHeight="1" x14ac:dyDescent="0.25">
      <c r="A114" s="224"/>
      <c r="B114" s="224"/>
      <c r="C114" s="54" t="s">
        <v>111</v>
      </c>
      <c r="D114" s="55" t="s">
        <v>561</v>
      </c>
      <c r="E114" s="56" t="s">
        <v>562</v>
      </c>
    </row>
    <row r="115" spans="1:5" ht="72" customHeight="1" x14ac:dyDescent="0.25">
      <c r="A115" s="224"/>
      <c r="B115" s="225"/>
      <c r="C115" s="57" t="s">
        <v>374</v>
      </c>
      <c r="D115" s="58" t="s">
        <v>396</v>
      </c>
      <c r="E115" s="59"/>
    </row>
    <row r="116" spans="1:5" ht="72" customHeight="1" x14ac:dyDescent="0.25">
      <c r="A116" s="224"/>
      <c r="B116" s="223" t="s">
        <v>162</v>
      </c>
      <c r="C116" s="48" t="s">
        <v>67</v>
      </c>
      <c r="D116" s="49" t="s">
        <v>563</v>
      </c>
      <c r="E116" s="50" t="s">
        <v>564</v>
      </c>
    </row>
    <row r="117" spans="1:5" ht="72" customHeight="1" x14ac:dyDescent="0.25">
      <c r="A117" s="224"/>
      <c r="B117" s="224"/>
      <c r="C117" s="51" t="s">
        <v>64</v>
      </c>
      <c r="D117" s="52" t="s">
        <v>565</v>
      </c>
      <c r="E117" s="53" t="s">
        <v>566</v>
      </c>
    </row>
    <row r="118" spans="1:5" ht="72" customHeight="1" x14ac:dyDescent="0.25">
      <c r="A118" s="224"/>
      <c r="B118" s="224"/>
      <c r="C118" s="54" t="s">
        <v>111</v>
      </c>
      <c r="D118" s="55" t="s">
        <v>567</v>
      </c>
      <c r="E118" s="56" t="s">
        <v>568</v>
      </c>
    </row>
    <row r="119" spans="1:5" ht="72" customHeight="1" x14ac:dyDescent="0.25">
      <c r="A119" s="225"/>
      <c r="B119" s="225"/>
      <c r="C119" s="57" t="s">
        <v>374</v>
      </c>
      <c r="D119" s="58" t="s">
        <v>396</v>
      </c>
      <c r="E119" s="59"/>
    </row>
    <row r="120" spans="1:5" ht="72" customHeight="1" x14ac:dyDescent="0.25">
      <c r="A120" s="228" t="s">
        <v>569</v>
      </c>
      <c r="B120" s="223" t="s">
        <v>169</v>
      </c>
      <c r="C120" s="48" t="s">
        <v>67</v>
      </c>
      <c r="D120" s="49" t="s">
        <v>570</v>
      </c>
      <c r="E120" s="50" t="s">
        <v>571</v>
      </c>
    </row>
    <row r="121" spans="1:5" ht="72" customHeight="1" x14ac:dyDescent="0.25">
      <c r="A121" s="224"/>
      <c r="B121" s="224"/>
      <c r="C121" s="51" t="s">
        <v>64</v>
      </c>
      <c r="D121" s="52" t="s">
        <v>572</v>
      </c>
      <c r="E121" s="53" t="s">
        <v>573</v>
      </c>
    </row>
    <row r="122" spans="1:5" ht="72" customHeight="1" x14ac:dyDescent="0.25">
      <c r="A122" s="224"/>
      <c r="B122" s="224"/>
      <c r="C122" s="54" t="s">
        <v>111</v>
      </c>
      <c r="D122" s="55" t="s">
        <v>574</v>
      </c>
      <c r="E122" s="56" t="s">
        <v>575</v>
      </c>
    </row>
    <row r="123" spans="1:5" ht="72" customHeight="1" x14ac:dyDescent="0.25">
      <c r="A123" s="224"/>
      <c r="B123" s="225"/>
      <c r="C123" s="57" t="s">
        <v>374</v>
      </c>
      <c r="D123" s="58" t="s">
        <v>396</v>
      </c>
      <c r="E123" s="59"/>
    </row>
    <row r="124" spans="1:5" ht="72" customHeight="1" x14ac:dyDescent="0.25">
      <c r="A124" s="224"/>
      <c r="B124" s="223" t="s">
        <v>171</v>
      </c>
      <c r="C124" s="48" t="s">
        <v>67</v>
      </c>
      <c r="D124" s="49" t="s">
        <v>576</v>
      </c>
      <c r="E124" s="50" t="s">
        <v>577</v>
      </c>
    </row>
    <row r="125" spans="1:5" ht="72" customHeight="1" x14ac:dyDescent="0.25">
      <c r="A125" s="224"/>
      <c r="B125" s="224"/>
      <c r="C125" s="51" t="s">
        <v>64</v>
      </c>
      <c r="D125" s="52" t="s">
        <v>578</v>
      </c>
      <c r="E125" s="53" t="s">
        <v>579</v>
      </c>
    </row>
    <row r="126" spans="1:5" ht="72" customHeight="1" x14ac:dyDescent="0.25">
      <c r="A126" s="224"/>
      <c r="B126" s="224"/>
      <c r="C126" s="54" t="s">
        <v>111</v>
      </c>
      <c r="D126" s="55" t="s">
        <v>580</v>
      </c>
      <c r="E126" s="56" t="s">
        <v>581</v>
      </c>
    </row>
    <row r="127" spans="1:5" ht="72" customHeight="1" x14ac:dyDescent="0.25">
      <c r="A127" s="224"/>
      <c r="B127" s="225"/>
      <c r="C127" s="57" t="s">
        <v>374</v>
      </c>
      <c r="D127" s="58" t="s">
        <v>582</v>
      </c>
      <c r="E127" s="59"/>
    </row>
    <row r="128" spans="1:5" ht="72" customHeight="1" x14ac:dyDescent="0.25">
      <c r="A128" s="224"/>
      <c r="B128" s="223" t="s">
        <v>173</v>
      </c>
      <c r="C128" s="48" t="s">
        <v>67</v>
      </c>
      <c r="D128" s="49" t="s">
        <v>583</v>
      </c>
      <c r="E128" s="50" t="s">
        <v>584</v>
      </c>
    </row>
    <row r="129" spans="1:5" ht="72" customHeight="1" x14ac:dyDescent="0.25">
      <c r="A129" s="224"/>
      <c r="B129" s="224"/>
      <c r="C129" s="51" t="s">
        <v>64</v>
      </c>
      <c r="D129" s="52" t="s">
        <v>585</v>
      </c>
      <c r="E129" s="53" t="s">
        <v>586</v>
      </c>
    </row>
    <row r="130" spans="1:5" ht="72" customHeight="1" x14ac:dyDescent="0.25">
      <c r="A130" s="224"/>
      <c r="B130" s="224"/>
      <c r="C130" s="54" t="s">
        <v>111</v>
      </c>
      <c r="D130" s="55" t="s">
        <v>587</v>
      </c>
      <c r="E130" s="56" t="s">
        <v>588</v>
      </c>
    </row>
    <row r="131" spans="1:5" ht="72" customHeight="1" x14ac:dyDescent="0.25">
      <c r="A131" s="224"/>
      <c r="B131" s="225"/>
      <c r="C131" s="57" t="s">
        <v>374</v>
      </c>
      <c r="D131" s="58" t="s">
        <v>589</v>
      </c>
      <c r="E131" s="59"/>
    </row>
    <row r="132" spans="1:5" ht="72" customHeight="1" x14ac:dyDescent="0.25">
      <c r="A132" s="224"/>
      <c r="B132" s="223" t="s">
        <v>323</v>
      </c>
      <c r="C132" s="48" t="s">
        <v>67</v>
      </c>
      <c r="D132" s="49" t="s">
        <v>590</v>
      </c>
      <c r="E132" s="50" t="s">
        <v>591</v>
      </c>
    </row>
    <row r="133" spans="1:5" ht="72" customHeight="1" x14ac:dyDescent="0.25">
      <c r="A133" s="224"/>
      <c r="B133" s="224"/>
      <c r="C133" s="51" t="s">
        <v>64</v>
      </c>
      <c r="D133" s="52" t="s">
        <v>592</v>
      </c>
      <c r="E133" s="53" t="s">
        <v>593</v>
      </c>
    </row>
    <row r="134" spans="1:5" ht="72" customHeight="1" x14ac:dyDescent="0.25">
      <c r="A134" s="224"/>
      <c r="B134" s="224"/>
      <c r="C134" s="54" t="s">
        <v>111</v>
      </c>
      <c r="D134" s="55" t="s">
        <v>594</v>
      </c>
      <c r="E134" s="56" t="s">
        <v>595</v>
      </c>
    </row>
    <row r="135" spans="1:5" ht="72" customHeight="1" x14ac:dyDescent="0.25">
      <c r="A135" s="224"/>
      <c r="B135" s="225"/>
      <c r="C135" s="57" t="s">
        <v>374</v>
      </c>
      <c r="D135" s="58" t="s">
        <v>596</v>
      </c>
      <c r="E135" s="59"/>
    </row>
    <row r="136" spans="1:5" ht="72" customHeight="1" x14ac:dyDescent="0.25">
      <c r="A136" s="224"/>
      <c r="B136" s="223" t="s">
        <v>177</v>
      </c>
      <c r="C136" s="48" t="s">
        <v>67</v>
      </c>
      <c r="D136" s="49" t="s">
        <v>597</v>
      </c>
      <c r="E136" s="50" t="s">
        <v>598</v>
      </c>
    </row>
    <row r="137" spans="1:5" ht="72" customHeight="1" x14ac:dyDescent="0.25">
      <c r="A137" s="224"/>
      <c r="B137" s="224"/>
      <c r="C137" s="51" t="s">
        <v>64</v>
      </c>
      <c r="D137" s="52" t="s">
        <v>599</v>
      </c>
      <c r="E137" s="53" t="s">
        <v>600</v>
      </c>
    </row>
    <row r="138" spans="1:5" ht="72" customHeight="1" x14ac:dyDescent="0.25">
      <c r="A138" s="224"/>
      <c r="B138" s="224"/>
      <c r="C138" s="54" t="s">
        <v>111</v>
      </c>
      <c r="D138" s="55" t="s">
        <v>601</v>
      </c>
      <c r="E138" s="56" t="s">
        <v>602</v>
      </c>
    </row>
    <row r="139" spans="1:5" ht="72" customHeight="1" x14ac:dyDescent="0.25">
      <c r="A139" s="224"/>
      <c r="B139" s="225"/>
      <c r="C139" s="57" t="s">
        <v>374</v>
      </c>
      <c r="D139" s="58" t="s">
        <v>603</v>
      </c>
      <c r="E139" s="59"/>
    </row>
    <row r="140" spans="1:5" ht="72" customHeight="1" x14ac:dyDescent="0.25">
      <c r="A140" s="224"/>
      <c r="B140" s="223" t="s">
        <v>179</v>
      </c>
      <c r="C140" s="48" t="s">
        <v>67</v>
      </c>
      <c r="D140" s="49" t="s">
        <v>604</v>
      </c>
      <c r="E140" s="50" t="s">
        <v>605</v>
      </c>
    </row>
    <row r="141" spans="1:5" ht="72" customHeight="1" x14ac:dyDescent="0.25">
      <c r="A141" s="224"/>
      <c r="B141" s="224"/>
      <c r="C141" s="51" t="s">
        <v>64</v>
      </c>
      <c r="D141" s="52" t="s">
        <v>606</v>
      </c>
      <c r="E141" s="53" t="s">
        <v>607</v>
      </c>
    </row>
    <row r="142" spans="1:5" ht="72" customHeight="1" x14ac:dyDescent="0.25">
      <c r="A142" s="224"/>
      <c r="B142" s="224"/>
      <c r="C142" s="54" t="s">
        <v>111</v>
      </c>
      <c r="D142" s="55" t="s">
        <v>608</v>
      </c>
      <c r="E142" s="56" t="s">
        <v>609</v>
      </c>
    </row>
    <row r="143" spans="1:5" ht="72" customHeight="1" x14ac:dyDescent="0.25">
      <c r="A143" s="225"/>
      <c r="B143" s="225"/>
      <c r="C143" s="57" t="s">
        <v>374</v>
      </c>
      <c r="D143" s="58" t="s">
        <v>610</v>
      </c>
      <c r="E143" s="59"/>
    </row>
    <row r="145" spans="1:5" ht="20.100000000000001" customHeight="1" x14ac:dyDescent="0.25">
      <c r="A145" s="230" t="s">
        <v>611</v>
      </c>
      <c r="B145" s="231"/>
      <c r="C145" s="231"/>
      <c r="D145" s="231"/>
      <c r="E145" s="232"/>
    </row>
    <row r="146" spans="1:5" ht="15.95" customHeight="1" x14ac:dyDescent="0.25">
      <c r="A146" s="103" t="s">
        <v>612</v>
      </c>
      <c r="B146" s="103" t="s">
        <v>613</v>
      </c>
      <c r="C146" s="103" t="s">
        <v>614</v>
      </c>
      <c r="D146" s="103" t="s">
        <v>364</v>
      </c>
      <c r="E146" s="103" t="s">
        <v>365</v>
      </c>
    </row>
    <row r="147" spans="1:5" ht="51.95" customHeight="1" x14ac:dyDescent="0.25">
      <c r="A147" s="104" t="s">
        <v>615</v>
      </c>
      <c r="B147" s="105" t="s">
        <v>616</v>
      </c>
      <c r="C147" s="106" t="s">
        <v>617</v>
      </c>
      <c r="D147" s="107" t="s">
        <v>618</v>
      </c>
      <c r="E147" s="108" t="s">
        <v>619</v>
      </c>
    </row>
    <row r="148" spans="1:5" ht="51.95" customHeight="1" x14ac:dyDescent="0.25">
      <c r="A148" s="109"/>
      <c r="B148" s="110"/>
      <c r="C148" s="111" t="s">
        <v>620</v>
      </c>
      <c r="D148" s="112" t="s">
        <v>621</v>
      </c>
      <c r="E148" s="113" t="s">
        <v>622</v>
      </c>
    </row>
    <row r="149" spans="1:5" ht="51.95" customHeight="1" x14ac:dyDescent="0.25">
      <c r="A149" s="109"/>
      <c r="B149" s="110"/>
      <c r="C149" s="114" t="s">
        <v>623</v>
      </c>
      <c r="D149" s="115" t="s">
        <v>624</v>
      </c>
      <c r="E149" s="116" t="s">
        <v>625</v>
      </c>
    </row>
    <row r="150" spans="1:5" ht="51.95" customHeight="1" x14ac:dyDescent="0.25">
      <c r="A150" s="109"/>
      <c r="B150" s="110"/>
      <c r="C150" s="117" t="s">
        <v>626</v>
      </c>
      <c r="D150" s="118" t="s">
        <v>627</v>
      </c>
      <c r="E150" s="119" t="s">
        <v>628</v>
      </c>
    </row>
    <row r="151" spans="1:5" ht="51.95" customHeight="1" x14ac:dyDescent="0.25">
      <c r="A151" s="109"/>
      <c r="B151" s="110"/>
      <c r="C151" s="120" t="s">
        <v>629</v>
      </c>
      <c r="D151" s="121" t="s">
        <v>630</v>
      </c>
      <c r="E151" s="122" t="s">
        <v>631</v>
      </c>
    </row>
    <row r="152" spans="1:5" ht="51.95" customHeight="1" x14ac:dyDescent="0.25">
      <c r="A152" s="109"/>
      <c r="B152" s="110"/>
      <c r="C152" s="123" t="s">
        <v>632</v>
      </c>
      <c r="D152" s="124" t="s">
        <v>633</v>
      </c>
      <c r="E152" s="125" t="s">
        <v>634</v>
      </c>
    </row>
    <row r="154" spans="1:5" ht="51.95" customHeight="1" x14ac:dyDescent="0.25">
      <c r="A154" s="104" t="s">
        <v>635</v>
      </c>
      <c r="B154" s="105" t="s">
        <v>636</v>
      </c>
      <c r="C154" s="106" t="s">
        <v>617</v>
      </c>
      <c r="D154" s="107" t="s">
        <v>637</v>
      </c>
      <c r="E154" s="108" t="s">
        <v>638</v>
      </c>
    </row>
    <row r="155" spans="1:5" ht="51.95" customHeight="1" x14ac:dyDescent="0.25">
      <c r="A155" s="109"/>
      <c r="B155" s="110"/>
      <c r="C155" s="111" t="s">
        <v>620</v>
      </c>
      <c r="D155" s="112" t="s">
        <v>639</v>
      </c>
      <c r="E155" s="113" t="s">
        <v>640</v>
      </c>
    </row>
    <row r="156" spans="1:5" ht="51.95" customHeight="1" x14ac:dyDescent="0.25">
      <c r="A156" s="109"/>
      <c r="B156" s="110"/>
      <c r="C156" s="114" t="s">
        <v>623</v>
      </c>
      <c r="D156" s="115" t="s">
        <v>641</v>
      </c>
      <c r="E156" s="116" t="s">
        <v>642</v>
      </c>
    </row>
    <row r="157" spans="1:5" ht="51.95" customHeight="1" x14ac:dyDescent="0.25">
      <c r="A157" s="109"/>
      <c r="B157" s="110"/>
      <c r="C157" s="117" t="s">
        <v>626</v>
      </c>
      <c r="D157" s="118" t="s">
        <v>643</v>
      </c>
      <c r="E157" s="119" t="s">
        <v>644</v>
      </c>
    </row>
    <row r="158" spans="1:5" ht="51.95" customHeight="1" x14ac:dyDescent="0.25">
      <c r="A158" s="109"/>
      <c r="B158" s="110"/>
      <c r="C158" s="120" t="s">
        <v>629</v>
      </c>
      <c r="D158" s="121" t="s">
        <v>645</v>
      </c>
      <c r="E158" s="122" t="s">
        <v>646</v>
      </c>
    </row>
    <row r="159" spans="1:5" ht="51.95" customHeight="1" x14ac:dyDescent="0.25">
      <c r="A159" s="109"/>
      <c r="B159" s="110"/>
      <c r="C159" s="123" t="s">
        <v>632</v>
      </c>
      <c r="D159" s="124" t="s">
        <v>647</v>
      </c>
      <c r="E159" s="125" t="s">
        <v>648</v>
      </c>
    </row>
  </sheetData>
  <mergeCells count="45">
    <mergeCell ref="B4:B7"/>
    <mergeCell ref="B20:B23"/>
    <mergeCell ref="B64:B67"/>
    <mergeCell ref="B104:B107"/>
    <mergeCell ref="B100:B103"/>
    <mergeCell ref="B76:B79"/>
    <mergeCell ref="B16:B19"/>
    <mergeCell ref="B32:B35"/>
    <mergeCell ref="A145:E145"/>
    <mergeCell ref="B48:B51"/>
    <mergeCell ref="B28:B31"/>
    <mergeCell ref="B44:B47"/>
    <mergeCell ref="B84:B87"/>
    <mergeCell ref="B60:B63"/>
    <mergeCell ref="B40:B43"/>
    <mergeCell ref="B128:B131"/>
    <mergeCell ref="B112:B115"/>
    <mergeCell ref="B92:B95"/>
    <mergeCell ref="B68:B71"/>
    <mergeCell ref="B124:B127"/>
    <mergeCell ref="B80:B83"/>
    <mergeCell ref="B36:B39"/>
    <mergeCell ref="A84:A99"/>
    <mergeCell ref="B108:B111"/>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2:E2"/>
    <mergeCell ref="B24:B27"/>
    <mergeCell ref="B140:B143"/>
    <mergeCell ref="B56:B59"/>
    <mergeCell ref="B96:B99"/>
    <mergeCell ref="B12:B15"/>
    <mergeCell ref="B72:B7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47"/>
  <sheetViews>
    <sheetView showGridLines="0" workbookViewId="0">
      <pane ySplit="2" topLeftCell="A3" activePane="bottomLeft" state="frozen"/>
      <selection pane="bottomLeft"/>
    </sheetView>
  </sheetViews>
  <sheetFormatPr defaultRowHeight="15" x14ac:dyDescent="0.25"/>
  <cols>
    <col min="1" max="1" width="4" customWidth="1"/>
    <col min="2" max="2" width="34" customWidth="1"/>
    <col min="3" max="3" width="110" customWidth="1"/>
  </cols>
  <sheetData>
    <row r="1" spans="2:3" ht="26.1" customHeight="1" x14ac:dyDescent="0.25">
      <c r="B1" s="216" t="s">
        <v>649</v>
      </c>
      <c r="C1" s="176"/>
    </row>
    <row r="3" spans="2:3" x14ac:dyDescent="0.25">
      <c r="B3" s="184" t="s">
        <v>650</v>
      </c>
      <c r="C3" s="176"/>
    </row>
    <row r="4" spans="2:3" ht="72" customHeight="1" x14ac:dyDescent="0.25">
      <c r="B4" s="16" t="s">
        <v>651</v>
      </c>
      <c r="C4" s="6" t="s">
        <v>652</v>
      </c>
    </row>
    <row r="5" spans="2:3" ht="72" customHeight="1" x14ac:dyDescent="0.25">
      <c r="B5" s="17" t="s">
        <v>653</v>
      </c>
      <c r="C5" s="18" t="s">
        <v>654</v>
      </c>
    </row>
    <row r="6" spans="2:3" ht="72" customHeight="1" x14ac:dyDescent="0.25">
      <c r="B6" s="16" t="s">
        <v>655</v>
      </c>
      <c r="C6" s="6" t="s">
        <v>656</v>
      </c>
    </row>
    <row r="7" spans="2:3" ht="72" customHeight="1" x14ac:dyDescent="0.25">
      <c r="B7" s="17" t="s">
        <v>657</v>
      </c>
      <c r="C7" s="18" t="s">
        <v>658</v>
      </c>
    </row>
    <row r="8" spans="2:3" ht="72" customHeight="1" x14ac:dyDescent="0.25">
      <c r="B8" s="16" t="s">
        <v>659</v>
      </c>
      <c r="C8" s="6" t="s">
        <v>660</v>
      </c>
    </row>
    <row r="9" spans="2:3" ht="72" customHeight="1" x14ac:dyDescent="0.25">
      <c r="B9" s="17" t="s">
        <v>661</v>
      </c>
      <c r="C9" s="18" t="s">
        <v>662</v>
      </c>
    </row>
    <row r="11" spans="2:3" x14ac:dyDescent="0.25">
      <c r="B11" s="184" t="s">
        <v>663</v>
      </c>
      <c r="C11" s="176"/>
    </row>
    <row r="12" spans="2:3" ht="57.95" customHeight="1" x14ac:dyDescent="0.25">
      <c r="B12" s="235" t="s">
        <v>664</v>
      </c>
      <c r="C12" s="179"/>
    </row>
    <row r="13" spans="2:3" x14ac:dyDescent="0.25">
      <c r="B13" s="15" t="s">
        <v>665</v>
      </c>
      <c r="C13" s="15" t="s">
        <v>666</v>
      </c>
    </row>
    <row r="14" spans="2:3" ht="66" customHeight="1" x14ac:dyDescent="0.25">
      <c r="B14" s="19" t="s">
        <v>667</v>
      </c>
      <c r="C14" s="6" t="s">
        <v>668</v>
      </c>
    </row>
    <row r="15" spans="2:3" ht="66" customHeight="1" x14ac:dyDescent="0.25">
      <c r="B15" s="20" t="s">
        <v>669</v>
      </c>
      <c r="C15" s="8" t="s">
        <v>670</v>
      </c>
    </row>
    <row r="16" spans="2:3" ht="66" customHeight="1" x14ac:dyDescent="0.25">
      <c r="B16" s="19" t="s">
        <v>671</v>
      </c>
      <c r="C16" s="6" t="s">
        <v>672</v>
      </c>
    </row>
    <row r="17" spans="2:3" ht="66" customHeight="1" x14ac:dyDescent="0.25">
      <c r="B17" s="20" t="s">
        <v>673</v>
      </c>
      <c r="C17" s="8" t="s">
        <v>674</v>
      </c>
    </row>
    <row r="18" spans="2:3" ht="66" customHeight="1" x14ac:dyDescent="0.25">
      <c r="B18" s="19" t="s">
        <v>675</v>
      </c>
      <c r="C18" s="6" t="s">
        <v>676</v>
      </c>
    </row>
    <row r="19" spans="2:3" ht="66" customHeight="1" x14ac:dyDescent="0.25">
      <c r="B19" s="20" t="s">
        <v>677</v>
      </c>
      <c r="C19" s="8" t="s">
        <v>678</v>
      </c>
    </row>
    <row r="20" spans="2:3" ht="66" customHeight="1" x14ac:dyDescent="0.25">
      <c r="B20" s="19" t="s">
        <v>679</v>
      </c>
      <c r="C20" s="6" t="s">
        <v>680</v>
      </c>
    </row>
    <row r="22" spans="2:3" x14ac:dyDescent="0.25">
      <c r="B22" s="184" t="s">
        <v>681</v>
      </c>
      <c r="C22" s="176"/>
    </row>
    <row r="23" spans="2:3" ht="50.1" customHeight="1" x14ac:dyDescent="0.25">
      <c r="B23" s="21" t="s">
        <v>682</v>
      </c>
      <c r="C23" s="6" t="s">
        <v>683</v>
      </c>
    </row>
    <row r="24" spans="2:3" ht="50.1" customHeight="1" x14ac:dyDescent="0.25">
      <c r="B24" s="22" t="s">
        <v>684</v>
      </c>
      <c r="C24" s="18" t="s">
        <v>685</v>
      </c>
    </row>
    <row r="25" spans="2:3" ht="50.1" customHeight="1" x14ac:dyDescent="0.25">
      <c r="B25" s="21" t="s">
        <v>686</v>
      </c>
      <c r="C25" s="6" t="s">
        <v>687</v>
      </c>
    </row>
    <row r="27" spans="2:3" x14ac:dyDescent="0.25">
      <c r="B27" s="184" t="s">
        <v>688</v>
      </c>
      <c r="C27" s="176"/>
    </row>
    <row r="28" spans="2:3" ht="39.950000000000003" customHeight="1" x14ac:dyDescent="0.25">
      <c r="B28" s="192" t="s">
        <v>689</v>
      </c>
      <c r="C28" s="179"/>
    </row>
    <row r="29" spans="2:3" ht="39.950000000000003" customHeight="1" x14ac:dyDescent="0.25">
      <c r="B29" s="234" t="s">
        <v>690</v>
      </c>
      <c r="C29" s="179"/>
    </row>
    <row r="30" spans="2:3" ht="39.950000000000003" customHeight="1" x14ac:dyDescent="0.25">
      <c r="B30" s="192" t="s">
        <v>691</v>
      </c>
      <c r="C30" s="179"/>
    </row>
    <row r="31" spans="2:3" ht="39.950000000000003" customHeight="1" x14ac:dyDescent="0.25">
      <c r="B31" s="234" t="s">
        <v>692</v>
      </c>
      <c r="C31" s="179"/>
    </row>
    <row r="32" spans="2:3" ht="39.950000000000003" customHeight="1" x14ac:dyDescent="0.25">
      <c r="B32" s="192" t="s">
        <v>693</v>
      </c>
      <c r="C32" s="179"/>
    </row>
    <row r="33" spans="2:3" ht="39.950000000000003" customHeight="1" x14ac:dyDescent="0.25">
      <c r="B33" s="234" t="s">
        <v>694</v>
      </c>
      <c r="C33" s="179"/>
    </row>
    <row r="35" spans="2:3" x14ac:dyDescent="0.25">
      <c r="B35" s="184" t="s">
        <v>695</v>
      </c>
      <c r="C35" s="176"/>
    </row>
    <row r="36" spans="2:3" ht="45.95" customHeight="1" x14ac:dyDescent="0.25">
      <c r="B36" s="233" t="s">
        <v>696</v>
      </c>
      <c r="C36" s="176"/>
    </row>
    <row r="37" spans="2:3" ht="42" customHeight="1" x14ac:dyDescent="0.25">
      <c r="B37" s="30" t="s">
        <v>697</v>
      </c>
      <c r="C37" s="126" t="s">
        <v>698</v>
      </c>
    </row>
    <row r="38" spans="2:3" ht="72" customHeight="1" x14ac:dyDescent="0.25">
      <c r="B38" s="17" t="s">
        <v>699</v>
      </c>
      <c r="C38" s="127" t="s">
        <v>700</v>
      </c>
    </row>
    <row r="39" spans="2:3" ht="72" customHeight="1" x14ac:dyDescent="0.25">
      <c r="B39" s="17" t="s">
        <v>701</v>
      </c>
      <c r="C39" s="126" t="s">
        <v>702</v>
      </c>
    </row>
    <row r="40" spans="2:3" ht="84" customHeight="1" x14ac:dyDescent="0.25">
      <c r="B40" s="17" t="s">
        <v>703</v>
      </c>
      <c r="C40" s="8" t="s">
        <v>704</v>
      </c>
    </row>
    <row r="41" spans="2:3" ht="51.95" customHeight="1" x14ac:dyDescent="0.25">
      <c r="B41" s="17" t="s">
        <v>705</v>
      </c>
      <c r="C41" s="6" t="s">
        <v>706</v>
      </c>
    </row>
    <row r="43" spans="2:3" x14ac:dyDescent="0.25">
      <c r="B43" s="184" t="s">
        <v>707</v>
      </c>
      <c r="C43" s="176"/>
    </row>
    <row r="44" spans="2:3" ht="45.95" customHeight="1" x14ac:dyDescent="0.25">
      <c r="B44" s="233" t="s">
        <v>708</v>
      </c>
      <c r="C44" s="176"/>
    </row>
    <row r="45" spans="2:3" ht="66" customHeight="1" x14ac:dyDescent="0.25">
      <c r="B45" s="17" t="s">
        <v>709</v>
      </c>
      <c r="C45" s="6" t="s">
        <v>710</v>
      </c>
    </row>
    <row r="46" spans="2:3" ht="78" customHeight="1" x14ac:dyDescent="0.25">
      <c r="B46" s="17" t="s">
        <v>711</v>
      </c>
      <c r="C46" s="8" t="s">
        <v>712</v>
      </c>
    </row>
    <row r="47" spans="2:3" ht="69.95" customHeight="1" x14ac:dyDescent="0.25">
      <c r="B47" s="17" t="s">
        <v>713</v>
      </c>
      <c r="C47" s="6" t="s">
        <v>714</v>
      </c>
    </row>
  </sheetData>
  <mergeCells count="16">
    <mergeCell ref="B44:C44"/>
    <mergeCell ref="B29:C29"/>
    <mergeCell ref="B33:C33"/>
    <mergeCell ref="B11:C11"/>
    <mergeCell ref="B1:C1"/>
    <mergeCell ref="B35:C35"/>
    <mergeCell ref="B43:C43"/>
    <mergeCell ref="B12:C12"/>
    <mergeCell ref="B3:C3"/>
    <mergeCell ref="B28:C28"/>
    <mergeCell ref="B22:C22"/>
    <mergeCell ref="B36:C36"/>
    <mergeCell ref="B32:C32"/>
    <mergeCell ref="B31:C31"/>
    <mergeCell ref="B27:C27"/>
    <mergeCell ref="B30:C30"/>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5"/>
  <sheetViews>
    <sheetView workbookViewId="0">
      <pane ySplit="3" topLeftCell="A4" activePane="bottomLeft" state="frozen"/>
      <selection pane="bottomLeft"/>
    </sheetView>
  </sheetViews>
  <sheetFormatPr defaultRowHeight="15" x14ac:dyDescent="0.25"/>
  <cols>
    <col min="1" max="1" width="34" customWidth="1"/>
    <col min="2" max="2" width="62" customWidth="1"/>
    <col min="3" max="3" width="80" customWidth="1"/>
  </cols>
  <sheetData>
    <row r="1" spans="1:3" ht="26.1" customHeight="1" x14ac:dyDescent="0.25">
      <c r="A1" s="236" t="s">
        <v>715</v>
      </c>
      <c r="B1" s="227"/>
      <c r="C1" s="227"/>
    </row>
    <row r="2" spans="1:3" ht="45.95" customHeight="1" x14ac:dyDescent="0.25">
      <c r="A2" s="237" t="s">
        <v>716</v>
      </c>
      <c r="B2" s="227"/>
      <c r="C2" s="227"/>
    </row>
    <row r="3" spans="1:3" ht="30" customHeight="1" x14ac:dyDescent="0.25">
      <c r="A3" s="141" t="s">
        <v>185</v>
      </c>
      <c r="B3" s="141" t="s">
        <v>717</v>
      </c>
      <c r="C3" s="141" t="s">
        <v>718</v>
      </c>
    </row>
    <row r="4" spans="1:3" ht="84" customHeight="1" x14ac:dyDescent="0.25">
      <c r="A4" s="142" t="s">
        <v>338</v>
      </c>
      <c r="B4" s="143" t="s">
        <v>719</v>
      </c>
      <c r="C4" s="143" t="s">
        <v>720</v>
      </c>
    </row>
    <row r="5" spans="1:3" ht="84" customHeight="1" x14ac:dyDescent="0.25">
      <c r="A5" s="142" t="s">
        <v>339</v>
      </c>
      <c r="B5" s="143" t="s">
        <v>721</v>
      </c>
      <c r="C5" s="143" t="s">
        <v>720</v>
      </c>
    </row>
    <row r="6" spans="1:3" ht="84" customHeight="1" x14ac:dyDescent="0.25">
      <c r="A6" s="142" t="s">
        <v>340</v>
      </c>
      <c r="B6" s="143" t="s">
        <v>722</v>
      </c>
      <c r="C6" s="143" t="s">
        <v>723</v>
      </c>
    </row>
    <row r="7" spans="1:3" ht="84" customHeight="1" x14ac:dyDescent="0.25">
      <c r="A7" s="142" t="s">
        <v>341</v>
      </c>
      <c r="B7" s="143" t="s">
        <v>724</v>
      </c>
      <c r="C7" s="143" t="s">
        <v>725</v>
      </c>
    </row>
    <row r="8" spans="1:3" ht="50.1" customHeight="1" x14ac:dyDescent="0.25">
      <c r="A8" s="142" t="s">
        <v>342</v>
      </c>
      <c r="B8" s="143" t="s">
        <v>726</v>
      </c>
      <c r="C8" s="143" t="s">
        <v>727</v>
      </c>
    </row>
    <row r="9" spans="1:3" ht="84" customHeight="1" x14ac:dyDescent="0.25">
      <c r="A9" s="142" t="s">
        <v>343</v>
      </c>
      <c r="B9" s="143" t="s">
        <v>728</v>
      </c>
      <c r="C9" s="143" t="s">
        <v>729</v>
      </c>
    </row>
    <row r="10" spans="1:3" ht="84" customHeight="1" x14ac:dyDescent="0.25">
      <c r="A10" s="142" t="s">
        <v>344</v>
      </c>
      <c r="B10" s="143" t="s">
        <v>730</v>
      </c>
      <c r="C10" s="143" t="s">
        <v>731</v>
      </c>
    </row>
    <row r="11" spans="1:3" ht="84" customHeight="1" x14ac:dyDescent="0.25">
      <c r="A11" s="142" t="s">
        <v>345</v>
      </c>
      <c r="B11" s="143" t="s">
        <v>732</v>
      </c>
      <c r="C11" s="143" t="s">
        <v>733</v>
      </c>
    </row>
    <row r="12" spans="1:3" ht="50.1" customHeight="1" x14ac:dyDescent="0.25">
      <c r="A12" s="142" t="s">
        <v>346</v>
      </c>
      <c r="B12" s="143" t="s">
        <v>734</v>
      </c>
      <c r="C12" s="143" t="s">
        <v>735</v>
      </c>
    </row>
    <row r="13" spans="1:3" ht="84" customHeight="1" x14ac:dyDescent="0.25">
      <c r="A13" s="142" t="s">
        <v>347</v>
      </c>
      <c r="B13" s="143" t="s">
        <v>736</v>
      </c>
      <c r="C13" s="143" t="s">
        <v>737</v>
      </c>
    </row>
    <row r="14" spans="1:3" ht="104.1" customHeight="1" x14ac:dyDescent="0.25">
      <c r="A14" s="142" t="s">
        <v>348</v>
      </c>
      <c r="B14" s="143" t="s">
        <v>738</v>
      </c>
      <c r="C14" s="143" t="s">
        <v>739</v>
      </c>
    </row>
    <row r="15" spans="1:3" ht="39.950000000000003" customHeight="1" x14ac:dyDescent="0.25">
      <c r="A15" s="238" t="s">
        <v>740</v>
      </c>
      <c r="B15" s="227"/>
      <c r="C15" s="227"/>
    </row>
  </sheetData>
  <mergeCells count="3">
    <mergeCell ref="A1:C1"/>
    <mergeCell ref="A2:C2"/>
    <mergeCell ref="A15:C15"/>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D77"/>
  <sheetViews>
    <sheetView showGridLines="0" workbookViewId="0">
      <pane ySplit="11" topLeftCell="A17" activePane="bottomLeft" state="frozen"/>
      <selection pane="bottomLeft" activeCell="B13" sqref="B13:D13"/>
    </sheetView>
  </sheetViews>
  <sheetFormatPr defaultRowHeight="15" x14ac:dyDescent="0.25"/>
  <cols>
    <col min="1" max="1" width="3" customWidth="1"/>
    <col min="2" max="2" width="36" customWidth="1"/>
    <col min="3" max="3" width="52" customWidth="1"/>
    <col min="4" max="4" width="58" customWidth="1"/>
  </cols>
  <sheetData>
    <row r="1" spans="2:4" ht="27.95" customHeight="1" x14ac:dyDescent="0.25">
      <c r="B1" s="216" t="s">
        <v>741</v>
      </c>
      <c r="C1" s="185"/>
      <c r="D1" s="176"/>
    </row>
    <row r="2" spans="2:4" ht="32.1" customHeight="1" x14ac:dyDescent="0.25">
      <c r="B2" s="245" t="s">
        <v>742</v>
      </c>
      <c r="C2" s="185"/>
      <c r="D2" s="176"/>
    </row>
    <row r="4" spans="2:4" ht="24" customHeight="1" x14ac:dyDescent="0.25">
      <c r="B4" s="246" t="str">
        <f>"◆  LIVE TEAM SCORECARD  ·  "&amp;IF('Case Tracker'!A56="","(enter a Case ID + journey scores in Case Tracker row 56)",'Case Tracker'!A56)&amp;"  ◆"</f>
        <v>◆  LIVE TEAM SCORECARD  ·  (enter a Case ID + journey scores in Case Tracker row 56)  ◆</v>
      </c>
      <c r="C4" s="241"/>
      <c r="D4" s="242"/>
    </row>
    <row r="5" spans="2:4" ht="15.95" customHeight="1" x14ac:dyDescent="0.25">
      <c r="B5" s="37" t="s">
        <v>743</v>
      </c>
      <c r="C5" s="37" t="s">
        <v>744</v>
      </c>
      <c r="D5" s="37" t="s">
        <v>745</v>
      </c>
    </row>
    <row r="6" spans="2:4" ht="63.95" customHeight="1" x14ac:dyDescent="0.25">
      <c r="B6" s="97" t="str">
        <f>'Case Tracker'!G56</f>
        <v/>
      </c>
      <c r="C6" s="38" t="str">
        <f>UPPER('Case Tracker'!H56)</f>
        <v/>
      </c>
      <c r="D6" s="39" t="s">
        <v>746</v>
      </c>
    </row>
    <row r="7" spans="2:4" ht="15.95" customHeight="1" x14ac:dyDescent="0.25">
      <c r="B7" s="40" t="s">
        <v>747</v>
      </c>
      <c r="C7" s="40" t="s">
        <v>748</v>
      </c>
      <c r="D7" s="40" t="s">
        <v>749</v>
      </c>
    </row>
    <row r="8" spans="2:4" ht="27.95" customHeight="1" x14ac:dyDescent="0.25">
      <c r="B8" s="41" t="str">
        <f>IF('Case Tracker'!D56="","—",TEXT('Case Tracker'!D56,"0.0%")&amp;"  avg of "&amp;'Case Tracker'!C56&amp;" touches")</f>
        <v>—</v>
      </c>
      <c r="C8" s="42" t="str">
        <f>IF('Case Tracker'!E56="","—",'Case Tracker'!E56&amp;" / 5")</f>
        <v>—</v>
      </c>
      <c r="D8" s="42" t="str">
        <f>IF('Case Tracker'!F56="","—",'Case Tracker'!F56&amp;" / 5")</f>
        <v>—</v>
      </c>
    </row>
    <row r="9" spans="2:4" ht="21.95" customHeight="1" x14ac:dyDescent="0.25">
      <c r="B9" s="240" t="str">
        <f>IF('Case Tracker'!D56="","Team Score computes once the journey row (Case Tracker row 56) is filled."," = 50% × "&amp;TEXT('Case Tracker'!D56,"0.0%")&amp;"  +  30% × ("&amp;'Case Tracker'!E56&amp;"÷5)  +  20% × ("&amp;'Case Tracker'!F56&amp;"÷5)")</f>
        <v>Team Score computes once the journey row (Case Tracker row 56) is filled.</v>
      </c>
      <c r="C9" s="241"/>
      <c r="D9" s="242"/>
    </row>
    <row r="10" spans="2:4" ht="27.95" customHeight="1" x14ac:dyDescent="0.25">
      <c r="B10" s="243" t="s">
        <v>750</v>
      </c>
      <c r="C10" s="187"/>
      <c r="D10" s="179"/>
    </row>
    <row r="12" spans="2:4" x14ac:dyDescent="0.25">
      <c r="B12" s="184" t="s">
        <v>751</v>
      </c>
      <c r="C12" s="185"/>
      <c r="D12" s="176"/>
    </row>
    <row r="13" spans="2:4" ht="72" customHeight="1" x14ac:dyDescent="0.25">
      <c r="B13" s="178" t="s">
        <v>752</v>
      </c>
      <c r="C13" s="187"/>
      <c r="D13" s="179"/>
    </row>
    <row r="15" spans="2:4" x14ac:dyDescent="0.25">
      <c r="B15" s="184" t="s">
        <v>753</v>
      </c>
      <c r="C15" s="185"/>
      <c r="D15" s="176"/>
    </row>
    <row r="16" spans="2:4" x14ac:dyDescent="0.25">
      <c r="B16" s="1" t="s">
        <v>612</v>
      </c>
      <c r="C16" s="1" t="s">
        <v>754</v>
      </c>
      <c r="D16" s="1" t="s">
        <v>755</v>
      </c>
    </row>
    <row r="17" spans="2:4" ht="104.1" customHeight="1" x14ac:dyDescent="0.25">
      <c r="B17" s="31" t="s">
        <v>756</v>
      </c>
      <c r="C17" s="32" t="s">
        <v>757</v>
      </c>
      <c r="D17" s="32"/>
    </row>
    <row r="18" spans="2:4" ht="104.1" customHeight="1" x14ac:dyDescent="0.25">
      <c r="B18" s="33" t="s">
        <v>758</v>
      </c>
      <c r="C18" s="34" t="s">
        <v>759</v>
      </c>
      <c r="D18" s="34"/>
    </row>
    <row r="19" spans="2:4" ht="104.1" customHeight="1" x14ac:dyDescent="0.25">
      <c r="B19" s="31" t="s">
        <v>760</v>
      </c>
      <c r="C19" s="32" t="s">
        <v>761</v>
      </c>
      <c r="D19" s="32"/>
    </row>
    <row r="20" spans="2:4" ht="30" customHeight="1" x14ac:dyDescent="0.25">
      <c r="B20" s="239" t="s">
        <v>762</v>
      </c>
      <c r="C20" s="185"/>
      <c r="D20" s="176"/>
    </row>
    <row r="22" spans="2:4" x14ac:dyDescent="0.25">
      <c r="B22" s="184" t="s">
        <v>763</v>
      </c>
      <c r="C22" s="185"/>
      <c r="D22" s="176"/>
    </row>
    <row r="23" spans="2:4" ht="45.95" customHeight="1" x14ac:dyDescent="0.25">
      <c r="B23" s="31" t="s">
        <v>764</v>
      </c>
      <c r="C23" s="178" t="s">
        <v>765</v>
      </c>
      <c r="D23" s="179"/>
    </row>
    <row r="24" spans="2:4" ht="45.95" customHeight="1" x14ac:dyDescent="0.25">
      <c r="B24" s="33" t="s">
        <v>766</v>
      </c>
      <c r="C24" s="180" t="s">
        <v>767</v>
      </c>
      <c r="D24" s="179"/>
    </row>
    <row r="25" spans="2:4" ht="45.95" customHeight="1" x14ac:dyDescent="0.25">
      <c r="B25" s="31" t="s">
        <v>768</v>
      </c>
      <c r="C25" s="178" t="s">
        <v>769</v>
      </c>
      <c r="D25" s="179"/>
    </row>
    <row r="27" spans="2:4" x14ac:dyDescent="0.25">
      <c r="B27" s="184" t="s">
        <v>770</v>
      </c>
      <c r="C27" s="185"/>
      <c r="D27" s="176"/>
    </row>
    <row r="28" spans="2:4" ht="39.950000000000003" customHeight="1" x14ac:dyDescent="0.25">
      <c r="B28" s="244" t="s">
        <v>771</v>
      </c>
      <c r="C28" s="187"/>
      <c r="D28" s="179"/>
    </row>
    <row r="29" spans="2:4" x14ac:dyDescent="0.25">
      <c r="B29" s="1" t="s">
        <v>772</v>
      </c>
      <c r="C29" s="9" t="s">
        <v>773</v>
      </c>
      <c r="D29" s="1" t="s">
        <v>774</v>
      </c>
    </row>
    <row r="30" spans="2:4" ht="44.1" customHeight="1" x14ac:dyDescent="0.25">
      <c r="B30" s="31" t="s">
        <v>775</v>
      </c>
      <c r="C30" s="43" t="str">
        <f>IFERROR(ROUND(AVERAGE('Case Tracker'!E5:E49),2),"")</f>
        <v/>
      </c>
      <c r="D30" s="32"/>
    </row>
    <row r="31" spans="2:4" ht="44.1" customHeight="1" x14ac:dyDescent="0.25">
      <c r="B31" s="33" t="s">
        <v>776</v>
      </c>
      <c r="C31" s="44" t="str">
        <f>IFERROR(ROUND(AVERAGE('Case Tracker'!F5:F49),2),"")</f>
        <v/>
      </c>
      <c r="D31" s="34"/>
    </row>
    <row r="32" spans="2:4" ht="44.1" customHeight="1" x14ac:dyDescent="0.25">
      <c r="B32" s="31" t="s">
        <v>777</v>
      </c>
      <c r="C32" s="43" t="str">
        <f>IFERROR(ROUND(AVERAGE('Case Tracker'!G5:G49),2),"")</f>
        <v/>
      </c>
      <c r="D32" s="32"/>
    </row>
    <row r="33" spans="2:4" ht="44.1" customHeight="1" x14ac:dyDescent="0.25">
      <c r="B33" s="33" t="s">
        <v>778</v>
      </c>
      <c r="C33" s="44" t="str">
        <f>IFERROR(ROUND(AVERAGE('Case Tracker'!H5:H49),2),"")</f>
        <v/>
      </c>
      <c r="D33" s="34"/>
    </row>
    <row r="34" spans="2:4" ht="44.1" customHeight="1" x14ac:dyDescent="0.25">
      <c r="B34" s="31" t="s">
        <v>779</v>
      </c>
      <c r="C34" s="43" t="str">
        <f>IFERROR(ROUND(AVERAGE('Case Tracker'!I5:I49),2),"")</f>
        <v/>
      </c>
      <c r="D34" s="32"/>
    </row>
    <row r="35" spans="2:4" ht="44.1" customHeight="1" x14ac:dyDescent="0.25">
      <c r="B35" s="33" t="s">
        <v>780</v>
      </c>
      <c r="C35" s="44" t="str">
        <f>IFERROR(ROUND(AVERAGE('Case Tracker'!J5:J49),2),"")</f>
        <v/>
      </c>
      <c r="D35" s="34"/>
    </row>
    <row r="36" spans="2:4" ht="44.1" customHeight="1" x14ac:dyDescent="0.25">
      <c r="B36" s="31" t="s">
        <v>781</v>
      </c>
      <c r="C36" s="43" t="str">
        <f>IFERROR(ROUND(AVERAGE('Case Tracker'!K5:K49),2),"")</f>
        <v/>
      </c>
      <c r="D36" s="32"/>
    </row>
    <row r="37" spans="2:4" ht="44.1" customHeight="1" x14ac:dyDescent="0.25">
      <c r="B37" s="175" t="s">
        <v>782</v>
      </c>
      <c r="C37" s="185"/>
      <c r="D37" s="176"/>
    </row>
    <row r="39" spans="2:4" x14ac:dyDescent="0.25">
      <c r="B39" s="215" t="s">
        <v>783</v>
      </c>
      <c r="C39" s="185"/>
      <c r="D39" s="176"/>
    </row>
    <row r="40" spans="2:4" x14ac:dyDescent="0.25">
      <c r="B40" s="1" t="s">
        <v>784</v>
      </c>
      <c r="C40" s="1" t="s">
        <v>785</v>
      </c>
      <c r="D40" s="1" t="s">
        <v>786</v>
      </c>
    </row>
    <row r="41" spans="2:4" ht="87.95" customHeight="1" x14ac:dyDescent="0.25">
      <c r="B41" s="31"/>
      <c r="C41" s="32"/>
      <c r="D41" s="32"/>
    </row>
    <row r="42" spans="2:4" ht="87.95" customHeight="1" x14ac:dyDescent="0.25">
      <c r="B42" s="33"/>
      <c r="C42" s="34"/>
      <c r="D42" s="34"/>
    </row>
    <row r="43" spans="2:4" ht="87.95" customHeight="1" x14ac:dyDescent="0.25">
      <c r="B43" s="31"/>
      <c r="C43" s="32"/>
      <c r="D43" s="32"/>
    </row>
    <row r="44" spans="2:4" ht="87.95" customHeight="1" x14ac:dyDescent="0.25">
      <c r="B44" s="33"/>
      <c r="C44" s="34"/>
      <c r="D44" s="34"/>
    </row>
    <row r="45" spans="2:4" ht="87.95" customHeight="1" x14ac:dyDescent="0.25">
      <c r="B45" s="31"/>
      <c r="C45" s="32"/>
      <c r="D45" s="32"/>
    </row>
    <row r="46" spans="2:4" ht="87.95" customHeight="1" x14ac:dyDescent="0.25">
      <c r="B46" s="33"/>
      <c r="C46" s="34"/>
      <c r="D46" s="34"/>
    </row>
    <row r="47" spans="2:4" ht="87.95" customHeight="1" x14ac:dyDescent="0.25">
      <c r="B47" s="31"/>
      <c r="C47" s="32"/>
      <c r="D47" s="32"/>
    </row>
    <row r="48" spans="2:4" ht="87.95" customHeight="1" x14ac:dyDescent="0.25">
      <c r="B48" s="33"/>
      <c r="C48" s="34"/>
      <c r="D48" s="34"/>
    </row>
    <row r="50" spans="2:4" x14ac:dyDescent="0.25">
      <c r="B50" s="184" t="s">
        <v>787</v>
      </c>
      <c r="C50" s="185"/>
      <c r="D50" s="176"/>
    </row>
    <row r="51" spans="2:4" ht="39.950000000000003" customHeight="1" x14ac:dyDescent="0.25">
      <c r="B51" s="35" t="s">
        <v>788</v>
      </c>
      <c r="C51" s="178" t="s">
        <v>789</v>
      </c>
      <c r="D51" s="179"/>
    </row>
    <row r="52" spans="2:4" ht="39.950000000000003" customHeight="1" x14ac:dyDescent="0.25">
      <c r="B52" s="36" t="s">
        <v>790</v>
      </c>
      <c r="C52" s="180" t="s">
        <v>791</v>
      </c>
      <c r="D52" s="179"/>
    </row>
    <row r="53" spans="2:4" ht="39.950000000000003" customHeight="1" x14ac:dyDescent="0.25">
      <c r="B53" s="35" t="s">
        <v>792</v>
      </c>
      <c r="C53" s="178" t="s">
        <v>793</v>
      </c>
      <c r="D53" s="179"/>
    </row>
    <row r="54" spans="2:4" ht="39.950000000000003" customHeight="1" x14ac:dyDescent="0.25">
      <c r="B54" s="36" t="s">
        <v>794</v>
      </c>
      <c r="C54" s="180" t="s">
        <v>795</v>
      </c>
      <c r="D54" s="179"/>
    </row>
    <row r="55" spans="2:4" ht="39.950000000000003" customHeight="1" x14ac:dyDescent="0.25">
      <c r="B55" s="35" t="s">
        <v>796</v>
      </c>
      <c r="C55" s="178" t="s">
        <v>797</v>
      </c>
      <c r="D55" s="179"/>
    </row>
    <row r="56" spans="2:4" ht="39.950000000000003" customHeight="1" x14ac:dyDescent="0.25">
      <c r="B56" s="36" t="s">
        <v>798</v>
      </c>
      <c r="C56" s="180" t="s">
        <v>799</v>
      </c>
      <c r="D56" s="179"/>
    </row>
    <row r="58" spans="2:4" ht="36" customHeight="1" x14ac:dyDescent="0.25">
      <c r="B58" s="175" t="s">
        <v>800</v>
      </c>
      <c r="C58" s="185"/>
      <c r="D58" s="176"/>
    </row>
    <row r="60" spans="2:4" ht="21.95" customHeight="1" x14ac:dyDescent="0.25">
      <c r="B60" s="184" t="s">
        <v>801</v>
      </c>
      <c r="C60" s="185"/>
      <c r="D60" s="176"/>
    </row>
    <row r="61" spans="2:4" ht="32.1" customHeight="1" x14ac:dyDescent="0.25">
      <c r="B61" s="233" t="s">
        <v>802</v>
      </c>
      <c r="C61" s="185"/>
      <c r="D61" s="176"/>
    </row>
    <row r="62" spans="2:4" ht="33.950000000000003" customHeight="1" x14ac:dyDescent="0.25">
      <c r="B62" s="247" t="str">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Contribution mix across 0 touches:  0 Resolver · 0 Progress Builder · 0 Maintainer · 0 Regression Contributor</v>
      </c>
      <c r="C62" s="185"/>
      <c r="D62" s="176"/>
    </row>
    <row r="63" spans="2:4" ht="24" customHeight="1" x14ac:dyDescent="0.25">
      <c r="B63" s="45" t="s">
        <v>803</v>
      </c>
      <c r="C63" s="46" t="s">
        <v>804</v>
      </c>
      <c r="D63" s="46" t="s">
        <v>805</v>
      </c>
    </row>
    <row r="64" spans="2:4" x14ac:dyDescent="0.25">
      <c r="B64" s="8" t="str">
        <f>IF('Case Tracker'!C5="","",'Case Tracker'!D5&amp;" - "&amp;'Case Tracker'!C5)</f>
        <v/>
      </c>
      <c r="C64" s="13" t="str">
        <f>IF('Case Tracker'!C5="","",'Case Tracker'!O5)</f>
        <v/>
      </c>
      <c r="D64" s="13" t="str">
        <f>IF('Case Tracker'!C5="","",'Case Tracker'!P5)</f>
        <v/>
      </c>
    </row>
    <row r="65" spans="2:4" x14ac:dyDescent="0.25">
      <c r="B65" s="6" t="str">
        <f>IF('Case Tracker'!C6="","",'Case Tracker'!D6&amp;" - "&amp;'Case Tracker'!C6)</f>
        <v/>
      </c>
      <c r="C65" s="11" t="str">
        <f>IF('Case Tracker'!C6="","",'Case Tracker'!O6)</f>
        <v/>
      </c>
      <c r="D65" s="11" t="str">
        <f>IF('Case Tracker'!C6="","",'Case Tracker'!P6)</f>
        <v/>
      </c>
    </row>
    <row r="66" spans="2:4" x14ac:dyDescent="0.25">
      <c r="B66" s="8" t="str">
        <f>IF('Case Tracker'!C7="","",'Case Tracker'!D7&amp;" - "&amp;'Case Tracker'!C7)</f>
        <v/>
      </c>
      <c r="C66" s="13" t="str">
        <f>IF('Case Tracker'!C7="","",'Case Tracker'!O7)</f>
        <v/>
      </c>
      <c r="D66" s="13" t="str">
        <f>IF('Case Tracker'!C7="","",'Case Tracker'!P7)</f>
        <v/>
      </c>
    </row>
    <row r="67" spans="2:4" x14ac:dyDescent="0.25">
      <c r="B67" s="6" t="str">
        <f>IF('Case Tracker'!C8="","",'Case Tracker'!D8&amp;" - "&amp;'Case Tracker'!C8)</f>
        <v/>
      </c>
      <c r="C67" s="11" t="str">
        <f>IF('Case Tracker'!C8="","",'Case Tracker'!O8)</f>
        <v/>
      </c>
      <c r="D67" s="11" t="str">
        <f>IF('Case Tracker'!C8="","",'Case Tracker'!P8)</f>
        <v/>
      </c>
    </row>
    <row r="68" spans="2:4" x14ac:dyDescent="0.25">
      <c r="B68" s="8" t="str">
        <f>IF('Case Tracker'!C9="","",'Case Tracker'!D9&amp;" - "&amp;'Case Tracker'!C9)</f>
        <v/>
      </c>
      <c r="C68" s="13" t="str">
        <f>IF('Case Tracker'!C9="","",'Case Tracker'!O9)</f>
        <v/>
      </c>
      <c r="D68" s="13" t="str">
        <f>IF('Case Tracker'!C9="","",'Case Tracker'!P9)</f>
        <v/>
      </c>
    </row>
    <row r="69" spans="2:4" x14ac:dyDescent="0.25">
      <c r="B69" s="6" t="str">
        <f>IF('Case Tracker'!C10="","",'Case Tracker'!D10&amp;" - "&amp;'Case Tracker'!C10)</f>
        <v/>
      </c>
      <c r="C69" s="11" t="str">
        <f>IF('Case Tracker'!C10="","",'Case Tracker'!O10)</f>
        <v/>
      </c>
      <c r="D69" s="11" t="str">
        <f>IF('Case Tracker'!C10="","",'Case Tracker'!P10)</f>
        <v/>
      </c>
    </row>
    <row r="70" spans="2:4" x14ac:dyDescent="0.25">
      <c r="B70" s="8" t="str">
        <f>IF('Case Tracker'!C11="","",'Case Tracker'!D11&amp;" - "&amp;'Case Tracker'!C11)</f>
        <v/>
      </c>
      <c r="C70" s="13" t="str">
        <f>IF('Case Tracker'!C11="","",'Case Tracker'!O11)</f>
        <v/>
      </c>
      <c r="D70" s="13" t="str">
        <f>IF('Case Tracker'!C11="","",'Case Tracker'!P11)</f>
        <v/>
      </c>
    </row>
    <row r="71" spans="2:4" x14ac:dyDescent="0.25">
      <c r="B71" s="6" t="str">
        <f>IF('Case Tracker'!C12="","",'Case Tracker'!D12&amp;" - "&amp;'Case Tracker'!C12)</f>
        <v/>
      </c>
      <c r="C71" s="11" t="str">
        <f>IF('Case Tracker'!C12="","",'Case Tracker'!O12)</f>
        <v/>
      </c>
      <c r="D71" s="11" t="str">
        <f>IF('Case Tracker'!C12="","",'Case Tracker'!P12)</f>
        <v/>
      </c>
    </row>
    <row r="72" spans="2:4" x14ac:dyDescent="0.25">
      <c r="B72" s="8" t="str">
        <f>IF('Case Tracker'!C13="","",'Case Tracker'!D13&amp;" - "&amp;'Case Tracker'!C13)</f>
        <v/>
      </c>
      <c r="C72" s="13" t="str">
        <f>IF('Case Tracker'!C13="","",'Case Tracker'!O13)</f>
        <v/>
      </c>
      <c r="D72" s="13" t="str">
        <f>IF('Case Tracker'!C13="","",'Case Tracker'!P13)</f>
        <v/>
      </c>
    </row>
    <row r="73" spans="2:4" x14ac:dyDescent="0.25">
      <c r="B73" s="6" t="str">
        <f>IF('Case Tracker'!C14="","",'Case Tracker'!D14&amp;" - "&amp;'Case Tracker'!C14)</f>
        <v/>
      </c>
      <c r="C73" s="11" t="str">
        <f>IF('Case Tracker'!C14="","",'Case Tracker'!O14)</f>
        <v/>
      </c>
      <c r="D73" s="11" t="str">
        <f>IF('Case Tracker'!C14="","",'Case Tracker'!P14)</f>
        <v/>
      </c>
    </row>
    <row r="74" spans="2:4" x14ac:dyDescent="0.25">
      <c r="B74" s="8" t="str">
        <f>IF('Case Tracker'!C15="","",'Case Tracker'!D15&amp;" - "&amp;'Case Tracker'!C15)</f>
        <v/>
      </c>
      <c r="C74" s="13" t="str">
        <f>IF('Case Tracker'!C15="","",'Case Tracker'!O15)</f>
        <v/>
      </c>
      <c r="D74" s="13" t="str">
        <f>IF('Case Tracker'!C15="","",'Case Tracker'!P15)</f>
        <v/>
      </c>
    </row>
    <row r="75" spans="2:4" x14ac:dyDescent="0.25">
      <c r="B75" s="6" t="str">
        <f>IF('Case Tracker'!C16="","",'Case Tracker'!D16&amp;" - "&amp;'Case Tracker'!C16)</f>
        <v/>
      </c>
      <c r="C75" s="11" t="str">
        <f>IF('Case Tracker'!C16="","",'Case Tracker'!O16)</f>
        <v/>
      </c>
      <c r="D75" s="11" t="str">
        <f>IF('Case Tracker'!C16="","",'Case Tracker'!P16)</f>
        <v/>
      </c>
    </row>
    <row r="76" spans="2:4" x14ac:dyDescent="0.25">
      <c r="B76" s="8" t="str">
        <f>IF('Case Tracker'!C17="","",'Case Tracker'!D17&amp;" - "&amp;'Case Tracker'!C17)</f>
        <v/>
      </c>
      <c r="C76" s="13" t="str">
        <f>IF('Case Tracker'!C17="","",'Case Tracker'!O17)</f>
        <v/>
      </c>
      <c r="D76" s="13" t="str">
        <f>IF('Case Tracker'!C17="","",'Case Tracker'!P17)</f>
        <v/>
      </c>
    </row>
    <row r="77" spans="2:4" ht="39.950000000000003" customHeight="1" x14ac:dyDescent="0.25">
      <c r="B77" s="198" t="s">
        <v>806</v>
      </c>
      <c r="C77" s="187"/>
      <c r="D77" s="179"/>
    </row>
  </sheetData>
  <mergeCells count="29">
    <mergeCell ref="B77:D77"/>
    <mergeCell ref="B2:D2"/>
    <mergeCell ref="C51:D51"/>
    <mergeCell ref="B50:D50"/>
    <mergeCell ref="B4:D4"/>
    <mergeCell ref="B12:D12"/>
    <mergeCell ref="B62:D62"/>
    <mergeCell ref="C52:D52"/>
    <mergeCell ref="C23:D23"/>
    <mergeCell ref="B22:D22"/>
    <mergeCell ref="B58:D58"/>
    <mergeCell ref="B27:D27"/>
    <mergeCell ref="C53:D53"/>
    <mergeCell ref="B60:D60"/>
    <mergeCell ref="C24:D24"/>
    <mergeCell ref="B61:D61"/>
    <mergeCell ref="B9:D9"/>
    <mergeCell ref="B15:D15"/>
    <mergeCell ref="B1:D1"/>
    <mergeCell ref="B13:D13"/>
    <mergeCell ref="B39:D39"/>
    <mergeCell ref="B10:D10"/>
    <mergeCell ref="B28:D28"/>
    <mergeCell ref="B37:D37"/>
    <mergeCell ref="C56:D56"/>
    <mergeCell ref="B20:D20"/>
    <mergeCell ref="C54:D54"/>
    <mergeCell ref="C25:D25"/>
    <mergeCell ref="C55:D55"/>
  </mergeCells>
  <conditionalFormatting sqref="B6">
    <cfRule type="cellIs" dxfId="35" priority="3" operator="greaterThanOrEqual">
      <formula>0.85</formula>
    </cfRule>
    <cfRule type="cellIs" dxfId="34" priority="4" operator="between">
      <formula>0.7</formula>
      <formula>0.8499</formula>
    </cfRule>
    <cfRule type="cellIs" dxfId="33" priority="5" operator="lessThan">
      <formula>0.7</formula>
    </cfRule>
  </conditionalFormatting>
  <conditionalFormatting sqref="C30:C36">
    <cfRule type="cellIs" dxfId="32" priority="6" operator="lessThan">
      <formula>2.75</formula>
    </cfRule>
    <cfRule type="cellIs" dxfId="31" priority="7" operator="between">
      <formula>2.75</formula>
      <formula>3.49</formula>
    </cfRule>
    <cfRule type="cellIs" dxfId="30" priority="8" operator="greaterThanOrEqual">
      <formula>3.5</formula>
    </cfRule>
  </conditionalFormatting>
  <conditionalFormatting sqref="C64:C76">
    <cfRule type="cellIs" dxfId="29" priority="9" operator="equal">
      <formula>"Resolver"</formula>
    </cfRule>
    <cfRule type="cellIs" dxfId="28" priority="10" operator="equal">
      <formula>"Progress Builder"</formula>
    </cfRule>
    <cfRule type="cellIs" dxfId="27" priority="11" operator="equal">
      <formula>"Maintainer"</formula>
    </cfRule>
    <cfRule type="cellIs" dxfId="26" priority="12" operator="equal">
      <formula>"Regression Contributor"</formula>
    </cfRule>
  </conditionalFormatting>
  <conditionalFormatting sqref="D64:D76">
    <cfRule type="cellIs" dxfId="25" priority="13" operator="greaterThanOrEqual">
      <formula>4</formula>
    </cfRule>
    <cfRule type="cellIs" dxfId="24" priority="14" operator="between">
      <formula>2</formula>
      <formula>3</formula>
    </cfRule>
    <cfRule type="cellIs" dxfId="23" priority="15" operator="lessThanOrEqual">
      <formula>1</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79"/>
  <sheetViews>
    <sheetView workbookViewId="0">
      <pane xSplit="1" ySplit="4" topLeftCell="B5" activePane="bottomRight" state="frozen"/>
      <selection pane="topRight"/>
      <selection pane="bottomLeft"/>
      <selection pane="bottomRight"/>
    </sheetView>
  </sheetViews>
  <sheetFormatPr defaultRowHeight="15" x14ac:dyDescent="0.25"/>
  <cols>
    <col min="1" max="1" width="4" customWidth="1"/>
    <col min="2" max="2" width="58" customWidth="1"/>
    <col min="3" max="3" width="14" customWidth="1"/>
    <col min="4" max="4" width="13" customWidth="1"/>
    <col min="5" max="5" width="15" customWidth="1"/>
    <col min="6" max="6" width="46" customWidth="1"/>
    <col min="7" max="7" width="3" customWidth="1"/>
  </cols>
  <sheetData>
    <row r="1" spans="1:7" ht="27.95" customHeight="1" x14ac:dyDescent="0.25">
      <c r="B1" s="259" t="s">
        <v>0</v>
      </c>
      <c r="C1" s="227"/>
      <c r="D1" s="227"/>
      <c r="E1" s="227"/>
      <c r="F1" s="227"/>
    </row>
    <row r="2" spans="1:7" ht="18" customHeight="1" x14ac:dyDescent="0.25">
      <c r="B2" s="256" t="s">
        <v>1</v>
      </c>
      <c r="C2" s="227"/>
      <c r="D2" s="227"/>
      <c r="E2" s="227"/>
      <c r="F2" s="227"/>
    </row>
    <row r="3" spans="1:7" x14ac:dyDescent="0.25">
      <c r="A3" s="63"/>
      <c r="B3" s="63"/>
      <c r="C3" s="63"/>
      <c r="D3" s="63"/>
      <c r="E3" s="63"/>
      <c r="F3" s="63"/>
      <c r="G3" s="63"/>
    </row>
    <row r="4" spans="1:7" ht="27.95" customHeight="1" x14ac:dyDescent="0.25">
      <c r="B4" s="257" t="s">
        <v>2</v>
      </c>
      <c r="C4" s="227"/>
      <c r="D4" s="227"/>
      <c r="E4" s="227"/>
      <c r="F4" s="227"/>
    </row>
    <row r="5" spans="1:7" ht="29.1" customHeight="1" x14ac:dyDescent="0.25">
      <c r="B5" s="145" t="s">
        <v>3</v>
      </c>
      <c r="C5" s="146" t="s">
        <v>4</v>
      </c>
      <c r="D5" s="145" t="s">
        <v>5</v>
      </c>
      <c r="E5" s="255" t="s">
        <v>6</v>
      </c>
      <c r="F5" s="227"/>
    </row>
    <row r="6" spans="1:7" ht="29.1" customHeight="1" x14ac:dyDescent="0.25">
      <c r="B6" s="145" t="s">
        <v>7</v>
      </c>
      <c r="C6" s="146" t="s">
        <v>8</v>
      </c>
      <c r="D6" s="145" t="s">
        <v>9</v>
      </c>
      <c r="E6" s="255" t="s">
        <v>10</v>
      </c>
      <c r="F6" s="227"/>
    </row>
    <row r="7" spans="1:7" ht="29.1" customHeight="1" x14ac:dyDescent="0.25">
      <c r="B7" s="145" t="s">
        <v>11</v>
      </c>
      <c r="C7" s="146" t="s">
        <v>12</v>
      </c>
      <c r="D7" s="145" t="s">
        <v>13</v>
      </c>
      <c r="E7" s="255" t="s">
        <v>14</v>
      </c>
      <c r="F7" s="227"/>
    </row>
    <row r="8" spans="1:7" ht="29.1" customHeight="1" x14ac:dyDescent="0.25">
      <c r="B8" s="145" t="s">
        <v>15</v>
      </c>
      <c r="C8" s="146" t="s">
        <v>16</v>
      </c>
      <c r="D8" s="145" t="s">
        <v>17</v>
      </c>
      <c r="E8" s="255" t="s">
        <v>18</v>
      </c>
      <c r="F8" s="227"/>
    </row>
    <row r="9" spans="1:7" ht="29.1" customHeight="1" x14ac:dyDescent="0.25">
      <c r="B9" s="145" t="s">
        <v>19</v>
      </c>
      <c r="C9" s="146" t="s">
        <v>20</v>
      </c>
      <c r="D9" s="145" t="s">
        <v>21</v>
      </c>
      <c r="E9" s="255" t="s">
        <v>22</v>
      </c>
      <c r="F9" s="227"/>
    </row>
    <row r="10" spans="1:7" ht="29.1" customHeight="1" x14ac:dyDescent="0.25">
      <c r="B10" s="145" t="s">
        <v>23</v>
      </c>
      <c r="C10" s="146" t="s">
        <v>24</v>
      </c>
      <c r="D10" s="145" t="s">
        <v>25</v>
      </c>
      <c r="E10" s="255" t="s">
        <v>26</v>
      </c>
      <c r="F10" s="227"/>
    </row>
    <row r="11" spans="1:7" ht="29.1" customHeight="1" x14ac:dyDescent="0.25">
      <c r="B11" s="145" t="s">
        <v>27</v>
      </c>
      <c r="C11" s="146" t="s">
        <v>28</v>
      </c>
      <c r="D11" s="145" t="s">
        <v>29</v>
      </c>
      <c r="E11" s="255" t="s">
        <v>30</v>
      </c>
      <c r="F11" s="227"/>
    </row>
    <row r="12" spans="1:7" ht="29.1" customHeight="1" x14ac:dyDescent="0.25">
      <c r="B12" s="145" t="s">
        <v>31</v>
      </c>
      <c r="C12" s="146" t="s">
        <v>32</v>
      </c>
      <c r="D12" s="145" t="s">
        <v>33</v>
      </c>
      <c r="E12" s="255" t="s">
        <v>34</v>
      </c>
      <c r="F12" s="227"/>
    </row>
    <row r="13" spans="1:7" ht="57.95" customHeight="1" x14ac:dyDescent="0.25">
      <c r="B13" s="145" t="s">
        <v>35</v>
      </c>
      <c r="C13" s="251" t="s">
        <v>36</v>
      </c>
      <c r="D13" s="227"/>
      <c r="E13" s="227"/>
      <c r="F13" s="227"/>
    </row>
    <row r="14" spans="1:7" ht="45.95" customHeight="1" x14ac:dyDescent="0.25">
      <c r="B14" s="145" t="s">
        <v>37</v>
      </c>
      <c r="C14" s="251" t="s">
        <v>38</v>
      </c>
      <c r="D14" s="227"/>
      <c r="E14" s="227"/>
      <c r="F14" s="227"/>
    </row>
    <row r="15" spans="1:7" ht="18" customHeight="1" x14ac:dyDescent="0.25">
      <c r="B15" s="257" t="s">
        <v>39</v>
      </c>
      <c r="C15" s="227"/>
      <c r="D15" s="227"/>
      <c r="E15" s="227"/>
      <c r="F15" s="227"/>
    </row>
    <row r="16" spans="1:7" ht="29.1" customHeight="1" x14ac:dyDescent="0.25">
      <c r="B16" s="145" t="s">
        <v>40</v>
      </c>
      <c r="C16" s="146" t="s">
        <v>41</v>
      </c>
      <c r="D16" s="145" t="s">
        <v>42</v>
      </c>
      <c r="E16" s="255" t="s">
        <v>43</v>
      </c>
      <c r="F16" s="227"/>
    </row>
    <row r="17" spans="1:7" ht="29.1" customHeight="1" x14ac:dyDescent="0.25">
      <c r="B17" s="145" t="s">
        <v>44</v>
      </c>
      <c r="C17" s="146" t="s">
        <v>45</v>
      </c>
      <c r="D17" s="145" t="s">
        <v>46</v>
      </c>
      <c r="E17" s="255" t="s">
        <v>47</v>
      </c>
      <c r="F17" s="227"/>
    </row>
    <row r="18" spans="1:7" ht="29.1" customHeight="1" x14ac:dyDescent="0.25">
      <c r="B18" s="145" t="s">
        <v>48</v>
      </c>
      <c r="C18" s="251" t="s">
        <v>49</v>
      </c>
      <c r="D18" s="227"/>
      <c r="E18" s="227"/>
      <c r="F18" s="227"/>
    </row>
    <row r="19" spans="1:7" ht="29.1" customHeight="1" x14ac:dyDescent="0.25">
      <c r="B19" s="145" t="s">
        <v>50</v>
      </c>
      <c r="C19" s="251" t="s">
        <v>51</v>
      </c>
      <c r="D19" s="227"/>
      <c r="E19" s="227"/>
      <c r="F19" s="227"/>
    </row>
    <row r="20" spans="1:7" ht="29.1" customHeight="1" x14ac:dyDescent="0.25">
      <c r="B20" s="145" t="s">
        <v>52</v>
      </c>
      <c r="C20" s="251" t="s">
        <v>53</v>
      </c>
      <c r="D20" s="227"/>
      <c r="E20" s="227"/>
      <c r="F20" s="227"/>
    </row>
    <row r="21" spans="1:7" ht="45.95" customHeight="1" x14ac:dyDescent="0.25">
      <c r="B21" s="145" t="s">
        <v>54</v>
      </c>
      <c r="C21" s="251" t="s">
        <v>55</v>
      </c>
      <c r="D21" s="227"/>
      <c r="E21" s="227"/>
      <c r="F21" s="227"/>
    </row>
    <row r="22" spans="1:7" x14ac:dyDescent="0.25">
      <c r="A22" s="63"/>
      <c r="B22" s="63"/>
      <c r="C22" s="63"/>
      <c r="D22" s="63"/>
      <c r="E22" s="63"/>
      <c r="F22" s="63"/>
      <c r="G22" s="63"/>
    </row>
    <row r="23" spans="1:7" ht="27.95" customHeight="1" x14ac:dyDescent="0.25">
      <c r="B23" s="249" t="s">
        <v>56</v>
      </c>
      <c r="C23" s="227"/>
      <c r="D23" s="227"/>
      <c r="E23" s="227"/>
      <c r="F23" s="227"/>
    </row>
    <row r="24" spans="1:7" ht="18" customHeight="1" x14ac:dyDescent="0.25">
      <c r="B24" s="257" t="s">
        <v>57</v>
      </c>
      <c r="C24" s="227"/>
      <c r="D24" s="227"/>
      <c r="E24" s="227"/>
      <c r="F24" s="148" t="s">
        <v>58</v>
      </c>
    </row>
    <row r="25" spans="1:7" ht="27.95" customHeight="1" x14ac:dyDescent="0.25">
      <c r="B25" s="253" t="s">
        <v>59</v>
      </c>
      <c r="C25" s="227"/>
      <c r="D25" s="227"/>
      <c r="E25" s="227"/>
      <c r="F25" s="227"/>
    </row>
    <row r="26" spans="1:7" x14ac:dyDescent="0.25">
      <c r="B26" s="145" t="s">
        <v>60</v>
      </c>
      <c r="C26" s="149" t="s">
        <v>61</v>
      </c>
      <c r="D26" s="254" t="s">
        <v>62</v>
      </c>
      <c r="E26" s="227"/>
      <c r="F26" s="227"/>
    </row>
    <row r="27" spans="1:7" ht="27.95" customHeight="1" x14ac:dyDescent="0.25">
      <c r="B27" s="150" t="s">
        <v>63</v>
      </c>
      <c r="C27" s="151" t="s">
        <v>64</v>
      </c>
      <c r="D27" s="248" t="s">
        <v>65</v>
      </c>
      <c r="E27" s="227"/>
      <c r="F27" s="227"/>
    </row>
    <row r="28" spans="1:7" ht="27.95" customHeight="1" x14ac:dyDescent="0.25">
      <c r="B28" s="152" t="s">
        <v>66</v>
      </c>
      <c r="C28" s="153" t="s">
        <v>67</v>
      </c>
      <c r="D28" s="252" t="s">
        <v>68</v>
      </c>
      <c r="E28" s="227"/>
      <c r="F28" s="227"/>
    </row>
    <row r="29" spans="1:7" ht="27.95" customHeight="1" x14ac:dyDescent="0.25">
      <c r="B29" s="150" t="s">
        <v>69</v>
      </c>
      <c r="C29" s="151" t="s">
        <v>64</v>
      </c>
      <c r="D29" s="248" t="s">
        <v>70</v>
      </c>
      <c r="E29" s="227"/>
      <c r="F29" s="227"/>
    </row>
    <row r="30" spans="1:7" ht="27.95" customHeight="1" x14ac:dyDescent="0.25">
      <c r="B30" s="152" t="s">
        <v>71</v>
      </c>
      <c r="C30" s="153" t="s">
        <v>67</v>
      </c>
      <c r="D30" s="252" t="s">
        <v>72</v>
      </c>
      <c r="E30" s="227"/>
      <c r="F30" s="227"/>
    </row>
    <row r="31" spans="1:7" ht="27.95" customHeight="1" x14ac:dyDescent="0.25">
      <c r="B31" s="152" t="s">
        <v>912</v>
      </c>
      <c r="C31" s="153" t="s">
        <v>67</v>
      </c>
      <c r="D31" s="152" t="s">
        <v>917</v>
      </c>
    </row>
    <row r="32" spans="1:7" ht="27.95" customHeight="1" x14ac:dyDescent="0.25">
      <c r="B32" s="152" t="s">
        <v>913</v>
      </c>
      <c r="C32" s="153" t="s">
        <v>53</v>
      </c>
      <c r="D32" s="152" t="s">
        <v>918</v>
      </c>
    </row>
    <row r="33" spans="1:7" ht="27.95" customHeight="1" x14ac:dyDescent="0.25">
      <c r="B33" s="250" t="s">
        <v>73</v>
      </c>
      <c r="C33" s="227"/>
      <c r="D33" s="227"/>
      <c r="E33" s="227"/>
      <c r="F33" s="227"/>
    </row>
    <row r="34" spans="1:7" x14ac:dyDescent="0.25">
      <c r="B34" s="154" t="s">
        <v>74</v>
      </c>
      <c r="C34" s="155">
        <f>IF(SUMPRODUCT(((C27:C32="Met")+(C27:C32="Partial")+(C27:C32="Missed"))*{3,2,1,2,2,2})=0,"",ROUND((5*SUMPRODUCT((C27:C32="Met")*{3,2,1,2,2,2})+2.5*SUMPRODUCT((C27:C32="Partial")*{3,2,1,2,2,2}))/SUMPRODUCT(((C27:C32="Met")+(C27:C32="Partial")+(C27:C32="Missed"))*{3,2,1,2,2,2}),1))</f>
        <v>4</v>
      </c>
      <c r="D34" s="156"/>
      <c r="E34" s="156"/>
      <c r="F34" s="156"/>
    </row>
    <row r="35" spans="1:7" ht="24" customHeight="1" x14ac:dyDescent="0.25">
      <c r="B35" s="157" t="s">
        <v>75</v>
      </c>
      <c r="C35" s="149">
        <v>3</v>
      </c>
      <c r="D35" s="251" t="str">
        <f>IF(C35="","← enter score; anchor description appears here",CHOOSE(C35+1,"Agent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35" s="227"/>
      <c r="F35" s="227"/>
    </row>
    <row r="36" spans="1:7" x14ac:dyDescent="0.25">
      <c r="B36" s="157" t="s">
        <v>76</v>
      </c>
      <c r="C36" s="251" t="s">
        <v>77</v>
      </c>
      <c r="D36" s="227"/>
      <c r="E36" s="227"/>
      <c r="F36" s="227"/>
    </row>
    <row r="37" spans="1:7" ht="36" customHeight="1" x14ac:dyDescent="0.25">
      <c r="B37" s="157" t="s">
        <v>78</v>
      </c>
      <c r="C37" s="251" t="s">
        <v>79</v>
      </c>
      <c r="D37" s="227"/>
      <c r="E37" s="227"/>
      <c r="F37" s="227"/>
    </row>
    <row r="38" spans="1:7" x14ac:dyDescent="0.25">
      <c r="A38" s="63"/>
      <c r="B38" s="63"/>
      <c r="C38" s="63"/>
      <c r="D38" s="63"/>
      <c r="E38" s="63"/>
      <c r="F38" s="63"/>
      <c r="G38" s="63"/>
    </row>
    <row r="39" spans="1:7" ht="18" customHeight="1" x14ac:dyDescent="0.25">
      <c r="B39" s="257" t="s">
        <v>80</v>
      </c>
      <c r="C39" s="227"/>
      <c r="D39" s="227"/>
      <c r="E39" s="227"/>
      <c r="F39" s="148" t="s">
        <v>81</v>
      </c>
    </row>
    <row r="40" spans="1:7" ht="27.95" customHeight="1" x14ac:dyDescent="0.25">
      <c r="B40" s="253" t="s">
        <v>82</v>
      </c>
      <c r="C40" s="227"/>
      <c r="D40" s="227"/>
      <c r="E40" s="227"/>
      <c r="F40" s="227"/>
    </row>
    <row r="41" spans="1:7" x14ac:dyDescent="0.25">
      <c r="B41" s="145" t="s">
        <v>60</v>
      </c>
      <c r="C41" s="149" t="s">
        <v>61</v>
      </c>
      <c r="D41" s="254" t="s">
        <v>62</v>
      </c>
      <c r="E41" s="227"/>
      <c r="F41" s="227"/>
    </row>
    <row r="42" spans="1:7" ht="27.95" customHeight="1" x14ac:dyDescent="0.25">
      <c r="B42" s="150" t="s">
        <v>83</v>
      </c>
      <c r="C42" s="151" t="s">
        <v>67</v>
      </c>
      <c r="D42" s="248" t="s">
        <v>84</v>
      </c>
      <c r="E42" s="227"/>
      <c r="F42" s="227"/>
    </row>
    <row r="43" spans="1:7" ht="27.95" customHeight="1" x14ac:dyDescent="0.25">
      <c r="B43" s="152" t="s">
        <v>85</v>
      </c>
      <c r="C43" s="153" t="s">
        <v>64</v>
      </c>
      <c r="D43" s="252" t="s">
        <v>86</v>
      </c>
      <c r="E43" s="227"/>
      <c r="F43" s="227"/>
    </row>
    <row r="44" spans="1:7" ht="27.95" customHeight="1" x14ac:dyDescent="0.25">
      <c r="B44" s="150" t="s">
        <v>87</v>
      </c>
      <c r="C44" s="151" t="s">
        <v>67</v>
      </c>
      <c r="D44" s="248" t="s">
        <v>88</v>
      </c>
      <c r="E44" s="227"/>
      <c r="F44" s="227"/>
    </row>
    <row r="45" spans="1:7" ht="27.95" customHeight="1" x14ac:dyDescent="0.25">
      <c r="B45" s="152" t="s">
        <v>89</v>
      </c>
      <c r="C45" s="153" t="s">
        <v>67</v>
      </c>
      <c r="D45" s="252" t="s">
        <v>90</v>
      </c>
      <c r="E45" s="227"/>
      <c r="F45" s="227"/>
    </row>
    <row r="46" spans="1:7" ht="27.95" customHeight="1" x14ac:dyDescent="0.25">
      <c r="B46" s="150" t="s">
        <v>91</v>
      </c>
      <c r="C46" s="151" t="s">
        <v>64</v>
      </c>
      <c r="D46" s="248" t="s">
        <v>92</v>
      </c>
      <c r="E46" s="227"/>
      <c r="F46" s="227"/>
    </row>
    <row r="47" spans="1:7" ht="27.95" customHeight="1" x14ac:dyDescent="0.25">
      <c r="B47" s="250" t="s">
        <v>93</v>
      </c>
      <c r="C47" s="227"/>
      <c r="D47" s="227"/>
      <c r="E47" s="227"/>
      <c r="F47" s="227"/>
    </row>
    <row r="48" spans="1:7" x14ac:dyDescent="0.25">
      <c r="B48" s="154" t="s">
        <v>74</v>
      </c>
      <c r="C48" s="155">
        <f>IF(SUMPRODUCT(((C42:C46="Met")+(C42:C46="Partial")+(C42:C46="Missed"))*{3,3,1,1,2})=0,"",ROUND((5*SUMPRODUCT((C42:C46="Met")*{3,3,1,1,2})+2.5*SUMPRODUCT((C42:C46="Partial")*{3,3,1,1,2}))/SUMPRODUCT(((C42:C46="Met")+(C42:C46="Partial")+(C42:C46="Missed"))*{3,3,1,1,2}),0))</f>
        <v>4</v>
      </c>
      <c r="D48" s="156"/>
      <c r="E48" s="156"/>
      <c r="F48" s="156"/>
    </row>
    <row r="49" spans="1:7" ht="24" customHeight="1" x14ac:dyDescent="0.25">
      <c r="B49" s="157" t="s">
        <v>75</v>
      </c>
      <c r="C49" s="149">
        <v>4</v>
      </c>
      <c r="D49" s="251" t="str">
        <f>IF(C49="","← enter score; anchor description appears here",CHOOSE(C49+1,"Agent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Significant progress made with clear next steps</v>
      </c>
      <c r="E49" s="227"/>
      <c r="F49" s="227"/>
    </row>
    <row r="50" spans="1:7" x14ac:dyDescent="0.25">
      <c r="B50" s="157" t="s">
        <v>76</v>
      </c>
      <c r="C50" s="251"/>
      <c r="D50" s="227"/>
      <c r="E50" s="227"/>
      <c r="F50" s="227"/>
    </row>
    <row r="51" spans="1:7" ht="36" customHeight="1" x14ac:dyDescent="0.25">
      <c r="B51" s="157" t="s">
        <v>78</v>
      </c>
      <c r="C51" s="251" t="s">
        <v>94</v>
      </c>
      <c r="D51" s="227"/>
      <c r="E51" s="227"/>
      <c r="F51" s="227"/>
    </row>
    <row r="52" spans="1:7" x14ac:dyDescent="0.25">
      <c r="A52" s="63"/>
      <c r="B52" s="63"/>
      <c r="C52" s="63"/>
      <c r="D52" s="63"/>
      <c r="E52" s="63"/>
      <c r="F52" s="63"/>
      <c r="G52" s="63"/>
    </row>
    <row r="53" spans="1:7" ht="18" customHeight="1" x14ac:dyDescent="0.25">
      <c r="B53" s="257" t="s">
        <v>95</v>
      </c>
      <c r="C53" s="227"/>
      <c r="D53" s="227"/>
      <c r="E53" s="227"/>
      <c r="F53" s="148" t="s">
        <v>96</v>
      </c>
    </row>
    <row r="54" spans="1:7" ht="27.95" customHeight="1" x14ac:dyDescent="0.25">
      <c r="B54" s="253" t="s">
        <v>97</v>
      </c>
      <c r="C54" s="227"/>
      <c r="D54" s="227"/>
      <c r="E54" s="227"/>
      <c r="F54" s="227"/>
    </row>
    <row r="55" spans="1:7" x14ac:dyDescent="0.25">
      <c r="B55" s="145" t="s">
        <v>60</v>
      </c>
      <c r="C55" s="149" t="s">
        <v>61</v>
      </c>
      <c r="D55" s="254" t="s">
        <v>62</v>
      </c>
      <c r="E55" s="227"/>
      <c r="F55" s="227"/>
    </row>
    <row r="56" spans="1:7" ht="27.95" customHeight="1" x14ac:dyDescent="0.25">
      <c r="B56" s="150" t="s">
        <v>98</v>
      </c>
      <c r="C56" s="151" t="s">
        <v>64</v>
      </c>
      <c r="D56" s="248" t="s">
        <v>99</v>
      </c>
      <c r="E56" s="227"/>
      <c r="F56" s="227"/>
    </row>
    <row r="57" spans="1:7" ht="27.95" customHeight="1" x14ac:dyDescent="0.25">
      <c r="B57" s="152" t="s">
        <v>100</v>
      </c>
      <c r="C57" s="153" t="s">
        <v>67</v>
      </c>
      <c r="D57" s="252" t="s">
        <v>101</v>
      </c>
      <c r="E57" s="227"/>
      <c r="F57" s="227"/>
    </row>
    <row r="58" spans="1:7" ht="27.95" customHeight="1" x14ac:dyDescent="0.25">
      <c r="B58" s="150" t="s">
        <v>102</v>
      </c>
      <c r="C58" s="151" t="s">
        <v>64</v>
      </c>
      <c r="D58" s="248" t="s">
        <v>103</v>
      </c>
      <c r="E58" s="227"/>
      <c r="F58" s="227"/>
    </row>
    <row r="59" spans="1:7" ht="27.95" customHeight="1" x14ac:dyDescent="0.25">
      <c r="B59" s="152" t="s">
        <v>104</v>
      </c>
      <c r="C59" s="153" t="s">
        <v>67</v>
      </c>
      <c r="D59" s="252" t="s">
        <v>105</v>
      </c>
      <c r="E59" s="227"/>
      <c r="F59" s="227"/>
    </row>
    <row r="60" spans="1:7" ht="27.95" customHeight="1" x14ac:dyDescent="0.25">
      <c r="B60" s="150" t="s">
        <v>106</v>
      </c>
      <c r="C60" s="151" t="s">
        <v>64</v>
      </c>
      <c r="D60" s="248" t="s">
        <v>107</v>
      </c>
      <c r="E60" s="227"/>
      <c r="F60" s="227"/>
    </row>
    <row r="61" spans="1:7" ht="27.95" customHeight="1" x14ac:dyDescent="0.25">
      <c r="B61" s="150" t="s">
        <v>108</v>
      </c>
      <c r="C61" s="151" t="s">
        <v>67</v>
      </c>
      <c r="D61" s="248" t="s">
        <v>109</v>
      </c>
      <c r="E61" s="227"/>
      <c r="F61" s="227"/>
    </row>
    <row r="62" spans="1:7" ht="27.95" customHeight="1" x14ac:dyDescent="0.25">
      <c r="B62" s="152" t="s">
        <v>110</v>
      </c>
      <c r="C62" s="153" t="s">
        <v>111</v>
      </c>
      <c r="D62" s="252" t="s">
        <v>112</v>
      </c>
      <c r="E62" s="227"/>
      <c r="F62" s="227"/>
    </row>
    <row r="63" spans="1:7" ht="27.95" customHeight="1" x14ac:dyDescent="0.25">
      <c r="B63" s="250" t="s">
        <v>113</v>
      </c>
      <c r="C63" s="227"/>
      <c r="D63" s="227"/>
      <c r="E63" s="227"/>
      <c r="F63" s="227"/>
    </row>
    <row r="64" spans="1:7" x14ac:dyDescent="0.25">
      <c r="B64" s="154" t="s">
        <v>74</v>
      </c>
      <c r="C64" s="155">
        <f>IF(SUMPRODUCT(((C56:C62="Met")+(C56:C62="Partial")+(C56:C62="Missed"))*{1,3,2,3,1,1,1})=0,"",ROUND((5*SUMPRODUCT((C56:C62="Met")*{1,3,2,3,1,1,1})+2.5*SUMPRODUCT((C56:C62="Partial")*{1,3,2,3,1,1,1}))/SUMPRODUCT(((C56:C62="Met")+(C56:C62="Partial")+(C56:C62="Missed"))*{1,3,2,3,1,1,1}),0))</f>
        <v>3</v>
      </c>
      <c r="D64" s="156"/>
      <c r="E64" s="156"/>
      <c r="F64" s="156"/>
    </row>
    <row r="65" spans="1:7" ht="24" customHeight="1" x14ac:dyDescent="0.25">
      <c r="B65" s="157" t="s">
        <v>75</v>
      </c>
      <c r="C65" s="149">
        <v>3</v>
      </c>
      <c r="D65" s="251" t="str">
        <f>IF(C65="","← enter score; anchor description appears here",CHOOSE(C65+1,"Agent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65" s="227"/>
      <c r="F65" s="227"/>
    </row>
    <row r="66" spans="1:7" x14ac:dyDescent="0.25">
      <c r="B66" s="157" t="s">
        <v>76</v>
      </c>
      <c r="C66" s="251" t="s">
        <v>114</v>
      </c>
      <c r="D66" s="227"/>
      <c r="E66" s="227"/>
      <c r="F66" s="227"/>
    </row>
    <row r="67" spans="1:7" ht="36" customHeight="1" x14ac:dyDescent="0.25">
      <c r="B67" s="157" t="s">
        <v>78</v>
      </c>
      <c r="C67" s="251" t="s">
        <v>115</v>
      </c>
      <c r="D67" s="227"/>
      <c r="E67" s="227"/>
      <c r="F67" s="227"/>
    </row>
    <row r="68" spans="1:7" x14ac:dyDescent="0.25">
      <c r="A68" s="63"/>
      <c r="B68" s="63"/>
      <c r="C68" s="63"/>
      <c r="D68" s="63"/>
      <c r="E68" s="63"/>
      <c r="F68" s="63"/>
      <c r="G68" s="63"/>
    </row>
    <row r="69" spans="1:7" ht="18" customHeight="1" x14ac:dyDescent="0.25">
      <c r="B69" s="257" t="s">
        <v>116</v>
      </c>
      <c r="C69" s="227"/>
      <c r="D69" s="227"/>
      <c r="E69" s="227"/>
      <c r="F69" s="148" t="s">
        <v>96</v>
      </c>
    </row>
    <row r="70" spans="1:7" ht="27.95" customHeight="1" x14ac:dyDescent="0.25">
      <c r="B70" s="253" t="s">
        <v>117</v>
      </c>
      <c r="C70" s="227"/>
      <c r="D70" s="227"/>
      <c r="E70" s="227"/>
      <c r="F70" s="227"/>
    </row>
    <row r="71" spans="1:7" x14ac:dyDescent="0.25">
      <c r="B71" s="145" t="s">
        <v>60</v>
      </c>
      <c r="C71" s="149" t="s">
        <v>61</v>
      </c>
      <c r="D71" s="254" t="s">
        <v>62</v>
      </c>
      <c r="E71" s="227"/>
      <c r="F71" s="227"/>
    </row>
    <row r="72" spans="1:7" ht="27.95" customHeight="1" x14ac:dyDescent="0.25">
      <c r="B72" s="150" t="s">
        <v>118</v>
      </c>
      <c r="C72" s="151" t="s">
        <v>64</v>
      </c>
      <c r="D72" s="248" t="s">
        <v>119</v>
      </c>
      <c r="E72" s="227"/>
      <c r="F72" s="227"/>
    </row>
    <row r="73" spans="1:7" ht="27.95" customHeight="1" x14ac:dyDescent="0.25">
      <c r="B73" s="152" t="s">
        <v>120</v>
      </c>
      <c r="C73" s="153" t="s">
        <v>111</v>
      </c>
      <c r="D73" s="252" t="s">
        <v>121</v>
      </c>
      <c r="E73" s="227"/>
      <c r="F73" s="227"/>
    </row>
    <row r="74" spans="1:7" ht="27.95" customHeight="1" x14ac:dyDescent="0.25">
      <c r="B74" s="150" t="s">
        <v>122</v>
      </c>
      <c r="C74" s="151" t="s">
        <v>64</v>
      </c>
      <c r="D74" s="248" t="s">
        <v>123</v>
      </c>
      <c r="E74" s="227"/>
      <c r="F74" s="227"/>
    </row>
    <row r="75" spans="1:7" ht="27.95" customHeight="1" x14ac:dyDescent="0.25">
      <c r="B75" s="152" t="s">
        <v>124</v>
      </c>
      <c r="C75" s="153" t="s">
        <v>111</v>
      </c>
      <c r="D75" s="252" t="s">
        <v>125</v>
      </c>
      <c r="E75" s="227"/>
      <c r="F75" s="227"/>
    </row>
    <row r="76" spans="1:7" ht="27.95" customHeight="1" x14ac:dyDescent="0.25">
      <c r="B76" s="152" t="s">
        <v>914</v>
      </c>
      <c r="C76" s="153" t="s">
        <v>67</v>
      </c>
      <c r="D76" s="152" t="s">
        <v>919</v>
      </c>
    </row>
    <row r="77" spans="1:7" ht="27.95" customHeight="1" x14ac:dyDescent="0.25">
      <c r="B77" s="152" t="s">
        <v>915</v>
      </c>
      <c r="C77" s="153" t="s">
        <v>111</v>
      </c>
      <c r="D77" s="152" t="s">
        <v>920</v>
      </c>
    </row>
    <row r="78" spans="1:7" ht="27.95" customHeight="1" x14ac:dyDescent="0.25">
      <c r="B78" s="250" t="s">
        <v>126</v>
      </c>
      <c r="C78" s="227"/>
      <c r="D78" s="227"/>
      <c r="E78" s="227"/>
      <c r="F78" s="227"/>
    </row>
    <row r="79" spans="1:7" x14ac:dyDescent="0.25">
      <c r="B79" s="154" t="s">
        <v>74</v>
      </c>
      <c r="C79" s="155">
        <f>IF(SUMPRODUCT(((C72:C77="Met")+(C72:C77="Partial")+(C72:C77="Missed"))*{3,2,2,1,2,2})=0,"",ROUND((5*SUMPRODUCT((C72:C77="Met")*{3,2,2,1,2,2})+2.5*SUMPRODUCT((C72:C77="Partial")*{3,2,2,1,2,2}))/SUMPRODUCT(((C72:C77="Met")+(C72:C77="Partial")+(C72:C77="Missed"))*{3,2,2,1,2,2}),1))</f>
        <v>1.7</v>
      </c>
      <c r="D79" s="156"/>
      <c r="E79" s="156"/>
      <c r="F79" s="156"/>
    </row>
    <row r="80" spans="1:7" ht="24" customHeight="1" x14ac:dyDescent="0.25">
      <c r="B80" s="157" t="s">
        <v>75</v>
      </c>
      <c r="C80" s="149">
        <v>1</v>
      </c>
      <c r="D80" s="251" t="str">
        <f>IF(C80="","← enter score; anchor description appears here",CHOOSE(C80+1,"Agent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80" s="227"/>
      <c r="F80" s="227"/>
    </row>
    <row r="81" spans="1:7" x14ac:dyDescent="0.25">
      <c r="B81" s="157" t="s">
        <v>76</v>
      </c>
      <c r="C81" s="251" t="s">
        <v>127</v>
      </c>
      <c r="D81" s="227"/>
      <c r="E81" s="227"/>
      <c r="F81" s="227"/>
    </row>
    <row r="82" spans="1:7" ht="36" customHeight="1" x14ac:dyDescent="0.25">
      <c r="B82" s="157" t="s">
        <v>78</v>
      </c>
      <c r="C82" s="251" t="s">
        <v>128</v>
      </c>
      <c r="D82" s="227"/>
      <c r="E82" s="227"/>
      <c r="F82" s="227"/>
    </row>
    <row r="83" spans="1:7" x14ac:dyDescent="0.25">
      <c r="A83" s="63"/>
      <c r="B83" s="63"/>
      <c r="C83" s="63"/>
      <c r="D83" s="63"/>
      <c r="E83" s="63"/>
      <c r="F83" s="63"/>
      <c r="G83" s="63"/>
    </row>
    <row r="84" spans="1:7" ht="18" customHeight="1" x14ac:dyDescent="0.25">
      <c r="B84" s="257" t="s">
        <v>129</v>
      </c>
      <c r="C84" s="227"/>
      <c r="D84" s="227"/>
      <c r="E84" s="227"/>
      <c r="F84" s="148" t="s">
        <v>130</v>
      </c>
    </row>
    <row r="85" spans="1:7" ht="27.95" customHeight="1" x14ac:dyDescent="0.25">
      <c r="B85" s="253" t="s">
        <v>131</v>
      </c>
      <c r="C85" s="227"/>
      <c r="D85" s="227"/>
      <c r="E85" s="227"/>
      <c r="F85" s="227"/>
    </row>
    <row r="86" spans="1:7" x14ac:dyDescent="0.25">
      <c r="B86" s="145" t="s">
        <v>60</v>
      </c>
      <c r="C86" s="149" t="s">
        <v>61</v>
      </c>
      <c r="D86" s="254" t="s">
        <v>62</v>
      </c>
      <c r="E86" s="227"/>
      <c r="F86" s="227"/>
    </row>
    <row r="87" spans="1:7" ht="27.95" customHeight="1" x14ac:dyDescent="0.25">
      <c r="B87" s="150" t="s">
        <v>132</v>
      </c>
      <c r="C87" s="151" t="s">
        <v>53</v>
      </c>
      <c r="D87" s="248" t="s">
        <v>133</v>
      </c>
      <c r="E87" s="227"/>
      <c r="F87" s="227"/>
    </row>
    <row r="88" spans="1:7" ht="27.95" customHeight="1" x14ac:dyDescent="0.25">
      <c r="B88" s="152" t="s">
        <v>916</v>
      </c>
      <c r="C88" s="153" t="s">
        <v>111</v>
      </c>
      <c r="D88" s="252" t="s">
        <v>135</v>
      </c>
      <c r="E88" s="227"/>
      <c r="F88" s="227"/>
    </row>
    <row r="89" spans="1:7" ht="27.95" customHeight="1" x14ac:dyDescent="0.25">
      <c r="B89" s="150" t="s">
        <v>136</v>
      </c>
      <c r="C89" s="151" t="s">
        <v>111</v>
      </c>
      <c r="D89" s="248" t="s">
        <v>137</v>
      </c>
      <c r="E89" s="227"/>
      <c r="F89" s="227"/>
    </row>
    <row r="90" spans="1:7" ht="27.95" customHeight="1" x14ac:dyDescent="0.25">
      <c r="B90" s="152" t="s">
        <v>138</v>
      </c>
      <c r="C90" s="153" t="s">
        <v>111</v>
      </c>
      <c r="D90" s="252" t="s">
        <v>139</v>
      </c>
      <c r="E90" s="227"/>
      <c r="F90" s="227"/>
    </row>
    <row r="91" spans="1:7" ht="27.95" customHeight="1" x14ac:dyDescent="0.25">
      <c r="B91" s="250" t="s">
        <v>140</v>
      </c>
      <c r="C91" s="227"/>
      <c r="D91" s="227"/>
      <c r="E91" s="227"/>
      <c r="F91" s="227"/>
    </row>
    <row r="92" spans="1:7" x14ac:dyDescent="0.25">
      <c r="B92" s="154" t="s">
        <v>74</v>
      </c>
      <c r="C92" s="155">
        <f>IF(SUMPRODUCT(((C87:C90="Met")+(C87:C90="Partial")+(C87:C90="Missed"))*{3,2,3,1})=0,"",ROUND((5*SUMPRODUCT((C87:C90="Met")*{3,2,3,1})+2.5*SUMPRODUCT((C87:C90="Partial")*{3,2,3,1}))/SUMPRODUCT(((C87:C90="Met")+(C87:C90="Partial")+(C87:C90="Missed"))*{3,2,3,1}),0))</f>
        <v>0</v>
      </c>
      <c r="D92" s="156"/>
      <c r="E92" s="156"/>
      <c r="F92" s="156"/>
    </row>
    <row r="93" spans="1:7" ht="24" customHeight="1" x14ac:dyDescent="0.25">
      <c r="B93" s="157" t="s">
        <v>75</v>
      </c>
      <c r="C93" s="149">
        <v>1</v>
      </c>
      <c r="D93" s="251" t="str">
        <f>IF(C93="","← enter score; anchor description appears here",CHOOSE(C93+1,"Agent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93" s="227"/>
      <c r="F93" s="227"/>
    </row>
    <row r="94" spans="1:7" x14ac:dyDescent="0.25">
      <c r="B94" s="157" t="s">
        <v>76</v>
      </c>
      <c r="C94" s="251" t="s">
        <v>141</v>
      </c>
      <c r="D94" s="227"/>
      <c r="E94" s="227"/>
      <c r="F94" s="227"/>
    </row>
    <row r="95" spans="1:7" ht="36" customHeight="1" x14ac:dyDescent="0.25">
      <c r="B95" s="157" t="s">
        <v>78</v>
      </c>
      <c r="C95" s="251" t="s">
        <v>142</v>
      </c>
      <c r="D95" s="227"/>
      <c r="E95" s="227"/>
      <c r="F95" s="227"/>
    </row>
    <row r="96" spans="1:7" x14ac:dyDescent="0.25">
      <c r="A96" s="63"/>
      <c r="B96" s="63"/>
      <c r="C96" s="63"/>
      <c r="D96" s="63"/>
      <c r="E96" s="63"/>
      <c r="F96" s="63"/>
      <c r="G96" s="63"/>
    </row>
    <row r="97" spans="1:7" ht="18" customHeight="1" x14ac:dyDescent="0.25">
      <c r="B97" s="257" t="s">
        <v>143</v>
      </c>
      <c r="C97" s="227"/>
      <c r="D97" s="227"/>
      <c r="E97" s="227"/>
      <c r="F97" s="227"/>
    </row>
    <row r="98" spans="1:7" ht="36" customHeight="1" x14ac:dyDescent="0.25">
      <c r="B98" s="145" t="s">
        <v>144</v>
      </c>
      <c r="C98" s="251" t="s">
        <v>145</v>
      </c>
      <c r="D98" s="227"/>
      <c r="E98" s="227"/>
      <c r="F98" s="227"/>
    </row>
    <row r="99" spans="1:7" ht="18" customHeight="1" x14ac:dyDescent="0.25">
      <c r="B99" s="257" t="s">
        <v>146</v>
      </c>
      <c r="C99" s="227"/>
      <c r="D99" s="227"/>
      <c r="E99" s="227"/>
      <c r="F99" s="227"/>
    </row>
    <row r="100" spans="1:7" ht="29.1" customHeight="1" x14ac:dyDescent="0.25">
      <c r="B100" s="145" t="s">
        <v>147</v>
      </c>
      <c r="C100" s="251" t="s">
        <v>148</v>
      </c>
      <c r="D100" s="227"/>
      <c r="E100" s="227"/>
      <c r="F100" s="227"/>
    </row>
    <row r="101" spans="1:7" ht="29.1" customHeight="1" x14ac:dyDescent="0.25">
      <c r="B101" s="145" t="s">
        <v>149</v>
      </c>
      <c r="C101" s="251"/>
      <c r="D101" s="227"/>
      <c r="E101" s="227"/>
      <c r="F101" s="227"/>
    </row>
    <row r="102" spans="1:7" ht="29.1" customHeight="1" x14ac:dyDescent="0.25">
      <c r="B102" s="145" t="s">
        <v>150</v>
      </c>
      <c r="C102" s="251"/>
      <c r="D102" s="227"/>
      <c r="E102" s="227"/>
      <c r="F102" s="227"/>
    </row>
    <row r="103" spans="1:7" x14ac:dyDescent="0.25">
      <c r="A103" s="63"/>
      <c r="B103" s="63"/>
      <c r="C103" s="63"/>
      <c r="D103" s="63"/>
      <c r="E103" s="63"/>
      <c r="F103" s="63"/>
      <c r="G103" s="63"/>
    </row>
    <row r="104" spans="1:7" ht="18" customHeight="1" x14ac:dyDescent="0.25">
      <c r="B104" s="257" t="s">
        <v>151</v>
      </c>
      <c r="C104" s="227"/>
      <c r="D104" s="227"/>
      <c r="E104" s="227"/>
      <c r="F104" s="148" t="s">
        <v>152</v>
      </c>
    </row>
    <row r="105" spans="1:7" ht="27.95" customHeight="1" x14ac:dyDescent="0.25">
      <c r="B105" s="253" t="s">
        <v>153</v>
      </c>
      <c r="C105" s="227"/>
      <c r="D105" s="227"/>
      <c r="E105" s="227"/>
      <c r="F105" s="227"/>
    </row>
    <row r="106" spans="1:7" x14ac:dyDescent="0.25">
      <c r="B106" s="145" t="s">
        <v>60</v>
      </c>
      <c r="C106" s="149" t="s">
        <v>61</v>
      </c>
      <c r="D106" s="254" t="s">
        <v>62</v>
      </c>
      <c r="E106" s="227"/>
      <c r="F106" s="227"/>
    </row>
    <row r="107" spans="1:7" ht="27.95" customHeight="1" x14ac:dyDescent="0.25">
      <c r="B107" s="150" t="s">
        <v>154</v>
      </c>
      <c r="C107" s="151" t="s">
        <v>64</v>
      </c>
      <c r="D107" s="248" t="s">
        <v>155</v>
      </c>
      <c r="E107" s="227"/>
      <c r="F107" s="227"/>
    </row>
    <row r="108" spans="1:7" ht="27.95" customHeight="1" x14ac:dyDescent="0.25">
      <c r="B108" s="152" t="s">
        <v>156</v>
      </c>
      <c r="C108" s="153" t="s">
        <v>67</v>
      </c>
      <c r="D108" s="252" t="s">
        <v>157</v>
      </c>
      <c r="E108" s="227"/>
      <c r="F108" s="227"/>
    </row>
    <row r="109" spans="1:7" ht="27.95" customHeight="1" x14ac:dyDescent="0.25">
      <c r="B109" s="150" t="s">
        <v>158</v>
      </c>
      <c r="C109" s="151" t="s">
        <v>64</v>
      </c>
      <c r="D109" s="248" t="s">
        <v>159</v>
      </c>
      <c r="E109" s="227"/>
      <c r="F109" s="227"/>
    </row>
    <row r="110" spans="1:7" ht="27.95" customHeight="1" x14ac:dyDescent="0.25">
      <c r="B110" s="152" t="s">
        <v>160</v>
      </c>
      <c r="C110" s="153" t="s">
        <v>111</v>
      </c>
      <c r="D110" s="252" t="s">
        <v>161</v>
      </c>
      <c r="E110" s="227"/>
      <c r="F110" s="227"/>
    </row>
    <row r="111" spans="1:7" ht="27.95" customHeight="1" x14ac:dyDescent="0.25">
      <c r="B111" s="150" t="s">
        <v>162</v>
      </c>
      <c r="C111" s="151" t="s">
        <v>111</v>
      </c>
      <c r="D111" s="248" t="s">
        <v>163</v>
      </c>
      <c r="E111" s="227"/>
      <c r="F111" s="227"/>
    </row>
    <row r="112" spans="1:7" ht="27.95" customHeight="1" x14ac:dyDescent="0.25">
      <c r="B112" s="250" t="s">
        <v>164</v>
      </c>
      <c r="C112" s="227"/>
      <c r="D112" s="227"/>
      <c r="E112" s="227"/>
      <c r="F112" s="227"/>
    </row>
    <row r="113" spans="1:7" x14ac:dyDescent="0.25">
      <c r="B113" s="154" t="s">
        <v>74</v>
      </c>
      <c r="C113" s="155">
        <f>IF(SUMPRODUCT(((C107:C111="Met")+(C107:C111="Partial")+(C107:C111="Missed"))*{2,3,1,1,2})=0,"",ROUND((5*SUMPRODUCT((C107:C111="Met")*{2,3,1,1,2})+2.5*SUMPRODUCT((C107:C111="Partial")*{2,3,1,1,2}))/SUMPRODUCT(((C107:C111="Met")+(C107:C111="Partial")+(C107:C111="Missed"))*{2,3,1,1,2}),0))</f>
        <v>2</v>
      </c>
      <c r="D113" s="156"/>
      <c r="E113" s="156"/>
      <c r="F113" s="156"/>
    </row>
    <row r="114" spans="1:7" ht="24" customHeight="1" x14ac:dyDescent="0.25">
      <c r="B114" s="157" t="s">
        <v>75</v>
      </c>
      <c r="C114" s="149">
        <v>2</v>
      </c>
      <c r="D114" s="251" t="str">
        <f>IF(C114="","← enter score; anchor description appears here",CHOOSE(C114+1,"Agent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14" s="227"/>
      <c r="F114" s="227"/>
    </row>
    <row r="115" spans="1:7" x14ac:dyDescent="0.25">
      <c r="B115" s="157" t="s">
        <v>76</v>
      </c>
      <c r="C115" s="251" t="s">
        <v>165</v>
      </c>
      <c r="D115" s="227"/>
      <c r="E115" s="227"/>
      <c r="F115" s="227"/>
    </row>
    <row r="116" spans="1:7" ht="36" customHeight="1" x14ac:dyDescent="0.25">
      <c r="B116" s="157" t="s">
        <v>78</v>
      </c>
      <c r="C116" s="251" t="s">
        <v>166</v>
      </c>
      <c r="D116" s="227"/>
      <c r="E116" s="227"/>
      <c r="F116" s="227"/>
    </row>
    <row r="117" spans="1:7" x14ac:dyDescent="0.25">
      <c r="A117" s="63"/>
      <c r="B117" s="63"/>
      <c r="C117" s="63"/>
      <c r="D117" s="63"/>
      <c r="E117" s="63"/>
      <c r="F117" s="63"/>
      <c r="G117" s="63"/>
    </row>
    <row r="118" spans="1:7" ht="18" customHeight="1" x14ac:dyDescent="0.25">
      <c r="B118" s="257" t="s">
        <v>167</v>
      </c>
      <c r="C118" s="227"/>
      <c r="D118" s="227"/>
      <c r="E118" s="227"/>
      <c r="F118" s="148" t="s">
        <v>152</v>
      </c>
    </row>
    <row r="119" spans="1:7" ht="27.95" customHeight="1" x14ac:dyDescent="0.25">
      <c r="B119" s="253" t="s">
        <v>168</v>
      </c>
      <c r="C119" s="227"/>
      <c r="D119" s="227"/>
      <c r="E119" s="227"/>
      <c r="F119" s="227"/>
    </row>
    <row r="120" spans="1:7" x14ac:dyDescent="0.25">
      <c r="B120" s="145" t="s">
        <v>60</v>
      </c>
      <c r="C120" s="149" t="s">
        <v>61</v>
      </c>
      <c r="D120" s="254" t="s">
        <v>62</v>
      </c>
      <c r="E120" s="227"/>
      <c r="F120" s="227"/>
    </row>
    <row r="121" spans="1:7" ht="27.95" customHeight="1" x14ac:dyDescent="0.25">
      <c r="B121" s="150" t="s">
        <v>169</v>
      </c>
      <c r="C121" s="151" t="s">
        <v>67</v>
      </c>
      <c r="D121" s="248" t="s">
        <v>170</v>
      </c>
      <c r="E121" s="227"/>
      <c r="F121" s="227"/>
    </row>
    <row r="122" spans="1:7" ht="27.95" customHeight="1" x14ac:dyDescent="0.25">
      <c r="B122" s="152" t="s">
        <v>171</v>
      </c>
      <c r="C122" s="153" t="s">
        <v>67</v>
      </c>
      <c r="D122" s="252" t="s">
        <v>172</v>
      </c>
      <c r="E122" s="227"/>
      <c r="F122" s="227"/>
    </row>
    <row r="123" spans="1:7" ht="27.95" customHeight="1" x14ac:dyDescent="0.25">
      <c r="B123" s="150" t="s">
        <v>173</v>
      </c>
      <c r="C123" s="151" t="s">
        <v>67</v>
      </c>
      <c r="D123" s="248" t="s">
        <v>174</v>
      </c>
      <c r="E123" s="227"/>
      <c r="F123" s="227"/>
    </row>
    <row r="124" spans="1:7" ht="27.95" customHeight="1" x14ac:dyDescent="0.25">
      <c r="B124" s="152" t="s">
        <v>175</v>
      </c>
      <c r="C124" s="153" t="s">
        <v>111</v>
      </c>
      <c r="D124" s="252" t="s">
        <v>176</v>
      </c>
      <c r="E124" s="227"/>
      <c r="F124" s="227"/>
    </row>
    <row r="125" spans="1:7" ht="27.95" customHeight="1" x14ac:dyDescent="0.25">
      <c r="B125" s="150" t="s">
        <v>177</v>
      </c>
      <c r="C125" s="151" t="s">
        <v>64</v>
      </c>
      <c r="D125" s="248" t="s">
        <v>178</v>
      </c>
      <c r="E125" s="227"/>
      <c r="F125" s="227"/>
    </row>
    <row r="126" spans="1:7" ht="27.95" customHeight="1" x14ac:dyDescent="0.25">
      <c r="B126" s="152" t="s">
        <v>179</v>
      </c>
      <c r="C126" s="153" t="s">
        <v>111</v>
      </c>
      <c r="D126" s="252" t="s">
        <v>180</v>
      </c>
      <c r="E126" s="227"/>
      <c r="F126" s="227"/>
    </row>
    <row r="127" spans="1:7" ht="27.95" customHeight="1" x14ac:dyDescent="0.25">
      <c r="B127" s="250" t="s">
        <v>181</v>
      </c>
      <c r="C127" s="227"/>
      <c r="D127" s="227"/>
      <c r="E127" s="227"/>
      <c r="F127" s="227"/>
    </row>
    <row r="128" spans="1:7" x14ac:dyDescent="0.25">
      <c r="B128" s="154" t="s">
        <v>74</v>
      </c>
      <c r="C128" s="155">
        <f>IF(SUMPRODUCT(((C121:C126="Met")+(C121:C126="Partial")+(C121:C126="Missed"))*{3,3,3,3,2,1})=0,"",ROUND((5*SUMPRODUCT((C121:C126="Met")*{3,3,3,3,2,1})+2.5*SUMPRODUCT((C121:C126="Partial")*{3,3,3,3,2,1}))/SUMPRODUCT(((C121:C126="Met")+(C121:C126="Partial")+(C121:C126="Missed"))*{3,3,3,3,2,1}),0))</f>
        <v>3</v>
      </c>
      <c r="D128" s="156"/>
      <c r="E128" s="156"/>
      <c r="F128" s="156"/>
    </row>
    <row r="129" spans="1:7" ht="24" customHeight="1" x14ac:dyDescent="0.25">
      <c r="B129" s="157" t="s">
        <v>75</v>
      </c>
      <c r="C129" s="149">
        <v>2</v>
      </c>
      <c r="D129" s="251" t="str">
        <f>IF(C129="","← enter score; anchor description appears here",CHOOSE(C129+1,"Agent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29" s="227"/>
      <c r="F129" s="227"/>
    </row>
    <row r="130" spans="1:7" x14ac:dyDescent="0.25">
      <c r="B130" s="157" t="s">
        <v>76</v>
      </c>
      <c r="C130" s="251" t="s">
        <v>182</v>
      </c>
      <c r="D130" s="227"/>
      <c r="E130" s="227"/>
      <c r="F130" s="227"/>
    </row>
    <row r="131" spans="1:7" ht="36" customHeight="1" x14ac:dyDescent="0.25">
      <c r="B131" s="157" t="s">
        <v>78</v>
      </c>
      <c r="C131" s="251" t="s">
        <v>183</v>
      </c>
      <c r="D131" s="227"/>
      <c r="E131" s="227"/>
      <c r="F131" s="227"/>
    </row>
    <row r="132" spans="1:7" x14ac:dyDescent="0.25">
      <c r="A132" s="63"/>
      <c r="B132" s="63"/>
      <c r="C132" s="63"/>
      <c r="D132" s="63"/>
      <c r="E132" s="63"/>
      <c r="F132" s="63"/>
      <c r="G132" s="63"/>
    </row>
    <row r="133" spans="1:7" ht="27.95" customHeight="1" x14ac:dyDescent="0.25">
      <c r="B133" s="249" t="s">
        <v>184</v>
      </c>
      <c r="C133" s="227"/>
      <c r="D133" s="227"/>
      <c r="E133" s="227"/>
      <c r="F133" s="227"/>
    </row>
    <row r="134" spans="1:7" x14ac:dyDescent="0.25">
      <c r="B134" s="158" t="s">
        <v>185</v>
      </c>
      <c r="C134" s="158" t="s">
        <v>186</v>
      </c>
      <c r="D134" s="158" t="s">
        <v>187</v>
      </c>
      <c r="E134" s="158" t="s">
        <v>188</v>
      </c>
      <c r="F134" s="158" t="s">
        <v>189</v>
      </c>
    </row>
    <row r="135" spans="1:7" x14ac:dyDescent="0.25">
      <c r="B135" s="159" t="s">
        <v>190</v>
      </c>
      <c r="C135" s="151" t="s">
        <v>191</v>
      </c>
      <c r="D135" s="151">
        <f>C35</f>
        <v>3</v>
      </c>
      <c r="E135" s="160">
        <f>IF(D135="","",(D135/5)*0.3)</f>
        <v>0.18</v>
      </c>
      <c r="F135" s="151" t="str">
        <f t="shared" ref="F135:F141" si="0">IF(D135="","",IF(D135&gt;=4,"Strong",IF(D135=3,"Developing","Needs Focus")))</f>
        <v>Developing</v>
      </c>
    </row>
    <row r="136" spans="1:7" x14ac:dyDescent="0.25">
      <c r="B136" s="161" t="s">
        <v>192</v>
      </c>
      <c r="C136" s="153" t="s">
        <v>193</v>
      </c>
      <c r="D136" s="153">
        <f>C49</f>
        <v>4</v>
      </c>
      <c r="E136" s="162">
        <f>IF(D136="","",(D136/5)*0.2)</f>
        <v>0.16000000000000003</v>
      </c>
      <c r="F136" s="153" t="str">
        <f t="shared" si="0"/>
        <v>Strong</v>
      </c>
    </row>
    <row r="137" spans="1:7" x14ac:dyDescent="0.25">
      <c r="B137" s="159" t="s">
        <v>194</v>
      </c>
      <c r="C137" s="151" t="s">
        <v>195</v>
      </c>
      <c r="D137" s="151">
        <f>C65</f>
        <v>3</v>
      </c>
      <c r="E137" s="160">
        <f>IF(D137="","",(D137/5)*0.15)</f>
        <v>0.09</v>
      </c>
      <c r="F137" s="151" t="str">
        <f t="shared" si="0"/>
        <v>Developing</v>
      </c>
    </row>
    <row r="138" spans="1:7" x14ac:dyDescent="0.25">
      <c r="B138" s="161" t="s">
        <v>196</v>
      </c>
      <c r="C138" s="153" t="s">
        <v>195</v>
      </c>
      <c r="D138" s="153">
        <f>C80</f>
        <v>1</v>
      </c>
      <c r="E138" s="162">
        <f>IF(D138="","",(D138/5)*0.15)</f>
        <v>0.03</v>
      </c>
      <c r="F138" s="153" t="str">
        <f t="shared" si="0"/>
        <v>Needs Focus</v>
      </c>
    </row>
    <row r="139" spans="1:7" x14ac:dyDescent="0.25">
      <c r="B139" s="159" t="s">
        <v>197</v>
      </c>
      <c r="C139" s="151" t="s">
        <v>198</v>
      </c>
      <c r="D139" s="151">
        <f>C93</f>
        <v>1</v>
      </c>
      <c r="E139" s="160">
        <f>IF(D139="","",(D139/5)*0.1)</f>
        <v>2.0000000000000004E-2</v>
      </c>
      <c r="F139" s="151" t="str">
        <f t="shared" si="0"/>
        <v>Needs Focus</v>
      </c>
    </row>
    <row r="140" spans="1:7" x14ac:dyDescent="0.25">
      <c r="B140" s="161" t="s">
        <v>199</v>
      </c>
      <c r="C140" s="153" t="s">
        <v>200</v>
      </c>
      <c r="D140" s="153">
        <f>C114</f>
        <v>2</v>
      </c>
      <c r="E140" s="162">
        <f>IF(D140="","",(D140/5)*0.05)</f>
        <v>2.0000000000000004E-2</v>
      </c>
      <c r="F140" s="153" t="str">
        <f t="shared" si="0"/>
        <v>Needs Focus</v>
      </c>
    </row>
    <row r="141" spans="1:7" x14ac:dyDescent="0.25">
      <c r="B141" s="159" t="s">
        <v>201</v>
      </c>
      <c r="C141" s="151" t="s">
        <v>200</v>
      </c>
      <c r="D141" s="151">
        <f>C129</f>
        <v>2</v>
      </c>
      <c r="E141" s="160">
        <f>IF(D141="","",(D141/5)*0.05)</f>
        <v>2.0000000000000004E-2</v>
      </c>
      <c r="F141" s="151" t="str">
        <f t="shared" si="0"/>
        <v>Needs Focus</v>
      </c>
    </row>
    <row r="142" spans="1:7" ht="24" customHeight="1" x14ac:dyDescent="0.25">
      <c r="B142" s="147" t="s">
        <v>202</v>
      </c>
      <c r="C142" s="163" t="s">
        <v>203</v>
      </c>
      <c r="D142" s="164"/>
      <c r="E142" s="165">
        <f>SUM(E135:E141)</f>
        <v>0.52000000000000013</v>
      </c>
      <c r="F142" s="163" t="str">
        <f>IF(E142="","",IF(E142&gt;=0.85,"MEETS / EXCEEDS",IF(E142&gt;=0.7,"DEVELOPING","NEEDS IMPROVEMENT")))</f>
        <v>NEEDS IMPROVEMENT</v>
      </c>
    </row>
    <row r="143" spans="1:7" x14ac:dyDescent="0.25">
      <c r="A143" s="63"/>
      <c r="B143" s="63"/>
      <c r="C143" s="63"/>
      <c r="D143" s="63"/>
      <c r="E143" s="63"/>
      <c r="F143" s="63"/>
      <c r="G143" s="63"/>
    </row>
    <row r="144" spans="1:7" ht="18" customHeight="1" x14ac:dyDescent="0.25">
      <c r="B144" s="257" t="s">
        <v>204</v>
      </c>
      <c r="C144" s="227"/>
      <c r="D144" s="227"/>
      <c r="E144" s="227"/>
      <c r="F144" s="148"/>
    </row>
    <row r="145" spans="1:7" ht="29.1" customHeight="1" x14ac:dyDescent="0.25">
      <c r="B145" s="145" t="s">
        <v>205</v>
      </c>
      <c r="C145" s="146" t="s">
        <v>45</v>
      </c>
      <c r="D145" s="145" t="s">
        <v>206</v>
      </c>
      <c r="E145" s="255" t="s">
        <v>207</v>
      </c>
      <c r="F145" s="227"/>
    </row>
    <row r="146" spans="1:7" ht="51.95" customHeight="1" x14ac:dyDescent="0.25">
      <c r="B146" s="145" t="s">
        <v>208</v>
      </c>
      <c r="C146" s="251" t="s">
        <v>209</v>
      </c>
      <c r="D146" s="227"/>
      <c r="E146" s="227"/>
      <c r="F146" s="227"/>
    </row>
    <row r="147" spans="1:7" x14ac:dyDescent="0.25">
      <c r="A147" s="63"/>
      <c r="B147" s="63"/>
      <c r="C147" s="63"/>
      <c r="D147" s="63"/>
      <c r="E147" s="63"/>
      <c r="F147" s="63"/>
      <c r="G147" s="63"/>
    </row>
    <row r="148" spans="1:7" ht="18" customHeight="1" x14ac:dyDescent="0.25">
      <c r="B148" s="257" t="s">
        <v>210</v>
      </c>
      <c r="C148" s="227"/>
      <c r="D148" s="227"/>
      <c r="E148" s="227"/>
      <c r="F148" s="148"/>
    </row>
    <row r="149" spans="1:7" ht="26.1" customHeight="1" x14ac:dyDescent="0.25">
      <c r="B149" s="145" t="s">
        <v>211</v>
      </c>
      <c r="C149" s="166" t="s">
        <v>212</v>
      </c>
      <c r="D149" s="258" t="s">
        <v>213</v>
      </c>
      <c r="E149" s="227"/>
      <c r="F149" s="227"/>
    </row>
    <row r="150" spans="1:7" ht="26.1" customHeight="1" x14ac:dyDescent="0.25">
      <c r="B150" s="145" t="s">
        <v>214</v>
      </c>
      <c r="C150" s="146" t="s">
        <v>215</v>
      </c>
      <c r="D150" s="146"/>
      <c r="E150" s="255" t="str">
        <f>IF(AND(C149="Yes",OR(C150="None",C150="N.A. — no disconnect")),"⚠ MISSED OWNERSHIP OPPORTUNITY — flag in Customer Ownership and Critical Failures","OK")</f>
        <v>OK</v>
      </c>
      <c r="F150" s="227"/>
    </row>
    <row r="151" spans="1:7" x14ac:dyDescent="0.25">
      <c r="A151" s="63"/>
      <c r="B151" s="63"/>
      <c r="C151" s="63"/>
      <c r="D151" s="63"/>
      <c r="E151" s="63"/>
      <c r="F151" s="63"/>
      <c r="G151" s="63"/>
    </row>
    <row r="152" spans="1:7" ht="27.95" customHeight="1" x14ac:dyDescent="0.25">
      <c r="B152" s="249" t="s">
        <v>216</v>
      </c>
      <c r="C152" s="227"/>
      <c r="D152" s="227"/>
      <c r="E152" s="227"/>
      <c r="F152" s="227"/>
    </row>
    <row r="153" spans="1:7" ht="26.1" customHeight="1" x14ac:dyDescent="0.25">
      <c r="B153" s="145" t="s">
        <v>217</v>
      </c>
      <c r="C153" s="149" t="s">
        <v>218</v>
      </c>
      <c r="D153" s="254" t="s">
        <v>219</v>
      </c>
      <c r="E153" s="227"/>
      <c r="F153" s="227"/>
    </row>
    <row r="154" spans="1:7" ht="26.1" customHeight="1" x14ac:dyDescent="0.25">
      <c r="B154" s="150" t="s">
        <v>220</v>
      </c>
      <c r="C154" s="151" t="str">
        <f>IF(OR(C46="Partial",C46="Missed"),C46,"")</f>
        <v>Partial</v>
      </c>
      <c r="D154" s="248" t="s">
        <v>221</v>
      </c>
      <c r="E154" s="227"/>
      <c r="F154" s="227"/>
    </row>
    <row r="155" spans="1:7" ht="26.1" customHeight="1" x14ac:dyDescent="0.25">
      <c r="B155" s="152" t="s">
        <v>222</v>
      </c>
      <c r="C155" s="153" t="str">
        <f>IF(OR(C75="Partial",C75="Missed"),C75,"")</f>
        <v>Missed</v>
      </c>
      <c r="D155" s="252" t="s">
        <v>223</v>
      </c>
      <c r="E155" s="227"/>
      <c r="F155" s="227"/>
    </row>
    <row r="156" spans="1:7" ht="26.1" customHeight="1" x14ac:dyDescent="0.25">
      <c r="B156" s="150" t="s">
        <v>224</v>
      </c>
      <c r="C156" s="151" t="str">
        <f>IF(OR(C73="Partial",C73="Missed"),C73,"")</f>
        <v>Missed</v>
      </c>
      <c r="D156" s="248" t="s">
        <v>225</v>
      </c>
      <c r="E156" s="227"/>
      <c r="F156" s="227"/>
    </row>
    <row r="157" spans="1:7" ht="26.1" customHeight="1" x14ac:dyDescent="0.25">
      <c r="B157" s="152" t="s">
        <v>226</v>
      </c>
      <c r="C157" s="153" t="str">
        <f>IF(OR(C30="Partial",C30="Missed"),C30,"")</f>
        <v/>
      </c>
      <c r="D157" s="252" t="s">
        <v>227</v>
      </c>
      <c r="E157" s="227"/>
      <c r="F157" s="227"/>
    </row>
    <row r="158" spans="1:7" ht="26.1" customHeight="1" x14ac:dyDescent="0.25">
      <c r="B158" s="150" t="s">
        <v>228</v>
      </c>
      <c r="C158" s="151" t="str">
        <f>IF(OR(C87="Partial",C87="Missed"),C87,"")</f>
        <v/>
      </c>
      <c r="D158" s="248" t="s">
        <v>229</v>
      </c>
      <c r="E158" s="227"/>
      <c r="F158" s="227"/>
    </row>
    <row r="159" spans="1:7" ht="26.1" customHeight="1" x14ac:dyDescent="0.25">
      <c r="B159" s="152" t="s">
        <v>230</v>
      </c>
      <c r="C159" s="153" t="str">
        <f>IF(OR(C88="Partial",C88="Missed"),C88,"")</f>
        <v>Missed</v>
      </c>
      <c r="D159" s="252" t="s">
        <v>231</v>
      </c>
      <c r="E159" s="227"/>
      <c r="F159" s="227"/>
    </row>
    <row r="160" spans="1:7" ht="26.1" customHeight="1" x14ac:dyDescent="0.25">
      <c r="B160" s="150" t="s">
        <v>232</v>
      </c>
      <c r="C160" s="151" t="str">
        <f>IF(OR(C108="Partial",C108="Missed"),C108,"")</f>
        <v/>
      </c>
      <c r="D160" s="248" t="s">
        <v>233</v>
      </c>
      <c r="E160" s="227"/>
      <c r="F160" s="227"/>
    </row>
    <row r="161" spans="1:7" ht="26.1" customHeight="1" x14ac:dyDescent="0.25">
      <c r="B161" s="152" t="s">
        <v>234</v>
      </c>
      <c r="C161" s="153" t="str">
        <f>IF(OR(C126="Partial",C126="Missed"),C126,"")</f>
        <v>Missed</v>
      </c>
      <c r="D161" s="252" t="s">
        <v>235</v>
      </c>
      <c r="E161" s="227"/>
      <c r="F161" s="227"/>
    </row>
    <row r="162" spans="1:7" x14ac:dyDescent="0.25">
      <c r="A162" s="63"/>
      <c r="B162" s="63"/>
      <c r="C162" s="63"/>
      <c r="D162" s="63"/>
      <c r="E162" s="63"/>
      <c r="F162" s="63"/>
      <c r="G162" s="63"/>
    </row>
    <row r="163" spans="1:7" ht="27.95" customHeight="1" x14ac:dyDescent="0.25">
      <c r="B163" s="249" t="s">
        <v>236</v>
      </c>
      <c r="C163" s="227"/>
      <c r="D163" s="227"/>
      <c r="E163" s="227"/>
      <c r="F163" s="227"/>
    </row>
    <row r="164" spans="1:7" ht="27.95" customHeight="1" x14ac:dyDescent="0.25">
      <c r="B164" s="257" t="s">
        <v>237</v>
      </c>
      <c r="C164" s="227"/>
      <c r="D164" s="227"/>
      <c r="E164" s="227"/>
      <c r="F164" s="227"/>
    </row>
    <row r="165" spans="1:7" ht="32.1" customHeight="1" x14ac:dyDescent="0.25">
      <c r="B165" s="149" t="s">
        <v>147</v>
      </c>
      <c r="C165" s="251" t="s">
        <v>238</v>
      </c>
      <c r="D165" s="227"/>
      <c r="E165" s="227"/>
      <c r="F165" s="227"/>
    </row>
    <row r="166" spans="1:7" ht="32.1" customHeight="1" x14ac:dyDescent="0.25">
      <c r="B166" s="149" t="s">
        <v>149</v>
      </c>
      <c r="C166" s="251" t="s">
        <v>239</v>
      </c>
      <c r="D166" s="227"/>
      <c r="E166" s="227"/>
      <c r="F166" s="227"/>
    </row>
    <row r="167" spans="1:7" ht="32.1" customHeight="1" x14ac:dyDescent="0.25">
      <c r="B167" s="149" t="s">
        <v>150</v>
      </c>
      <c r="C167" s="251" t="s">
        <v>240</v>
      </c>
      <c r="D167" s="227"/>
      <c r="E167" s="227"/>
      <c r="F167" s="227"/>
    </row>
    <row r="168" spans="1:7" ht="27.95" customHeight="1" x14ac:dyDescent="0.25">
      <c r="B168" s="257" t="s">
        <v>241</v>
      </c>
      <c r="C168" s="227"/>
      <c r="D168" s="227"/>
      <c r="E168" s="227"/>
      <c r="F168" s="227"/>
    </row>
    <row r="169" spans="1:7" ht="32.1" customHeight="1" x14ac:dyDescent="0.25">
      <c r="B169" s="149" t="s">
        <v>147</v>
      </c>
      <c r="C169" s="251" t="s">
        <v>242</v>
      </c>
      <c r="D169" s="227"/>
      <c r="E169" s="227"/>
      <c r="F169" s="227"/>
    </row>
    <row r="170" spans="1:7" ht="32.1" customHeight="1" x14ac:dyDescent="0.25">
      <c r="B170" s="149" t="s">
        <v>149</v>
      </c>
      <c r="C170" s="251" t="s">
        <v>243</v>
      </c>
      <c r="D170" s="227"/>
      <c r="E170" s="227"/>
      <c r="F170" s="227"/>
    </row>
    <row r="171" spans="1:7" ht="32.1" customHeight="1" x14ac:dyDescent="0.25">
      <c r="B171" s="149" t="s">
        <v>150</v>
      </c>
      <c r="C171" s="251" t="s">
        <v>244</v>
      </c>
      <c r="D171" s="227"/>
      <c r="E171" s="227"/>
      <c r="F171" s="227"/>
    </row>
    <row r="172" spans="1:7" ht="27.95" customHeight="1" x14ac:dyDescent="0.25">
      <c r="B172" s="257" t="s">
        <v>245</v>
      </c>
      <c r="C172" s="227"/>
      <c r="D172" s="227"/>
      <c r="E172" s="227"/>
      <c r="F172" s="227"/>
    </row>
    <row r="173" spans="1:7" ht="57.95" customHeight="1" x14ac:dyDescent="0.25">
      <c r="B173" s="251" t="s">
        <v>246</v>
      </c>
      <c r="C173" s="227"/>
      <c r="D173" s="227"/>
      <c r="E173" s="227"/>
      <c r="F173" s="227"/>
    </row>
    <row r="174" spans="1:7" ht="27.95" customHeight="1" x14ac:dyDescent="0.25">
      <c r="B174" s="257" t="s">
        <v>247</v>
      </c>
      <c r="C174" s="227"/>
      <c r="D174" s="227"/>
      <c r="E174" s="227"/>
      <c r="F174" s="227"/>
    </row>
    <row r="175" spans="1:7" ht="69.95" customHeight="1" x14ac:dyDescent="0.25">
      <c r="B175" s="251" t="s">
        <v>248</v>
      </c>
      <c r="C175" s="227"/>
      <c r="D175" s="227"/>
      <c r="E175" s="227"/>
      <c r="F175" s="227"/>
    </row>
    <row r="176" spans="1:7" ht="27.95" customHeight="1" x14ac:dyDescent="0.25">
      <c r="B176" s="257" t="s">
        <v>249</v>
      </c>
      <c r="C176" s="227"/>
      <c r="D176" s="227"/>
      <c r="E176" s="227"/>
      <c r="F176" s="227"/>
    </row>
    <row r="177" spans="2:6" ht="57.95" customHeight="1" x14ac:dyDescent="0.25">
      <c r="B177" s="251" t="s">
        <v>250</v>
      </c>
      <c r="C177" s="227"/>
      <c r="D177" s="227"/>
      <c r="E177" s="227"/>
      <c r="F177" s="227"/>
    </row>
    <row r="178" spans="2:6" ht="27.95" customHeight="1" x14ac:dyDescent="0.25">
      <c r="B178" s="257" t="s">
        <v>251</v>
      </c>
      <c r="C178" s="227"/>
      <c r="D178" s="227"/>
      <c r="E178" s="227"/>
      <c r="F178" s="227"/>
    </row>
    <row r="179" spans="2:6" ht="57.95" customHeight="1" x14ac:dyDescent="0.25">
      <c r="B179" s="251" t="s">
        <v>252</v>
      </c>
      <c r="C179" s="227"/>
      <c r="D179" s="227"/>
      <c r="E179" s="227"/>
      <c r="F179" s="227"/>
    </row>
  </sheetData>
  <mergeCells count="145">
    <mergeCell ref="D157:F157"/>
    <mergeCell ref="D65:F65"/>
    <mergeCell ref="D72:F72"/>
    <mergeCell ref="B119:F119"/>
    <mergeCell ref="B97:F97"/>
    <mergeCell ref="E17:F17"/>
    <mergeCell ref="D129:F129"/>
    <mergeCell ref="D74:F74"/>
    <mergeCell ref="D107:F107"/>
    <mergeCell ref="D56:F56"/>
    <mergeCell ref="D58:F58"/>
    <mergeCell ref="B47:F47"/>
    <mergeCell ref="B54:F54"/>
    <mergeCell ref="D28:F28"/>
    <mergeCell ref="B24:E24"/>
    <mergeCell ref="C18:F18"/>
    <mergeCell ref="C81:F81"/>
    <mergeCell ref="C36:F36"/>
    <mergeCell ref="E9:F9"/>
    <mergeCell ref="D93:F93"/>
    <mergeCell ref="B40:F40"/>
    <mergeCell ref="C37:F37"/>
    <mergeCell ref="E10:F10"/>
    <mergeCell ref="C51:F51"/>
    <mergeCell ref="D122:F122"/>
    <mergeCell ref="E11:F11"/>
    <mergeCell ref="D26:F26"/>
    <mergeCell ref="C13:F13"/>
    <mergeCell ref="D159:F159"/>
    <mergeCell ref="D110:F110"/>
    <mergeCell ref="D153:F153"/>
    <mergeCell ref="C82:F82"/>
    <mergeCell ref="D73:F73"/>
    <mergeCell ref="B1:F1"/>
    <mergeCell ref="D125:F125"/>
    <mergeCell ref="D35:F35"/>
    <mergeCell ref="D75:F75"/>
    <mergeCell ref="D44:F44"/>
    <mergeCell ref="D86:F86"/>
    <mergeCell ref="E6:F6"/>
    <mergeCell ref="B91:F91"/>
    <mergeCell ref="C101:F101"/>
    <mergeCell ref="C20:F20"/>
    <mergeCell ref="C116:F116"/>
    <mergeCell ref="D46:F46"/>
    <mergeCell ref="D61:F61"/>
    <mergeCell ref="C67:F67"/>
    <mergeCell ref="C98:F98"/>
    <mergeCell ref="E7:F7"/>
    <mergeCell ref="D88:F88"/>
    <mergeCell ref="B63:F63"/>
    <mergeCell ref="C21:F21"/>
    <mergeCell ref="B179:F179"/>
    <mergeCell ref="B144:E144"/>
    <mergeCell ref="B175:F175"/>
    <mergeCell ref="D114:F114"/>
    <mergeCell ref="D89:F89"/>
    <mergeCell ref="B177:F177"/>
    <mergeCell ref="C169:F169"/>
    <mergeCell ref="C170:F170"/>
    <mergeCell ref="B168:F168"/>
    <mergeCell ref="C171:F171"/>
    <mergeCell ref="B173:F173"/>
    <mergeCell ref="E145:F145"/>
    <mergeCell ref="C165:F165"/>
    <mergeCell ref="B148:E148"/>
    <mergeCell ref="C166:F166"/>
    <mergeCell ref="C94:F94"/>
    <mergeCell ref="D90:F90"/>
    <mergeCell ref="D108:F108"/>
    <mergeCell ref="C95:F95"/>
    <mergeCell ref="D149:F149"/>
    <mergeCell ref="D154:F154"/>
    <mergeCell ref="B163:F163"/>
    <mergeCell ref="B105:F105"/>
    <mergeCell ref="C131:F131"/>
    <mergeCell ref="B4:F4"/>
    <mergeCell ref="D126:F126"/>
    <mergeCell ref="B176:F176"/>
    <mergeCell ref="B178:F178"/>
    <mergeCell ref="B112:F112"/>
    <mergeCell ref="B172:F172"/>
    <mergeCell ref="D123:F123"/>
    <mergeCell ref="B15:F15"/>
    <mergeCell ref="C167:F167"/>
    <mergeCell ref="E150:F150"/>
    <mergeCell ref="B164:F164"/>
    <mergeCell ref="D109:F109"/>
    <mergeCell ref="D59:F59"/>
    <mergeCell ref="D27:F27"/>
    <mergeCell ref="D124:F124"/>
    <mergeCell ref="D43:F43"/>
    <mergeCell ref="D158:F158"/>
    <mergeCell ref="D111:F111"/>
    <mergeCell ref="B53:E53"/>
    <mergeCell ref="C19:F19"/>
    <mergeCell ref="D45:F45"/>
    <mergeCell ref="D160:F160"/>
    <mergeCell ref="D55:F55"/>
    <mergeCell ref="C115:F115"/>
    <mergeCell ref="E8:F8"/>
    <mergeCell ref="C100:F100"/>
    <mergeCell ref="B2:F2"/>
    <mergeCell ref="D106:F106"/>
    <mergeCell ref="B104:E104"/>
    <mergeCell ref="B174:F174"/>
    <mergeCell ref="D30:F30"/>
    <mergeCell ref="D41:F41"/>
    <mergeCell ref="D156:F156"/>
    <mergeCell ref="D29:F29"/>
    <mergeCell ref="C66:F66"/>
    <mergeCell ref="E12:F12"/>
    <mergeCell ref="E5:F5"/>
    <mergeCell ref="D87:F87"/>
    <mergeCell ref="D121:F121"/>
    <mergeCell ref="C14:F14"/>
    <mergeCell ref="D57:F57"/>
    <mergeCell ref="C102:F102"/>
    <mergeCell ref="B152:F152"/>
    <mergeCell ref="D161:F161"/>
    <mergeCell ref="E16:F16"/>
    <mergeCell ref="D42:F42"/>
    <mergeCell ref="D49:F49"/>
    <mergeCell ref="B39:E39"/>
    <mergeCell ref="D60:F60"/>
    <mergeCell ref="B23:F23"/>
    <mergeCell ref="B127:F127"/>
    <mergeCell ref="C50:F50"/>
    <mergeCell ref="D155:F155"/>
    <mergeCell ref="B33:F33"/>
    <mergeCell ref="B133:F133"/>
    <mergeCell ref="D80:F80"/>
    <mergeCell ref="B85:F85"/>
    <mergeCell ref="D120:F120"/>
    <mergeCell ref="B25:F25"/>
    <mergeCell ref="D62:F62"/>
    <mergeCell ref="D71:F71"/>
    <mergeCell ref="B78:F78"/>
    <mergeCell ref="B69:E69"/>
    <mergeCell ref="B70:F70"/>
    <mergeCell ref="B84:E84"/>
    <mergeCell ref="C146:F146"/>
    <mergeCell ref="C130:F130"/>
    <mergeCell ref="B118:E118"/>
    <mergeCell ref="B99:F99"/>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0"/>
  <sheetViews>
    <sheetView showGridLines="0" workbookViewId="0">
      <pane ySplit="4" topLeftCell="A5" activePane="bottomLeft" state="frozen"/>
      <selection pane="bottomLeft"/>
    </sheetView>
  </sheetViews>
  <sheetFormatPr defaultRowHeight="15" x14ac:dyDescent="0.25"/>
  <cols>
    <col min="1" max="1" width="11" customWidth="1"/>
    <col min="2" max="2" width="13" customWidth="1"/>
    <col min="3" max="3" width="18" customWidth="1"/>
    <col min="4" max="11" width="8" customWidth="1"/>
    <col min="12" max="12" width="10" customWidth="1"/>
    <col min="13" max="13" width="13" customWidth="1"/>
    <col min="14" max="14" width="60" customWidth="1"/>
    <col min="15" max="15" width="22" customWidth="1"/>
    <col min="16" max="17" width="14" customWidth="1"/>
  </cols>
  <sheetData>
    <row r="1" spans="1:17" ht="26.1" customHeight="1" x14ac:dyDescent="0.25">
      <c r="A1" s="216" t="s">
        <v>807</v>
      </c>
      <c r="B1" s="185"/>
      <c r="C1" s="185"/>
      <c r="D1" s="185"/>
      <c r="E1" s="185"/>
      <c r="F1" s="185"/>
      <c r="G1" s="185"/>
      <c r="H1" s="185"/>
      <c r="I1" s="185"/>
      <c r="J1" s="185"/>
      <c r="K1" s="185"/>
      <c r="L1" s="185"/>
      <c r="M1" s="185"/>
      <c r="N1" s="185"/>
      <c r="O1" s="185"/>
      <c r="P1" s="176"/>
    </row>
    <row r="2" spans="1:17" ht="15.95" customHeight="1" x14ac:dyDescent="0.25">
      <c r="A2" s="263" t="s">
        <v>808</v>
      </c>
      <c r="B2" s="185"/>
      <c r="C2" s="185"/>
      <c r="D2" s="185"/>
      <c r="E2" s="185"/>
      <c r="F2" s="185"/>
      <c r="G2" s="185"/>
      <c r="H2" s="185"/>
      <c r="I2" s="185"/>
      <c r="J2" s="185"/>
      <c r="K2" s="185"/>
      <c r="L2" s="185"/>
      <c r="M2" s="185"/>
      <c r="N2" s="185"/>
      <c r="O2" s="185"/>
      <c r="P2" s="176"/>
    </row>
    <row r="3" spans="1:17" ht="24" customHeight="1" x14ac:dyDescent="0.25">
      <c r="A3" s="264" t="str">
        <f>IF(A56="","  JOURNEY TEAM SCORE  ▸  log touches below, then enter a Case ID + Outcome/Continuity in row 56","  LOADED JOURNEY TEAM SCORE  ▸  "&amp;A56&amp;":  "&amp;TEXT(G56,"0.0%")&amp;"   "&amp;UPPER(H56))</f>
        <v xml:space="preserve">  JOURNEY TEAM SCORE  ▸  log touches below, then enter a Case ID + Outcome/Continuity in row 56</v>
      </c>
      <c r="B3" s="185"/>
      <c r="C3" s="185"/>
      <c r="D3" s="185"/>
      <c r="E3" s="185"/>
      <c r="F3" s="185"/>
      <c r="G3" s="185"/>
      <c r="H3" s="185"/>
      <c r="I3" s="185"/>
      <c r="J3" s="185"/>
      <c r="K3" s="185"/>
      <c r="L3" s="185"/>
      <c r="M3" s="185"/>
      <c r="N3" s="185"/>
      <c r="O3" s="185"/>
      <c r="P3" s="176"/>
    </row>
    <row r="4" spans="1:17" ht="30" customHeight="1" x14ac:dyDescent="0.25">
      <c r="A4" s="23" t="s">
        <v>809</v>
      </c>
      <c r="B4" s="23" t="s">
        <v>810</v>
      </c>
      <c r="C4" s="23" t="s">
        <v>811</v>
      </c>
      <c r="D4" s="23" t="s">
        <v>812</v>
      </c>
      <c r="E4" s="23" t="s">
        <v>813</v>
      </c>
      <c r="F4" s="23" t="s">
        <v>814</v>
      </c>
      <c r="G4" s="23" t="s">
        <v>815</v>
      </c>
      <c r="H4" s="23" t="s">
        <v>816</v>
      </c>
      <c r="I4" s="23" t="s">
        <v>817</v>
      </c>
      <c r="J4" s="23" t="s">
        <v>818</v>
      </c>
      <c r="K4" s="23" t="s">
        <v>819</v>
      </c>
      <c r="L4" s="23" t="s">
        <v>188</v>
      </c>
      <c r="M4" s="23" t="s">
        <v>820</v>
      </c>
      <c r="N4" s="23" t="s">
        <v>821</v>
      </c>
      <c r="O4" s="46" t="s">
        <v>804</v>
      </c>
      <c r="P4" s="46" t="s">
        <v>805</v>
      </c>
      <c r="Q4" s="95" t="s">
        <v>822</v>
      </c>
    </row>
    <row r="5" spans="1:17" ht="39.950000000000003" customHeight="1" x14ac:dyDescent="0.25">
      <c r="A5" s="24"/>
      <c r="B5" s="24"/>
      <c r="C5" s="24"/>
      <c r="D5" s="24"/>
      <c r="E5" s="24"/>
      <c r="F5" s="24"/>
      <c r="G5" s="24"/>
      <c r="H5" s="24"/>
      <c r="I5" s="24"/>
      <c r="J5" s="24"/>
      <c r="K5" s="24"/>
      <c r="L5" s="25" t="str">
        <f t="shared" ref="L5:L49" si="0">IF((COUNT(E5)+COUNT(F5)+COUNT(G5)+COUNT(H5)+COUNT(I5)+COUNT(J5)+COUNT(K5))=0,"",IFERROR(E5/5*0.3,0)+IFERROR(F5/5*0.2,0)+IFERROR(G5/5*0.15,0)+IFERROR(H5/5*0.15,0)+IFERROR(I5/5*0.1,0)+IFERROR(J5/5*0.05,0)+IFERROR(K5/5*0.05,0))</f>
        <v/>
      </c>
      <c r="M5" s="11" t="str">
        <f t="shared" ref="M5:M49" si="1">IF(L5="","",IF(L5&gt;=0.85,"Meets/Exceeds",IF(L5&gt;=0.7,"Developing","Needs Improv.")))</f>
        <v/>
      </c>
      <c r="N5" s="6"/>
      <c r="O5" s="11"/>
      <c r="P5" s="11"/>
      <c r="Q5" s="96"/>
    </row>
    <row r="6" spans="1:17" ht="39.950000000000003" customHeight="1" x14ac:dyDescent="0.25">
      <c r="A6" s="24"/>
      <c r="B6" s="24"/>
      <c r="C6" s="24"/>
      <c r="D6" s="24"/>
      <c r="E6" s="24"/>
      <c r="F6" s="24"/>
      <c r="G6" s="24"/>
      <c r="H6" s="24"/>
      <c r="I6" s="24"/>
      <c r="J6" s="24"/>
      <c r="K6" s="24"/>
      <c r="L6" s="26" t="str">
        <f t="shared" si="0"/>
        <v/>
      </c>
      <c r="M6" s="13" t="str">
        <f t="shared" si="1"/>
        <v/>
      </c>
      <c r="N6" s="8"/>
      <c r="O6" s="13"/>
      <c r="P6" s="13"/>
      <c r="Q6" s="96"/>
    </row>
    <row r="7" spans="1:17" ht="39.950000000000003" customHeight="1" x14ac:dyDescent="0.25">
      <c r="A7" s="24"/>
      <c r="B7" s="24"/>
      <c r="C7" s="24"/>
      <c r="D7" s="24"/>
      <c r="E7" s="24"/>
      <c r="F7" s="24"/>
      <c r="G7" s="24"/>
      <c r="H7" s="24"/>
      <c r="I7" s="24"/>
      <c r="J7" s="24"/>
      <c r="K7" s="24"/>
      <c r="L7" s="25" t="str">
        <f t="shared" si="0"/>
        <v/>
      </c>
      <c r="M7" s="11" t="str">
        <f t="shared" si="1"/>
        <v/>
      </c>
      <c r="N7" s="6"/>
      <c r="O7" s="11"/>
      <c r="P7" s="11"/>
      <c r="Q7" s="96"/>
    </row>
    <row r="8" spans="1:17" ht="39.950000000000003" customHeight="1" x14ac:dyDescent="0.25">
      <c r="A8" s="24"/>
      <c r="B8" s="24"/>
      <c r="C8" s="24"/>
      <c r="D8" s="24"/>
      <c r="E8" s="24"/>
      <c r="F8" s="24"/>
      <c r="G8" s="24"/>
      <c r="H8" s="24"/>
      <c r="I8" s="24"/>
      <c r="J8" s="24"/>
      <c r="K8" s="24"/>
      <c r="L8" s="26" t="str">
        <f t="shared" si="0"/>
        <v/>
      </c>
      <c r="M8" s="13" t="str">
        <f t="shared" si="1"/>
        <v/>
      </c>
      <c r="N8" s="8"/>
      <c r="O8" s="13"/>
      <c r="P8" s="13"/>
      <c r="Q8" s="96"/>
    </row>
    <row r="9" spans="1:17" ht="39.950000000000003" customHeight="1" x14ac:dyDescent="0.25">
      <c r="A9" s="24"/>
      <c r="B9" s="24"/>
      <c r="C9" s="24"/>
      <c r="D9" s="24"/>
      <c r="E9" s="24"/>
      <c r="F9" s="24"/>
      <c r="G9" s="24"/>
      <c r="H9" s="24"/>
      <c r="I9" s="24"/>
      <c r="J9" s="24"/>
      <c r="K9" s="24"/>
      <c r="L9" s="25" t="str">
        <f t="shared" si="0"/>
        <v/>
      </c>
      <c r="M9" s="11" t="str">
        <f t="shared" si="1"/>
        <v/>
      </c>
      <c r="N9" s="6"/>
      <c r="O9" s="11"/>
      <c r="P9" s="11"/>
      <c r="Q9" s="96"/>
    </row>
    <row r="10" spans="1:17" ht="39.950000000000003" customHeight="1" x14ac:dyDescent="0.25">
      <c r="A10" s="24"/>
      <c r="B10" s="24"/>
      <c r="C10" s="24"/>
      <c r="D10" s="24"/>
      <c r="E10" s="24"/>
      <c r="F10" s="24"/>
      <c r="G10" s="24"/>
      <c r="H10" s="24"/>
      <c r="I10" s="24"/>
      <c r="J10" s="24"/>
      <c r="K10" s="24"/>
      <c r="L10" s="26" t="str">
        <f t="shared" si="0"/>
        <v/>
      </c>
      <c r="M10" s="13" t="str">
        <f t="shared" si="1"/>
        <v/>
      </c>
      <c r="N10" s="8"/>
      <c r="O10" s="13"/>
      <c r="P10" s="13"/>
      <c r="Q10" s="96"/>
    </row>
    <row r="11" spans="1:17" ht="39.950000000000003" customHeight="1" x14ac:dyDescent="0.25">
      <c r="A11" s="24"/>
      <c r="B11" s="24"/>
      <c r="C11" s="24"/>
      <c r="D11" s="24"/>
      <c r="E11" s="24"/>
      <c r="F11" s="24"/>
      <c r="G11" s="24"/>
      <c r="H11" s="24"/>
      <c r="I11" s="24"/>
      <c r="J11" s="24"/>
      <c r="K11" s="24"/>
      <c r="L11" s="25" t="str">
        <f t="shared" si="0"/>
        <v/>
      </c>
      <c r="M11" s="11" t="str">
        <f t="shared" si="1"/>
        <v/>
      </c>
      <c r="N11" s="6"/>
      <c r="O11" s="11"/>
      <c r="P11" s="11"/>
      <c r="Q11" s="96"/>
    </row>
    <row r="12" spans="1:17" ht="39.950000000000003" customHeight="1" x14ac:dyDescent="0.25">
      <c r="A12" s="24"/>
      <c r="B12" s="24"/>
      <c r="C12" s="24"/>
      <c r="D12" s="24"/>
      <c r="E12" s="24"/>
      <c r="F12" s="24"/>
      <c r="G12" s="24"/>
      <c r="H12" s="24"/>
      <c r="I12" s="24"/>
      <c r="J12" s="24"/>
      <c r="K12" s="24"/>
      <c r="L12" s="26" t="str">
        <f t="shared" si="0"/>
        <v/>
      </c>
      <c r="M12" s="13" t="str">
        <f t="shared" si="1"/>
        <v/>
      </c>
      <c r="N12" s="8"/>
      <c r="O12" s="13"/>
      <c r="P12" s="13"/>
      <c r="Q12" s="96"/>
    </row>
    <row r="13" spans="1:17" ht="39.950000000000003" customHeight="1" x14ac:dyDescent="0.25">
      <c r="A13" s="24"/>
      <c r="B13" s="24"/>
      <c r="C13" s="24"/>
      <c r="D13" s="24"/>
      <c r="E13" s="24"/>
      <c r="F13" s="24"/>
      <c r="G13" s="24"/>
      <c r="H13" s="24"/>
      <c r="I13" s="24"/>
      <c r="J13" s="24"/>
      <c r="K13" s="24"/>
      <c r="L13" s="25" t="str">
        <f t="shared" si="0"/>
        <v/>
      </c>
      <c r="M13" s="11" t="str">
        <f t="shared" si="1"/>
        <v/>
      </c>
      <c r="N13" s="6"/>
      <c r="O13" s="11"/>
      <c r="P13" s="11"/>
      <c r="Q13" s="96"/>
    </row>
    <row r="14" spans="1:17" ht="39.950000000000003" customHeight="1" x14ac:dyDescent="0.25">
      <c r="A14" s="24"/>
      <c r="B14" s="24"/>
      <c r="C14" s="24"/>
      <c r="D14" s="24"/>
      <c r="E14" s="24"/>
      <c r="F14" s="24"/>
      <c r="G14" s="24"/>
      <c r="H14" s="24"/>
      <c r="I14" s="24"/>
      <c r="J14" s="24"/>
      <c r="K14" s="24"/>
      <c r="L14" s="26" t="str">
        <f t="shared" si="0"/>
        <v/>
      </c>
      <c r="M14" s="13" t="str">
        <f t="shared" si="1"/>
        <v/>
      </c>
      <c r="N14" s="8"/>
      <c r="O14" s="13"/>
      <c r="P14" s="13"/>
      <c r="Q14" s="96"/>
    </row>
    <row r="15" spans="1:17" ht="39.950000000000003" customHeight="1" x14ac:dyDescent="0.25">
      <c r="A15" s="24"/>
      <c r="B15" s="24"/>
      <c r="C15" s="24"/>
      <c r="D15" s="24"/>
      <c r="E15" s="24"/>
      <c r="F15" s="24"/>
      <c r="G15" s="24"/>
      <c r="H15" s="24"/>
      <c r="I15" s="24"/>
      <c r="J15" s="24"/>
      <c r="K15" s="24"/>
      <c r="L15" s="25" t="str">
        <f t="shared" si="0"/>
        <v/>
      </c>
      <c r="M15" s="11" t="str">
        <f t="shared" si="1"/>
        <v/>
      </c>
      <c r="N15" s="6"/>
      <c r="O15" s="11"/>
      <c r="P15" s="11"/>
      <c r="Q15" s="96"/>
    </row>
    <row r="16" spans="1:17" ht="39.950000000000003" customHeight="1" x14ac:dyDescent="0.25">
      <c r="A16" s="24"/>
      <c r="B16" s="24"/>
      <c r="C16" s="24"/>
      <c r="D16" s="24"/>
      <c r="E16" s="24"/>
      <c r="F16" s="24"/>
      <c r="G16" s="24"/>
      <c r="H16" s="24"/>
      <c r="I16" s="24"/>
      <c r="J16" s="24"/>
      <c r="K16" s="24"/>
      <c r="L16" s="26" t="str">
        <f t="shared" si="0"/>
        <v/>
      </c>
      <c r="M16" s="13" t="str">
        <f t="shared" si="1"/>
        <v/>
      </c>
      <c r="N16" s="8"/>
      <c r="O16" s="13"/>
      <c r="P16" s="13"/>
      <c r="Q16" s="96"/>
    </row>
    <row r="17" spans="1:17" ht="39.950000000000003" customHeight="1" x14ac:dyDescent="0.25">
      <c r="A17" s="24"/>
      <c r="B17" s="24"/>
      <c r="C17" s="24"/>
      <c r="D17" s="24"/>
      <c r="E17" s="24"/>
      <c r="F17" s="24"/>
      <c r="G17" s="24"/>
      <c r="H17" s="24"/>
      <c r="I17" s="24"/>
      <c r="J17" s="24"/>
      <c r="K17" s="24"/>
      <c r="L17" s="25" t="str">
        <f t="shared" si="0"/>
        <v/>
      </c>
      <c r="M17" s="11" t="str">
        <f t="shared" si="1"/>
        <v/>
      </c>
      <c r="N17" s="6"/>
      <c r="O17" s="11"/>
      <c r="P17" s="11"/>
      <c r="Q17" s="96"/>
    </row>
    <row r="18" spans="1:17" ht="18" customHeight="1" x14ac:dyDescent="0.25">
      <c r="A18" s="24"/>
      <c r="B18" s="24"/>
      <c r="C18" s="24"/>
      <c r="D18" s="24"/>
      <c r="E18" s="24"/>
      <c r="F18" s="24"/>
      <c r="G18" s="24"/>
      <c r="H18" s="24"/>
      <c r="I18" s="24"/>
      <c r="J18" s="24"/>
      <c r="K18" s="24"/>
      <c r="L18" s="26" t="str">
        <f t="shared" si="0"/>
        <v/>
      </c>
      <c r="M18" s="13" t="str">
        <f t="shared" si="1"/>
        <v/>
      </c>
      <c r="N18" s="8"/>
      <c r="O18" s="13"/>
      <c r="P18" s="13"/>
      <c r="Q18" s="96"/>
    </row>
    <row r="19" spans="1:17" ht="18" customHeight="1" x14ac:dyDescent="0.25">
      <c r="A19" s="24"/>
      <c r="B19" s="24"/>
      <c r="C19" s="24"/>
      <c r="D19" s="24"/>
      <c r="E19" s="24"/>
      <c r="F19" s="24"/>
      <c r="G19" s="24"/>
      <c r="H19" s="24"/>
      <c r="I19" s="24"/>
      <c r="J19" s="24"/>
      <c r="K19" s="24"/>
      <c r="L19" s="25" t="str">
        <f t="shared" si="0"/>
        <v/>
      </c>
      <c r="M19" s="11" t="str">
        <f t="shared" si="1"/>
        <v/>
      </c>
      <c r="N19" s="6"/>
      <c r="O19" s="11"/>
      <c r="P19" s="11"/>
      <c r="Q19" s="96"/>
    </row>
    <row r="20" spans="1:17" ht="18" customHeight="1" x14ac:dyDescent="0.25">
      <c r="A20" s="24"/>
      <c r="B20" s="24"/>
      <c r="C20" s="24"/>
      <c r="D20" s="24"/>
      <c r="E20" s="24"/>
      <c r="F20" s="24"/>
      <c r="G20" s="24"/>
      <c r="H20" s="24"/>
      <c r="I20" s="24"/>
      <c r="J20" s="24"/>
      <c r="K20" s="24"/>
      <c r="L20" s="26" t="str">
        <f t="shared" si="0"/>
        <v/>
      </c>
      <c r="M20" s="13" t="str">
        <f t="shared" si="1"/>
        <v/>
      </c>
      <c r="N20" s="8"/>
      <c r="O20" s="13"/>
      <c r="P20" s="13"/>
      <c r="Q20" s="96"/>
    </row>
    <row r="21" spans="1:17" ht="18" customHeight="1" x14ac:dyDescent="0.25">
      <c r="A21" s="24"/>
      <c r="B21" s="24"/>
      <c r="C21" s="24"/>
      <c r="D21" s="24"/>
      <c r="E21" s="24"/>
      <c r="F21" s="24"/>
      <c r="G21" s="24"/>
      <c r="H21" s="24"/>
      <c r="I21" s="24"/>
      <c r="J21" s="24"/>
      <c r="K21" s="24"/>
      <c r="L21" s="25" t="str">
        <f t="shared" si="0"/>
        <v/>
      </c>
      <c r="M21" s="11" t="str">
        <f t="shared" si="1"/>
        <v/>
      </c>
      <c r="N21" s="6"/>
      <c r="O21" s="11"/>
      <c r="P21" s="11"/>
      <c r="Q21" s="96"/>
    </row>
    <row r="22" spans="1:17" ht="18" customHeight="1" x14ac:dyDescent="0.25">
      <c r="A22" s="24"/>
      <c r="B22" s="24"/>
      <c r="C22" s="24"/>
      <c r="D22" s="24"/>
      <c r="E22" s="24"/>
      <c r="F22" s="24"/>
      <c r="G22" s="24"/>
      <c r="H22" s="24"/>
      <c r="I22" s="24"/>
      <c r="J22" s="24"/>
      <c r="K22" s="24"/>
      <c r="L22" s="26" t="str">
        <f t="shared" si="0"/>
        <v/>
      </c>
      <c r="M22" s="13" t="str">
        <f t="shared" si="1"/>
        <v/>
      </c>
      <c r="N22" s="8"/>
      <c r="O22" s="13"/>
      <c r="P22" s="13"/>
      <c r="Q22" s="96"/>
    </row>
    <row r="23" spans="1:17" ht="18" customHeight="1" x14ac:dyDescent="0.25">
      <c r="A23" s="24"/>
      <c r="B23" s="24"/>
      <c r="C23" s="24"/>
      <c r="D23" s="24"/>
      <c r="E23" s="24"/>
      <c r="F23" s="24"/>
      <c r="G23" s="24"/>
      <c r="H23" s="24"/>
      <c r="I23" s="24"/>
      <c r="J23" s="24"/>
      <c r="K23" s="24"/>
      <c r="L23" s="25" t="str">
        <f t="shared" si="0"/>
        <v/>
      </c>
      <c r="M23" s="11" t="str">
        <f t="shared" si="1"/>
        <v/>
      </c>
      <c r="N23" s="6"/>
      <c r="O23" s="11"/>
      <c r="P23" s="11"/>
      <c r="Q23" s="96"/>
    </row>
    <row r="24" spans="1:17" ht="18" customHeight="1" x14ac:dyDescent="0.25">
      <c r="A24" s="24"/>
      <c r="B24" s="24"/>
      <c r="C24" s="24"/>
      <c r="D24" s="24"/>
      <c r="E24" s="24"/>
      <c r="F24" s="24"/>
      <c r="G24" s="24"/>
      <c r="H24" s="24"/>
      <c r="I24" s="24"/>
      <c r="J24" s="24"/>
      <c r="K24" s="24"/>
      <c r="L24" s="26" t="str">
        <f t="shared" si="0"/>
        <v/>
      </c>
      <c r="M24" s="13" t="str">
        <f t="shared" si="1"/>
        <v/>
      </c>
      <c r="N24" s="8"/>
      <c r="O24" s="13"/>
      <c r="P24" s="13"/>
      <c r="Q24" s="96"/>
    </row>
    <row r="25" spans="1:17" ht="18" customHeight="1" x14ac:dyDescent="0.25">
      <c r="A25" s="24"/>
      <c r="B25" s="24"/>
      <c r="C25" s="24"/>
      <c r="D25" s="24"/>
      <c r="E25" s="24"/>
      <c r="F25" s="24"/>
      <c r="G25" s="24"/>
      <c r="H25" s="24"/>
      <c r="I25" s="24"/>
      <c r="J25" s="24"/>
      <c r="K25" s="24"/>
      <c r="L25" s="25" t="str">
        <f t="shared" si="0"/>
        <v/>
      </c>
      <c r="M25" s="11" t="str">
        <f t="shared" si="1"/>
        <v/>
      </c>
      <c r="N25" s="6"/>
      <c r="O25" s="11"/>
      <c r="P25" s="11"/>
      <c r="Q25" s="96"/>
    </row>
    <row r="26" spans="1:17" ht="18" customHeight="1" x14ac:dyDescent="0.25">
      <c r="A26" s="24"/>
      <c r="B26" s="24"/>
      <c r="C26" s="24"/>
      <c r="D26" s="24"/>
      <c r="E26" s="24"/>
      <c r="F26" s="24"/>
      <c r="G26" s="24"/>
      <c r="H26" s="24"/>
      <c r="I26" s="24"/>
      <c r="J26" s="24"/>
      <c r="K26" s="24"/>
      <c r="L26" s="26" t="str">
        <f t="shared" si="0"/>
        <v/>
      </c>
      <c r="M26" s="13" t="str">
        <f t="shared" si="1"/>
        <v/>
      </c>
      <c r="N26" s="8"/>
      <c r="O26" s="13"/>
      <c r="P26" s="13"/>
      <c r="Q26" s="96"/>
    </row>
    <row r="27" spans="1:17" ht="18" customHeight="1" x14ac:dyDescent="0.25">
      <c r="A27" s="24"/>
      <c r="B27" s="24"/>
      <c r="C27" s="24"/>
      <c r="D27" s="24"/>
      <c r="E27" s="24"/>
      <c r="F27" s="24"/>
      <c r="G27" s="24"/>
      <c r="H27" s="24"/>
      <c r="I27" s="24"/>
      <c r="J27" s="24"/>
      <c r="K27" s="24"/>
      <c r="L27" s="25" t="str">
        <f t="shared" si="0"/>
        <v/>
      </c>
      <c r="M27" s="11" t="str">
        <f t="shared" si="1"/>
        <v/>
      </c>
      <c r="N27" s="6"/>
      <c r="O27" s="11"/>
      <c r="P27" s="11"/>
      <c r="Q27" s="96"/>
    </row>
    <row r="28" spans="1:17" ht="18" customHeight="1" x14ac:dyDescent="0.25">
      <c r="A28" s="24"/>
      <c r="B28" s="24"/>
      <c r="C28" s="24"/>
      <c r="D28" s="24"/>
      <c r="E28" s="24"/>
      <c r="F28" s="24"/>
      <c r="G28" s="24"/>
      <c r="H28" s="24"/>
      <c r="I28" s="24"/>
      <c r="J28" s="24"/>
      <c r="K28" s="24"/>
      <c r="L28" s="26" t="str">
        <f t="shared" si="0"/>
        <v/>
      </c>
      <c r="M28" s="13" t="str">
        <f t="shared" si="1"/>
        <v/>
      </c>
      <c r="N28" s="8"/>
      <c r="O28" s="13"/>
      <c r="P28" s="13"/>
      <c r="Q28" s="96"/>
    </row>
    <row r="29" spans="1:17" ht="18" customHeight="1" x14ac:dyDescent="0.25">
      <c r="A29" s="24"/>
      <c r="B29" s="24"/>
      <c r="C29" s="24"/>
      <c r="D29" s="24"/>
      <c r="E29" s="24"/>
      <c r="F29" s="24"/>
      <c r="G29" s="24"/>
      <c r="H29" s="24"/>
      <c r="I29" s="24"/>
      <c r="J29" s="24"/>
      <c r="K29" s="24"/>
      <c r="L29" s="25" t="str">
        <f t="shared" si="0"/>
        <v/>
      </c>
      <c r="M29" s="11" t="str">
        <f t="shared" si="1"/>
        <v/>
      </c>
      <c r="N29" s="6"/>
      <c r="O29" s="11"/>
      <c r="P29" s="11"/>
      <c r="Q29" s="96"/>
    </row>
    <row r="30" spans="1:17" ht="18" customHeight="1" x14ac:dyDescent="0.25">
      <c r="A30" s="24"/>
      <c r="B30" s="24"/>
      <c r="C30" s="24"/>
      <c r="D30" s="24"/>
      <c r="E30" s="24"/>
      <c r="F30" s="24"/>
      <c r="G30" s="24"/>
      <c r="H30" s="24"/>
      <c r="I30" s="24"/>
      <c r="J30" s="24"/>
      <c r="K30" s="24"/>
      <c r="L30" s="26" t="str">
        <f t="shared" si="0"/>
        <v/>
      </c>
      <c r="M30" s="13" t="str">
        <f t="shared" si="1"/>
        <v/>
      </c>
      <c r="N30" s="8"/>
      <c r="O30" s="13"/>
      <c r="P30" s="13"/>
      <c r="Q30" s="96"/>
    </row>
    <row r="31" spans="1:17" ht="18" customHeight="1" x14ac:dyDescent="0.25">
      <c r="A31" s="24"/>
      <c r="B31" s="24"/>
      <c r="C31" s="24"/>
      <c r="D31" s="24"/>
      <c r="E31" s="24"/>
      <c r="F31" s="24"/>
      <c r="G31" s="24"/>
      <c r="H31" s="24"/>
      <c r="I31" s="24"/>
      <c r="J31" s="24"/>
      <c r="K31" s="24"/>
      <c r="L31" s="25" t="str">
        <f t="shared" si="0"/>
        <v/>
      </c>
      <c r="M31" s="11" t="str">
        <f t="shared" si="1"/>
        <v/>
      </c>
      <c r="N31" s="6"/>
      <c r="O31" s="11"/>
      <c r="P31" s="11"/>
      <c r="Q31" s="96"/>
    </row>
    <row r="32" spans="1:17" ht="18" customHeight="1" x14ac:dyDescent="0.25">
      <c r="A32" s="24"/>
      <c r="B32" s="24"/>
      <c r="C32" s="24"/>
      <c r="D32" s="24"/>
      <c r="E32" s="24"/>
      <c r="F32" s="24"/>
      <c r="G32" s="24"/>
      <c r="H32" s="24"/>
      <c r="I32" s="24"/>
      <c r="J32" s="24"/>
      <c r="K32" s="24"/>
      <c r="L32" s="26" t="str">
        <f t="shared" si="0"/>
        <v/>
      </c>
      <c r="M32" s="13" t="str">
        <f t="shared" si="1"/>
        <v/>
      </c>
      <c r="N32" s="8"/>
      <c r="O32" s="13"/>
      <c r="P32" s="13"/>
      <c r="Q32" s="96"/>
    </row>
    <row r="33" spans="1:17" ht="18" customHeight="1" x14ac:dyDescent="0.25">
      <c r="A33" s="24"/>
      <c r="B33" s="24"/>
      <c r="C33" s="24"/>
      <c r="D33" s="24"/>
      <c r="E33" s="24"/>
      <c r="F33" s="24"/>
      <c r="G33" s="24"/>
      <c r="H33" s="24"/>
      <c r="I33" s="24"/>
      <c r="J33" s="24"/>
      <c r="K33" s="24"/>
      <c r="L33" s="25" t="str">
        <f t="shared" si="0"/>
        <v/>
      </c>
      <c r="M33" s="11" t="str">
        <f t="shared" si="1"/>
        <v/>
      </c>
      <c r="N33" s="6"/>
      <c r="O33" s="11"/>
      <c r="P33" s="11"/>
      <c r="Q33" s="96"/>
    </row>
    <row r="34" spans="1:17" ht="18" customHeight="1" x14ac:dyDescent="0.25">
      <c r="A34" s="24"/>
      <c r="B34" s="24"/>
      <c r="C34" s="24"/>
      <c r="D34" s="24"/>
      <c r="E34" s="24"/>
      <c r="F34" s="24"/>
      <c r="G34" s="24"/>
      <c r="H34" s="24"/>
      <c r="I34" s="24"/>
      <c r="J34" s="24"/>
      <c r="K34" s="24"/>
      <c r="L34" s="26" t="str">
        <f t="shared" si="0"/>
        <v/>
      </c>
      <c r="M34" s="13" t="str">
        <f t="shared" si="1"/>
        <v/>
      </c>
      <c r="N34" s="8"/>
      <c r="O34" s="13"/>
      <c r="P34" s="13"/>
      <c r="Q34" s="96"/>
    </row>
    <row r="35" spans="1:17" ht="18" customHeight="1" x14ac:dyDescent="0.25">
      <c r="A35" s="24"/>
      <c r="B35" s="24"/>
      <c r="C35" s="24"/>
      <c r="D35" s="24"/>
      <c r="E35" s="24"/>
      <c r="F35" s="24"/>
      <c r="G35" s="24"/>
      <c r="H35" s="24"/>
      <c r="I35" s="24"/>
      <c r="J35" s="24"/>
      <c r="K35" s="24"/>
      <c r="L35" s="25" t="str">
        <f t="shared" si="0"/>
        <v/>
      </c>
      <c r="M35" s="11" t="str">
        <f t="shared" si="1"/>
        <v/>
      </c>
      <c r="N35" s="6"/>
      <c r="O35" s="11"/>
      <c r="P35" s="11"/>
      <c r="Q35" s="96"/>
    </row>
    <row r="36" spans="1:17" ht="18" customHeight="1" x14ac:dyDescent="0.25">
      <c r="A36" s="24"/>
      <c r="B36" s="24"/>
      <c r="C36" s="24"/>
      <c r="D36" s="24"/>
      <c r="E36" s="24"/>
      <c r="F36" s="24"/>
      <c r="G36" s="24"/>
      <c r="H36" s="24"/>
      <c r="I36" s="24"/>
      <c r="J36" s="24"/>
      <c r="K36" s="24"/>
      <c r="L36" s="26" t="str">
        <f t="shared" si="0"/>
        <v/>
      </c>
      <c r="M36" s="13" t="str">
        <f t="shared" si="1"/>
        <v/>
      </c>
      <c r="N36" s="8"/>
      <c r="O36" s="13"/>
      <c r="P36" s="13"/>
      <c r="Q36" s="96"/>
    </row>
    <row r="37" spans="1:17" ht="18" customHeight="1" x14ac:dyDescent="0.25">
      <c r="A37" s="24"/>
      <c r="B37" s="24"/>
      <c r="C37" s="24"/>
      <c r="D37" s="24"/>
      <c r="E37" s="24"/>
      <c r="F37" s="24"/>
      <c r="G37" s="24"/>
      <c r="H37" s="24"/>
      <c r="I37" s="24"/>
      <c r="J37" s="24"/>
      <c r="K37" s="24"/>
      <c r="L37" s="25" t="str">
        <f t="shared" si="0"/>
        <v/>
      </c>
      <c r="M37" s="11" t="str">
        <f t="shared" si="1"/>
        <v/>
      </c>
      <c r="N37" s="6"/>
      <c r="O37" s="11"/>
      <c r="P37" s="11"/>
      <c r="Q37" s="96"/>
    </row>
    <row r="38" spans="1:17" ht="18" customHeight="1" x14ac:dyDescent="0.25">
      <c r="A38" s="24"/>
      <c r="B38" s="24"/>
      <c r="C38" s="24"/>
      <c r="D38" s="24"/>
      <c r="E38" s="24"/>
      <c r="F38" s="24"/>
      <c r="G38" s="24"/>
      <c r="H38" s="24"/>
      <c r="I38" s="24"/>
      <c r="J38" s="24"/>
      <c r="K38" s="24"/>
      <c r="L38" s="26" t="str">
        <f t="shared" si="0"/>
        <v/>
      </c>
      <c r="M38" s="13" t="str">
        <f t="shared" si="1"/>
        <v/>
      </c>
      <c r="N38" s="8"/>
      <c r="O38" s="13"/>
      <c r="P38" s="13"/>
      <c r="Q38" s="96"/>
    </row>
    <row r="39" spans="1:17" ht="18" customHeight="1" x14ac:dyDescent="0.25">
      <c r="A39" s="24"/>
      <c r="B39" s="24"/>
      <c r="C39" s="24"/>
      <c r="D39" s="24"/>
      <c r="E39" s="24"/>
      <c r="F39" s="24"/>
      <c r="G39" s="24"/>
      <c r="H39" s="24"/>
      <c r="I39" s="24"/>
      <c r="J39" s="24"/>
      <c r="K39" s="24"/>
      <c r="L39" s="25" t="str">
        <f t="shared" si="0"/>
        <v/>
      </c>
      <c r="M39" s="11" t="str">
        <f t="shared" si="1"/>
        <v/>
      </c>
      <c r="N39" s="6"/>
      <c r="O39" s="11"/>
      <c r="P39" s="11"/>
      <c r="Q39" s="96"/>
    </row>
    <row r="40" spans="1:17" ht="18" customHeight="1" x14ac:dyDescent="0.25">
      <c r="A40" s="24"/>
      <c r="B40" s="24"/>
      <c r="C40" s="24"/>
      <c r="D40" s="24"/>
      <c r="E40" s="24"/>
      <c r="F40" s="24"/>
      <c r="G40" s="24"/>
      <c r="H40" s="24"/>
      <c r="I40" s="24"/>
      <c r="J40" s="24"/>
      <c r="K40" s="24"/>
      <c r="L40" s="26" t="str">
        <f t="shared" si="0"/>
        <v/>
      </c>
      <c r="M40" s="13" t="str">
        <f t="shared" si="1"/>
        <v/>
      </c>
      <c r="N40" s="8"/>
      <c r="O40" s="13"/>
      <c r="P40" s="13"/>
      <c r="Q40" s="96"/>
    </row>
    <row r="41" spans="1:17" ht="18" customHeight="1" x14ac:dyDescent="0.25">
      <c r="A41" s="24"/>
      <c r="B41" s="24"/>
      <c r="C41" s="24"/>
      <c r="D41" s="24"/>
      <c r="E41" s="24"/>
      <c r="F41" s="24"/>
      <c r="G41" s="24"/>
      <c r="H41" s="24"/>
      <c r="I41" s="24"/>
      <c r="J41" s="24"/>
      <c r="K41" s="24"/>
      <c r="L41" s="25" t="str">
        <f t="shared" si="0"/>
        <v/>
      </c>
      <c r="M41" s="11" t="str">
        <f t="shared" si="1"/>
        <v/>
      </c>
      <c r="N41" s="6"/>
      <c r="O41" s="11"/>
      <c r="P41" s="11"/>
      <c r="Q41" s="96"/>
    </row>
    <row r="42" spans="1:17" ht="18" customHeight="1" x14ac:dyDescent="0.25">
      <c r="A42" s="24"/>
      <c r="B42" s="24"/>
      <c r="C42" s="24"/>
      <c r="D42" s="24"/>
      <c r="E42" s="24"/>
      <c r="F42" s="24"/>
      <c r="G42" s="24"/>
      <c r="H42" s="24"/>
      <c r="I42" s="24"/>
      <c r="J42" s="24"/>
      <c r="K42" s="24"/>
      <c r="L42" s="26" t="str">
        <f t="shared" si="0"/>
        <v/>
      </c>
      <c r="M42" s="13" t="str">
        <f t="shared" si="1"/>
        <v/>
      </c>
      <c r="N42" s="8"/>
      <c r="O42" s="13"/>
      <c r="P42" s="13"/>
      <c r="Q42" s="96"/>
    </row>
    <row r="43" spans="1:17" ht="18" customHeight="1" x14ac:dyDescent="0.25">
      <c r="A43" s="24"/>
      <c r="B43" s="24"/>
      <c r="C43" s="24"/>
      <c r="D43" s="24"/>
      <c r="E43" s="24"/>
      <c r="F43" s="24"/>
      <c r="G43" s="24"/>
      <c r="H43" s="24"/>
      <c r="I43" s="24"/>
      <c r="J43" s="24"/>
      <c r="K43" s="24"/>
      <c r="L43" s="25" t="str">
        <f t="shared" si="0"/>
        <v/>
      </c>
      <c r="M43" s="11" t="str">
        <f t="shared" si="1"/>
        <v/>
      </c>
      <c r="N43" s="6"/>
      <c r="O43" s="11"/>
      <c r="P43" s="11"/>
      <c r="Q43" s="96"/>
    </row>
    <row r="44" spans="1:17" ht="18" customHeight="1" x14ac:dyDescent="0.25">
      <c r="A44" s="24"/>
      <c r="B44" s="24"/>
      <c r="C44" s="24"/>
      <c r="D44" s="24"/>
      <c r="E44" s="24"/>
      <c r="F44" s="24"/>
      <c r="G44" s="24"/>
      <c r="H44" s="24"/>
      <c r="I44" s="24"/>
      <c r="J44" s="24"/>
      <c r="K44" s="24"/>
      <c r="L44" s="26" t="str">
        <f t="shared" si="0"/>
        <v/>
      </c>
      <c r="M44" s="13" t="str">
        <f t="shared" si="1"/>
        <v/>
      </c>
      <c r="N44" s="8"/>
      <c r="O44" s="13"/>
      <c r="P44" s="13"/>
      <c r="Q44" s="96"/>
    </row>
    <row r="45" spans="1:17" ht="18" customHeight="1" x14ac:dyDescent="0.25">
      <c r="A45" s="24"/>
      <c r="B45" s="24"/>
      <c r="C45" s="24"/>
      <c r="D45" s="24"/>
      <c r="E45" s="24"/>
      <c r="F45" s="24"/>
      <c r="G45" s="24"/>
      <c r="H45" s="24"/>
      <c r="I45" s="24"/>
      <c r="J45" s="24"/>
      <c r="K45" s="24"/>
      <c r="L45" s="25" t="str">
        <f t="shared" si="0"/>
        <v/>
      </c>
      <c r="M45" s="11" t="str">
        <f t="shared" si="1"/>
        <v/>
      </c>
      <c r="N45" s="6"/>
      <c r="O45" s="11"/>
      <c r="P45" s="11"/>
      <c r="Q45" s="96"/>
    </row>
    <row r="46" spans="1:17" ht="18" customHeight="1" x14ac:dyDescent="0.25">
      <c r="A46" s="24"/>
      <c r="B46" s="24"/>
      <c r="C46" s="24"/>
      <c r="D46" s="24"/>
      <c r="E46" s="24"/>
      <c r="F46" s="24"/>
      <c r="G46" s="24"/>
      <c r="H46" s="24"/>
      <c r="I46" s="24"/>
      <c r="J46" s="24"/>
      <c r="K46" s="24"/>
      <c r="L46" s="26" t="str">
        <f t="shared" si="0"/>
        <v/>
      </c>
      <c r="M46" s="13" t="str">
        <f t="shared" si="1"/>
        <v/>
      </c>
      <c r="N46" s="8"/>
      <c r="O46" s="13"/>
      <c r="P46" s="13"/>
      <c r="Q46" s="96"/>
    </row>
    <row r="47" spans="1:17" ht="18" customHeight="1" x14ac:dyDescent="0.25">
      <c r="A47" s="24"/>
      <c r="B47" s="24"/>
      <c r="C47" s="24"/>
      <c r="D47" s="24"/>
      <c r="E47" s="24"/>
      <c r="F47" s="24"/>
      <c r="G47" s="24"/>
      <c r="H47" s="24"/>
      <c r="I47" s="24"/>
      <c r="J47" s="24"/>
      <c r="K47" s="24"/>
      <c r="L47" s="25" t="str">
        <f t="shared" si="0"/>
        <v/>
      </c>
      <c r="M47" s="11" t="str">
        <f t="shared" si="1"/>
        <v/>
      </c>
      <c r="N47" s="6"/>
      <c r="O47" s="11"/>
      <c r="P47" s="11"/>
      <c r="Q47" s="96"/>
    </row>
    <row r="48" spans="1:17" ht="18" customHeight="1" x14ac:dyDescent="0.25">
      <c r="A48" s="24"/>
      <c r="B48" s="24"/>
      <c r="C48" s="24"/>
      <c r="D48" s="24"/>
      <c r="E48" s="24"/>
      <c r="F48" s="24"/>
      <c r="G48" s="24"/>
      <c r="H48" s="24"/>
      <c r="I48" s="24"/>
      <c r="J48" s="24"/>
      <c r="K48" s="24"/>
      <c r="L48" s="26" t="str">
        <f t="shared" si="0"/>
        <v/>
      </c>
      <c r="M48" s="13" t="str">
        <f t="shared" si="1"/>
        <v/>
      </c>
      <c r="N48" s="8"/>
      <c r="O48" s="13"/>
      <c r="P48" s="13"/>
      <c r="Q48" s="96"/>
    </row>
    <row r="49" spans="1:17" ht="18" customHeight="1" x14ac:dyDescent="0.25">
      <c r="A49" s="24"/>
      <c r="B49" s="24"/>
      <c r="C49" s="24"/>
      <c r="D49" s="24"/>
      <c r="E49" s="24"/>
      <c r="F49" s="24"/>
      <c r="G49" s="24"/>
      <c r="H49" s="24"/>
      <c r="I49" s="24"/>
      <c r="J49" s="24"/>
      <c r="K49" s="24"/>
      <c r="L49" s="25" t="str">
        <f t="shared" si="0"/>
        <v/>
      </c>
      <c r="M49" s="11" t="str">
        <f t="shared" si="1"/>
        <v/>
      </c>
      <c r="N49" s="6"/>
      <c r="O49" s="11"/>
      <c r="P49" s="11"/>
      <c r="Q49" s="96"/>
    </row>
    <row r="51" spans="1:17" ht="15.6" customHeight="1" x14ac:dyDescent="0.25">
      <c r="A51" s="265" t="s">
        <v>823</v>
      </c>
      <c r="B51" s="185"/>
      <c r="C51" s="185"/>
      <c r="D51" s="176"/>
      <c r="E51" s="27" t="str">
        <f t="shared" ref="E51:L51" si="2">IFERROR(AVERAGE(E5:E49),"")</f>
        <v/>
      </c>
      <c r="F51" s="27" t="str">
        <f t="shared" si="2"/>
        <v/>
      </c>
      <c r="G51" s="27" t="str">
        <f t="shared" si="2"/>
        <v/>
      </c>
      <c r="H51" s="27" t="str">
        <f t="shared" si="2"/>
        <v/>
      </c>
      <c r="I51" s="27" t="str">
        <f t="shared" si="2"/>
        <v/>
      </c>
      <c r="J51" s="27" t="str">
        <f t="shared" si="2"/>
        <v/>
      </c>
      <c r="K51" s="27" t="str">
        <f t="shared" si="2"/>
        <v/>
      </c>
      <c r="L51" s="28" t="str">
        <f t="shared" si="2"/>
        <v/>
      </c>
      <c r="M51" s="14"/>
      <c r="N51" s="29" t="s">
        <v>824</v>
      </c>
    </row>
    <row r="53" spans="1:17" ht="21.95" customHeight="1" x14ac:dyDescent="0.25">
      <c r="A53" s="262" t="s">
        <v>825</v>
      </c>
      <c r="B53" s="185"/>
      <c r="C53" s="185"/>
      <c r="D53" s="185"/>
      <c r="E53" s="185"/>
      <c r="F53" s="185"/>
      <c r="G53" s="185"/>
      <c r="H53" s="185"/>
      <c r="I53" s="185"/>
      <c r="J53" s="185"/>
      <c r="K53" s="185"/>
      <c r="L53" s="185"/>
      <c r="M53" s="185"/>
      <c r="N53" s="185"/>
      <c r="O53" s="185"/>
      <c r="P53" s="176"/>
    </row>
    <row r="54" spans="1:17" ht="32.1" customHeight="1" x14ac:dyDescent="0.25">
      <c r="A54" s="260" t="s">
        <v>826</v>
      </c>
      <c r="B54" s="185"/>
      <c r="C54" s="185"/>
      <c r="D54" s="185"/>
      <c r="E54" s="185"/>
      <c r="F54" s="185"/>
      <c r="G54" s="185"/>
      <c r="H54" s="185"/>
      <c r="I54" s="185"/>
      <c r="J54" s="185"/>
      <c r="K54" s="185"/>
      <c r="L54" s="185"/>
      <c r="M54" s="185"/>
      <c r="N54" s="185"/>
      <c r="O54" s="185"/>
      <c r="P54" s="176"/>
    </row>
    <row r="55" spans="1:17" ht="26.1" customHeight="1" x14ac:dyDescent="0.25">
      <c r="A55" s="267" t="s">
        <v>827</v>
      </c>
      <c r="B55" s="176"/>
      <c r="C55" s="9" t="s">
        <v>828</v>
      </c>
      <c r="D55" s="23" t="s">
        <v>829</v>
      </c>
      <c r="E55" s="23" t="s">
        <v>830</v>
      </c>
      <c r="F55" s="23" t="s">
        <v>831</v>
      </c>
      <c r="G55" s="23" t="s">
        <v>743</v>
      </c>
      <c r="H55" s="9" t="s">
        <v>189</v>
      </c>
      <c r="I55" s="184" t="s">
        <v>832</v>
      </c>
      <c r="J55" s="185"/>
      <c r="K55" s="185"/>
      <c r="L55" s="185"/>
      <c r="M55" s="185"/>
      <c r="N55" s="176"/>
    </row>
    <row r="56" spans="1:17" ht="48" customHeight="1" x14ac:dyDescent="0.25">
      <c r="A56" s="261"/>
      <c r="B56" s="179"/>
      <c r="C56" s="13" t="str">
        <f>IF(A56="","",COUNTIF(B5:B49,A56))</f>
        <v/>
      </c>
      <c r="D56" s="12" t="str">
        <f>IF(A56="","",IFERROR(AVERAGEIF(B5:B49,A56,L5:L49),""))</f>
        <v/>
      </c>
      <c r="E56" s="7"/>
      <c r="F56" s="7"/>
      <c r="G56" s="98" t="str">
        <f>IF(OR(A56="",D56="",E56="",F56=""),"",IFERROR(IF(AND(COUNTIFS($B$5:$B$49,A56,$Q$5:$Q$49,"Level 1")&gt;0,COUNTIFS($B$5:$B$49,A56,$Q$5:$Q$49,"Level 2")&gt;0),0.2*IFERROR(AVERAGEIFS($L$5:$L$49,$B$5:$B$49,A56,$Q$5:$Q$49,"Level 1"),0)+0.3*IFERROR(AVERAGEIFS($L$5:$L$49,$B$5:$B$49,A56,$Q$5:$Q$49,"Level 2"),0),0.5*D56)+0.3*(IFERROR(VALUE(LEFT(E56,1)),0)/5)+0.2*(IFERROR(VALUE(LEFT(F56,1)),0)/5),""))</f>
        <v/>
      </c>
      <c r="H56" s="13" t="str">
        <f>IF(G56="","",IF(G56&gt;=0.85,"Meets/Exceeds",IF(G56&gt;=0.7,"Developing","Needs Improvement")))</f>
        <v/>
      </c>
      <c r="I56" s="234"/>
      <c r="J56" s="187"/>
      <c r="K56" s="187"/>
      <c r="L56" s="187"/>
      <c r="M56" s="187"/>
      <c r="N56" s="179"/>
    </row>
    <row r="57" spans="1:17" ht="27.95" customHeight="1" x14ac:dyDescent="0.25">
      <c r="A57" s="204"/>
      <c r="B57" s="179"/>
      <c r="C57" s="13" t="str">
        <f>IF(A57="","",COUNTIF(B5:B49,A57))</f>
        <v/>
      </c>
      <c r="D57" s="12" t="str">
        <f>IF(A57="","",IFERROR(AVERAGEIF(B5:B49,A57,L5:L49),""))</f>
        <v/>
      </c>
      <c r="E57" s="7"/>
      <c r="F57" s="7"/>
      <c r="G57" s="98" t="str">
        <f>IF(OR(A57="",D57="",E57="",F57=""),"",IFERROR(IF(AND(COUNTIFS($B$5:$B$49,A57,$Q$5:$Q$49,"Level 1")&gt;0,COUNTIFS($B$5:$B$49,A57,$Q$5:$Q$49,"Level 2")&gt;0),0.2*IFERROR(AVERAGEIFS($L$5:$L$49,$B$5:$B$49,A57,$Q$5:$Q$49,"Level 1"),0)+0.3*IFERROR(AVERAGEIFS($L$5:$L$49,$B$5:$B$49,A57,$Q$5:$Q$49,"Level 2"),0),0.5*D57)+0.3*(IFERROR(VALUE(LEFT(E57,1)),0)/5)+0.2*(IFERROR(VALUE(LEFT(F57,1)),0)/5),""))</f>
        <v/>
      </c>
      <c r="H57" s="13" t="str">
        <f>IF(G57="","",IF(G57&gt;=0.85,"Meets/Exceeds",IF(G57&gt;=0.7,"Developing","Needs Improv.")))</f>
        <v/>
      </c>
      <c r="I57" s="266"/>
      <c r="J57" s="187"/>
      <c r="K57" s="187"/>
      <c r="L57" s="187"/>
      <c r="M57" s="187"/>
      <c r="N57" s="179"/>
    </row>
    <row r="58" spans="1:17" ht="27.95" customHeight="1" x14ac:dyDescent="0.25">
      <c r="A58" s="204"/>
      <c r="B58" s="179"/>
      <c r="C58" s="11" t="str">
        <f>IF(A58="","",COUNTIF(B5:B49,A58))</f>
        <v/>
      </c>
      <c r="D58" s="10" t="str">
        <f>IF(A58="","",IFERROR(AVERAGEIF(B5:B49,A58,L5:L49),""))</f>
        <v/>
      </c>
      <c r="E58" s="7"/>
      <c r="F58" s="7"/>
      <c r="G58" s="99" t="str">
        <f>IF(OR(A58="",D58="",E58="",F58=""),"",IFERROR(IF(AND(COUNTIFS($B$5:$B$49,A58,$Q$5:$Q$49,"Level 1")&gt;0,COUNTIFS($B$5:$B$49,A58,$Q$5:$Q$49,"Level 2")&gt;0),0.2*IFERROR(AVERAGEIFS($L$5:$L$49,$B$5:$B$49,A58,$Q$5:$Q$49,"Level 1"),0)+0.3*IFERROR(AVERAGEIFS($L$5:$L$49,$B$5:$B$49,A58,$Q$5:$Q$49,"Level 2"),0),0.5*D58)+0.3*(IFERROR(VALUE(LEFT(E58,1)),0)/5)+0.2*(IFERROR(VALUE(LEFT(F58,1)),0)/5),""))</f>
        <v/>
      </c>
      <c r="H58" s="11" t="str">
        <f>IF(G58="","",IF(G58&gt;=0.85,"Meets/Exceeds",IF(G58&gt;=0.7,"Developing","Needs Improv.")))</f>
        <v/>
      </c>
      <c r="I58" s="266"/>
      <c r="J58" s="187"/>
      <c r="K58" s="187"/>
      <c r="L58" s="187"/>
      <c r="M58" s="187"/>
      <c r="N58" s="179"/>
    </row>
    <row r="59" spans="1:17" ht="27.95" customHeight="1" x14ac:dyDescent="0.25">
      <c r="A59" s="204"/>
      <c r="B59" s="179"/>
      <c r="C59" s="13" t="str">
        <f>IF(A59="","",COUNTIF(B5:B49,A59))</f>
        <v/>
      </c>
      <c r="D59" s="12" t="str">
        <f>IF(A59="","",IFERROR(AVERAGEIF(B5:B49,A59,L5:L49),""))</f>
        <v/>
      </c>
      <c r="E59" s="7"/>
      <c r="F59" s="7"/>
      <c r="G59" s="98" t="str">
        <f>IF(OR(A59="",D59="",E59="",F59=""),"",IFERROR(IF(AND(COUNTIFS($B$5:$B$49,A59,$Q$5:$Q$49,"Level 1")&gt;0,COUNTIFS($B$5:$B$49,A59,$Q$5:$Q$49,"Level 2")&gt;0),0.2*IFERROR(AVERAGEIFS($L$5:$L$49,$B$5:$B$49,A59,$Q$5:$Q$49,"Level 1"),0)+0.3*IFERROR(AVERAGEIFS($L$5:$L$49,$B$5:$B$49,A59,$Q$5:$Q$49,"Level 2"),0),0.5*D59)+0.3*(IFERROR(VALUE(LEFT(E59,1)),0)/5)+0.2*(IFERROR(VALUE(LEFT(F59,1)),0)/5),""))</f>
        <v/>
      </c>
      <c r="H59" s="13" t="str">
        <f>IF(G59="","",IF(G59&gt;=0.85,"Meets/Exceeds",IF(G59&gt;=0.7,"Developing","Needs Improv.")))</f>
        <v/>
      </c>
      <c r="I59" s="266"/>
      <c r="J59" s="187"/>
      <c r="K59" s="187"/>
      <c r="L59" s="187"/>
      <c r="M59" s="187"/>
      <c r="N59" s="179"/>
    </row>
    <row r="60" spans="1:17" ht="27.95" customHeight="1" x14ac:dyDescent="0.25">
      <c r="A60" s="198" t="s">
        <v>833</v>
      </c>
      <c r="B60" s="187"/>
      <c r="C60" s="187"/>
      <c r="D60" s="187"/>
      <c r="E60" s="187"/>
      <c r="F60" s="187"/>
      <c r="G60" s="187"/>
      <c r="H60" s="187"/>
      <c r="I60" s="187"/>
      <c r="J60" s="187"/>
      <c r="K60" s="187"/>
      <c r="L60" s="187"/>
      <c r="M60" s="187"/>
      <c r="N60" s="179"/>
    </row>
  </sheetData>
  <mergeCells count="17">
    <mergeCell ref="A60:N60"/>
    <mergeCell ref="I56:N56"/>
    <mergeCell ref="A3:P3"/>
    <mergeCell ref="A51:D51"/>
    <mergeCell ref="I57:N57"/>
    <mergeCell ref="I58:N58"/>
    <mergeCell ref="A58:B58"/>
    <mergeCell ref="A55:B55"/>
    <mergeCell ref="I55:N55"/>
    <mergeCell ref="A59:B59"/>
    <mergeCell ref="I59:N59"/>
    <mergeCell ref="A1:P1"/>
    <mergeCell ref="A57:B57"/>
    <mergeCell ref="A54:P54"/>
    <mergeCell ref="A56:B56"/>
    <mergeCell ref="A53:P53"/>
    <mergeCell ref="A2:P2"/>
  </mergeCells>
  <conditionalFormatting sqref="A3">
    <cfRule type="cellIs" dxfId="22" priority="13" operator="greaterThanOrEqual">
      <formula>$G$56&gt;=0.85</formula>
    </cfRule>
    <cfRule type="expression" dxfId="21" priority="14">
      <formula>$G$56&gt;=0.85</formula>
    </cfRule>
    <cfRule type="expression" dxfId="20" priority="15">
      <formula>AND($G$56&gt;=0.7,$G$56&lt;0.85)</formula>
    </cfRule>
    <cfRule type="expression" dxfId="19" priority="16">
      <formula>$G$56&lt;0.7</formula>
    </cfRule>
  </conditionalFormatting>
  <conditionalFormatting sqref="G56:G59">
    <cfRule type="cellIs" dxfId="18" priority="7" operator="greaterThanOrEqual">
      <formula>0.85</formula>
    </cfRule>
    <cfRule type="cellIs" dxfId="17" priority="8" operator="between">
      <formula>0.7</formula>
      <formula>0.8499</formula>
    </cfRule>
    <cfRule type="cellIs" dxfId="16" priority="9" operator="lessThan">
      <formula>0.7</formula>
    </cfRule>
  </conditionalFormatting>
  <conditionalFormatting sqref="H56:H59">
    <cfRule type="cellIs" dxfId="15" priority="10" operator="equal">
      <formula>"Meets/Exceeds"</formula>
    </cfRule>
    <cfRule type="cellIs" dxfId="14" priority="11" operator="equal">
      <formula>"Developing"</formula>
    </cfRule>
    <cfRule type="cellIs" dxfId="13" priority="12" operator="equal">
      <formula>"Needs Improv."</formula>
    </cfRule>
  </conditionalFormatting>
  <conditionalFormatting sqref="L5:L49">
    <cfRule type="cellIs" dxfId="12" priority="1" operator="greaterThanOrEqual">
      <formula>0.85</formula>
    </cfRule>
    <cfRule type="cellIs" dxfId="11" priority="2" operator="between">
      <formula>0.7</formula>
      <formula>0.8499</formula>
    </cfRule>
    <cfRule type="cellIs" dxfId="10" priority="3" operator="lessThan">
      <formula>0.7</formula>
    </cfRule>
  </conditionalFormatting>
  <conditionalFormatting sqref="M5:M49">
    <cfRule type="cellIs" dxfId="9" priority="4" operator="equal">
      <formula>"Meets/Exceeds"</formula>
    </cfRule>
    <cfRule type="cellIs" dxfId="8" priority="5" operator="equal">
      <formula>"Developing"</formula>
    </cfRule>
    <cfRule type="cellIs" dxfId="7" priority="6" operator="equal">
      <formula>"Needs Improv."</formula>
    </cfRule>
  </conditionalFormatting>
  <conditionalFormatting sqref="O5:O49">
    <cfRule type="cellIs" dxfId="6" priority="17" operator="equal">
      <formula>"Resolver"</formula>
    </cfRule>
    <cfRule type="cellIs" dxfId="5" priority="18" operator="equal">
      <formula>"Progress Builder"</formula>
    </cfRule>
    <cfRule type="cellIs" dxfId="4" priority="19" operator="equal">
      <formula>"Maintainer"</formula>
    </cfRule>
    <cfRule type="cellIs" dxfId="3" priority="20" operator="equal">
      <formula>"Regression Contributor"</formula>
    </cfRule>
  </conditionalFormatting>
  <conditionalFormatting sqref="P5:P49">
    <cfRule type="cellIs" dxfId="2" priority="21" operator="greaterThanOrEqual">
      <formula>4</formula>
    </cfRule>
    <cfRule type="cellIs" dxfId="1" priority="22" operator="between">
      <formula>2</formula>
      <formula>3</formula>
    </cfRule>
    <cfRule type="cellIs" dxfId="0" priority="23" operator="lessThanOrEqual">
      <formula>1</formula>
    </cfRule>
  </conditionalFormatting>
  <dataValidations count="4">
    <dataValidation type="whole" allowBlank="1" showErrorMessage="1" errorTitle="Invalid score" error="Enter 0 to 5." sqref="E5:K49" xr:uid="{00000000-0002-0000-0700-000000000000}">
      <formula1>0</formula1>
      <formula2>5</formula2>
    </dataValidation>
    <dataValidation type="list" allowBlank="1" showErrorMessage="1" errorTitle="Invalid type" error="Pick Resolver, Progress Builder, Maintainer, Breaker, or N/A." sqref="O5:O49" xr:uid="{00000000-0002-0000-0700-000001000000}">
      <formula1>"Resolver,Progress Builder,Maintainer,Regression Contributor,N/A"</formula1>
    </dataValidation>
    <dataValidation type="whole" allowBlank="1" showErrorMessage="1" errorTitle="Invalid score" error="Enter 0 to 5, or leave blank / type N/A for a final touch with no further handoff." sqref="P5:P16 P18:P49" xr:uid="{00000000-0002-0000-0700-000002000000}">
      <formula1>0</formula1>
      <formula2>5</formula2>
    </dataValidation>
    <dataValidation type="list" allowBlank="1" showInputMessage="1" showErrorMessage="1" errorTitle="Invalid" error="Please select Level 1 or Level 2." promptTitle="Agent Level" prompt="Level 1 = front-line support.  Level 2 = senior / escalation support." sqref="Q5:Q49" xr:uid="{00000000-0002-0000-0700-000003000000}">
      <formula1>"Level 1,Level 2"</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errorTitle="Invalid selection" error="Please choose from the dropdown list." promptTitle="Journey Outcome" prompt="Select the option that best describes the overall resolution achieved across all touches." xr:uid="{00000000-0002-0000-0700-000004000000}">
          <x14:formula1>
            <xm:f>Lists!$H$2:$H$7</xm:f>
          </x14:formula1>
          <xm:sqref>E56:E59</xm:sqref>
        </x14:dataValidation>
        <x14:dataValidation type="list" allowBlank="1" showInputMessage="1" showErrorMessage="1" errorTitle="Invalid selection" error="Please choose from the dropdown list." promptTitle="Continuity of Support" prompt="Select the option that best describes how well context and ownership were maintained across handoffs." xr:uid="{00000000-0002-0000-0700-000005000000}">
          <x14:formula1>
            <xm:f>Lists!$I$2:$I$7</xm:f>
          </x14:formula1>
          <xm:sqref>F56:F59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7"/>
  <sheetViews>
    <sheetView workbookViewId="0"/>
  </sheetViews>
  <sheetFormatPr defaultRowHeight="15" x14ac:dyDescent="0.25"/>
  <cols>
    <col min="1" max="7" width="34" customWidth="1"/>
    <col min="8" max="9" width="52" customWidth="1"/>
  </cols>
  <sheetData>
    <row r="1" spans="1:10" x14ac:dyDescent="0.25">
      <c r="A1" t="s">
        <v>40</v>
      </c>
      <c r="B1" t="s">
        <v>834</v>
      </c>
      <c r="C1" t="s">
        <v>835</v>
      </c>
      <c r="D1" t="s">
        <v>836</v>
      </c>
      <c r="E1" t="s">
        <v>837</v>
      </c>
      <c r="F1" t="s">
        <v>838</v>
      </c>
      <c r="G1" t="s">
        <v>839</v>
      </c>
      <c r="H1" s="128" t="s">
        <v>830</v>
      </c>
      <c r="I1" s="128" t="s">
        <v>831</v>
      </c>
      <c r="J1" t="s">
        <v>840</v>
      </c>
    </row>
    <row r="2" spans="1:10" x14ac:dyDescent="0.25">
      <c r="A2" t="s">
        <v>841</v>
      </c>
      <c r="B2" t="s">
        <v>842</v>
      </c>
      <c r="C2" t="s">
        <v>843</v>
      </c>
      <c r="D2" t="s">
        <v>844</v>
      </c>
      <c r="E2" t="s">
        <v>844</v>
      </c>
      <c r="F2" t="s">
        <v>844</v>
      </c>
      <c r="G2" t="s">
        <v>844</v>
      </c>
      <c r="H2" t="s">
        <v>845</v>
      </c>
      <c r="I2" t="s">
        <v>846</v>
      </c>
    </row>
    <row r="3" spans="1:10" x14ac:dyDescent="0.25">
      <c r="A3" t="s">
        <v>847</v>
      </c>
      <c r="B3" t="s">
        <v>848</v>
      </c>
      <c r="C3" t="s">
        <v>849</v>
      </c>
      <c r="D3" t="s">
        <v>850</v>
      </c>
      <c r="E3" t="s">
        <v>851</v>
      </c>
      <c r="F3" t="s">
        <v>852</v>
      </c>
      <c r="G3" t="s">
        <v>853</v>
      </c>
      <c r="H3" t="s">
        <v>854</v>
      </c>
      <c r="I3" t="s">
        <v>855</v>
      </c>
    </row>
    <row r="4" spans="1:10" x14ac:dyDescent="0.25">
      <c r="A4" t="s">
        <v>856</v>
      </c>
      <c r="B4" t="s">
        <v>857</v>
      </c>
      <c r="C4" t="s">
        <v>858</v>
      </c>
      <c r="D4" t="s">
        <v>859</v>
      </c>
      <c r="E4" t="s">
        <v>860</v>
      </c>
      <c r="F4" t="s">
        <v>861</v>
      </c>
      <c r="G4" t="s">
        <v>862</v>
      </c>
      <c r="H4" t="s">
        <v>863</v>
      </c>
      <c r="I4" t="s">
        <v>864</v>
      </c>
    </row>
    <row r="5" spans="1:10" x14ac:dyDescent="0.25">
      <c r="A5" t="s">
        <v>865</v>
      </c>
      <c r="B5" t="s">
        <v>866</v>
      </c>
      <c r="C5" t="s">
        <v>867</v>
      </c>
      <c r="D5" t="s">
        <v>15</v>
      </c>
      <c r="E5" t="s">
        <v>868</v>
      </c>
      <c r="F5" t="s">
        <v>869</v>
      </c>
      <c r="G5" t="s">
        <v>870</v>
      </c>
      <c r="H5" t="s">
        <v>871</v>
      </c>
      <c r="I5" t="s">
        <v>872</v>
      </c>
    </row>
    <row r="6" spans="1:10" x14ac:dyDescent="0.25">
      <c r="A6" t="s">
        <v>873</v>
      </c>
      <c r="C6" t="s">
        <v>874</v>
      </c>
      <c r="D6" t="s">
        <v>875</v>
      </c>
      <c r="E6" t="s">
        <v>876</v>
      </c>
      <c r="F6" t="s">
        <v>877</v>
      </c>
      <c r="G6" t="s">
        <v>878</v>
      </c>
      <c r="H6" t="s">
        <v>879</v>
      </c>
      <c r="I6" t="s">
        <v>880</v>
      </c>
    </row>
    <row r="7" spans="1:10" x14ac:dyDescent="0.25">
      <c r="A7" t="s">
        <v>881</v>
      </c>
      <c r="C7" t="s">
        <v>882</v>
      </c>
      <c r="E7" t="s">
        <v>883</v>
      </c>
      <c r="F7" t="s">
        <v>884</v>
      </c>
      <c r="G7" t="s">
        <v>885</v>
      </c>
      <c r="H7" t="s">
        <v>886</v>
      </c>
      <c r="I7" t="s">
        <v>887</v>
      </c>
    </row>
    <row r="8" spans="1:10" x14ac:dyDescent="0.25">
      <c r="A8" t="s">
        <v>888</v>
      </c>
      <c r="C8" t="s">
        <v>889</v>
      </c>
      <c r="E8" t="s">
        <v>890</v>
      </c>
      <c r="F8" t="s">
        <v>891</v>
      </c>
      <c r="G8" t="s">
        <v>892</v>
      </c>
    </row>
    <row r="9" spans="1:10" x14ac:dyDescent="0.25">
      <c r="A9" t="s">
        <v>893</v>
      </c>
      <c r="E9" t="s">
        <v>894</v>
      </c>
      <c r="F9" t="s">
        <v>895</v>
      </c>
      <c r="G9" t="s">
        <v>896</v>
      </c>
    </row>
    <row r="10" spans="1:10" x14ac:dyDescent="0.25">
      <c r="A10" t="s">
        <v>897</v>
      </c>
      <c r="E10" t="s">
        <v>898</v>
      </c>
      <c r="G10" t="s">
        <v>899</v>
      </c>
    </row>
    <row r="11" spans="1:10" x14ac:dyDescent="0.25">
      <c r="A11" t="s">
        <v>900</v>
      </c>
      <c r="E11" t="s">
        <v>901</v>
      </c>
    </row>
    <row r="12" spans="1:10" x14ac:dyDescent="0.25">
      <c r="A12" t="s">
        <v>902</v>
      </c>
      <c r="E12" t="s">
        <v>903</v>
      </c>
    </row>
    <row r="13" spans="1:10" x14ac:dyDescent="0.25">
      <c r="A13" t="s">
        <v>904</v>
      </c>
      <c r="E13" t="s">
        <v>905</v>
      </c>
    </row>
    <row r="14" spans="1:10" x14ac:dyDescent="0.25">
      <c r="A14" t="s">
        <v>906</v>
      </c>
      <c r="E14" t="s">
        <v>907</v>
      </c>
    </row>
    <row r="15" spans="1:10" x14ac:dyDescent="0.25">
      <c r="A15" t="s">
        <v>908</v>
      </c>
      <c r="E15" t="s">
        <v>909</v>
      </c>
    </row>
    <row r="16" spans="1:10" x14ac:dyDescent="0.25">
      <c r="A16" t="s">
        <v>910</v>
      </c>
    </row>
    <row r="17" spans="1:1" x14ac:dyDescent="0.25">
      <c r="A17" t="s">
        <v>911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Changelog</vt:lpstr>
      <vt:lpstr>Quick Start</vt:lpstr>
      <vt:lpstr>Scoring Form</vt:lpstr>
      <vt:lpstr>Scoring Guide</vt:lpstr>
      <vt:lpstr>Multi-Touch Guide</vt:lpstr>
      <vt:lpstr>Auto-Zero Guide</vt:lpstr>
      <vt:lpstr>Team Scoring</vt:lpstr>
      <vt:lpstr>Example (Filled)</vt:lpstr>
      <vt:lpstr>Case Tracker</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Edmar Padayhag</cp:lastModifiedBy>
  <dcterms:created xsi:type="dcterms:W3CDTF">2026-06-10T01:33:30Z</dcterms:created>
  <dcterms:modified xsi:type="dcterms:W3CDTF">2026-06-25T00:08:39Z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2026-06-16T02:18:33Z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ffc6db12-5428-4caf-b237-b8735eda8c6e</vt:lpwstr>
  </property>
  <property fmtid="{D5CDD505-2E9C-101B-9397-08002B2CF9AE}" pid="7" name="MSIP_Label_defa4170-0d19-0005-0004-bc88714345d2_ActionId">
    <vt:lpwstr>196d2114-528f-41fd-b642-ef853cc98903</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