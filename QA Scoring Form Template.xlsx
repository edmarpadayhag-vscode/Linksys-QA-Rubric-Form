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7">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126">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219"/>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n"/>
      <c r="D5" s="87" t="inlineStr">
        <is>
          <t>Case / Ticket ID</t>
        </is>
      </c>
      <c r="E5" s="88" t="n"/>
      <c r="F5" s="71" t="n"/>
    </row>
    <row r="6" ht="29" customHeight="1">
      <c r="B6" s="94" t="inlineStr">
        <is>
          <t>Evaluator (QA)</t>
        </is>
      </c>
      <c r="C6" s="88" t="n"/>
      <c r="D6" s="87" t="inlineStr">
        <is>
          <t>Interaction Date</t>
        </is>
      </c>
      <c r="E6" s="88" t="n"/>
      <c r="F6" s="71" t="n"/>
    </row>
    <row r="7">
      <c r="B7" s="94" t="inlineStr">
        <is>
          <t>Product</t>
        </is>
      </c>
      <c r="C7" s="88" t="n"/>
      <c r="D7" s="87" t="inlineStr">
        <is>
          <t>Channel</t>
        </is>
      </c>
      <c r="E7" s="88" t="n"/>
      <c r="F7" s="71" t="n"/>
    </row>
    <row r="8">
      <c r="B8" s="94" t="inlineStr">
        <is>
          <t>Warranty Status</t>
        </is>
      </c>
      <c r="C8" s="88" t="n"/>
      <c r="D8" s="87" t="inlineStr">
        <is>
          <t>Review Date</t>
        </is>
      </c>
      <c r="E8" s="88" t="n"/>
      <c r="F8" s="71" t="n"/>
    </row>
    <row r="9" ht="29" customHeight="1">
      <c r="B9" s="94" t="inlineStr">
        <is>
          <t>Case Type</t>
        </is>
      </c>
      <c r="C9" s="88" t="n"/>
      <c r="D9" s="87" t="inlineStr">
        <is>
          <t>Interaction Duration</t>
        </is>
      </c>
      <c r="E9" s="88" t="n"/>
      <c r="F9" s="71" t="n"/>
    </row>
    <row r="10" ht="29" customHeight="1">
      <c r="B10" s="94" t="inlineStr">
        <is>
          <t>Touch # (multi-touch case)</t>
        </is>
      </c>
      <c r="C10" s="88" t="n"/>
      <c r="D10" s="87" t="inlineStr">
        <is>
          <t>Prior touches reviewed?</t>
        </is>
      </c>
      <c r="E10" s="88" t="n"/>
      <c r="F10" s="71" t="n"/>
    </row>
    <row r="11" ht="29" customHeight="1">
      <c r="B11" s="94" t="inlineStr">
        <is>
          <t>CSAT / Survey result</t>
        </is>
      </c>
      <c r="C11" s="88" t="n"/>
      <c r="D11" s="87" t="inlineStr">
        <is>
          <t>FCR / total contacts</t>
        </is>
      </c>
      <c r="E11" s="88" t="n"/>
      <c r="F11" s="71" t="n"/>
    </row>
    <row r="12">
      <c r="B12" s="94" t="inlineStr">
        <is>
          <t>Total case time</t>
        </is>
      </c>
      <c r="C12" s="88" t="n"/>
      <c r="D12" s="87" t="inlineStr">
        <is>
          <t>SLA status</t>
        </is>
      </c>
      <c r="E12" s="88" t="n"/>
      <c r="F12" s="71" t="n"/>
    </row>
    <row r="13" ht="58" customHeight="1">
      <c r="B13" s="87" t="inlineStr">
        <is>
          <t>Case Summary (customer issue &amp; goal)</t>
        </is>
      </c>
      <c r="C13" s="86" t="n"/>
      <c r="D13" s="82" t="n"/>
      <c r="E13" s="82" t="n"/>
      <c r="F13" s="71" t="n"/>
    </row>
    <row r="14" ht="46" customHeight="1">
      <c r="B14" s="87" t="inlineStr">
        <is>
          <t>Inherited context (what this agent received from prior touches)</t>
        </is>
      </c>
      <c r="C14" s="86" t="n"/>
      <c r="D14" s="82" t="n"/>
      <c r="E14" s="82" t="n"/>
      <c r="F14" s="71" t="n"/>
    </row>
    <row r="15">
      <c r="B15" s="80" t="inlineStr">
        <is>
          <t>CLASSIFICATION &amp; ROOT-CAUSE   (added from the 360 Form model)</t>
        </is>
      </c>
      <c r="C15" s="90" t="n"/>
      <c r="D15" s="90" t="n"/>
      <c r="E15" s="90" t="n"/>
      <c r="F15" s="74" t="n"/>
    </row>
    <row r="16" ht="58" customHeight="1">
      <c r="B16" s="94" t="inlineStr">
        <is>
          <t>Audit / Review Type</t>
        </is>
      </c>
      <c r="C16" s="88" t="n"/>
      <c r="D16" s="87" t="inlineStr">
        <is>
          <t>Contact iteration (repeat contact)</t>
        </is>
      </c>
      <c r="E16" s="88" t="n"/>
      <c r="F16" s="71" t="n"/>
    </row>
    <row r="17" ht="29" customHeight="1">
      <c r="B17" s="94" t="inlineStr">
        <is>
          <t>Resolution status — detailed</t>
        </is>
      </c>
      <c r="C17" s="88" t="n"/>
      <c r="D17" s="87" t="inlineStr">
        <is>
          <t>Primary root-cause domain</t>
        </is>
      </c>
      <c r="E17" s="88" t="n"/>
      <c r="F17" s="71" t="n"/>
    </row>
    <row r="18">
      <c r="B18" s="94" t="inlineStr">
        <is>
          <t>Process driver (if any)</t>
        </is>
      </c>
      <c r="C18" s="88" t="n"/>
      <c r="D18" s="82" t="n"/>
      <c r="E18" s="82" t="n"/>
      <c r="F18" s="71" t="n"/>
    </row>
    <row r="19">
      <c r="B19" s="94" t="inlineStr">
        <is>
          <t>Product driver (if any)</t>
        </is>
      </c>
      <c r="C19" s="88" t="n"/>
      <c r="D19" s="82" t="n"/>
      <c r="E19" s="82" t="n"/>
      <c r="F19" s="71" t="n"/>
    </row>
    <row r="20">
      <c r="B20" s="94" t="inlineStr">
        <is>
          <t>System / tooling driver (if any)</t>
        </is>
      </c>
      <c r="C20" s="88" t="n"/>
      <c r="D20" s="82" t="n"/>
      <c r="E20" s="82" t="n"/>
      <c r="F20" s="71" t="n"/>
    </row>
    <row r="21">
      <c r="B21" s="94" t="inlineStr">
        <is>
          <t>Root-cause / contact-driver notes   (feeds Team Scoring → Team Opportunities Identified)</t>
        </is>
      </c>
      <c r="C21" s="82" t="n"/>
      <c r="D21" s="82" t="n"/>
      <c r="E21" s="82" t="n"/>
      <c r="F21" s="71" t="n"/>
    </row>
    <row r="22" ht="58" customHeight="1">
      <c r="B22" s="88" t="n"/>
      <c r="C22" s="82" t="n"/>
      <c r="D22" s="82" t="n"/>
      <c r="E22" s="82" t="n"/>
      <c r="F22" s="71" t="n"/>
    </row>
    <row r="24">
      <c r="B24" s="96" t="inlineStr">
        <is>
          <t>2 · SCORE SUMMARY</t>
        </is>
      </c>
      <c r="C24" s="90" t="n"/>
      <c r="D24" s="90" t="n"/>
      <c r="E24" s="90" t="n"/>
      <c r="F24" s="74" t="n"/>
    </row>
    <row r="25" ht="18" customHeight="1">
      <c r="B25" s="119" t="inlineStr">
        <is>
          <t>Category</t>
        </is>
      </c>
      <c r="C25" s="119" t="inlineStr">
        <is>
          <t>Weight</t>
        </is>
      </c>
      <c r="D25" s="119" t="inlineStr">
        <is>
          <t>Score (0-5)</t>
        </is>
      </c>
      <c r="E25" s="119" t="inlineStr">
        <is>
          <t>Weighted</t>
        </is>
      </c>
      <c r="F25" s="119" t="inlineStr">
        <is>
          <t>Band</t>
        </is>
      </c>
    </row>
    <row r="26" ht="28" customHeight="1">
      <c r="B26" s="16" t="inlineStr">
        <is>
          <t>Resolution / Progress Toward Resolution</t>
        </is>
      </c>
      <c r="C26" s="17" t="n">
        <v>0.3</v>
      </c>
      <c r="D26" s="18">
        <f>IF(C46="",C45,C46)</f>
        <v/>
      </c>
      <c r="E26" s="19">
        <f>IF(D26="","",(D26/5)*C26)</f>
        <v/>
      </c>
      <c r="F26" s="20">
        <f>IF(D26="","",IF(D26&gt;=4,"Strong",IF(D26=3,"Developing","Needs Focus")))</f>
        <v/>
      </c>
    </row>
    <row r="27">
      <c r="B27" s="21" t="inlineStr">
        <is>
          <t>Technical Accuracy</t>
        </is>
      </c>
      <c r="C27" s="22" t="n">
        <v>0.2</v>
      </c>
      <c r="D27" s="23">
        <f>IF(C61="",C60,C61)</f>
        <v/>
      </c>
      <c r="E27" s="24">
        <f>IF(D27="","",(D27/5)*C27)</f>
        <v/>
      </c>
      <c r="F27" s="25">
        <f>IF(D27="","",IF(D27&gt;=4,"Strong",IF(D27=3,"Developing","Needs Focus")))</f>
        <v/>
      </c>
    </row>
    <row r="28" ht="28" customHeight="1">
      <c r="B28" s="16" t="inlineStr">
        <is>
          <t>Communication &amp; Call Control</t>
        </is>
      </c>
      <c r="C28" s="17" t="n">
        <v>0.15</v>
      </c>
      <c r="D28" s="18">
        <f>IF(C77="",C76,C77)</f>
        <v/>
      </c>
      <c r="E28" s="19">
        <f>IF(D28="","",(D28/5)*C28)</f>
        <v/>
      </c>
      <c r="F28" s="20">
        <f>IF(D28="","",IF(D28&gt;=4,"Strong",IF(D28=3,"Developing","Needs Focus")))</f>
        <v/>
      </c>
    </row>
    <row r="29" ht="28" customHeight="1">
      <c r="B29" s="21" t="inlineStr">
        <is>
          <t>Customer Ownership</t>
        </is>
      </c>
      <c r="C29" s="22" t="n">
        <v>0.15</v>
      </c>
      <c r="D29" s="23">
        <f>IF(C93="",C92,C93)</f>
        <v/>
      </c>
      <c r="E29" s="24">
        <f>IF(D29="","",(D29/5)*C29)</f>
        <v/>
      </c>
      <c r="F29" s="25">
        <f>IF(D29="","",IF(D29&gt;=4,"Strong",IF(D29=3,"Developing","Needs Focus")))</f>
        <v/>
      </c>
    </row>
    <row r="30" ht="28" customHeight="1">
      <c r="B30" s="16" t="inlineStr">
        <is>
          <t>Escalation Judgment</t>
        </is>
      </c>
      <c r="C30" s="17" t="n">
        <v>0.1</v>
      </c>
      <c r="D30" s="18">
        <f>IF(C106="",C105,C106)</f>
        <v/>
      </c>
      <c r="E30" s="19">
        <f>IF(D30="","",(D30/5)*C30)</f>
        <v/>
      </c>
      <c r="F30" s="20">
        <f>IF(D30="","",IF(D30&gt;=4,"Strong",IF(D30=3,"Developing","Needs Focus")))</f>
        <v/>
      </c>
    </row>
    <row r="31" ht="28" customHeight="1">
      <c r="B31" s="21" t="inlineStr">
        <is>
          <t>Customer Experience</t>
        </is>
      </c>
      <c r="C31" s="22" t="n">
        <v>0.05</v>
      </c>
      <c r="D31" s="23">
        <f>IF(C127="",C126,C127)</f>
        <v/>
      </c>
      <c r="E31" s="24">
        <f>IF(D31="","",(D31/5)*C31)</f>
        <v/>
      </c>
      <c r="F31" s="25">
        <f>IF(D31="","",IF(D31&gt;=4,"Strong",IF(D31=3,"Developing","Needs Focus")))</f>
        <v/>
      </c>
    </row>
    <row r="32" ht="28" customHeight="1">
      <c r="B32" s="16" t="inlineStr">
        <is>
          <t>Documentation &amp; Notes</t>
        </is>
      </c>
      <c r="C32" s="17" t="n">
        <v>0.05</v>
      </c>
      <c r="D32" s="18">
        <f>IF(C142="",C141,C142)</f>
        <v/>
      </c>
      <c r="E32" s="19">
        <f>IF(D32="","",(D32/5)*C32)</f>
        <v/>
      </c>
      <c r="F32" s="20">
        <f>IF(D32="","",IF(D32&gt;=4,"Strong",IF(D32=3,"Developing","Needs Focus")))</f>
        <v/>
      </c>
    </row>
    <row r="33" ht="24" customHeight="1">
      <c r="B33" s="96" t="inlineStr">
        <is>
          <t>WEIGHTED TOTAL SCORE</t>
        </is>
      </c>
      <c r="C33" s="26">
        <f>SUM(C26:C32)</f>
        <v/>
      </c>
      <c r="D33" s="27" t="n"/>
      <c r="E33" s="28">
        <f>IF(OR(C173="No",C174="No",C175="No",COUNTIF(C177:C187,"Yes")&gt;0,COUNTIF(C157:C167,"Yes")&gt;0),0,SUM(E26:E32))</f>
        <v/>
      </c>
      <c r="F33" s="29">
        <f>IF(E33="","",IF(OR(C173="No",C174="No",C175="No",COUNTIF(C177:C187,"Yes")&gt;0,COUNTIF(C157:C167,"Yes")&gt;0),"AUTO-ZERO (0%)",IF(E33&gt;=0.85,"MEETS / EXCEEDS",IF(E33&gt;=0.7,"DEVELOPING","NEEDS IMPROVEMENT"))))</f>
        <v/>
      </c>
    </row>
    <row r="34">
      <c r="B34" s="11" t="n"/>
      <c r="C34" s="12" t="n"/>
      <c r="D34" s="92" t="n"/>
    </row>
    <row r="35" ht="24" customHeight="1">
      <c r="B35" s="96" t="inlineStr">
        <is>
          <t>3 · CATEGORY ASSESSMENTS</t>
        </is>
      </c>
      <c r="C35" s="90" t="n"/>
      <c r="D35" s="90" t="n"/>
      <c r="E35" s="90" t="n"/>
      <c r="F35" s="74" t="n"/>
    </row>
    <row r="36" ht="18" customHeight="1">
      <c r="B36" s="80" t="inlineStr">
        <is>
          <t>1. RESOLUTION / PROGRESS TOWARD RESOLUTION</t>
        </is>
      </c>
      <c r="C36" s="90" t="n"/>
      <c r="D36" s="90" t="n"/>
      <c r="E36" s="74" t="n"/>
      <c r="F36" s="6" t="inlineStr">
        <is>
          <t>Weight: 30%</t>
        </is>
      </c>
    </row>
    <row r="37" ht="28" customHeight="1">
      <c r="B37" s="121" t="inlineStr">
        <is>
          <t>Objective: Determine whether the interaction moved the customer meaningfully closer to resolution.</t>
        </is>
      </c>
      <c r="C37" s="82" t="n"/>
      <c r="D37" s="82" t="n"/>
      <c r="E37" s="82" t="n"/>
      <c r="F37" s="71" t="n"/>
    </row>
    <row r="38" ht="18" customHeight="1">
      <c r="B38" s="94" t="inlineStr">
        <is>
          <t>Behavioral Indicator</t>
        </is>
      </c>
      <c r="C38" s="7" t="inlineStr">
        <is>
          <t>Assessment</t>
        </is>
      </c>
      <c r="D38" s="94" t="inlineStr">
        <is>
          <t>Evidence / Observation (quote or timestamp where possible)</t>
        </is>
      </c>
      <c r="E38" s="82" t="n"/>
      <c r="F38" s="71" t="n"/>
    </row>
    <row r="39" ht="28" customHeight="1">
      <c r="B39" s="81" t="inlineStr">
        <is>
          <t>Resolved the issue or achieved the best possible outcome (RMA, valid escalation, limitation explained, education)</t>
        </is>
      </c>
      <c r="C39" s="9" t="n"/>
      <c r="D39" s="81" t="n"/>
      <c r="E39" s="82" t="n"/>
      <c r="F39" s="71" t="n"/>
    </row>
    <row r="40" ht="28" customHeight="1">
      <c r="B40" s="83" t="inlineStr">
        <is>
          <t>Completed reasonable troubleshooting before reaching a conclusion</t>
        </is>
      </c>
      <c r="C40" s="9" t="n"/>
      <c r="D40" s="83" t="n"/>
      <c r="E40" s="82" t="n"/>
      <c r="F40" s="71" t="n"/>
    </row>
    <row r="41" ht="28" customHeight="1">
      <c r="B41" s="81" t="inlineStr">
        <is>
          <t>Used the appropriate resolution path for the situation and warranty status, moving the customer closer to a solution with clear next steps.</t>
        </is>
      </c>
      <c r="C41" s="9" t="n"/>
      <c r="D41" s="81" t="n"/>
      <c r="E41" s="82" t="n"/>
      <c r="F41" s="71" t="n"/>
    </row>
    <row r="42" ht="28" customHeight="1">
      <c r="B42" s="83" t="n"/>
      <c r="C42" s="9" t="n"/>
      <c r="D42" s="83" t="n"/>
      <c r="E42" s="82" t="n"/>
      <c r="F42" s="71" t="n"/>
    </row>
    <row r="43" ht="28" customHeight="1">
      <c r="B43" s="81" t="n"/>
      <c r="C43" s="9" t="n"/>
      <c r="D43" s="81" t="n"/>
      <c r="E43" s="82" t="n"/>
      <c r="F43" s="71" t="n"/>
    </row>
    <row r="44" ht="28" customHeight="1">
      <c r="B44"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4" s="82" t="n"/>
      <c r="D44" s="82" t="n"/>
      <c r="E44" s="82" t="n"/>
      <c r="F44" s="71" t="n"/>
    </row>
    <row r="45" ht="28" customHeight="1">
      <c r="B45" s="11" t="inlineStr">
        <is>
          <t>Auto score (0–5) from indicator ratings — applies unless overridden</t>
        </is>
      </c>
      <c r="C45" s="122">
        <f>IF((COUNTIF(C39:C43,"Met")+COUNTIF(C39:C43,"Partial")+COUNTIF(C39:C43,"Missed"))=0,"",ROUND((COUNTIF(C39:C43,"Met")*5+COUNTIF(C39:C43,"Partial")*2.5)/(COUNTIF(C39:C43,"Met")+COUNTIF(C39:C43,"Partial")+COUNTIF(C39:C43,"Missed")),0))</f>
        <v/>
      </c>
      <c r="D45" s="92" t="n"/>
      <c r="E45" s="82" t="n"/>
      <c r="F45" s="71" t="n"/>
    </row>
    <row r="46" ht="24" customHeight="1">
      <c r="B46" s="13" t="inlineStr">
        <is>
          <t>FINAL SCORE — leave blank to use the auto score; type 0–5 to override</t>
        </is>
      </c>
      <c r="C46" s="14" t="n"/>
      <c r="D46" s="84">
        <f>IF(IF(C46="",C45,C46)="","← rate the indicators above (auto-scores), or type an override",CHOOSE(IF(C46="",C45,C46)+1,"Agent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6" s="82" t="n"/>
      <c r="F46" s="71" t="n"/>
    </row>
    <row r="47" ht="36" customHeight="1">
      <c r="B47" s="13" t="inlineStr">
        <is>
          <t>Score reflects the cumulative effect of this touch within the 8-month journey: the Nov 24, 2025 hardware/RMA determination remains undelivered, and the case culminates here in executive-level escalation with no path forward offered.</t>
        </is>
      </c>
      <c r="C47" s="86" t="n"/>
      <c r="D47" s="82" t="n"/>
      <c r="E47" s="82" t="n"/>
      <c r="F47" s="71" t="n"/>
    </row>
    <row r="48" ht="28" customHeight="1">
      <c r="B48" s="85" t="n"/>
    </row>
    <row r="49" ht="18" customHeight="1">
      <c r="B49" s="80" t="inlineStr">
        <is>
          <t>2. TECHNICAL ACCURACY</t>
        </is>
      </c>
      <c r="C49" s="90" t="n"/>
      <c r="D49" s="90" t="n"/>
      <c r="E49" s="74" t="n"/>
      <c r="F49" s="6" t="inlineStr">
        <is>
          <t>Weight: 20%</t>
        </is>
      </c>
    </row>
    <row r="50" ht="28" customHeight="1">
      <c r="B50" s="121" t="inlineStr">
        <is>
          <t>Objective: Evaluate the quality of troubleshooting and technical guidance.</t>
        </is>
      </c>
      <c r="C50" s="82" t="n"/>
      <c r="D50" s="82" t="n"/>
      <c r="E50" s="82" t="n"/>
      <c r="F50" s="71" t="n"/>
    </row>
    <row r="51" ht="36" customHeight="1">
      <c r="B51" s="94" t="inlineStr">
        <is>
          <t>Behavioral Indicator</t>
        </is>
      </c>
      <c r="C51" s="7" t="inlineStr">
        <is>
          <t>Assessment</t>
        </is>
      </c>
      <c r="D51" s="94" t="inlineStr">
        <is>
          <t>Evidence / Observation (quote or timestamp where possible)</t>
        </is>
      </c>
      <c r="E51" s="82" t="n"/>
      <c r="F51" s="71" t="n"/>
    </row>
    <row r="52" ht="28" customHeight="1">
      <c r="B52" s="81" t="inlineStr">
        <is>
          <t>Correctly identified the symptoms and asked relevant diagnostic questions</t>
        </is>
      </c>
      <c r="C52" s="9" t="n"/>
      <c r="D52" s="81" t="n"/>
      <c r="E52" s="82" t="n"/>
      <c r="F52" s="71" t="n"/>
    </row>
    <row r="53" ht="28" customHeight="1">
      <c r="B53" s="83" t="inlineStr">
        <is>
          <t>Identified the root cause (or likely cause) when possible</t>
        </is>
      </c>
      <c r="C53" s="9" t="n"/>
      <c r="D53" s="83" t="n"/>
      <c r="E53" s="82" t="n"/>
      <c r="F53" s="71" t="n"/>
    </row>
    <row r="54" ht="28" customHeight="1">
      <c r="B54" s="81" t="inlineStr">
        <is>
          <t>Followed a logical troubleshooting process, and available tools were used, efficiently and appropriately.</t>
        </is>
      </c>
      <c r="C54" s="9" t="n"/>
      <c r="D54" s="81" t="n"/>
      <c r="E54" s="82" t="n"/>
      <c r="F54" s="71" t="n"/>
    </row>
    <row r="55" ht="28" customHeight="1">
      <c r="B55" s="83" t="n"/>
      <c r="C55" s="9" t="n"/>
      <c r="D55" s="83" t="n"/>
      <c r="E55" s="82" t="n"/>
      <c r="F55" s="71" t="n"/>
    </row>
    <row r="56" ht="28" customHeight="1">
      <c r="B56" s="81" t="inlineStr">
        <is>
          <t>Gave technically accurate information; no unsupported conclusions</t>
        </is>
      </c>
      <c r="C56" s="9" t="n"/>
      <c r="D56" s="81" t="n"/>
      <c r="E56" s="82" t="n"/>
      <c r="F56" s="71" t="n"/>
    </row>
    <row r="57" ht="28" customHeight="1">
      <c r="B57" s="83" t="n"/>
      <c r="C57" s="9" t="n"/>
      <c r="D57" s="83" t="n"/>
      <c r="E57" s="82" t="n"/>
      <c r="F57" s="71" t="n"/>
    </row>
    <row r="58" ht="28" customHeight="1">
      <c r="B58" s="81" t="n"/>
      <c r="C58" s="9" t="n"/>
      <c r="D58" s="81" t="n"/>
      <c r="E58" s="82" t="n"/>
      <c r="F58" s="71" t="n"/>
    </row>
    <row r="59" ht="28" customHeight="1">
      <c r="B59" s="85" t="inlineStr">
        <is>
          <t>⚠ Deduct for: incorrect technical information; skipped critical troubleshooting; misdiagnosis; unnecessary actions recommended; ISP or customer blamed without evidence; repeating basic steps the customer already completed.</t>
        </is>
      </c>
      <c r="C59" s="82" t="n"/>
      <c r="D59" s="82" t="n"/>
      <c r="E59" s="82" t="n"/>
      <c r="F59" s="71" t="n"/>
    </row>
    <row r="60" ht="28" customHeight="1">
      <c r="B60" s="11" t="inlineStr">
        <is>
          <t>Auto score (0–5) from indicator ratings — applies unless overridden</t>
        </is>
      </c>
      <c r="C60" s="122">
        <f>IF((COUNTIF(C52:C58,"Met")+COUNTIF(C52:C58,"Partial")+COUNTIF(C52:C58,"Missed"))=0,"",ROUND((COUNTIF(C52:C58,"Met")*5+COUNTIF(C52:C58,"Partial")*2.5)/(COUNTIF(C52:C58,"Met")+COUNTIF(C52:C58,"Partial")+COUNTIF(C52:C58,"Missed")),0))</f>
        <v/>
      </c>
      <c r="D60" s="92" t="n"/>
      <c r="E60" s="82" t="n"/>
      <c r="F60" s="71" t="n"/>
    </row>
    <row r="61" ht="24" customHeight="1">
      <c r="B61" s="13" t="inlineStr">
        <is>
          <t>FINAL SCORE — leave blank to use the auto score; type 0–5 to override</t>
        </is>
      </c>
      <c r="C61" s="14" t="n"/>
      <c r="D61" s="84">
        <f>IF(IF(C61="",C60,C61)="","← rate the indicators above (auto-scores), or type an override",CHOOSE(IF(C61="",C60,C61)+1,"Agent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1" s="82" t="n"/>
      <c r="F61" s="71" t="n"/>
    </row>
    <row r="62" ht="36" customHeight="1">
      <c r="B62" s="13" t="inlineStr">
        <is>
          <t>Individual diagnostic steps (signal/backhaul check, swap-test proposal) were sound, but the unvalidated reversal of a prior CAT-level conclusion undermines technical credibility.</t>
        </is>
      </c>
      <c r="C62" s="86" t="n"/>
      <c r="D62" s="82" t="n"/>
      <c r="E62" s="82" t="n"/>
      <c r="F62" s="71" t="n"/>
    </row>
    <row r="63" ht="28" customHeight="1">
      <c r="B63" s="83" t="n"/>
      <c r="C63" s="9" t="n"/>
      <c r="D63" s="83" t="n"/>
    </row>
    <row r="64" ht="18" customHeight="1">
      <c r="B64" s="80" t="inlineStr">
        <is>
          <t>3. COMMUNICATION &amp; CALL CONTROL</t>
        </is>
      </c>
      <c r="C64" s="90" t="n"/>
      <c r="D64" s="90" t="n"/>
      <c r="E64" s="74" t="n"/>
      <c r="F64" s="6" t="inlineStr">
        <is>
          <t>Weight: 15%</t>
        </is>
      </c>
    </row>
    <row r="65" ht="28" customHeight="1">
      <c r="B65" s="121" t="inlineStr">
        <is>
          <t>Objective: Evaluate how effectively the agent managed the interaction.</t>
        </is>
      </c>
      <c r="C65" s="82" t="n"/>
      <c r="D65" s="82" t="n"/>
      <c r="E65" s="82" t="n"/>
      <c r="F65" s="71" t="n"/>
    </row>
    <row r="66" ht="24" customHeight="1">
      <c r="B66" s="94" t="inlineStr">
        <is>
          <t>Behavioral Indicator</t>
        </is>
      </c>
      <c r="C66" s="7" t="inlineStr">
        <is>
          <t>Assessment</t>
        </is>
      </c>
      <c r="D66" s="94" t="inlineStr">
        <is>
          <t>Evidence / Observation (quote or timestamp where possible)</t>
        </is>
      </c>
      <c r="E66" s="82" t="n"/>
      <c r="F66" s="71" t="n"/>
    </row>
    <row r="67" ht="28" customHeight="1">
      <c r="B67" s="81" t="inlineStr">
        <is>
          <t>Expectations were set clearly from the start</t>
        </is>
      </c>
      <c r="C67" s="9" t="n"/>
      <c r="D67" s="81" t="n"/>
      <c r="E67" s="82" t="n"/>
      <c r="F67" s="71" t="n"/>
    </row>
    <row r="68" ht="28" customHeight="1">
      <c r="B68" s="83" t="inlineStr">
        <is>
          <t>Agent maintained call control and troubleshooting flow</t>
        </is>
      </c>
      <c r="C68" s="9" t="n"/>
      <c r="D68" s="83" t="n"/>
      <c r="E68" s="82" t="n"/>
      <c r="F68" s="71" t="n"/>
    </row>
    <row r="69" ht="28" customHeight="1">
      <c r="B69" s="81" t="inlineStr">
        <is>
          <t>Use appropriate language, as needed, and confirmed customer understanding</t>
        </is>
      </c>
      <c r="C69" s="9" t="n"/>
      <c r="D69" s="81" t="n"/>
      <c r="E69" s="82" t="n"/>
      <c r="F69" s="71" t="n"/>
    </row>
    <row r="70" ht="28" customHeight="1">
      <c r="B70" s="83" t="inlineStr">
        <is>
          <t>Actively listened and showed comprehension throughout the interaction/s</t>
        </is>
      </c>
      <c r="C70" s="9" t="n"/>
      <c r="D70" s="83" t="n"/>
      <c r="E70" s="82" t="n"/>
      <c r="F70" s="71" t="n"/>
    </row>
    <row r="71" ht="28" customHeight="1">
      <c r="B71" s="81" t="n"/>
      <c r="C71" s="9" t="n"/>
      <c r="D71" s="81" t="n"/>
      <c r="E71" s="82" t="n"/>
      <c r="F71" s="71" t="n"/>
    </row>
    <row r="72" ht="28" customHeight="1">
      <c r="B72" s="83" t="inlineStr">
        <is>
          <t>Managed time well, with clear transitions between steps</t>
        </is>
      </c>
      <c r="C72" s="9" t="n"/>
      <c r="D72" s="83" t="n"/>
      <c r="E72" s="82" t="n"/>
      <c r="F72" s="71" t="n"/>
    </row>
    <row r="73" ht="28" customHeight="1">
      <c r="B73" s="81" t="inlineStr">
        <is>
          <t>Handled difficult moments when needed to maintain call control</t>
        </is>
      </c>
      <c r="C73" s="9" t="n"/>
      <c r="D73" s="81" t="n"/>
      <c r="E73" s="82" t="n"/>
      <c r="F73" s="71" t="n"/>
    </row>
    <row r="74" ht="28" customHeight="1">
      <c r="B74" s="83" t="inlineStr">
        <is>
          <t>Adjusted communication for the customer's accessibility needs (hearing, vision, language barrier, age, cognitive)</t>
        </is>
      </c>
      <c r="C74" s="9" t="n"/>
      <c r="D74" s="83" t="n"/>
      <c r="E74" s="82" t="n"/>
      <c r="F74" s="71" t="n"/>
    </row>
    <row r="75" ht="28" customHeight="1">
      <c r="B75" s="85" t="inlineStr">
        <is>
          <t>⚠ High performance: customer always knows what is happening and the agent drives the call confidently. One instruction at a time for customers who need it.</t>
        </is>
      </c>
      <c r="C75" s="82" t="n"/>
      <c r="D75" s="82" t="n"/>
      <c r="E75" s="82" t="n"/>
      <c r="F75" s="71" t="n"/>
    </row>
    <row r="76" ht="28" customHeight="1">
      <c r="B76" s="11" t="inlineStr">
        <is>
          <t>Auto score (0–5) from indicator ratings — applies unless overridden</t>
        </is>
      </c>
      <c r="C76" s="122">
        <f>IF((COUNTIF(C67:C74,"Met")+COUNTIF(C67:C74,"Partial")+COUNTIF(C67:C74,"Missed"))=0,"",ROUND((COUNTIF(C67:C74,"Met")*5+COUNTIF(C67:C74,"Partial")*2.5)/(COUNTIF(C67:C74,"Met")+COUNTIF(C67:C74,"Partial")+COUNTIF(C67:C74,"Missed")),0))</f>
        <v/>
      </c>
      <c r="D76" s="92" t="n"/>
      <c r="E76" s="82" t="n"/>
      <c r="F76" s="71" t="n"/>
    </row>
    <row r="77" ht="24" customHeight="1">
      <c r="B77" s="13" t="inlineStr">
        <is>
          <t>FINAL SCORE — leave blank to use the auto score; type 0–5 to override</t>
        </is>
      </c>
      <c r="C77" s="14" t="n"/>
      <c r="D77" s="84">
        <f>IF(IF(C77="",C76,C77)="","← rate the indicators above (auto-scores), or type an override",CHOOSE(IF(C77="",C76,C77)+1,"Agent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7" s="82" t="n"/>
      <c r="F77" s="71" t="n"/>
    </row>
    <row r="78" ht="36" customHeight="1">
      <c r="B78" s="13" t="inlineStr">
        <is>
          <t>The core communication failure is the unacknowledged expectation gap: the customer's RMA expectation from Nov 24 was never reconciled with the renewed troubleshooting requests.</t>
        </is>
      </c>
      <c r="C78" s="86" t="n"/>
      <c r="D78" s="82" t="n"/>
      <c r="E78" s="82" t="n"/>
      <c r="F78" s="71" t="n"/>
    </row>
    <row r="79" ht="28" customHeight="1">
      <c r="B79" s="83" t="n"/>
      <c r="C79" s="9" t="n"/>
      <c r="D79" s="83" t="n"/>
    </row>
    <row r="80" ht="18" customHeight="1">
      <c r="B80" s="80" t="inlineStr">
        <is>
          <t>4. CUSTOMER OWNERSHIP</t>
        </is>
      </c>
      <c r="C80" s="90" t="n"/>
      <c r="D80" s="90" t="n"/>
      <c r="E80" s="74" t="n"/>
      <c r="F80" s="6" t="inlineStr">
        <is>
          <t>Weight: 15%</t>
        </is>
      </c>
    </row>
    <row r="81" ht="28" customHeight="1">
      <c r="B81" s="121" t="inlineStr">
        <is>
          <t>Objective: Measure the degree to which the agent accepted responsibility for moving the customer forward.</t>
        </is>
      </c>
      <c r="C81" s="82" t="n"/>
      <c r="D81" s="82" t="n"/>
      <c r="E81" s="82" t="n"/>
      <c r="F81" s="71" t="n"/>
    </row>
    <row r="82" ht="24"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Took accountability for the customer's outcome and avoided unnecessary transfers</t>
        </is>
      </c>
      <c r="C83" s="9" t="n"/>
      <c r="D83" s="81" t="n"/>
      <c r="E83" s="82" t="n"/>
      <c r="F83" s="71" t="n"/>
    </row>
    <row r="84" ht="28" customHeight="1">
      <c r="B84" s="83" t="n"/>
      <c r="C84" s="9" t="n"/>
      <c r="D84" s="83" t="n"/>
      <c r="E84" s="82" t="n"/>
      <c r="F84" s="71" t="n"/>
    </row>
    <row r="85" ht="28" customHeight="1">
      <c r="B85" s="81" t="inlineStr">
        <is>
          <t>Commitments made were followed through, and a clear path forward was created for the customer.</t>
        </is>
      </c>
      <c r="C85" s="9" t="n"/>
      <c r="D85" s="81" t="n"/>
      <c r="E85" s="82" t="n"/>
      <c r="F85" s="71" t="n"/>
    </row>
    <row r="86" ht="28" customHeight="1">
      <c r="B86" s="83" t="n"/>
      <c r="C86" s="9" t="n"/>
      <c r="D86" s="83" t="n"/>
      <c r="E86" s="82" t="n"/>
      <c r="F86" s="71" t="n"/>
    </row>
    <row r="87" ht="28" customHeight="1">
      <c r="B87" s="81" t="inlineStr">
        <is>
          <t>Next actions were documented</t>
        </is>
      </c>
      <c r="C87" s="9" t="n"/>
      <c r="D87" s="81" t="n"/>
      <c r="E87" s="82" t="n"/>
      <c r="F87" s="71" t="n"/>
    </row>
    <row r="88" ht="28" customHeight="1">
      <c r="B88" s="83" t="inlineStr">
        <is>
          <t>Realistic expectations were set</t>
        </is>
      </c>
      <c r="C88" s="9" t="n"/>
      <c r="D88" s="83" t="n"/>
      <c r="E88" s="82" t="n"/>
      <c r="F88" s="71" t="n"/>
    </row>
    <row r="89" ht="28" customHeight="1">
      <c r="B89" s="81" t="inlineStr">
        <is>
          <t>Completed required disconnect follow-up and met callback commitments within the agreed window</t>
        </is>
      </c>
      <c r="C89" s="9" t="n"/>
      <c r="D89" s="81" t="n"/>
      <c r="E89" s="82" t="n"/>
      <c r="F89" s="71" t="n"/>
    </row>
    <row r="90" ht="28" customHeight="1">
      <c r="B90" s="83" t="n"/>
      <c r="C90" s="9" t="n"/>
      <c r="D90" s="83" t="n"/>
      <c r="E90" s="82" t="n"/>
      <c r="F90" s="71" t="n"/>
    </row>
    <row r="91" ht="28" customHeight="1">
      <c r="B91" s="85" t="inlineStr">
        <is>
          <t>⚠ Automatic deductions: no documented follow-up after disconnect; unclear next steps; passing responsibility without context; failure to complete promised actions; missed or late callbacks without proactive renegotiation.</t>
        </is>
      </c>
      <c r="C91" s="82" t="n"/>
      <c r="D91" s="82" t="n"/>
      <c r="E91" s="82" t="n"/>
      <c r="F91" s="71" t="n"/>
    </row>
    <row r="92" ht="28" customHeight="1">
      <c r="B92" s="11" t="inlineStr">
        <is>
          <t>Auto score (0–5) from indicator ratings — applies unless overridden</t>
        </is>
      </c>
      <c r="C92" s="122">
        <f>IF((COUNTIF(C83:C90,"Met")+COUNTIF(C83:C90,"Partial")+COUNTIF(C83:C90,"Missed"))=0,"",ROUND((COUNTIF(C83:C90,"Met")*5+COUNTIF(C83:C90,"Partial")*2.5)/(COUNTIF(C83:C90,"Met")+COUNTIF(C83:C90,"Partial")+COUNTIF(C83:C90,"Missed")),0))</f>
        <v/>
      </c>
      <c r="D92" s="92" t="n"/>
      <c r="E92" s="82" t="n"/>
      <c r="F92" s="71" t="n"/>
    </row>
    <row r="93" ht="24" customHeight="1">
      <c r="B93" s="13" t="inlineStr">
        <is>
          <t>FINAL SCORE — leave blank to use the auto score; type 0–5 to override</t>
        </is>
      </c>
      <c r="C93" s="14" t="n"/>
      <c r="D93" s="84">
        <f>IF(IF(C93="",C92,C93)="","← rate the indicators above (auto-scores), or type an override",CHOOSE(IF(C93="",C92,C93)+1,"Agent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3" s="82" t="n"/>
      <c r="F93" s="71" t="n"/>
    </row>
    <row r="94" ht="36" customHeight="1">
      <c r="B94" s="13" t="inlineStr">
        <is>
          <t>The escalation itself was a positive ownership step, but follow-through collapsed: the customer's direct questions and the SLA commitment were both left unmet, requiring PMO intervention.</t>
        </is>
      </c>
      <c r="C94" s="86" t="n"/>
      <c r="D94" s="82" t="n"/>
      <c r="E94" s="82" t="n"/>
      <c r="F94" s="71" t="n"/>
    </row>
    <row r="95" ht="24" customHeight="1">
      <c r="B95" s="13" t="n"/>
      <c r="C95" s="14" t="n"/>
      <c r="D95" s="84" t="n"/>
    </row>
    <row r="96" ht="18" customHeight="1">
      <c r="B96" s="80" t="inlineStr">
        <is>
          <t>5. ESCALATION JUDGMENT</t>
        </is>
      </c>
      <c r="C96" s="90" t="n"/>
      <c r="D96" s="90" t="n"/>
      <c r="E96" s="74" t="n"/>
      <c r="F96" s="6" t="inlineStr">
        <is>
          <t>Weight: 10%</t>
        </is>
      </c>
    </row>
    <row r="97" ht="28" customHeight="1">
      <c r="B97" s="121" t="inlineStr">
        <is>
          <t>Objective: Determine whether escalation decisions were appropriate — including UPWARD escalations the customer requested (management, complaint, legal). Mark all N.A. if no escalation was involved and none was warranted.</t>
        </is>
      </c>
      <c r="C97" s="82" t="n"/>
      <c r="D97" s="82" t="n"/>
      <c r="E97" s="82" t="n"/>
      <c r="F97" s="71" t="n"/>
    </row>
    <row r="98" ht="18" customHeight="1">
      <c r="B98" s="94" t="inlineStr">
        <is>
          <t>Behavioral Indicator</t>
        </is>
      </c>
      <c r="C98" s="7" t="inlineStr">
        <is>
          <t>Assessment</t>
        </is>
      </c>
      <c r="D98" s="94" t="inlineStr">
        <is>
          <t>Evidence / Observation (quote or timestamp where possible)</t>
        </is>
      </c>
      <c r="E98" s="82" t="n"/>
      <c r="F98" s="71" t="n"/>
    </row>
    <row r="99" ht="28" customHeight="1">
      <c r="B99" s="81" t="inlineStr">
        <is>
          <t>Completed reasonable troubleshooting before escalating</t>
        </is>
      </c>
      <c r="C99" s="9" t="n"/>
      <c r="D99" s="81" t="n"/>
      <c r="E99" s="82" t="n"/>
      <c r="F99" s="71" t="n"/>
    </row>
    <row r="100" ht="28" customHeight="1">
      <c r="B100" s="83" t="inlineStr">
        <is>
          <t>Identified a valid reason to escalate</t>
        </is>
      </c>
      <c r="C100" s="9" t="n"/>
      <c r="D100" s="83" t="n"/>
      <c r="E100" s="82" t="n"/>
      <c r="F100" s="71" t="n"/>
    </row>
    <row r="101" ht="28" customHeight="1">
      <c r="B101" s="81" t="inlineStr">
        <is>
          <t>Provided complete escalation details using the correct escalation path</t>
        </is>
      </c>
      <c r="C101" s="9" t="n"/>
      <c r="D101" s="81" t="n"/>
      <c r="E101" s="82" t="n"/>
      <c r="F101" s="71" t="n"/>
    </row>
    <row r="102" ht="28" customHeight="1">
      <c r="B102" s="83" t="n"/>
      <c r="C102" s="9" t="n"/>
      <c r="D102" s="83" t="n"/>
      <c r="E102" s="82" t="n"/>
      <c r="F102" s="71" t="n"/>
    </row>
    <row r="103" ht="28" customHeight="1">
      <c r="B103" s="81" t="inlineStr">
        <is>
          <t>Clearly explained why escalation was necessary and what would happen next.</t>
        </is>
      </c>
      <c r="C103" s="9" t="n"/>
      <c r="D103" s="81" t="n"/>
      <c r="E103" s="82" t="n"/>
      <c r="F103" s="71" t="n"/>
    </row>
    <row r="104" ht="28" customHeight="1">
      <c r="B104" s="85" t="inlineStr">
        <is>
          <t>⚠ Low score: premature, avoidable, poorly documented, used as a substitute for troubleshooting — or a warranted escalation (incl. a customer's management request) that was NOT made.</t>
        </is>
      </c>
      <c r="C104" s="82" t="n"/>
      <c r="D104" s="82" t="n"/>
      <c r="E104" s="82" t="n"/>
      <c r="F104" s="71" t="n"/>
    </row>
    <row r="105" ht="28" customHeight="1">
      <c r="B105" s="11" t="inlineStr">
        <is>
          <t>Auto score (0–5) from indicator ratings — applies unless overridden</t>
        </is>
      </c>
      <c r="C105" s="122">
        <f>IF((COUNTIF(C99:C103,"Met")+COUNTIF(C99:C103,"Partial")+COUNTIF(C99:C103,"Missed"))=0,"",ROUND((COUNTIF(C99:C103,"Met")*5+COUNTIF(C99:C103,"Partial")*2.5)/(COUNTIF(C99:C103,"Met")+COUNTIF(C99:C103,"Partial")+COUNTIF(C99:C103,"Missed")),0))</f>
        <v/>
      </c>
      <c r="D105" s="92" t="n"/>
      <c r="E105" s="82" t="n"/>
      <c r="F105" s="71" t="n"/>
    </row>
    <row r="106" ht="24" customHeight="1">
      <c r="B106" s="13" t="inlineStr">
        <is>
          <t>FINAL SCORE — leave blank to use the auto score; type 0–5 to override</t>
        </is>
      </c>
      <c r="C106" s="14" t="n"/>
      <c r="D106" s="84">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6" s="82" t="n"/>
      <c r="F106" s="71" t="n"/>
    </row>
    <row r="107" ht="36" customHeight="1">
      <c r="B107" s="13" t="inlineStr">
        <is>
          <t>The escalation decision and routing were correct; the SLA management and handoff completeness after escalation were not.</t>
        </is>
      </c>
      <c r="C107" s="86" t="n"/>
      <c r="D107" s="82" t="n"/>
      <c r="E107" s="82" t="n"/>
      <c r="F107" s="71" t="n"/>
    </row>
    <row r="108" ht="20" customHeight="1">
      <c r="B108" s="80" t="inlineStr">
        <is>
          <t>ESCALATION FOLLOW-UP   ·   Complete only if an escalation was submitted</t>
        </is>
      </c>
      <c r="C108" s="90" t="n"/>
      <c r="D108" s="90" t="n"/>
      <c r="E108" s="90" t="n"/>
      <c r="F108" s="74" t="n"/>
    </row>
    <row r="109" ht="20" customHeight="1">
      <c r="B109" s="13" t="inlineStr">
        <is>
          <t>What did the receiving agent / Level 2 do to resolve or advance this case?</t>
        </is>
      </c>
      <c r="C109" s="123" t="n"/>
      <c r="F109" s="6" t="n"/>
    </row>
    <row r="110" ht="45" customHeight="1">
      <c r="B110" s="124" t="n"/>
      <c r="C110" s="125" t="n"/>
    </row>
    <row r="111" ht="18" customHeight="1">
      <c r="B111" s="80" t="inlineStr">
        <is>
          <t>L1 learning points from this escalation outcome</t>
        </is>
      </c>
      <c r="C111" s="90" t="n"/>
      <c r="D111" s="90" t="n"/>
      <c r="E111" s="90" t="n"/>
      <c r="F111" s="74" t="n"/>
    </row>
    <row r="112" ht="28" customHeight="1">
      <c r="B112" s="13" t="inlineStr">
        <is>
          <t>1.</t>
        </is>
      </c>
      <c r="C112" s="9" t="n"/>
      <c r="D112" s="82" t="n"/>
      <c r="E112" s="82" t="n"/>
      <c r="F112" s="71" t="n"/>
    </row>
    <row r="113" ht="28" customHeight="1">
      <c r="B113" s="13" t="inlineStr">
        <is>
          <t>2.</t>
        </is>
      </c>
      <c r="C113" s="9" t="n"/>
      <c r="D113" s="82" t="n"/>
      <c r="E113" s="82" t="n"/>
      <c r="F113" s="71" t="n"/>
    </row>
    <row r="114" ht="28" customHeight="1">
      <c r="B114" s="13" t="inlineStr">
        <is>
          <t>3.</t>
        </is>
      </c>
      <c r="C114" s="9" t="n"/>
      <c r="D114" s="82" t="n"/>
      <c r="E114" s="82" t="n"/>
      <c r="F114" s="71" t="n"/>
    </row>
    <row r="115" ht="28" customHeight="1">
      <c r="B115" s="83" t="n"/>
      <c r="C115" s="9" t="n"/>
      <c r="D115" s="83" t="n"/>
    </row>
    <row r="116" ht="18" customHeight="1">
      <c r="B116" s="80" t="inlineStr">
        <is>
          <t>6. CUSTOMER EXPERIENCE</t>
        </is>
      </c>
      <c r="C116" s="90" t="n"/>
      <c r="D116" s="90" t="n"/>
      <c r="E116" s="74" t="n"/>
      <c r="F116" s="6" t="inlineStr">
        <is>
          <t>Weight: 5%</t>
        </is>
      </c>
    </row>
    <row r="117" ht="28" customHeight="1">
      <c r="B117" s="121" t="inlineStr">
        <is>
          <t>Objective: Measure the overall customer experience delivered during the interaction.</t>
        </is>
      </c>
      <c r="C117" s="82" t="n"/>
      <c r="D117" s="82" t="n"/>
      <c r="E117" s="82" t="n"/>
      <c r="F117" s="71" t="n"/>
    </row>
    <row r="118" ht="28" customHeight="1">
      <c r="B118" s="94" t="inlineStr">
        <is>
          <t>Behavioral Indicator</t>
        </is>
      </c>
      <c r="C118" s="7" t="inlineStr">
        <is>
          <t>Assessment</t>
        </is>
      </c>
      <c r="D118" s="94" t="inlineStr">
        <is>
          <t>Evidence / Observation (quote or timestamp where possible)</t>
        </is>
      </c>
      <c r="E118" s="82" t="n"/>
      <c r="F118" s="71" t="n"/>
    </row>
    <row r="119" ht="28" customHeight="1">
      <c r="B119" s="81" t="inlineStr">
        <is>
          <t>Demonstrated empathy including for repeat-contact fatigue</t>
        </is>
      </c>
      <c r="C119" s="9" t="n"/>
      <c r="D119" s="81" t="n"/>
      <c r="E119" s="82" t="n"/>
      <c r="F119" s="71" t="n"/>
    </row>
    <row r="120" ht="28" customHeight="1">
      <c r="B120" s="83" t="inlineStr">
        <is>
          <t>Stayed professional throughout and maintained patience, even under pressure</t>
        </is>
      </c>
      <c r="C120" s="9" t="n"/>
      <c r="D120" s="83" t="n"/>
      <c r="E120" s="82" t="n"/>
      <c r="F120" s="71" t="n"/>
    </row>
    <row r="121" ht="28" customHeight="1">
      <c r="B121" s="81" t="inlineStr">
        <is>
          <t>Agent matched the customer's tone, pace, level, and energy</t>
        </is>
      </c>
      <c r="C121" s="9" t="n"/>
      <c r="D121" s="81" t="n"/>
      <c r="E121" s="82" t="n"/>
      <c r="F121" s="71" t="n"/>
    </row>
    <row r="122" ht="28" customHeight="1">
      <c r="B122" s="83" t="n"/>
      <c r="C122" s="9" t="n"/>
      <c r="D122" s="83" t="n"/>
      <c r="E122" s="82" t="n"/>
      <c r="F122" s="71" t="n"/>
    </row>
    <row r="123" ht="28" customHeight="1">
      <c r="B123" s="81" t="inlineStr">
        <is>
          <t>Minimized customer effort</t>
        </is>
      </c>
      <c r="C123" s="9" t="n"/>
      <c r="D123" s="81" t="n"/>
      <c r="E123" s="82" t="n"/>
      <c r="F123" s="71" t="n"/>
    </row>
    <row r="124" ht="28" customHeight="1">
      <c r="B124" s="83" t="inlineStr">
        <is>
          <t>Maintained customer understanding and engagement</t>
        </is>
      </c>
      <c r="C124" s="9" t="n"/>
      <c r="D124" s="83" t="n"/>
      <c r="E124" s="82" t="n"/>
      <c r="F124" s="71" t="n"/>
    </row>
    <row r="125" ht="28" customHeight="1">
      <c r="B125" s="85" t="inlineStr">
        <is>
          <t>⚠ Negative indicators: dismissive responses; robotic interactions; frustration escalation caused by agent behavior; marathon sessions pushed onto vulnerable customers without offering to pause and resume.</t>
        </is>
      </c>
      <c r="C125" s="82" t="n"/>
      <c r="D125" s="82" t="n"/>
      <c r="E125" s="82" t="n"/>
      <c r="F125" s="71" t="n"/>
    </row>
    <row r="126" ht="28" customHeight="1">
      <c r="B126" s="11" t="inlineStr">
        <is>
          <t>Auto score (0–5) from indicator ratings — applies unless overridden</t>
        </is>
      </c>
      <c r="C126" s="122">
        <f>IF((COUNTIF(C119:C124,"Met")+COUNTIF(C119:C124,"Partial")+COUNTIF(C119:C124,"Missed"))=0,"",ROUND((COUNTIF(C119:C124,"Met")*5+COUNTIF(C119:C124,"Partial")*2.5)/(COUNTIF(C119:C124,"Met")+COUNTIF(C119:C124,"Partial")+COUNTIF(C119:C124,"Missed")),0))</f>
        <v/>
      </c>
      <c r="D126" s="92" t="n"/>
      <c r="E126" s="82" t="n"/>
      <c r="F126" s="71" t="n"/>
    </row>
    <row r="127" ht="24" customHeight="1">
      <c r="B127" s="13" t="inlineStr">
        <is>
          <t>FINAL SCORE — leave blank to use the auto score; type 0–5 to override</t>
        </is>
      </c>
      <c r="C127" s="14" t="n"/>
      <c r="D127" s="84">
        <f>IF(IF(C127="",C126,C127)="","← rate the indicators above (auto-scores), or type an override",CHOOSE(IF(C127="",C126,C127)+1,"Agent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7" s="82" t="n"/>
      <c r="F127" s="71" t="n"/>
    </row>
    <row r="128" ht="36" customHeight="1">
      <c r="B128" s="13" t="inlineStr">
        <is>
          <t>Professionalism was maintained, but the customer's confidence and engagement collapsed by the end of this touch.</t>
        </is>
      </c>
      <c r="C128" s="86" t="n"/>
      <c r="D128" s="82" t="n"/>
      <c r="E128" s="82" t="n"/>
      <c r="F128" s="71" t="n"/>
    </row>
    <row r="129" ht="28" customHeight="1">
      <c r="B129" s="85" t="n"/>
      <c r="C129" s="9" t="n"/>
      <c r="D129" s="83" t="n"/>
    </row>
    <row r="130" ht="18" customHeight="1">
      <c r="B130" s="80" t="inlineStr">
        <is>
          <t>7. DOCUMENTATION &amp; NOTES</t>
        </is>
      </c>
      <c r="C130" s="90" t="n"/>
      <c r="D130" s="90" t="n"/>
      <c r="E130" s="74" t="n"/>
      <c r="F130" s="6" t="inlineStr">
        <is>
          <t>Weight: 5%</t>
        </is>
      </c>
    </row>
    <row r="131" ht="28" customHeight="1">
      <c r="B131" s="121" t="inlineStr">
        <is>
          <t>Objective: Ensure future agents can quickly understand the case. Purpose is continuity, not compliance.</t>
        </is>
      </c>
      <c r="C131" s="82" t="n"/>
      <c r="D131" s="82" t="n"/>
      <c r="E131" s="82" t="n"/>
      <c r="F131" s="71" t="n"/>
    </row>
    <row r="132" ht="36" customHeight="1">
      <c r="B132" s="94" t="inlineStr">
        <is>
          <t>Behavioral Indicator</t>
        </is>
      </c>
      <c r="C132" s="7" t="inlineStr">
        <is>
          <t>Assessment</t>
        </is>
      </c>
      <c r="D132" s="94" t="inlineStr">
        <is>
          <t>Evidence / Observation (quote or timestamp where possible)</t>
        </is>
      </c>
      <c r="E132" s="82" t="n"/>
      <c r="F132" s="71" t="n"/>
    </row>
    <row r="133" ht="28" customHeight="1">
      <c r="B133" s="81" t="inlineStr">
        <is>
          <t>Recorded customer issue summary</t>
        </is>
      </c>
      <c r="C133" s="9" t="n"/>
      <c r="D133" s="81" t="n"/>
      <c r="E133" s="82" t="n"/>
      <c r="F133" s="71" t="n"/>
    </row>
    <row r="134" ht="28" customHeight="1">
      <c r="B134" s="83" t="inlineStr">
        <is>
          <t>Documented troubleshooting steps</t>
        </is>
      </c>
      <c r="C134" s="9" t="n"/>
      <c r="D134" s="83" t="n"/>
      <c r="E134" s="82" t="n"/>
      <c r="F134" s="71" t="n"/>
    </row>
    <row r="135" ht="28" customHeight="1">
      <c r="B135" s="81" t="inlineStr">
        <is>
          <t>Noted key findings</t>
        </is>
      </c>
      <c r="C135" s="9" t="n"/>
      <c r="D135" s="81" t="n"/>
      <c r="E135" s="82" t="n"/>
      <c r="F135" s="71" t="n"/>
    </row>
    <row r="136" ht="28" customHeight="1">
      <c r="B136" s="83" t="inlineStr">
        <is>
          <t>Captured agent reasoning - escalation justification, offline recommendations provided by colleagues and other support POCs especially if no private notes applicable to step/action.</t>
        </is>
      </c>
      <c r="C136" s="9" t="n"/>
      <c r="D136" s="83" t="n"/>
      <c r="E136" s="82" t="n"/>
      <c r="F136" s="71" t="n"/>
    </row>
    <row r="137" ht="28" customHeight="1">
      <c r="B137" s="81" t="n"/>
      <c r="C137" s="9" t="n"/>
      <c r="D137" s="81" t="n"/>
      <c r="E137" s="82" t="n"/>
      <c r="F137" s="71" t="n"/>
    </row>
    <row r="138" ht="28" customHeight="1">
      <c r="B138" s="83" t="inlineStr">
        <is>
          <t>Documented next steps and follow-ups</t>
        </is>
      </c>
      <c r="C138" s="9" t="n"/>
      <c r="D138" s="83" t="n"/>
      <c r="E138" s="82" t="n"/>
      <c r="F138" s="71" t="n"/>
    </row>
    <row r="139" ht="28" customHeight="1">
      <c r="B139" s="81" t="inlineStr">
        <is>
          <t>Updated ticket status accurately</t>
        </is>
      </c>
      <c r="C139" s="9" t="n"/>
      <c r="D139" s="81" t="n"/>
      <c r="E139" s="82" t="n"/>
      <c r="F139" s="71" t="n"/>
    </row>
    <row r="140" ht="28" customHeight="1">
      <c r="B140" s="85" t="inlineStr">
        <is>
          <t>⚠ Documentation supports outcomes but should not outweigh troubleshooting quality, communication, or ownership. Notes must carry the FULL history — including pre-ticket contacts — so no agent treats a long-running case as new.</t>
        </is>
      </c>
      <c r="C140" s="82" t="n"/>
      <c r="D140" s="82" t="n"/>
      <c r="E140" s="82" t="n"/>
      <c r="F140" s="71" t="n"/>
    </row>
    <row r="141" ht="52" customHeight="1">
      <c r="B141" s="11" t="inlineStr">
        <is>
          <t>Auto score (0–5) from indicator ratings — applies unless overridden</t>
        </is>
      </c>
      <c r="C141" s="122">
        <f>IF((COUNTIF(C133:C139,"Met")+COUNTIF(C133:C139,"Partial")+COUNTIF(C133:C139,"Missed"))=0,"",ROUND((COUNTIF(C133:C139,"Met")*5+COUNTIF(C133:C139,"Partial")*2.5)/(COUNTIF(C133:C139,"Met")+COUNTIF(C133:C139,"Partial")+COUNTIF(C133:C139,"Missed")),0))</f>
        <v/>
      </c>
      <c r="D141" s="92" t="n"/>
      <c r="E141" s="82" t="n"/>
      <c r="F141" s="71" t="n"/>
    </row>
    <row r="142" ht="24" customHeight="1">
      <c r="B142" s="13" t="inlineStr">
        <is>
          <t>FINAL SCORE — leave blank to use the auto score; type 0–5 to override</t>
        </is>
      </c>
      <c r="C142" s="14" t="n"/>
      <c r="D142" s="84">
        <f>IF(IF(C142="",C141,C142)="","← rate the indicators above (auto-scores), or type an override",CHOOSE(IF(C142="",C141,C142)+1,"Agent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42" s="82" t="n"/>
      <c r="F142" s="71" t="n"/>
    </row>
    <row r="143" ht="36" customHeight="1">
      <c r="B143" s="13" t="inlineStr">
        <is>
          <t>Escalation steps are documented, but the case record does not carry the full history forward, and ticket status does not reflect reality.</t>
        </is>
      </c>
      <c r="C143" s="86" t="n"/>
      <c r="D143" s="82" t="n"/>
      <c r="E143" s="82" t="n"/>
      <c r="F143" s="71" t="n"/>
    </row>
    <row r="144">
      <c r="B144" s="80" t="n"/>
    </row>
    <row r="145" ht="30" customHeight="1">
      <c r="B145" s="80" t="n"/>
      <c r="C145" s="9" t="n"/>
      <c r="D145" s="85" t="n"/>
    </row>
    <row r="146" ht="30" customHeight="1">
      <c r="B146" s="80" t="inlineStr">
        <is>
          <t>4 · RESOLUTION OUTCOME</t>
        </is>
      </c>
      <c r="C146" s="90" t="n"/>
      <c r="D146" s="90" t="n"/>
      <c r="E146" s="90" t="n"/>
      <c r="F146" s="74" t="n"/>
    </row>
    <row r="147">
      <c r="B147" s="94" t="inlineStr">
        <is>
          <t>Outcome classification</t>
        </is>
      </c>
      <c r="C147" s="97" t="n"/>
      <c r="D147" s="82" t="n"/>
      <c r="E147" s="82" t="n"/>
      <c r="F147" s="71" t="n"/>
    </row>
    <row r="148" ht="52" customHeight="1">
      <c r="B148" s="87" t="inlineStr">
        <is>
          <t>Primary positive outcome achieved</t>
        </is>
      </c>
      <c r="C148" s="88" t="n"/>
      <c r="D148" s="82" t="n"/>
      <c r="E148" s="82" t="n"/>
      <c r="F148" s="71" t="n"/>
    </row>
    <row r="149" ht="52" customHeight="1">
      <c r="B149" s="94" t="inlineStr">
        <is>
          <t>Justification</t>
        </is>
      </c>
      <c r="C149" s="86" t="n"/>
      <c r="D149" s="82" t="n"/>
      <c r="E149" s="82" t="n"/>
      <c r="F149" s="71" t="n"/>
    </row>
    <row r="150" ht="26" customHeight="1">
      <c r="B150" s="80" t="n"/>
      <c r="C150" s="9" t="n"/>
      <c r="D150" s="81" t="n"/>
    </row>
    <row r="151" ht="26" customHeight="1">
      <c r="B151" s="80" t="inlineStr">
        <is>
          <t>5 · DISCONNECTED CALL FOLLOW-UP</t>
        </is>
      </c>
      <c r="C151" s="90" t="n"/>
      <c r="D151" s="90" t="n"/>
      <c r="E151" s="90" t="n"/>
      <c r="F151" s="74" t="n"/>
    </row>
    <row r="152" ht="30" customHeight="1">
      <c r="B152" s="87" t="inlineStr">
        <is>
          <t>Did the interaction disconnect before completion?</t>
        </is>
      </c>
      <c r="C152" s="9" t="inlineStr">
        <is>
          <t>No</t>
        </is>
      </c>
      <c r="D152" s="85" t="inlineStr">
        <is>
          <t>If Yes, at least one documented follow-up action is required.</t>
        </is>
      </c>
      <c r="E152" s="82" t="n"/>
      <c r="F152" s="71" t="n"/>
    </row>
    <row r="153" ht="30" customHeight="1">
      <c r="B153" s="94" t="inlineStr">
        <is>
          <t>Follow-up action taken</t>
        </is>
      </c>
      <c r="C153" s="88" t="inlineStr">
        <is>
          <t>N.A. — no disconnect</t>
        </is>
      </c>
      <c r="D153" s="71" t="n"/>
      <c r="E153" s="79">
        <f>IF(AND(C152="Yes",OR(C153="None",C153="N.A. — no disconnect")),"⚠ MISSED OWNERSHIP OPPORTUNITY — flag in Customer Ownership and Critical Failures","OK")</f>
        <v/>
      </c>
      <c r="F153" s="71" t="n"/>
    </row>
    <row r="154" ht="26" customHeight="1">
      <c r="B154" s="98" t="n"/>
      <c r="C154" s="9" t="n"/>
      <c r="D154" s="81" t="n"/>
    </row>
    <row r="155" ht="26" customHeight="1">
      <c r="B155" s="98" t="inlineStr">
        <is>
          <t>6 · CRITICAL FAILURE CONDITIONS  (any 'Yes' triggers automatic review / coaching / QA failure regardless of score)</t>
        </is>
      </c>
      <c r="C155" s="90" t="n"/>
      <c r="D155" s="90" t="n"/>
      <c r="E155" s="90" t="n"/>
      <c r="F155" s="74" t="n"/>
    </row>
    <row r="156" ht="26" customHeight="1">
      <c r="B156" s="80" t="inlineStr">
        <is>
          <t>Condition</t>
        </is>
      </c>
      <c r="C156" s="119" t="inlineStr">
        <is>
          <t>Present?</t>
        </is>
      </c>
      <c r="D156" s="80" t="inlineStr">
        <is>
          <t>Notes / Evidence</t>
        </is>
      </c>
      <c r="E156" s="90" t="n"/>
      <c r="F156" s="74" t="n"/>
    </row>
    <row r="157" ht="26" customHeight="1">
      <c r="B157" s="81" t="inlineStr">
        <is>
          <t>Harmful or incorrect troubleshooting provided</t>
        </is>
      </c>
      <c r="C157" s="9" t="inlineStr">
        <is>
          <t>No</t>
        </is>
      </c>
      <c r="D157" s="81" t="n"/>
      <c r="E157" s="82" t="n"/>
      <c r="F157" s="71" t="n"/>
    </row>
    <row r="158" ht="26" customHeight="1">
      <c r="B158" s="83" t="inlineStr">
        <is>
          <t>Misrepresented product capabilities</t>
        </is>
      </c>
      <c r="C158" s="9" t="inlineStr">
        <is>
          <t>No</t>
        </is>
      </c>
      <c r="D158" s="83" t="n"/>
      <c r="E158" s="82" t="n"/>
      <c r="F158" s="71" t="n"/>
    </row>
    <row r="159" ht="26" customHeight="1">
      <c r="B159" s="81" t="inlineStr">
        <is>
          <t>Unsupported root-cause claims (e.g., ISP/customer blame w/o evidence)</t>
        </is>
      </c>
      <c r="C159" s="9" t="inlineStr">
        <is>
          <t>No</t>
        </is>
      </c>
      <c r="D159" s="81" t="n"/>
      <c r="E159" s="82" t="n"/>
      <c r="F159" s="71" t="n"/>
    </row>
    <row r="160" ht="26" customHeight="1">
      <c r="B160" s="83" t="inlineStr">
        <is>
          <t>No follow-up after disconnected call</t>
        </is>
      </c>
      <c r="C160" s="9" t="inlineStr">
        <is>
          <t>No</t>
        </is>
      </c>
      <c r="D160" s="83" t="n"/>
      <c r="E160" s="82" t="n"/>
      <c r="F160" s="71" t="n"/>
    </row>
    <row r="161" ht="26" customHeight="1">
      <c r="B161" s="81" t="inlineStr">
        <is>
          <t>Failed to complete a promised action (incl. missed agreed callback window)</t>
        </is>
      </c>
      <c r="C161" s="9" t="inlineStr">
        <is>
          <t>No</t>
        </is>
      </c>
      <c r="D161" s="81" t="n"/>
      <c r="E161" s="82" t="n"/>
      <c r="F161" s="71" t="n"/>
    </row>
    <row r="162" ht="26" customHeight="1">
      <c r="B162" s="83" t="inlineStr">
        <is>
          <t>Abandoned customer without a path forward</t>
        </is>
      </c>
      <c r="C162" s="9" t="inlineStr">
        <is>
          <t>No</t>
        </is>
      </c>
      <c r="D162" s="83" t="n"/>
      <c r="E162" s="82" t="n"/>
      <c r="F162" s="71" t="n"/>
    </row>
    <row r="163" ht="26" customHeight="1">
      <c r="B163" s="81" t="inlineStr">
        <is>
          <t>Escalated without reasonable troubleshooting / to avoid ownership</t>
        </is>
      </c>
      <c r="C163" s="9" t="inlineStr">
        <is>
          <t>No</t>
        </is>
      </c>
      <c r="D163" s="81" t="n"/>
      <c r="E163" s="82" t="n"/>
      <c r="F163" s="71" t="n"/>
    </row>
    <row r="164" ht="26" customHeight="1">
      <c r="B164" s="83" t="inlineStr">
        <is>
          <t>Unprofessional, rude, or dismissive conduct / policy violation</t>
        </is>
      </c>
      <c r="C164" s="9" t="inlineStr">
        <is>
          <t>No</t>
        </is>
      </c>
      <c r="D164" s="83" t="n"/>
      <c r="E164" s="82" t="n"/>
      <c r="F164" s="71" t="n"/>
    </row>
    <row r="165" ht="26" customHeight="1">
      <c r="B165" s="83" t="inlineStr">
        <is>
          <t>Case marked Resolved while issue known to be unresolved (premature closure / no closure reason)</t>
        </is>
      </c>
      <c r="C165" s="9" t="inlineStr">
        <is>
          <t>No</t>
        </is>
      </c>
      <c r="D165" s="83" t="n"/>
      <c r="E165" s="82" t="n"/>
      <c r="F165" s="71" t="n"/>
    </row>
    <row r="166" ht="26" customHeight="1">
      <c r="B166" s="81" t="inlineStr">
        <is>
          <t>Customer complaint, management-contact, or legal-risk request not escalated</t>
        </is>
      </c>
      <c r="C166" s="9" t="inlineStr">
        <is>
          <t>No</t>
        </is>
      </c>
      <c r="D166" s="81" t="n"/>
      <c r="E166" s="82" t="n"/>
      <c r="F166" s="71" t="n"/>
    </row>
    <row r="167" ht="26" customHeight="1">
      <c r="B167" s="81" t="inlineStr">
        <is>
          <t>Survey / CSAT manipulation</t>
        </is>
      </c>
      <c r="C167" s="9" t="inlineStr">
        <is>
          <t>No</t>
        </is>
      </c>
      <c r="D167" s="81" t="n"/>
      <c r="E167" s="82" t="n"/>
      <c r="F167" s="71" t="n"/>
    </row>
    <row r="168" ht="26" customHeight="1">
      <c r="B168" s="98" t="inlineStr">
        <is>
          <t>CRITICAL FAILURE FLAGGED?</t>
        </is>
      </c>
      <c r="C168" s="93">
        <f>IF(COUNTIF(C157:C167,"Yes")&gt;0,"YES — "&amp;COUNTIF(C157:C167,"Yes")&amp;" condition(s) flagged — automatic review required regardless of weighted score","No critical failures")</f>
        <v/>
      </c>
      <c r="D168" s="90" t="n"/>
      <c r="E168" s="90" t="n"/>
      <c r="F168" s="74" t="n"/>
    </row>
    <row r="169" ht="20" customHeight="1">
      <c r="B169" s="96" t="n"/>
      <c r="C169" s="119" t="n"/>
      <c r="D169" s="80" t="n"/>
    </row>
    <row r="170" ht="22" customHeight="1">
      <c r="B170" s="98" t="inlineStr">
        <is>
          <t>7 · AUTO-ZERO   (from the 360 Form — any trigger forces the Quality Score to 0%)</t>
        </is>
      </c>
      <c r="C170" s="90" t="n"/>
      <c r="D170" s="90" t="n"/>
      <c r="E170" s="90" t="n"/>
      <c r="F170" s="74" t="n"/>
    </row>
    <row r="171" ht="30" customHeight="1">
      <c r="B171" s="85" t="inlineStr">
        <is>
          <t>A gate marked 'No', any A–K item marked 'Yes', or any §6 critical-failure condition forces the weighted Quality Score (§3) to 0%. Category scores still show for coaching.</t>
        </is>
      </c>
      <c r="C171" s="82" t="n"/>
      <c r="D171" s="82" t="n"/>
      <c r="E171" s="82" t="n"/>
      <c r="F171" s="71" t="n"/>
    </row>
    <row r="172" ht="30" customHeight="1">
      <c r="B172" s="80" t="inlineStr">
        <is>
          <t>Compliance gate  (mark Yes if adhered)</t>
        </is>
      </c>
      <c r="C172" s="119" t="inlineStr">
        <is>
          <t>Adherent?</t>
        </is>
      </c>
      <c r="D172" s="80" t="inlineStr">
        <is>
          <t>Notes / Evidence</t>
        </is>
      </c>
      <c r="E172" s="90" t="n"/>
      <c r="F172" s="74" t="n"/>
    </row>
    <row r="173" ht="26" customHeight="1">
      <c r="B173" s="81" t="inlineStr">
        <is>
          <t>Adherence to Callback Hours</t>
        </is>
      </c>
      <c r="C173" s="9" t="inlineStr">
        <is>
          <t>Yes</t>
        </is>
      </c>
      <c r="D173" s="81" t="n"/>
      <c r="E173" s="82" t="n"/>
      <c r="F173" s="71" t="n"/>
    </row>
    <row r="174" ht="26" customHeight="1">
      <c r="B174" s="81" t="inlineStr">
        <is>
          <t>Adherence to PCI &amp; Information Security Standards</t>
        </is>
      </c>
      <c r="C174" s="9" t="inlineStr">
        <is>
          <t>Yes</t>
        </is>
      </c>
      <c r="D174" s="81" t="n"/>
      <c r="E174" s="82" t="n"/>
      <c r="F174" s="71" t="n"/>
    </row>
    <row r="175" ht="26" customHeight="1">
      <c r="B175" s="81" t="inlineStr">
        <is>
          <t>Sales</t>
        </is>
      </c>
      <c r="C175" s="9" t="inlineStr">
        <is>
          <t>Yes</t>
        </is>
      </c>
      <c r="D175" s="81" t="n"/>
      <c r="E175" s="82" t="n"/>
      <c r="F175" s="71" t="n"/>
    </row>
    <row r="176" ht="32" customHeight="1">
      <c r="B176" s="80" t="inlineStr">
        <is>
          <t>AUTO-ZERO list — A to K  (mark Yes if it occurred)</t>
        </is>
      </c>
      <c r="C176" s="119" t="inlineStr">
        <is>
          <t>Occurred?</t>
        </is>
      </c>
      <c r="D176" s="80" t="inlineStr">
        <is>
          <t>Notes / Evidence</t>
        </is>
      </c>
      <c r="E176" s="90" t="n"/>
      <c r="F176" s="74" t="n"/>
    </row>
    <row r="177" ht="26" customHeight="1">
      <c r="B177" s="81" t="inlineStr">
        <is>
          <t>A.  Call / Session Abandonment</t>
        </is>
      </c>
      <c r="C177" s="9" t="inlineStr">
        <is>
          <t>No</t>
        </is>
      </c>
      <c r="D177" s="81" t="n"/>
      <c r="E177" s="82" t="n"/>
      <c r="F177" s="71" t="n"/>
    </row>
    <row r="178" ht="26" customHeight="1">
      <c r="B178" s="81" t="inlineStr">
        <is>
          <t>B.  Call / Session Avoidance / Evasion</t>
        </is>
      </c>
      <c r="C178" s="9" t="inlineStr">
        <is>
          <t>No</t>
        </is>
      </c>
      <c r="D178" s="81" t="n"/>
      <c r="E178" s="82" t="n"/>
      <c r="F178" s="71" t="n"/>
    </row>
    <row r="179" ht="26" customHeight="1">
      <c r="B179" s="81" t="inlineStr">
        <is>
          <t>C.  Discourtesy</t>
        </is>
      </c>
      <c r="C179" s="9" t="inlineStr">
        <is>
          <t>No</t>
        </is>
      </c>
      <c r="D179" s="81" t="n"/>
      <c r="E179" s="82" t="n"/>
      <c r="F179" s="71" t="n"/>
    </row>
    <row r="180" ht="26" customHeight="1">
      <c r="B180" s="81" t="inlineStr">
        <is>
          <t>D.  Escalation</t>
        </is>
      </c>
      <c r="C180" s="9" t="inlineStr">
        <is>
          <t>No</t>
        </is>
      </c>
      <c r="D180" s="81" t="n"/>
      <c r="E180" s="82" t="n"/>
      <c r="F180" s="71" t="n"/>
    </row>
    <row r="181" ht="26" customHeight="1">
      <c r="B181" s="81" t="inlineStr">
        <is>
          <t>E.  Failure to ask for the email address</t>
        </is>
      </c>
      <c r="C181" s="9" t="inlineStr">
        <is>
          <t>No</t>
        </is>
      </c>
      <c r="D181" s="81" t="n"/>
      <c r="E181" s="82" t="n"/>
      <c r="F181" s="71" t="n"/>
    </row>
    <row r="182" ht="26" customHeight="1">
      <c r="B182" s="81" t="inlineStr">
        <is>
          <t>F.  Fraud</t>
        </is>
      </c>
      <c r="C182" s="9" t="inlineStr">
        <is>
          <t>No</t>
        </is>
      </c>
      <c r="D182" s="81" t="n"/>
      <c r="E182" s="82" t="n"/>
      <c r="F182" s="71" t="n"/>
    </row>
    <row r="183" ht="26" customHeight="1">
      <c r="B183" s="81" t="inlineStr">
        <is>
          <t>G.  Hard-selling</t>
        </is>
      </c>
      <c r="C183" s="9" t="inlineStr">
        <is>
          <t>No</t>
        </is>
      </c>
      <c r="D183" s="81" t="n"/>
      <c r="E183" s="82" t="n"/>
      <c r="F183" s="71" t="n"/>
    </row>
    <row r="184" ht="26" customHeight="1">
      <c r="B184" s="81" t="inlineStr">
        <is>
          <t>H.  Line Release</t>
        </is>
      </c>
      <c r="C184" s="9" t="inlineStr">
        <is>
          <t>No</t>
        </is>
      </c>
      <c r="D184" s="81" t="n"/>
      <c r="E184" s="82" t="n"/>
      <c r="F184" s="71" t="n"/>
    </row>
    <row r="185" ht="26" customHeight="1">
      <c r="B185" s="81" t="inlineStr">
        <is>
          <t>I.  Non-Adherence to Callback Hours</t>
        </is>
      </c>
      <c r="C185" s="9" t="inlineStr">
        <is>
          <t>No</t>
        </is>
      </c>
      <c r="D185" s="81" t="n"/>
      <c r="E185" s="82" t="n"/>
      <c r="F185" s="71" t="n"/>
    </row>
    <row r="186" ht="26" customHeight="1">
      <c r="B186" s="81" t="inlineStr">
        <is>
          <t>J.  Non-Adherence to PCI and Information Security Standards</t>
        </is>
      </c>
      <c r="C186" s="9" t="inlineStr">
        <is>
          <t>No</t>
        </is>
      </c>
      <c r="D186" s="81" t="n"/>
      <c r="E186" s="82" t="n"/>
      <c r="F186" s="71" t="n"/>
    </row>
    <row r="187" ht="26" customHeight="1">
      <c r="B187" s="81" t="inlineStr">
        <is>
          <t>K.  Non-First Call Resolution</t>
        </is>
      </c>
      <c r="C187" s="9" t="inlineStr">
        <is>
          <t>No</t>
        </is>
      </c>
      <c r="D187" s="81" t="n"/>
      <c r="E187" s="82" t="n"/>
      <c r="F187" s="71" t="n"/>
    </row>
    <row r="188" ht="24" customHeight="1">
      <c r="B188" s="98" t="inlineStr">
        <is>
          <t>AUTO-ZERO TRIGGERED?</t>
        </is>
      </c>
      <c r="C188" s="93">
        <f>IF(OR(C173="No",C174="No",C175="No",COUNTIF(C177:C187,"Yes")&gt;0,COUNTIF(C157:C167,"Yes")&gt;0),"YES — Quality Score forced to 0%","No")</f>
        <v/>
      </c>
      <c r="D188" s="90" t="n"/>
      <c r="E188" s="90" t="n"/>
      <c r="F188" s="74" t="n"/>
    </row>
    <row r="189" ht="58" customHeight="1">
      <c r="B189" s="86" t="n"/>
      <c r="C189" s="86" t="n"/>
      <c r="D189" s="81" t="n"/>
    </row>
    <row r="190" ht="20" customHeight="1">
      <c r="B190" s="96" t="inlineStr">
        <is>
          <t>8 · COACHING &amp; FEEDBACK   (every review answers the three QA questions below)</t>
        </is>
      </c>
      <c r="C190" s="90" t="n"/>
      <c r="D190" s="90" t="n"/>
      <c r="E190" s="90" t="n"/>
      <c r="F190" s="74" t="n"/>
    </row>
    <row r="191" ht="30" customHeight="1">
      <c r="B191" s="91" t="inlineStr">
        <is>
          <t>Q1 · Did we help the customer as effectively as we reasonably could?</t>
        </is>
      </c>
      <c r="C191" s="90" t="n"/>
      <c r="D191" s="90" t="n"/>
      <c r="E191" s="90" t="n"/>
      <c r="F191" s="74" t="n"/>
    </row>
    <row r="192" ht="58" customHeight="1">
      <c r="B192" s="86" t="n"/>
      <c r="C192" s="82" t="n"/>
      <c r="D192" s="82" t="n"/>
      <c r="E192" s="82" t="n"/>
      <c r="F192" s="71" t="n"/>
    </row>
    <row r="193" ht="30" customHeight="1">
      <c r="B193" s="91" t="inlineStr">
        <is>
          <t>Q2 · Did the agent demonstrate strong technical and communication behavior?</t>
        </is>
      </c>
      <c r="C193" s="90" t="n"/>
      <c r="D193" s="90" t="n"/>
      <c r="E193" s="90" t="n"/>
      <c r="F193" s="74" t="n"/>
    </row>
    <row r="194" ht="24" customHeight="1">
      <c r="B194" s="87" t="inlineStr">
        <is>
          <t>What went well — behaviors to repeat</t>
        </is>
      </c>
      <c r="C194" s="82" t="n"/>
      <c r="D194" s="82" t="n"/>
      <c r="E194" s="82" t="n"/>
      <c r="F194" s="71" t="n"/>
    </row>
    <row r="195" ht="32" customHeight="1">
      <c r="B195" s="7" t="inlineStr">
        <is>
          <t>1.</t>
        </is>
      </c>
      <c r="C195" s="86" t="n"/>
      <c r="D195" s="82" t="n"/>
      <c r="E195" s="82" t="n"/>
      <c r="F195" s="71" t="n"/>
    </row>
    <row r="196" ht="32" customHeight="1">
      <c r="B196" s="7" t="inlineStr">
        <is>
          <t>2.</t>
        </is>
      </c>
      <c r="C196" s="86" t="n"/>
      <c r="D196" s="82" t="n"/>
      <c r="E196" s="82" t="n"/>
      <c r="F196" s="71" t="n"/>
    </row>
    <row r="197" ht="32" customHeight="1">
      <c r="B197" s="7" t="inlineStr">
        <is>
          <t>3.</t>
        </is>
      </c>
      <c r="C197" s="86" t="n"/>
      <c r="D197" s="82" t="n"/>
      <c r="E197" s="82" t="n"/>
      <c r="F197" s="71" t="n"/>
    </row>
    <row r="198" ht="24" customHeight="1">
      <c r="B198" s="87" t="inlineStr">
        <is>
          <t>Improvement opportunities — behaviors to improve</t>
        </is>
      </c>
      <c r="C198" s="82" t="n"/>
      <c r="D198" s="82" t="n"/>
      <c r="E198" s="82" t="n"/>
      <c r="F198" s="71" t="n"/>
    </row>
    <row r="199" ht="32" customHeight="1">
      <c r="B199" s="7" t="inlineStr">
        <is>
          <t>1.</t>
        </is>
      </c>
      <c r="C199" s="86" t="n"/>
      <c r="D199" s="82" t="n"/>
      <c r="E199" s="82" t="n"/>
      <c r="F199" s="71" t="n"/>
    </row>
    <row r="200" ht="32" customHeight="1">
      <c r="B200" s="7" t="inlineStr">
        <is>
          <t>2.</t>
        </is>
      </c>
      <c r="C200" s="86" t="n"/>
      <c r="D200" s="82" t="n"/>
      <c r="E200" s="82" t="n"/>
      <c r="F200" s="71" t="n"/>
    </row>
    <row r="201" ht="32" customHeight="1">
      <c r="B201" s="7" t="inlineStr">
        <is>
          <t>3.</t>
        </is>
      </c>
      <c r="C201" s="86" t="n"/>
      <c r="D201" s="82" t="n"/>
      <c r="E201" s="82" t="n"/>
      <c r="F201" s="71" t="n"/>
    </row>
    <row r="202" ht="24" customHeight="1">
      <c r="B202" s="87" t="inlineStr">
        <is>
          <t>Coaching recommendation — specific actions the agent should apply going forward</t>
        </is>
      </c>
      <c r="C202" s="82" t="n"/>
      <c r="D202" s="82" t="n"/>
      <c r="E202" s="82" t="n"/>
      <c r="F202" s="71" t="n"/>
    </row>
    <row r="203" ht="58" customHeight="1">
      <c r="B203" s="86" t="n"/>
      <c r="C203" s="82" t="n"/>
      <c r="D203" s="82" t="n"/>
      <c r="E203" s="82" t="n"/>
      <c r="F203" s="71" t="n"/>
    </row>
    <row r="204" ht="20" customHeight="1">
      <c r="B204" s="87" t="inlineStr">
        <is>
          <t>NEXT SESSION FOCUS   ·   Specific behaviors to practice before the next review</t>
        </is>
      </c>
      <c r="C204" s="82" t="n"/>
      <c r="D204" s="82" t="n"/>
      <c r="E204" s="82" t="n"/>
      <c r="F204" s="71" t="n"/>
    </row>
    <row r="205" ht="28" customHeight="1">
      <c r="B205" s="86" t="inlineStr">
        <is>
          <t>1.</t>
        </is>
      </c>
      <c r="C205" s="86" t="n"/>
      <c r="D205" s="82" t="n"/>
      <c r="E205" s="82" t="n"/>
      <c r="F205" s="71" t="n"/>
    </row>
    <row r="206" ht="28" customHeight="1">
      <c r="B206" s="86" t="inlineStr">
        <is>
          <t>2.</t>
        </is>
      </c>
      <c r="C206" s="86" t="n"/>
      <c r="D206" s="82" t="n"/>
      <c r="E206" s="82" t="n"/>
      <c r="F206" s="71" t="n"/>
    </row>
    <row r="207" ht="28" customHeight="1">
      <c r="B207" s="86" t="inlineStr">
        <is>
          <t>3.</t>
        </is>
      </c>
    </row>
    <row r="208" ht="32" customHeight="1">
      <c r="B208" s="91" t="inlineStr">
        <is>
          <t>Q3 · What does this interaction tell us about training, process, or knowledge gaps across the team?</t>
        </is>
      </c>
      <c r="C208" s="90" t="n"/>
      <c r="D208" s="90" t="n"/>
      <c r="E208" s="90" t="n"/>
      <c r="F208" s="74" t="n"/>
    </row>
    <row r="209" ht="24" customHeight="1">
      <c r="B209" s="87" t="inlineStr">
        <is>
          <t>Organizational insights — training / process / KB / chatbot / tooling / product / contact-driver gaps</t>
        </is>
      </c>
      <c r="C209" s="82" t="n"/>
      <c r="D209" s="82" t="n"/>
      <c r="E209" s="82" t="n"/>
      <c r="F209" s="71" t="n"/>
    </row>
    <row r="210" ht="58" customHeight="1">
      <c r="B210" s="86" t="n"/>
      <c r="C210" s="82" t="n"/>
      <c r="D210" s="82" t="n"/>
      <c r="E210" s="82" t="n"/>
      <c r="F210" s="71" t="n"/>
    </row>
    <row r="211" ht="24" customHeight="1">
      <c r="B211" s="87" t="inlineStr">
        <is>
          <t>Multi-touch / journey notes — handoff quality, continuity, where the chain strengthened or broke</t>
        </is>
      </c>
      <c r="C211" s="82" t="n"/>
      <c r="D211" s="82" t="n"/>
      <c r="E211" s="82" t="n"/>
      <c r="F211" s="71" t="n"/>
    </row>
    <row r="212" ht="58" customHeight="1">
      <c r="B212" s="86" t="n"/>
      <c r="C212" s="82" t="n"/>
      <c r="D212" s="82" t="n"/>
      <c r="E212" s="82" t="n"/>
      <c r="F212" s="71" t="n"/>
    </row>
    <row r="213" ht="24" customHeight="1">
      <c r="B213" s="87" t="inlineStr">
        <is>
          <t>Final QA assessment — overall customer outcome, support quality, and coaching value</t>
        </is>
      </c>
      <c r="C213" s="82" t="n"/>
      <c r="D213" s="82" t="n"/>
      <c r="E213" s="82" t="n"/>
      <c r="F213" s="71" t="n"/>
    </row>
    <row r="214" ht="58" customHeight="1">
      <c r="B214" s="86" t="n"/>
      <c r="C214" s="82" t="n"/>
      <c r="D214" s="82" t="n"/>
      <c r="E214" s="82" t="n"/>
      <c r="F214" s="71" t="n"/>
    </row>
    <row r="215" ht="58" customHeight="1">
      <c r="B215" s="86" t="n"/>
    </row>
    <row r="216" ht="24" customHeight="1">
      <c r="B216" s="87" t="inlineStr">
        <is>
          <t>Multi-touch / journey notes — handoff quality, continuity, where the chain strengthened or broke</t>
        </is>
      </c>
    </row>
    <row r="217" ht="58" customHeight="1">
      <c r="B217" s="86" t="n"/>
    </row>
    <row r="218" ht="24" customHeight="1">
      <c r="B218" s="87" t="inlineStr">
        <is>
          <t>Final QA assessment — overall customer outcome, support quality, and coaching value</t>
        </is>
      </c>
    </row>
    <row r="219" ht="58" customHeight="1">
      <c r="B219" s="86" t="n"/>
    </row>
  </sheetData>
  <mergeCells count="190">
    <mergeCell ref="D76:F76"/>
    <mergeCell ref="B194:F194"/>
    <mergeCell ref="B209:F209"/>
    <mergeCell ref="B81:F81"/>
    <mergeCell ref="D179:F179"/>
    <mergeCell ref="D66:F66"/>
    <mergeCell ref="D166:F166"/>
    <mergeCell ref="B131:F131"/>
    <mergeCell ref="D53:F53"/>
    <mergeCell ref="B214:F214"/>
    <mergeCell ref="E8:F8"/>
    <mergeCell ref="B36:E36"/>
    <mergeCell ref="C13:F13"/>
    <mergeCell ref="D181:F181"/>
    <mergeCell ref="C78:F78"/>
    <mergeCell ref="E153:F153"/>
    <mergeCell ref="B2:F2"/>
    <mergeCell ref="D102:F102"/>
    <mergeCell ref="C62:F62"/>
    <mergeCell ref="D165:F165"/>
    <mergeCell ref="D92:F92"/>
    <mergeCell ref="B170:F170"/>
    <mergeCell ref="D39:F39"/>
    <mergeCell ref="D152:F152"/>
    <mergeCell ref="C107:F107"/>
    <mergeCell ref="B44:F44"/>
    <mergeCell ref="D133:F133"/>
    <mergeCell ref="D142:F142"/>
    <mergeCell ref="B37:F37"/>
    <mergeCell ref="B108:F108"/>
    <mergeCell ref="D119:F119"/>
    <mergeCell ref="D159:F159"/>
    <mergeCell ref="B15:F15"/>
    <mergeCell ref="D186:F186"/>
    <mergeCell ref="B213:F213"/>
    <mergeCell ref="D183:F183"/>
    <mergeCell ref="D105:F105"/>
    <mergeCell ref="C207:F207"/>
    <mergeCell ref="D57:F57"/>
    <mergeCell ref="E12:F12"/>
    <mergeCell ref="B49:E49"/>
    <mergeCell ref="D120:F120"/>
    <mergeCell ref="D185:F185"/>
    <mergeCell ref="D41:F41"/>
    <mergeCell ref="B125:F125"/>
    <mergeCell ref="D163:F163"/>
    <mergeCell ref="C149:F149"/>
    <mergeCell ref="B64:E64"/>
    <mergeCell ref="E5:F5"/>
    <mergeCell ref="B208:F208"/>
    <mergeCell ref="C19:F19"/>
    <mergeCell ref="D162:F162"/>
    <mergeCell ref="C199:F199"/>
    <mergeCell ref="D43:F43"/>
    <mergeCell ref="D156:F156"/>
    <mergeCell ref="D137:F137"/>
    <mergeCell ref="D106:F106"/>
    <mergeCell ref="B210:F210"/>
    <mergeCell ref="B111:F111"/>
    <mergeCell ref="D93:F93"/>
    <mergeCell ref="D74:F74"/>
    <mergeCell ref="D68:F68"/>
    <mergeCell ref="D83:F83"/>
    <mergeCell ref="C14:F14"/>
    <mergeCell ref="D157:F157"/>
    <mergeCell ref="D55:F55"/>
    <mergeCell ref="D67:F67"/>
    <mergeCell ref="B171:F171"/>
    <mergeCell ref="C200:F200"/>
    <mergeCell ref="D132:F132"/>
    <mergeCell ref="D85:F85"/>
    <mergeCell ref="C147:F147"/>
    <mergeCell ref="B130:E130"/>
    <mergeCell ref="D54:F54"/>
    <mergeCell ref="B146:F146"/>
    <mergeCell ref="D60:F60"/>
    <mergeCell ref="D182:F182"/>
    <mergeCell ref="D69:F69"/>
    <mergeCell ref="D100:F100"/>
    <mergeCell ref="B109:C110"/>
    <mergeCell ref="D174:F174"/>
    <mergeCell ref="E16:F16"/>
    <mergeCell ref="D46:F46"/>
    <mergeCell ref="C201:F201"/>
    <mergeCell ref="D40:F40"/>
    <mergeCell ref="C148:F148"/>
    <mergeCell ref="B116:E116"/>
    <mergeCell ref="D158:F158"/>
    <mergeCell ref="B204:F204"/>
    <mergeCell ref="C188:F188"/>
    <mergeCell ref="B198:F198"/>
    <mergeCell ref="D86:F86"/>
    <mergeCell ref="B4:F4"/>
    <mergeCell ref="B75:F75"/>
    <mergeCell ref="D160:F160"/>
    <mergeCell ref="D136:F136"/>
    <mergeCell ref="B59:F59"/>
    <mergeCell ref="B193:F193"/>
    <mergeCell ref="B190:F190"/>
    <mergeCell ref="B202:F202"/>
    <mergeCell ref="B80:E80"/>
    <mergeCell ref="D87:F87"/>
    <mergeCell ref="B21:F21"/>
    <mergeCell ref="C18:F18"/>
    <mergeCell ref="D122:F122"/>
    <mergeCell ref="D71:F71"/>
    <mergeCell ref="D184:F184"/>
    <mergeCell ref="D58:F58"/>
    <mergeCell ref="B1:F1"/>
    <mergeCell ref="D121:F121"/>
    <mergeCell ref="D177:F177"/>
    <mergeCell ref="D73:F73"/>
    <mergeCell ref="D164:F164"/>
    <mergeCell ref="D42:F42"/>
    <mergeCell ref="D82:F82"/>
    <mergeCell ref="D51:F51"/>
    <mergeCell ref="E6:F6"/>
    <mergeCell ref="D173:F173"/>
    <mergeCell ref="B191:F191"/>
    <mergeCell ref="C128:F128"/>
    <mergeCell ref="C20:F20"/>
    <mergeCell ref="D123:F123"/>
    <mergeCell ref="C113:F113"/>
    <mergeCell ref="C143:F143"/>
    <mergeCell ref="C112:F112"/>
    <mergeCell ref="C205:F205"/>
    <mergeCell ref="C94:F94"/>
    <mergeCell ref="C47:F47"/>
    <mergeCell ref="D138:F138"/>
    <mergeCell ref="D178:F178"/>
    <mergeCell ref="D172:F172"/>
    <mergeCell ref="D187:F187"/>
    <mergeCell ref="B65:F65"/>
    <mergeCell ref="D99:F99"/>
    <mergeCell ref="B192:F192"/>
    <mergeCell ref="C114:F114"/>
    <mergeCell ref="E7:F7"/>
    <mergeCell ref="D84:F84"/>
    <mergeCell ref="D45:F45"/>
    <mergeCell ref="B212:F212"/>
    <mergeCell ref="D101:F101"/>
    <mergeCell ref="B50:F50"/>
    <mergeCell ref="D124:F124"/>
    <mergeCell ref="B203:F203"/>
    <mergeCell ref="D77:F77"/>
    <mergeCell ref="B91:F91"/>
    <mergeCell ref="D61:F61"/>
    <mergeCell ref="D126:F126"/>
    <mergeCell ref="D141:F141"/>
    <mergeCell ref="D70:F70"/>
    <mergeCell ref="D135:F135"/>
    <mergeCell ref="D175:F175"/>
    <mergeCell ref="B155:F155"/>
    <mergeCell ref="B140:F140"/>
    <mergeCell ref="B22:F22"/>
    <mergeCell ref="E17:F17"/>
    <mergeCell ref="D103:F103"/>
    <mergeCell ref="D72:F72"/>
    <mergeCell ref="D134:F134"/>
    <mergeCell ref="B117:F117"/>
    <mergeCell ref="E10:F10"/>
    <mergeCell ref="D180:F180"/>
    <mergeCell ref="B151:F151"/>
    <mergeCell ref="D118:F118"/>
    <mergeCell ref="D56:F56"/>
    <mergeCell ref="C195:F195"/>
    <mergeCell ref="D167:F167"/>
    <mergeCell ref="D127:F127"/>
    <mergeCell ref="D161:F161"/>
    <mergeCell ref="D176:F176"/>
    <mergeCell ref="E9:F9"/>
    <mergeCell ref="D38:F38"/>
    <mergeCell ref="D98:F98"/>
    <mergeCell ref="D89:F89"/>
    <mergeCell ref="C197:F197"/>
    <mergeCell ref="C206:F206"/>
    <mergeCell ref="B96:E96"/>
    <mergeCell ref="E11:F11"/>
    <mergeCell ref="D88:F88"/>
    <mergeCell ref="C196:F196"/>
    <mergeCell ref="C168:F168"/>
    <mergeCell ref="B211:F211"/>
    <mergeCell ref="C153:D153"/>
    <mergeCell ref="D90:F90"/>
    <mergeCell ref="B24:F24"/>
    <mergeCell ref="B104:F104"/>
    <mergeCell ref="D139:F139"/>
    <mergeCell ref="D52:F52"/>
    <mergeCell ref="B97:F97"/>
    <mergeCell ref="B35:F35"/>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9 C40 C41 C52 C53 C54 C56 C67 C68 C69 C70 C72 C73 C74 C83 C85 C87 C88 C89 C99 C100 C101 C103 C119 C120 C121 C123 C124 C133 C134 C135 C136 C138 C139" showDropDown="0" showInputMessage="0" showErrorMessage="0" allowBlank="1" type="list">
      <formula1>"Met,Partial,Missed,N.A."</formula1>
    </dataValidation>
    <dataValidation sqref="C46 C61 C77 C93 C106 C127 C142" showDropDown="0" showInputMessage="0" showErrorMessage="0" allowBlank="1" type="whole">
      <formula1>0</formula1>
    </dataValidation>
    <dataValidation sqref="C152 C157:C167 C177:C187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47" showDropDown="0" showInputMessage="0" showErrorMessage="0" allowBlank="1" type="list">
      <formula1>"Successful Resolution,Partial Resolution,Appropriate Escalation,Ownership Gap,Unresolved"</formula1>
    </dataValidation>
    <dataValidation sqref="C148"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53" showDropDown="0" showInputMessage="0" showErrorMessage="0" allowBlank="1" type="list">
      <formula1>"Callback attempt,Follow-up email,Private note documenting actions,Documented why follow-up not possible,None,N.A. — no disconnect"</formula1>
    </dataValidation>
    <dataValidation sqref="C173:C175"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6:B56"/>
    <mergeCell ref="A53:P53"/>
    <mergeCell ref="A60:N60"/>
    <mergeCell ref="I56:N56"/>
    <mergeCell ref="A3:P3"/>
    <mergeCell ref="A51:D51"/>
    <mergeCell ref="A54:P54"/>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2026-06-17T05:27:43Z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