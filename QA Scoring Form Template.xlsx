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Quick Start" sheetId="1" state="visible" r:id="rId1"/>
    <sheet xmlns:r="http://schemas.openxmlformats.org/officeDocument/2006/relationships" name="Scoring Form" sheetId="2" state="visible" r:id="rId2"/>
    <sheet xmlns:r="http://schemas.openxmlformats.org/officeDocument/2006/relationships" name="Scoring Guide" sheetId="3" state="visible" r:id="rId3"/>
    <sheet xmlns:r="http://schemas.openxmlformats.org/officeDocument/2006/relationships" name="Multi-Touch Guide" sheetId="4" state="visible" r:id="rId4"/>
    <sheet xmlns:r="http://schemas.openxmlformats.org/officeDocument/2006/relationships" name="Team Scoring" sheetId="5" state="visible" r:id="rId5"/>
    <sheet xmlns:r="http://schemas.openxmlformats.org/officeDocument/2006/relationships" name="Example (Filled)" sheetId="6" state="visible" r:id="rId6"/>
    <sheet xmlns:r="http://schemas.openxmlformats.org/officeDocument/2006/relationships" name="Case Tracker" sheetId="7" state="visible" r:id="rId7"/>
    <sheet xmlns:r="http://schemas.openxmlformats.org/officeDocument/2006/relationships" name="Lists" sheetId="8" state="hidden" r:id="rId8"/>
  </sheets>
  <definedNames/>
  <calcPr calcId="191029" fullCalcOnLoad="1"/>
</workbook>
</file>

<file path=xl/styles.xml><?xml version="1.0" encoding="utf-8"?>
<styleSheet xmlns="http://schemas.openxmlformats.org/spreadsheetml/2006/main">
  <numFmts count="2">
    <numFmt numFmtId="164" formatCode="0.0"/>
    <numFmt numFmtId="165" formatCode="0.0%"/>
  </numFmts>
  <fonts count="27">
    <font>
      <name val="Calibri"/>
      <family val="2"/>
      <color theme="1"/>
      <sz val="11"/>
      <scheme val="minor"/>
    </font>
    <font>
      <name val="Calibri"/>
      <b val="1"/>
      <color rgb="FFFFFFFF"/>
      <sz val="16"/>
    </font>
    <font>
      <name val="Calibri"/>
      <i val="1"/>
      <color rgb="FFFFFFFF"/>
      <sz val="10"/>
    </font>
    <font>
      <name val="Calibri"/>
      <b val="1"/>
      <color rgb="FFFFFFFF"/>
      <sz val="11"/>
    </font>
    <font>
      <name val="Calibri"/>
      <b val="1"/>
      <color rgb="FF1F3864"/>
      <sz val="11"/>
    </font>
    <font>
      <name val="Calibri"/>
      <color rgb="FF000000"/>
      <sz val="11"/>
    </font>
    <font>
      <name val="Calibri"/>
      <i val="1"/>
      <color rgb="FF1F3864"/>
      <sz val="11"/>
    </font>
    <font>
      <name val="Calibri"/>
      <b val="1"/>
      <color rgb="FF000000"/>
      <sz val="11"/>
    </font>
    <font>
      <name val="Calibri"/>
      <i val="1"/>
      <color rgb="FF595959"/>
      <sz val="9"/>
    </font>
    <font>
      <name val="Calibri"/>
      <b val="1"/>
      <color rgb="FF000000"/>
      <sz val="12"/>
    </font>
    <font>
      <name val="Calibri"/>
      <i val="1"/>
      <color rgb="FF595959"/>
      <sz val="11"/>
    </font>
    <font>
      <name val="Calibri"/>
      <b val="1"/>
      <color rgb="FFFFFFFF"/>
      <sz val="13"/>
    </font>
    <font>
      <name val="Calibri"/>
      <b val="1"/>
      <color rgb="FF006100"/>
      <sz val="11"/>
    </font>
    <font>
      <name val="Calibri"/>
      <color rgb="FF006100"/>
      <sz val="11"/>
    </font>
    <font>
      <name val="Calibri"/>
      <b val="1"/>
      <color rgb="FF9C6500"/>
      <sz val="11"/>
    </font>
    <font>
      <name val="Calibri"/>
      <color rgb="FF9C6500"/>
      <sz val="11"/>
    </font>
    <font>
      <name val="Calibri"/>
      <b val="1"/>
      <color rgb="FF9C0006"/>
      <sz val="11"/>
    </font>
    <font>
      <name val="Calibri"/>
      <color rgb="FF9C0006"/>
      <sz val="11"/>
    </font>
    <font>
      <name val="Calibri"/>
      <b val="1"/>
      <color rgb="FFFFFFFF"/>
      <sz val="12"/>
    </font>
    <font>
      <name val="Calibri"/>
      <i val="1"/>
      <color rgb="FFFFFFFF"/>
      <sz val="11"/>
    </font>
    <font>
      <name val="Calibri"/>
      <b val="1"/>
      <color rgb="FF595959"/>
      <sz val="11"/>
    </font>
    <font>
      <name val="Calibri"/>
      <b val="1"/>
      <color rgb="FF9C0006"/>
      <sz val="48"/>
    </font>
    <font>
      <name val="Calibri"/>
      <b val="1"/>
      <color rgb="FF9C0006"/>
      <sz val="22"/>
    </font>
    <font>
      <name val="Calibri"/>
      <b val="1"/>
      <color rgb="FF9C0006"/>
      <sz val="16"/>
    </font>
    <font>
      <name val="Calibri"/>
      <b val="1"/>
      <color rgb="FFFFFFFF"/>
      <sz val="10"/>
    </font>
    <font>
      <name val="Calibri"/>
      <b val="1"/>
      <color rgb="FF1F3864"/>
      <sz val="13"/>
    </font>
    <font>
      <name val="Calibri"/>
      <i val="1"/>
      <color rgb="FF1F3864"/>
      <sz val="11"/>
    </font>
  </fonts>
  <fills count="13">
    <fill>
      <patternFill/>
    </fill>
    <fill>
      <patternFill patternType="gray125"/>
    </fill>
    <fill>
      <patternFill patternType="solid">
        <fgColor rgb="FF1F3864"/>
      </patternFill>
    </fill>
    <fill>
      <patternFill patternType="solid">
        <fgColor rgb="FF2E5496"/>
      </patternFill>
    </fill>
    <fill>
      <patternFill patternType="solid">
        <fgColor rgb="FFD9E1F2"/>
      </patternFill>
    </fill>
    <fill>
      <patternFill patternType="solid">
        <fgColor rgb="FFFFF2CC"/>
      </patternFill>
    </fill>
    <fill>
      <patternFill patternType="solid">
        <fgColor rgb="FFEAF0FB"/>
      </patternFill>
    </fill>
    <fill>
      <patternFill patternType="solid">
        <fgColor rgb="FFFFFFFF"/>
      </patternFill>
    </fill>
    <fill>
      <patternFill patternType="solid">
        <fgColor rgb="FFF2F2F2"/>
      </patternFill>
    </fill>
    <fill>
      <patternFill patternType="solid">
        <fgColor rgb="FFC00000"/>
      </patternFill>
    </fill>
    <fill>
      <patternFill patternType="solid">
        <fgColor rgb="FFC6EFCE"/>
      </patternFill>
    </fill>
    <fill>
      <patternFill patternType="solid">
        <fgColor rgb="FFFFEB9C"/>
      </patternFill>
    </fill>
    <fill>
      <patternFill patternType="solid">
        <fgColor rgb="FFFFC7CE"/>
      </patternFill>
    </fill>
  </fills>
  <borders count="20">
    <border>
      <left/>
      <right/>
      <top/>
      <bottom/>
      <diagonal/>
    </border>
    <border>
      <left style="medium">
        <color rgb="FF808080"/>
      </left>
      <right style="medium">
        <color rgb="FF808080"/>
      </right>
      <top style="medium">
        <color rgb="FF808080"/>
      </top>
      <bottom style="medium">
        <color rgb="FF808080"/>
      </bottom>
      <diagonal/>
    </border>
    <border>
      <left style="thin">
        <color rgb="FFBFBFBF"/>
      </left>
      <right style="thin">
        <color rgb="FFBFBFBF"/>
      </right>
      <top style="thin">
        <color rgb="FFBFBFBF"/>
      </top>
      <bottom style="thin">
        <color rgb="FFBFBFBF"/>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ck">
        <color rgb="FF1F3864"/>
      </left>
      <right style="thick">
        <color rgb="FF1F3864"/>
      </right>
      <top style="thick">
        <color rgb="FF1F3864"/>
      </top>
      <bottom style="thick">
        <color rgb="FF1F3864"/>
      </bottom>
      <diagonal/>
    </border>
    <border>
      <left/>
      <right/>
      <top style="thick">
        <color rgb="FF1F3864"/>
      </top>
      <bottom style="thick">
        <color rgb="FF1F3864"/>
      </bottom>
      <diagonal/>
    </border>
    <border>
      <left/>
      <right style="thick">
        <color rgb="FF1F3864"/>
      </right>
      <top style="thick">
        <color rgb="FF1F3864"/>
      </top>
      <bottom style="thick">
        <color rgb="FF1F3864"/>
      </bottom>
      <diagonal/>
    </border>
    <border>
      <left/>
      <right/>
      <top style="medium">
        <color rgb="FF808080"/>
      </top>
      <bottom/>
      <diagonal/>
    </border>
    <border>
      <left/>
      <right style="medium">
        <color rgb="FF808080"/>
      </right>
      <top style="medium">
        <color rgb="FF808080"/>
      </top>
      <bottom/>
      <diagonal/>
    </border>
    <border>
      <left/>
      <right/>
      <top style="thin">
        <color rgb="FFBFBFBF"/>
      </top>
      <bottom/>
      <diagonal/>
    </border>
    <border>
      <left/>
      <right style="thin">
        <color rgb="FFBFBFBF"/>
      </right>
      <top style="thin">
        <color rgb="FFBFBFBF"/>
      </top>
      <bottom/>
      <diagonal/>
    </border>
    <border>
      <left/>
      <right/>
      <top style="thick">
        <color rgb="FF1F3864"/>
      </top>
      <bottom/>
      <diagonal/>
    </border>
    <border>
      <left/>
      <right style="thick">
        <color rgb="FF1F3864"/>
      </right>
      <top style="thick">
        <color rgb="FF1F3864"/>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126">
    <xf numFmtId="0" fontId="0" fillId="0" borderId="0" pivotButton="0" quotePrefix="0" xfId="0"/>
    <xf numFmtId="0" fontId="3" fillId="3" borderId="1" applyAlignment="1" pivotButton="0" quotePrefix="0" xfId="0">
      <alignment horizontal="left" vertical="center"/>
    </xf>
    <xf numFmtId="0" fontId="4" fillId="4" borderId="2" applyAlignment="1" pivotButton="0" quotePrefix="0" xfId="0">
      <alignment horizontal="left" vertical="center"/>
    </xf>
    <xf numFmtId="0" fontId="5" fillId="5" borderId="2" applyAlignment="1" pivotButton="0" quotePrefix="0" xfId="0">
      <alignment horizontal="left" vertical="center"/>
    </xf>
    <xf numFmtId="0" fontId="4" fillId="4" borderId="2" applyAlignment="1" pivotButton="0" quotePrefix="0" xfId="0">
      <alignment horizontal="left" vertical="center" wrapText="1"/>
    </xf>
    <xf numFmtId="0" fontId="3" fillId="2" borderId="1" applyAlignment="1" pivotButton="0" quotePrefix="0" xfId="0">
      <alignment horizontal="left" vertical="center"/>
    </xf>
    <xf numFmtId="0" fontId="3" fillId="3" borderId="1" applyAlignment="1" pivotButton="0" quotePrefix="0" xfId="0">
      <alignment horizontal="right" vertical="center"/>
    </xf>
    <xf numFmtId="0" fontId="4" fillId="4" borderId="2" applyAlignment="1" pivotButton="0" quotePrefix="0" xfId="0">
      <alignment horizontal="center" vertical="center"/>
    </xf>
    <xf numFmtId="0" fontId="5" fillId="7" borderId="2" applyAlignment="1" pivotButton="0" quotePrefix="0" xfId="0">
      <alignment horizontal="left" vertical="center" wrapText="1"/>
    </xf>
    <xf numFmtId="0" fontId="7" fillId="5" borderId="2" applyAlignment="1" pivotButton="0" quotePrefix="0" xfId="0">
      <alignment horizontal="center" vertical="center"/>
    </xf>
    <xf numFmtId="0" fontId="5" fillId="8" borderId="2" applyAlignment="1" pivotButton="0" quotePrefix="0" xfId="0">
      <alignment horizontal="left" vertical="center" wrapText="1"/>
    </xf>
    <xf numFmtId="0" fontId="8" fillId="6" borderId="2" applyAlignment="1" pivotButton="0" quotePrefix="0" xfId="0">
      <alignment horizontal="right" vertical="center" wrapText="1"/>
    </xf>
    <xf numFmtId="164" fontId="6" fillId="6" borderId="2" applyAlignment="1" pivotButton="0" quotePrefix="0" xfId="0">
      <alignment horizontal="center" vertical="center"/>
    </xf>
    <xf numFmtId="0" fontId="4" fillId="4" borderId="2" applyAlignment="1" pivotButton="0" quotePrefix="0" xfId="0">
      <alignment horizontal="right" vertical="center"/>
    </xf>
    <xf numFmtId="0" fontId="9" fillId="5" borderId="2" applyAlignment="1" pivotButton="0" quotePrefix="0" xfId="0">
      <alignment horizontal="center" vertical="center"/>
    </xf>
    <xf numFmtId="0" fontId="3" fillId="3" borderId="1" applyAlignment="1" pivotButton="0" quotePrefix="0" xfId="0">
      <alignment horizontal="center" vertical="center"/>
    </xf>
    <xf numFmtId="0" fontId="5" fillId="7" borderId="2" applyAlignment="1" pivotButton="0" quotePrefix="0" xfId="0">
      <alignment horizontal="left" vertical="center"/>
    </xf>
    <xf numFmtId="9" fontId="4" fillId="7" borderId="2" applyAlignment="1" pivotButton="0" quotePrefix="0" xfId="0">
      <alignment horizontal="center" vertical="center"/>
    </xf>
    <xf numFmtId="0" fontId="7" fillId="7" borderId="2" applyAlignment="1" pivotButton="0" quotePrefix="0" xfId="0">
      <alignment horizontal="center" vertical="center"/>
    </xf>
    <xf numFmtId="165" fontId="5" fillId="7" borderId="2" applyAlignment="1" pivotButton="0" quotePrefix="0" xfId="0">
      <alignment horizontal="center" vertical="center"/>
    </xf>
    <xf numFmtId="0" fontId="5" fillId="7" borderId="2" applyAlignment="1" pivotButton="0" quotePrefix="0" xfId="0">
      <alignment horizontal="center" vertical="center"/>
    </xf>
    <xf numFmtId="0" fontId="5" fillId="8" borderId="2" applyAlignment="1" pivotButton="0" quotePrefix="0" xfId="0">
      <alignment horizontal="left" vertical="center"/>
    </xf>
    <xf numFmtId="9" fontId="4" fillId="8" borderId="2" applyAlignment="1" pivotButton="0" quotePrefix="0" xfId="0">
      <alignment horizontal="center" vertical="center"/>
    </xf>
    <xf numFmtId="0" fontId="7" fillId="8" borderId="2" applyAlignment="1" pivotButton="0" quotePrefix="0" xfId="0">
      <alignment horizontal="center" vertical="center"/>
    </xf>
    <xf numFmtId="165" fontId="5" fillId="8" borderId="2" applyAlignment="1" pivotButton="0" quotePrefix="0" xfId="0">
      <alignment horizontal="center" vertical="center"/>
    </xf>
    <xf numFmtId="0" fontId="5" fillId="8" borderId="2" applyAlignment="1" pivotButton="0" quotePrefix="0" xfId="0">
      <alignment horizontal="center" vertical="center"/>
    </xf>
    <xf numFmtId="9" fontId="3" fillId="2" borderId="1" applyAlignment="1" pivotButton="0" quotePrefix="0" xfId="0">
      <alignment horizontal="center" vertical="center"/>
    </xf>
    <xf numFmtId="0" fontId="0" fillId="2" borderId="1" pivotButton="0" quotePrefix="0" xfId="0"/>
    <xf numFmtId="165" fontId="11" fillId="2" borderId="1" applyAlignment="1" pivotButton="0" quotePrefix="0" xfId="0">
      <alignment horizontal="center" vertical="center"/>
    </xf>
    <xf numFmtId="0" fontId="3" fillId="2" borderId="1" applyAlignment="1" pivotButton="0" quotePrefix="0" xfId="0">
      <alignment horizontal="center" vertical="center"/>
    </xf>
    <xf numFmtId="0" fontId="3" fillId="9" borderId="1" applyAlignment="1" pivotButton="0" quotePrefix="0" xfId="0">
      <alignment horizontal="left" vertical="center"/>
    </xf>
    <xf numFmtId="0" fontId="4" fillId="7" borderId="2" applyAlignment="1" pivotButton="0" quotePrefix="0" xfId="0">
      <alignment horizontal="center" vertical="center"/>
    </xf>
    <xf numFmtId="0" fontId="4" fillId="8" borderId="2" applyAlignment="1" pivotButton="0" quotePrefix="0" xfId="0">
      <alignment horizontal="center" vertical="center"/>
    </xf>
    <xf numFmtId="0" fontId="4" fillId="7" borderId="2" applyAlignment="1" pivotButton="0" quotePrefix="0" xfId="0">
      <alignment horizontal="left" vertical="center" wrapText="1"/>
    </xf>
    <xf numFmtId="0" fontId="4" fillId="6" borderId="2" applyAlignment="1" pivotButton="0" quotePrefix="0" xfId="0">
      <alignment horizontal="left" vertical="center" wrapText="1"/>
    </xf>
    <xf numFmtId="0" fontId="5" fillId="6" borderId="2" applyAlignment="1" pivotButton="0" quotePrefix="0" xfId="0">
      <alignment horizontal="left" vertical="center" wrapText="1"/>
    </xf>
    <xf numFmtId="0" fontId="12" fillId="10" borderId="2" applyAlignment="1" pivotButton="0" quotePrefix="0" xfId="0">
      <alignment horizontal="center" vertical="center"/>
    </xf>
    <xf numFmtId="0" fontId="14" fillId="11" borderId="2" applyAlignment="1" pivotButton="0" quotePrefix="0" xfId="0">
      <alignment horizontal="center" vertical="center"/>
    </xf>
    <xf numFmtId="0" fontId="16" fillId="12" borderId="2" applyAlignment="1" pivotButton="0" quotePrefix="0" xfId="0">
      <alignment horizontal="center" vertical="center"/>
    </xf>
    <xf numFmtId="0" fontId="16" fillId="7" borderId="2" applyAlignment="1" pivotButton="0" quotePrefix="0" xfId="0">
      <alignment horizontal="left" vertical="center" wrapText="1"/>
    </xf>
    <xf numFmtId="0" fontId="16" fillId="8" borderId="2" applyAlignment="1" pivotButton="0" quotePrefix="0" xfId="0">
      <alignment horizontal="left" vertical="center" wrapText="1"/>
    </xf>
    <xf numFmtId="0" fontId="12" fillId="7" borderId="2" applyAlignment="1" pivotButton="0" quotePrefix="0" xfId="0">
      <alignment horizontal="left" vertical="center" wrapText="1"/>
    </xf>
    <xf numFmtId="0" fontId="12" fillId="6" borderId="2" applyAlignment="1" pivotButton="0" quotePrefix="0" xfId="0">
      <alignment horizontal="left" vertical="center" wrapText="1"/>
    </xf>
    <xf numFmtId="0" fontId="3" fillId="3" borderId="1" applyAlignment="1" pivotButton="0" quotePrefix="0" xfId="0">
      <alignment horizontal="center" vertical="center" wrapText="1"/>
    </xf>
    <xf numFmtId="0" fontId="5" fillId="5" borderId="2" applyAlignment="1" pivotButton="0" quotePrefix="0" xfId="0">
      <alignment horizontal="center" vertical="center"/>
    </xf>
    <xf numFmtId="165" fontId="7" fillId="7" borderId="2" applyAlignment="1" pivotButton="0" quotePrefix="0" xfId="0">
      <alignment horizontal="center" vertical="center"/>
    </xf>
    <xf numFmtId="165" fontId="7" fillId="8" borderId="2" applyAlignment="1" pivotButton="0" quotePrefix="0" xfId="0">
      <alignment horizontal="center" vertical="center"/>
    </xf>
    <xf numFmtId="164" fontId="3" fillId="2" borderId="1" applyAlignment="1" pivotButton="0" quotePrefix="0" xfId="0">
      <alignment horizontal="center" vertical="center"/>
    </xf>
    <xf numFmtId="165" fontId="18" fillId="2" borderId="1" applyAlignment="1" pivotButton="0" quotePrefix="0" xfId="0">
      <alignment horizontal="center" vertical="center"/>
    </xf>
    <xf numFmtId="0" fontId="19" fillId="2" borderId="1" applyAlignment="1" pivotButton="0" quotePrefix="0" xfId="0">
      <alignment horizontal="left" vertical="center"/>
    </xf>
    <xf numFmtId="0" fontId="4" fillId="6" borderId="2" applyAlignment="1" pivotButton="0" quotePrefix="0" xfId="0">
      <alignment horizontal="left" vertical="center"/>
    </xf>
    <xf numFmtId="165" fontId="9" fillId="8" borderId="2" applyAlignment="1" pivotButton="0" quotePrefix="0" xfId="0">
      <alignment horizontal="center" vertical="center"/>
    </xf>
    <xf numFmtId="165" fontId="9" fillId="7" borderId="2" applyAlignment="1" pivotButton="0" quotePrefix="0" xfId="0">
      <alignment horizontal="center" vertical="center"/>
    </xf>
    <xf numFmtId="0" fontId="4" fillId="7" borderId="2" applyAlignment="1" pivotButton="0" quotePrefix="0" xfId="0">
      <alignment horizontal="left" vertical="top" wrapText="1"/>
    </xf>
    <xf numFmtId="0" fontId="5" fillId="7" borderId="2" applyAlignment="1" pivotButton="0" quotePrefix="0" xfId="0">
      <alignment horizontal="left" vertical="top" wrapText="1"/>
    </xf>
    <xf numFmtId="0" fontId="4" fillId="8" borderId="2" applyAlignment="1" pivotButton="0" quotePrefix="0" xfId="0">
      <alignment horizontal="left" vertical="top" wrapText="1"/>
    </xf>
    <xf numFmtId="0" fontId="5" fillId="8" borderId="2" applyAlignment="1" pivotButton="0" quotePrefix="0" xfId="0">
      <alignment horizontal="left" vertical="top" wrapText="1"/>
    </xf>
    <xf numFmtId="0" fontId="4" fillId="7" borderId="2" applyAlignment="1" pivotButton="0" quotePrefix="0" xfId="0">
      <alignment horizontal="left" vertical="top"/>
    </xf>
    <xf numFmtId="0" fontId="4" fillId="8" borderId="2" applyAlignment="1" pivotButton="0" quotePrefix="0" xfId="0">
      <alignment horizontal="left" vertical="top"/>
    </xf>
    <xf numFmtId="0" fontId="20" fillId="7" borderId="7" applyAlignment="1" pivotButton="0" quotePrefix="0" xfId="0">
      <alignment horizontal="center" vertical="top"/>
    </xf>
    <xf numFmtId="9" fontId="21" fillId="7" borderId="7" applyAlignment="1" pivotButton="0" quotePrefix="0" xfId="0">
      <alignment horizontal="center" vertical="center"/>
    </xf>
    <xf numFmtId="0" fontId="22" fillId="7" borderId="7" applyAlignment="1" pivotButton="0" quotePrefix="0" xfId="0">
      <alignment horizontal="center" vertical="center"/>
    </xf>
    <xf numFmtId="0" fontId="23" fillId="7" borderId="7" applyAlignment="1" pivotButton="0" quotePrefix="0" xfId="0">
      <alignment horizontal="center" vertical="center" wrapText="1"/>
    </xf>
    <xf numFmtId="0" fontId="24" fillId="3" borderId="7" applyAlignment="1" pivotButton="0" quotePrefix="0" xfId="0">
      <alignment horizontal="center" vertical="center" wrapText="1"/>
    </xf>
    <xf numFmtId="0" fontId="25" fillId="6" borderId="7" applyAlignment="1" pivotButton="0" quotePrefix="0" xfId="0">
      <alignment horizontal="center" vertical="center" wrapText="1"/>
    </xf>
    <xf numFmtId="0" fontId="25" fillId="6" borderId="7" applyAlignment="1" pivotButton="0" quotePrefix="0" xfId="0">
      <alignment horizontal="center" vertical="center"/>
    </xf>
    <xf numFmtId="2" fontId="9" fillId="7" borderId="2" applyAlignment="1" pivotButton="0" quotePrefix="0" xfId="0">
      <alignment horizontal="center" vertical="center"/>
    </xf>
    <xf numFmtId="2" fontId="9" fillId="8" borderId="2" applyAlignment="1" pivotButton="0" quotePrefix="0" xfId="0">
      <alignment horizontal="center" vertical="center"/>
    </xf>
    <xf numFmtId="0" fontId="3"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5" fillId="8" borderId="2" applyAlignment="1" pivotButton="0" quotePrefix="0" xfId="0">
      <alignment horizontal="left" vertical="top" wrapText="1"/>
    </xf>
    <xf numFmtId="0" fontId="0" fillId="0" borderId="6" pivotButton="0" quotePrefix="0" xfId="0"/>
    <xf numFmtId="0" fontId="5" fillId="7" borderId="2" applyAlignment="1" pivotButton="0" quotePrefix="0" xfId="0">
      <alignment horizontal="left" vertical="top" wrapText="1"/>
    </xf>
    <xf numFmtId="0" fontId="2" fillId="2" borderId="1" applyAlignment="1" pivotButton="0" quotePrefix="0" xfId="0">
      <alignment horizontal="center" vertical="top" wrapText="1"/>
    </xf>
    <xf numFmtId="0" fontId="0" fillId="0" borderId="4" pivotButton="0" quotePrefix="0" xfId="0"/>
    <xf numFmtId="0" fontId="6" fillId="6" borderId="1" applyAlignment="1" pivotButton="0" quotePrefix="0" xfId="0">
      <alignment horizontal="left" vertical="top" wrapText="1"/>
    </xf>
    <xf numFmtId="0" fontId="3" fillId="3" borderId="1" applyAlignment="1" pivotButton="0" quotePrefix="0" xfId="0">
      <alignment horizontal="left" vertical="top"/>
    </xf>
    <xf numFmtId="0" fontId="1" fillId="2" borderId="1" applyAlignment="1" pivotButton="0" quotePrefix="0" xfId="0">
      <alignment horizontal="center" vertical="top"/>
    </xf>
    <xf numFmtId="0" fontId="3" fillId="9" borderId="1" applyAlignment="1" pivotButton="0" quotePrefix="0" xfId="0">
      <alignment horizontal="left" vertical="top"/>
    </xf>
    <xf numFmtId="0" fontId="7" fillId="8" borderId="2" applyAlignment="1" pivotButton="0" quotePrefix="0" xfId="0">
      <alignment horizontal="left" vertical="center" wrapText="1"/>
    </xf>
    <xf numFmtId="0" fontId="3" fillId="3" borderId="1" applyAlignment="1" pivotButton="0" quotePrefix="0" xfId="0">
      <alignment horizontal="left" vertical="center"/>
    </xf>
    <xf numFmtId="0" fontId="5" fillId="7" borderId="2" applyAlignment="1" pivotButton="0" quotePrefix="0" xfId="0">
      <alignment horizontal="left" vertical="center" wrapText="1"/>
    </xf>
    <xf numFmtId="0" fontId="0" fillId="0" borderId="5" pivotButton="0" quotePrefix="0" xfId="0"/>
    <xf numFmtId="0" fontId="5" fillId="8" borderId="2" applyAlignment="1" pivotButton="0" quotePrefix="0" xfId="0">
      <alignment horizontal="left" vertical="center" wrapText="1"/>
    </xf>
    <xf numFmtId="0" fontId="10" fillId="6" borderId="2" applyAlignment="1" pivotButton="0" quotePrefix="0" xfId="0">
      <alignment horizontal="left" vertical="center" wrapText="1"/>
    </xf>
    <xf numFmtId="0" fontId="8" fillId="7" borderId="2" applyAlignment="1" pivotButton="0" quotePrefix="0" xfId="0">
      <alignment horizontal="left" vertical="center" wrapText="1"/>
    </xf>
    <xf numFmtId="0" fontId="5" fillId="5" borderId="2" applyAlignment="1" pivotButton="0" quotePrefix="0" xfId="0">
      <alignment horizontal="left" vertical="center" wrapText="1"/>
    </xf>
    <xf numFmtId="0" fontId="4" fillId="4" borderId="2" applyAlignment="1" pivotButton="0" quotePrefix="0" xfId="0">
      <alignment horizontal="left" vertical="center" wrapText="1"/>
    </xf>
    <xf numFmtId="0" fontId="5" fillId="5" borderId="2" applyAlignment="1" pivotButton="0" quotePrefix="0" xfId="0">
      <alignment horizontal="left" vertical="center"/>
    </xf>
    <xf numFmtId="0" fontId="2" fillId="2" borderId="1" applyAlignment="1" pivotButton="0" quotePrefix="0" xfId="0">
      <alignment horizontal="center" vertical="center"/>
    </xf>
    <xf numFmtId="0" fontId="0" fillId="0" borderId="3" pivotButton="0" quotePrefix="0" xfId="0"/>
    <xf numFmtId="0" fontId="3" fillId="3" borderId="1" applyAlignment="1" pivotButton="0" quotePrefix="0" xfId="0">
      <alignment horizontal="left" vertical="center" wrapText="1"/>
    </xf>
    <xf numFmtId="0" fontId="0" fillId="6" borderId="2" pivotButton="0" quotePrefix="0" xfId="0"/>
    <xf numFmtId="0" fontId="7" fillId="8" borderId="1" applyAlignment="1" pivotButton="0" quotePrefix="0" xfId="0">
      <alignment horizontal="left" vertical="center"/>
    </xf>
    <xf numFmtId="0" fontId="4" fillId="4" borderId="2" applyAlignment="1" pivotButton="0" quotePrefix="0" xfId="0">
      <alignment horizontal="left" vertical="center"/>
    </xf>
    <xf numFmtId="0" fontId="6" fillId="6" borderId="2" applyAlignment="1" pivotButton="0" quotePrefix="0" xfId="0">
      <alignment horizontal="left" vertical="center" wrapText="1"/>
    </xf>
    <xf numFmtId="0" fontId="3" fillId="2" borderId="1" applyAlignment="1" pivotButton="0" quotePrefix="0" xfId="0">
      <alignment horizontal="left" vertical="center"/>
    </xf>
    <xf numFmtId="0" fontId="7" fillId="5" borderId="2" applyAlignment="1" pivotButton="0" quotePrefix="0" xfId="0">
      <alignment horizontal="left" vertical="center"/>
    </xf>
    <xf numFmtId="0" fontId="3" fillId="9" borderId="1" applyAlignment="1" pivotButton="0" quotePrefix="0" xfId="0">
      <alignment horizontal="left" vertical="center"/>
    </xf>
    <xf numFmtId="0" fontId="1" fillId="2" borderId="1" applyAlignment="1" pivotButton="0" quotePrefix="0" xfId="0">
      <alignment horizontal="center" vertical="center"/>
    </xf>
    <xf numFmtId="0" fontId="5" fillId="6" borderId="2" applyAlignment="1" pivotButton="0" quotePrefix="0" xfId="0">
      <alignment horizontal="left" vertical="center" wrapText="1"/>
    </xf>
    <xf numFmtId="0" fontId="6" fillId="8" borderId="1" applyAlignment="1" pivotButton="0" quotePrefix="0" xfId="0">
      <alignment horizontal="left" vertical="center" wrapText="1"/>
    </xf>
    <xf numFmtId="0" fontId="17" fillId="12" borderId="2" applyAlignment="1" pivotButton="0" quotePrefix="0" xfId="0">
      <alignment horizontal="left" vertical="center" wrapText="1"/>
    </xf>
    <xf numFmtId="0" fontId="15" fillId="11" borderId="2" applyAlignment="1" pivotButton="0" quotePrefix="0" xfId="0">
      <alignment horizontal="left" vertical="center" wrapText="1"/>
    </xf>
    <xf numFmtId="0" fontId="13" fillId="10" borderId="2" applyAlignment="1" pivotButton="0" quotePrefix="0" xfId="0">
      <alignment horizontal="left" vertical="center" wrapText="1"/>
    </xf>
    <xf numFmtId="0" fontId="6" fillId="8" borderId="2" applyAlignment="1" pivotButton="0" quotePrefix="0" xfId="0">
      <alignment horizontal="left" vertical="center" wrapText="1"/>
    </xf>
    <xf numFmtId="0" fontId="8" fillId="8" borderId="2" applyAlignment="1" pivotButton="0" quotePrefix="0" xfId="0">
      <alignment horizontal="center" vertical="center" wrapText="1"/>
    </xf>
    <xf numFmtId="0" fontId="6" fillId="6" borderId="2" applyAlignment="1" pivotButton="0" quotePrefix="0" xfId="0">
      <alignment horizontal="left" vertical="top" wrapText="1"/>
    </xf>
    <xf numFmtId="0" fontId="26" fillId="7" borderId="7" applyAlignment="1" pivotButton="0" quotePrefix="0" xfId="0">
      <alignment horizontal="center" vertical="center" wrapText="1"/>
    </xf>
    <xf numFmtId="0" fontId="0" fillId="0" borderId="8" pivotButton="0" quotePrefix="0" xfId="0"/>
    <xf numFmtId="0" fontId="0" fillId="0" borderId="9" pivotButton="0" quotePrefix="0" xfId="0"/>
    <xf numFmtId="0" fontId="16" fillId="12" borderId="1" applyAlignment="1" pivotButton="0" quotePrefix="0" xfId="0">
      <alignment horizontal="left" vertical="center" wrapText="1"/>
    </xf>
    <xf numFmtId="0" fontId="18" fillId="2" borderId="7" applyAlignment="1" pivotButton="0" quotePrefix="0" xfId="0">
      <alignment horizontal="center" vertical="center"/>
    </xf>
    <xf numFmtId="0" fontId="4" fillId="6" borderId="1" applyAlignment="1" pivotButton="0" quotePrefix="0" xfId="0">
      <alignment horizontal="left" vertical="center" wrapText="1"/>
    </xf>
    <xf numFmtId="0" fontId="2" fillId="2" borderId="1" applyAlignment="1" pivotButton="0" quotePrefix="0" xfId="0">
      <alignment horizontal="center" vertical="center" wrapText="1"/>
    </xf>
    <xf numFmtId="0" fontId="11" fillId="2" borderId="1" applyAlignment="1" pivotButton="0" quotePrefix="0" xfId="0">
      <alignment horizontal="center" vertical="center"/>
    </xf>
    <xf numFmtId="0" fontId="4" fillId="8" borderId="2" applyAlignment="1" pivotButton="0" quotePrefix="0" xfId="0">
      <alignment horizontal="left" vertical="center" wrapText="1"/>
    </xf>
    <xf numFmtId="0" fontId="6" fillId="6" borderId="1" applyAlignment="1" pivotButton="0" quotePrefix="0" xfId="0">
      <alignment horizontal="left" vertical="center" wrapText="1"/>
    </xf>
    <xf numFmtId="0" fontId="18" fillId="9"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xf>
    <xf numFmtId="0" fontId="26" fillId="6" borderId="2" applyAlignment="1" pivotButton="0" quotePrefix="0" xfId="0">
      <alignment horizontal="left" vertical="center" wrapText="1"/>
    </xf>
    <xf numFmtId="164" fontId="26" fillId="6" borderId="2" applyAlignment="1" pivotButton="0" quotePrefix="0" xfId="0">
      <alignment horizontal="center" vertical="center"/>
    </xf>
    <xf numFmtId="0" fontId="0" fillId="0" borderId="13" pivotButton="0" quotePrefix="0" xfId="0"/>
    <xf numFmtId="0" fontId="0" fillId="0" borderId="18" pivotButton="0" quotePrefix="0" xfId="0"/>
    <xf numFmtId="0" fontId="0" fillId="0" borderId="19" pivotButton="0" quotePrefix="0" xfId="0"/>
  </cellXfs>
  <cellStyles count="1">
    <cellStyle name="Normal" xfId="0" builtinId="0"/>
  </cellStyles>
  <dxfs count="144">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9C0006"/>
      </font>
      <fill>
        <patternFill patternType="solid">
          <fgColor rgb="FFFFC7CE"/>
        </patternFill>
      </fill>
    </dxf>
    <dxf>
      <font>
        <b val="1"/>
        <color rgb="FF1F3864"/>
      </font>
      <fill>
        <patternFill patternType="solid">
          <fgColor rgb="FFD9E1F2"/>
        </patternFill>
      </fill>
    </dxf>
    <dxf>
      <font>
        <b val="1"/>
        <color rgb="FF006100"/>
      </font>
      <fill>
        <patternFill patternType="solid">
          <fgColor rgb="FFC6EFCE"/>
        </patternFill>
      </fill>
    </dxf>
    <dxf>
      <font>
        <b val="1"/>
        <color rgb="FF006100"/>
      </font>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FFFFFF"/>
        <sz val="12"/>
      </font>
      <fill>
        <patternFill patternType="solid">
          <fgColor rgb="FFC00000"/>
        </patternFill>
      </fill>
    </dxf>
    <dxf>
      <font>
        <b val="1"/>
        <color rgb="FFFFFFFF"/>
        <sz val="12"/>
      </font>
      <fill>
        <patternFill patternType="solid">
          <fgColor rgb="FFB7950B"/>
        </patternFill>
      </fill>
    </dxf>
    <dxf>
      <font>
        <b val="1"/>
        <color rgb="FFFFFFFF"/>
        <sz val="12"/>
      </font>
      <fill>
        <patternFill patternType="solid">
          <fgColor rgb="FF2E7D32"/>
        </patternFill>
      </fill>
    </dxf>
    <dxf>
      <font>
        <b val="1"/>
        <color rgb="FFFFFFFF"/>
        <sz val="12"/>
      </font>
      <fill>
        <patternFill patternType="solid">
          <fgColor rgb="FF006100"/>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b val="1"/>
        <color rgb="FF006100"/>
      </font>
      <fill>
        <patternFill patternType="solid">
          <fgColor rgb="FFC6EFCE"/>
        </patternFill>
      </fill>
    </dxf>
    <dxf>
      <font>
        <b val="1"/>
        <color rgb="FF9C0006"/>
      </font>
      <fill>
        <patternFill patternType="solid">
          <fgColor rgb="FFFFC7CE"/>
        </patternFill>
      </fill>
    </dxf>
    <dxf>
      <font>
        <b val="1"/>
        <color rgb="FF9C0006"/>
        <sz val="13"/>
      </font>
      <fill>
        <patternFill patternType="solid">
          <fgColor rgb="FFFFC7CE"/>
        </patternFill>
      </fill>
    </dxf>
    <dxf>
      <font>
        <b val="1"/>
        <color rgb="FF9C6500"/>
        <sz val="13"/>
      </font>
      <fill>
        <patternFill patternType="solid">
          <fgColor rgb="FFFFEB9C"/>
        </patternFill>
      </fill>
    </dxf>
    <dxf>
      <font>
        <b val="1"/>
        <color rgb="FF006100"/>
        <sz val="13"/>
      </font>
      <fill>
        <patternFill patternType="solid">
          <fgColor rgb="FFC6EFCE"/>
        </patternFill>
      </fill>
    </dxf>
    <dxf>
      <font>
        <b val="1"/>
        <color rgb="FF9C0006"/>
      </font>
      <fill>
        <patternFill patternType="solid">
          <fgColor rgb="FFFFC7CE"/>
        </patternFill>
      </fill>
    </dxf>
    <dxf>
      <font>
        <b val="1"/>
        <color rgb="FF006100"/>
      </font>
      <fill>
        <patternFill patternType="solid">
          <fgColor rgb="FFC6EFCE"/>
        </patternFill>
      </fill>
    </dxf>
    <dxf>
      <font>
        <b val="1"/>
        <color rgb="FF9C0006"/>
      </font>
      <fill>
        <patternFill patternType="solid">
          <fgColor rgb="FFFFC7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9C0006"/>
      </font>
      <fill>
        <patternFill patternType="solid">
          <fgColor rgb="FFFFC7CE"/>
        </patternFill>
      </fill>
    </dxf>
    <dxf>
      <font>
        <b val="1"/>
        <color rgb="FF1F3864"/>
      </font>
      <fill>
        <patternFill patternType="solid">
          <fgColor rgb="FFD9E1F2"/>
        </patternFill>
      </fill>
    </dxf>
    <dxf>
      <font>
        <b val="1"/>
        <color rgb="FF006100"/>
      </font>
      <fill>
        <patternFill patternType="solid">
          <fgColor rgb="FFC6EFCE"/>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006100"/>
        <sz val="22"/>
      </font>
      <fill>
        <patternFill patternType="solid">
          <fgColor rgb="FFC6EFCE"/>
        </patternFill>
      </fill>
    </dxf>
    <dxf>
      <font>
        <b val="1"/>
        <color rgb="FF9C0006"/>
        <sz val="48"/>
      </font>
      <fill>
        <patternFill patternType="solid">
          <fgColor rgb="FFFFC7CE"/>
        </patternFill>
      </fill>
    </dxf>
    <dxf>
      <font>
        <b val="1"/>
        <color rgb="FF9C6500"/>
        <sz val="48"/>
      </font>
      <fill>
        <patternFill patternType="solid">
          <fgColor rgb="FFFFEB9C"/>
        </patternFill>
      </fill>
    </dxf>
    <dxf>
      <font>
        <b val="1"/>
        <color rgb="FF006100"/>
        <sz val="48"/>
      </font>
      <fill>
        <patternFill patternType="solid">
          <fgColor rgb="FFC6EFCE"/>
        </patternFill>
      </fill>
    </dxf>
    <dxf>
      <font>
        <b val="1"/>
        <color rgb="FF006100"/>
        <sz val="48"/>
      </font>
      <fill>
        <patternFill patternType="solid">
          <fgColor rgb="FFC6EFCE"/>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b val="1"/>
        <color rgb="FF006100"/>
      </font>
      <fill>
        <patternFill patternType="solid">
          <fgColor rgb="FFC6EFCE"/>
        </patternFill>
      </fill>
    </dxf>
    <dxf>
      <font>
        <b val="1"/>
        <color rgb="FF9C0006"/>
      </font>
      <fill>
        <patternFill patternType="solid">
          <fgColor rgb="FFFFC7CE"/>
        </patternFill>
      </fill>
    </dxf>
    <dxf>
      <font>
        <b val="1"/>
        <color rgb="FF9C0006"/>
        <sz val="13"/>
      </font>
      <fill>
        <patternFill patternType="solid">
          <fgColor rgb="FFFFC7CE"/>
        </patternFill>
      </fill>
    </dxf>
    <dxf>
      <font>
        <b val="1"/>
        <color rgb="FF9C6500"/>
        <sz val="13"/>
      </font>
      <fill>
        <patternFill patternType="solid">
          <fgColor rgb="FFFFEB9C"/>
        </patternFill>
      </fill>
    </dxf>
    <dxf>
      <font>
        <b val="1"/>
        <color rgb="FF006100"/>
        <sz val="13"/>
      </font>
      <fill>
        <patternFill patternType="solid">
          <fgColor rgb="FFC6EFCE"/>
        </patternFill>
      </fill>
    </dxf>
    <dxf>
      <font>
        <b val="1"/>
        <color rgb="FF9C0006"/>
      </font>
      <fill>
        <patternFill patternType="solid">
          <fgColor rgb="FFFFC7CE"/>
        </patternFill>
      </fill>
    </dxf>
    <dxf>
      <font>
        <b val="1"/>
        <color rgb="FF006100"/>
      </font>
      <fill>
        <patternFill patternType="solid">
          <fgColor rgb="FFC6EFCE"/>
        </patternFill>
      </fill>
    </dxf>
    <dxf>
      <font>
        <b val="1"/>
        <color rgb="FF9C0006"/>
      </font>
      <fill>
        <patternFill patternType="solid">
          <fgColor rgb="FFFFC7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
      <font>
        <b val="1"/>
        <color rgb="FF006100"/>
      </font>
      <fill>
        <patternFill patternType="solid">
          <fgColor rgb="FFC6EFCE"/>
        </patternFill>
      </fill>
    </dxf>
    <dxf>
      <font>
        <b val="1"/>
        <color rgb="FF9C6500"/>
      </font>
      <fill>
        <patternFill patternType="solid">
          <fgColor rgb="FFFFEB9C"/>
        </patternFill>
      </fill>
    </dxf>
    <dxf>
      <font>
        <b val="1"/>
        <color rgb="FF9C0006"/>
      </font>
      <fill>
        <patternFill patternType="solid">
          <fgColor rgb="FFFFC7CE"/>
        </patternFill>
      </fill>
    </dxf>
    <dxf>
      <font>
        <b val="1"/>
        <color rgb="FF9C0006"/>
      </font>
      <fill>
        <patternFill patternType="solid">
          <fgColor rgb="FFFFC7CE"/>
        </patternFill>
      </fill>
    </dxf>
    <dxf>
      <font>
        <b val="1"/>
        <color rgb="FF9C6500"/>
      </font>
      <fill>
        <patternFill patternType="solid">
          <fgColor rgb="FFFFEB9C"/>
        </patternFill>
      </fill>
    </dxf>
    <dxf>
      <font>
        <b val="1"/>
        <color rgb="FF006100"/>
      </font>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45"/>
  <sheetViews>
    <sheetView showGridLines="0" workbookViewId="0">
      <pane ySplit="2" topLeftCell="A3" activePane="bottomLeft" state="frozen"/>
      <selection pane="bottomLeft" activeCell="A1" sqref="A1"/>
    </sheetView>
  </sheetViews>
  <sheetFormatPr baseColWidth="8" defaultRowHeight="14.5"/>
  <cols>
    <col width="3" customWidth="1" min="1" max="1"/>
    <col width="30" customWidth="1" min="2" max="2"/>
    <col width="105" customWidth="1" min="3" max="3"/>
  </cols>
  <sheetData>
    <row r="1" ht="28" customHeight="1">
      <c r="B1" s="77" t="inlineStr">
        <is>
          <t>QA SCORING WORKBOOK — QUICK START GUIDE</t>
        </is>
      </c>
      <c r="C1" s="74" t="n"/>
    </row>
    <row r="2" ht="30" customHeight="1">
      <c r="B2" s="73" t="inlineStr">
        <is>
          <t>Resolution-focused coaching QA: one form per interaction, evidence-based indicator ratings, weighted 0-5 scoring, journey-level tracking and TEAM scoring for multi-touch cases. Yellow cells are YOUR inputs — everything else calculates or is reference.</t>
        </is>
      </c>
      <c r="C2" s="74" t="n"/>
    </row>
    <row r="4">
      <c r="B4" s="76" t="inlineStr">
        <is>
          <t>1 · THE WORKING SHEETS</t>
        </is>
      </c>
      <c r="C4" s="74" t="n"/>
    </row>
    <row r="5" ht="44" customHeight="1">
      <c r="B5" s="53" t="inlineStr">
        <is>
          <t>Scoring Form</t>
        </is>
      </c>
      <c r="C5" s="72" t="inlineStr">
        <is>
          <t>The blank form you fill for EVERY interaction you review. Make a copy of this sheet per review (right-click tab → Move or Copy → Create a copy) so the master stays blank.</t>
        </is>
      </c>
    </row>
    <row r="6" ht="44" customHeight="1">
      <c r="B6" s="55" t="inlineStr">
        <is>
          <t>Scoring Guide</t>
        </is>
      </c>
      <c r="C6" s="70" t="inlineStr">
        <is>
          <t>Reference: how-to steps, the 0-5 score anchors, what Met/Partial/Missed/N.A. mean, category objectives and watch-fors, and the result bands. Read once before your first review; return whenever unsure.</t>
        </is>
      </c>
    </row>
    <row r="7" ht="44" customHeight="1">
      <c r="B7" s="53" t="inlineStr">
        <is>
          <t>Multi-Touch Guide</t>
        </is>
      </c>
      <c r="C7" s="72" t="inlineStr">
        <is>
          <t>Rules for cases handled by multiple agents: how to score each touch fairly, who owns handoff failures, plus a full real-case walkthrough (the Stell journey) showing where a support chain broke and recovered.</t>
        </is>
      </c>
    </row>
    <row r="8" ht="44" customHeight="1">
      <c r="B8" s="55" t="inlineStr">
        <is>
          <t>Team Scoring</t>
        </is>
      </c>
      <c r="C8" s="70" t="inlineStr">
        <is>
          <t>The team layer: the Team Score formula component by component, how to read the gap between execution and outcome, a LIVE category heatmap showing where the team is weak, the 8 team opportunities identified from the Stell journey with owners, and a 6-step recipe to run a team review on your own journeys.</t>
        </is>
      </c>
    </row>
    <row r="9" ht="44" customHeight="1">
      <c r="B9" s="53" t="inlineStr">
        <is>
          <t>Example (Filled)</t>
        </is>
      </c>
      <c r="C9" s="72" t="inlineStr">
        <is>
          <t>A complete, real worked review — the final touch of the Stell case (Eric Marbella). Shows exactly how detailed your evidence should be, how indicator ratings map to a final score, and how critical failures are written up. Copy its style.</t>
        </is>
      </c>
    </row>
    <row r="10" ht="44" customHeight="1">
      <c r="B10" s="55" t="inlineStr">
        <is>
          <t>Case Tracker</t>
        </is>
      </c>
      <c r="C10" s="70" t="inlineStr">
        <is>
          <t>The log. One row per reviewed touch (date, agent, 7 scores, auto weighted % and band). Reuse a Case ID across rows for multi-touch journeys. Team Average at row 51; Team/Journey Scores section at row 53.</t>
        </is>
      </c>
    </row>
    <row r="12">
      <c r="B12" s="76" t="inlineStr">
        <is>
          <t>2 · HOW TO SCORE ONE INTERACTION (Scoring Form, ~15 min)</t>
        </is>
      </c>
      <c r="C12" s="74" t="n"/>
    </row>
    <row r="13" ht="46" customHeight="1">
      <c r="B13" s="53" t="inlineStr">
        <is>
          <t>Step 1 — Case Information</t>
        </is>
      </c>
      <c r="C13" s="72" t="inlineStr">
        <is>
          <t>Fill the yellow cells: agent, ticket, dates, product. Dropdowns: Warranty, Channel, Case Type, SLA. Write a 2-3 sentence Case Summary. Multi-touch? Set Touch # and fill 'Inherited context' (what this agent received from prior touches).</t>
        </is>
      </c>
    </row>
    <row r="14" ht="46" customHeight="1">
      <c r="B14" s="55" t="inlineStr">
        <is>
          <t>Step 2 — Rate the indicators</t>
        </is>
      </c>
      <c r="C14" s="70" t="inlineStr">
        <is>
          <t>Each of the 7 categories lists 5-8 behaviors. Rate each: Met / Partial / Missed / N.A. (dropdown). N.A. = genuinely not applicable (e.g., no escalation involved) — it is excluded from the math, never a shortcut.</t>
        </is>
      </c>
    </row>
    <row r="15" ht="46" customHeight="1">
      <c r="B15" s="53" t="inlineStr">
        <is>
          <t>Step 3 — Capture evidence</t>
        </is>
      </c>
      <c r="C15" s="72" t="inlineStr">
        <is>
          <t>Next to every rating, write WHY: a quote, timestamp, or note excerpt. 'Customer said X at 28:10' beats 'communication was good'. The Example sheet shows the standard.</t>
        </is>
      </c>
    </row>
    <row r="16" ht="46" customHeight="1">
      <c r="B16" s="55" t="inlineStr">
        <is>
          <t>Step 4 — Set the final score</t>
        </is>
      </c>
      <c r="C16" s="70" t="inlineStr">
        <is>
          <t>A suggested score appears automatically (Met=5, Partial=2.5, Missed=0, averaged). You may override it — your judgment prevails — but the anchor text that appears beside your score tells you what a 4 vs a 3 means. Apply the rubric's automatic deductions (e.g., missed callback) even if indicators average higher.</t>
        </is>
      </c>
    </row>
    <row r="17" ht="46" customHeight="1">
      <c r="B17" s="53" t="inlineStr">
        <is>
          <t>Step 5 — Outcome &amp; disconnect</t>
        </is>
      </c>
      <c r="C17" s="72" t="inlineStr">
        <is>
          <t>Classify the Resolution Outcome (dropdown) and the primary positive outcome achieved. If the call disconnected, record the follow-up taken — 'Yes disconnect + no follow-up' auto-flags a missed ownership opportunity in red.</t>
        </is>
      </c>
    </row>
    <row r="18" ht="46" customHeight="1">
      <c r="B18" s="55" t="inlineStr">
        <is>
          <t>Step 6 — Critical failures</t>
        </is>
      </c>
      <c r="C18" s="70" t="inlineStr">
        <is>
          <t>Answer Yes/No on all 11 conditions. ANY Yes turns the banner red: automatic review, regardless of the score. These include premature RESOLVED closure, PCI/compliance breaches, and unescalated management/legal requests.</t>
        </is>
      </c>
    </row>
    <row r="19" ht="46" customHeight="1">
      <c r="B19" s="53" t="inlineStr">
        <is>
          <t>Step 7 — Coaching sections</t>
        </is>
      </c>
      <c r="C19" s="72" t="inlineStr">
        <is>
          <t>3 strengths, 3 improvements, a specific coaching recommendation (at least one is mandatory per review), organizational insights, journey notes (multi-touch), and the final assessment.</t>
        </is>
      </c>
    </row>
    <row r="20" ht="46" customHeight="1">
      <c r="B20" s="55" t="inlineStr">
        <is>
          <t>Step 8 — Log it</t>
        </is>
      </c>
      <c r="C20" s="70" t="inlineStr">
        <is>
          <t>Add one row in the Case Tracker: date, Case ID, agent, touch #, and your 7 final scores. Weighted % and band compute themselves.</t>
        </is>
      </c>
    </row>
    <row r="22">
      <c r="B22" s="76" t="inlineStr">
        <is>
          <t>3 · WHAT YOU TYPE vs WHAT CALCULATES ITSELF</t>
        </is>
      </c>
      <c r="C22" s="74" t="n"/>
    </row>
    <row r="23" ht="54" customHeight="1">
      <c r="B23" s="53" t="inlineStr">
        <is>
          <t>You type (yellow cells)</t>
        </is>
      </c>
      <c r="C23" s="72" t="inlineStr">
        <is>
          <t>Case info · indicator ratings (dropdowns) · evidence text · the 7 final 0-5 scores · outcome dropdowns · critical-failure Yes/No · coaching text · tracker rows · Team Score's Outcome and Continuity (0-5).</t>
        </is>
      </c>
    </row>
    <row r="24" ht="54" customHeight="1">
      <c r="B24" s="55" t="inlineStr">
        <is>
          <t>Calculates automatically</t>
        </is>
      </c>
      <c r="C24" s="70" t="inlineStr">
        <is>
          <t>Suggested score per category · anchor description beside each score · Score Summary table · Weighted Total = Σ(score÷5 × weight) with weights 30/20/15/15/10/5/5 · result band · disconnect flag · critical-failure banner · tracker Weighted % and band · Team Average · Team Score = 50% avg touches + 30% Outcome/5 + 20% Continuity/5 · the Team Scoring sheet's category heatmap.</t>
        </is>
      </c>
    </row>
    <row r="25" ht="54" customHeight="1">
      <c r="B25" s="53" t="inlineStr">
        <is>
          <t>Color language</t>
        </is>
      </c>
      <c r="C25" s="72" t="inlineStr">
        <is>
          <t>GREEN = strong (scores 4-5, total ≥85%) · YELLOW = developing (score 3, total 70-84%) · RED = needs focus (scores 0-2, total &lt;70%, any critical failure, missed disconnect follow-up). Indicator cells: Met=green, Partial=yellow, Missed=red. Heatmap: category avg &lt;2.75 red = team coaching theme.</t>
        </is>
      </c>
    </row>
    <row r="27">
      <c r="B27" s="76" t="inlineStr">
        <is>
          <t>4 · MULTI-TOUCH CASES IN SIX LINES (full rules: Multi-Touch Guide + Team Scoring)</t>
        </is>
      </c>
      <c r="C27" s="74" t="n"/>
    </row>
    <row r="28" ht="40" customHeight="1">
      <c r="B28" s="53" t="inlineStr">
        <is>
          <t>One form per touch</t>
        </is>
      </c>
      <c r="C28" s="72" t="inlineStr">
        <is>
          <t>Every agent gets their own form. Read all prior touches first; record what the agent inherited.</t>
        </is>
      </c>
    </row>
    <row r="29" ht="40" customHeight="1">
      <c r="B29" s="55" t="inlineStr">
        <is>
          <t>Score the contribution</t>
        </is>
      </c>
      <c r="C29" s="70" t="inlineStr">
        <is>
          <t>Did THIS touch move the customer forward, given what it inherited? Agents aren't punished for inherited messes — only for what they pass downstream (thin notes, false RESOLVED, missed callbacks).</t>
        </is>
      </c>
    </row>
    <row r="30" ht="40" customHeight="1">
      <c r="B30" s="53" t="inlineStr">
        <is>
          <t>Handoffs belong to the sender</t>
        </is>
      </c>
      <c r="C30" s="72" t="inlineStr">
        <is>
          <t>Bad notes that force rework = deduction for the earlier agent. Ignoring good notes and re-asking everything = deduction for the later agent.</t>
        </is>
      </c>
    </row>
    <row r="31" ht="40" customHeight="1">
      <c r="B31" s="55" t="inlineStr">
        <is>
          <t>Log every touch, same Case ID</t>
        </is>
      </c>
      <c r="C31" s="70" t="inlineStr">
        <is>
          <t>Tracker rows side by side show exactly where the chain broke or recovered.</t>
        </is>
      </c>
    </row>
    <row r="32" ht="40" customHeight="1">
      <c r="B32" s="53" t="inlineStr">
        <is>
          <t>Score the chain</t>
        </is>
      </c>
      <c r="C32" s="72" t="inlineStr">
        <is>
          <t>Bottom of the Case Tracker: type the Case ID in a Team/Journey row, judge Outcome (0-5) and Continuity (0-5) — the Team Score computes. Drives process fixes and team recognition, never individual discipline.</t>
        </is>
      </c>
    </row>
    <row r="33" ht="40" customHeight="1">
      <c r="B33" s="55" t="inlineStr">
        <is>
          <t>Find the TEAM opportunities</t>
        </is>
      </c>
      <c r="C33" s="70" t="inlineStr">
        <is>
          <t>Team Scoring sheet: build the category heatmap over the journey's rows, take the bottom two categories as team coaching themes, scan for patterns repeating across 3+ agents, and write the action plan with named owners (section 5 there is the model).</t>
        </is>
      </c>
    </row>
    <row r="35">
      <c r="B35" s="78" t="inlineStr">
        <is>
          <t>5 · GOLDEN RULES</t>
        </is>
      </c>
      <c r="C35" s="74" t="n"/>
    </row>
    <row r="36" ht="26" customHeight="1">
      <c r="B36" s="72" t="inlineStr">
        <is>
          <t>• A closed case is NOT automatically a resolved case — and RESOLVED on a known-unresolved issue is a critical failure.</t>
        </is>
      </c>
      <c r="C36" s="71" t="n"/>
    </row>
    <row r="37" ht="26" customHeight="1">
      <c r="B37" s="70" t="inlineStr">
        <is>
          <t>• Any critical failure = automatic review, no matter how good the weighted score looks.</t>
        </is>
      </c>
      <c r="C37" s="71" t="n"/>
    </row>
    <row r="38" ht="26" customHeight="1">
      <c r="B38" s="72" t="inlineStr">
        <is>
          <t>• Resolution isn't only 'fixed': a proper RMA, a valid escalation, or an accurately explained limitation all count as positive outcomes.</t>
        </is>
      </c>
      <c r="C38" s="71" t="n"/>
    </row>
    <row r="39" ht="26" customHeight="1">
      <c r="B39" s="70" t="inlineStr">
        <is>
          <t>• Every review must produce at least one actionable coaching opportunity — and an operational improvement recommendation where applicable.</t>
        </is>
      </c>
      <c r="C39" s="71" t="n"/>
    </row>
    <row r="40" ht="26" customHeight="1">
      <c r="B40" s="72" t="inlineStr">
        <is>
          <t>• Evidence over opinion: every rating should be defensible with a quote, timestamp, or note excerpt.</t>
        </is>
      </c>
      <c r="C40" s="71" t="n"/>
    </row>
    <row r="41" ht="26" customHeight="1">
      <c r="B41" s="70" t="inlineStr">
        <is>
          <t>• Documentation supports outcomes but never outweighs troubleshooting, communication, or ownership — continuity, not compliance.</t>
        </is>
      </c>
      <c r="C41" s="71" t="n"/>
    </row>
    <row r="42" ht="26" customHeight="1">
      <c r="B42" s="72" t="inlineStr">
        <is>
          <t>• Reward judgment: an unresolved case with correct next steps and full ownership can still score well.</t>
        </is>
      </c>
      <c r="C42" s="71" t="n"/>
    </row>
    <row r="43" ht="26" customHeight="1">
      <c r="B43" s="70" t="inlineStr">
        <is>
          <t>• Team Scores coach the chain; individual forms coach the agent. Never mix the two purposes.</t>
        </is>
      </c>
      <c r="C43" s="71" t="n"/>
    </row>
    <row r="45" ht="30" customHeight="1">
      <c r="B45" s="75" t="inlineStr">
        <is>
          <t>Questions while reviewing? Order of reference: this sheet → Scoring Guide (anchors &amp; criteria) → Multi-Touch Guide (journey rules) → Team Scoring (team layer &amp; heatmap) → Example (Filled) (what good looks like).</t>
        </is>
      </c>
      <c r="C45" s="74" t="n"/>
    </row>
  </sheetData>
  <mergeCells count="16">
    <mergeCell ref="B39:C39"/>
    <mergeCell ref="B38:C38"/>
    <mergeCell ref="B2:C2"/>
    <mergeCell ref="B37:C37"/>
    <mergeCell ref="B27:C27"/>
    <mergeCell ref="B42:C42"/>
    <mergeCell ref="B45:C45"/>
    <mergeCell ref="B22:C22"/>
    <mergeCell ref="B36:C36"/>
    <mergeCell ref="B40:C40"/>
    <mergeCell ref="B41:C41"/>
    <mergeCell ref="B1:C1"/>
    <mergeCell ref="B35:C35"/>
    <mergeCell ref="B4:C4"/>
    <mergeCell ref="B43:C43"/>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219"/>
  <sheetViews>
    <sheetView showGridLines="0" tabSelected="1" workbookViewId="0">
      <pane ySplit="2" topLeftCell="A200" activePane="bottomLeft" state="frozen"/>
      <selection pane="bottomLeft" activeCell="C211" sqref="C211"/>
    </sheetView>
  </sheetViews>
  <sheetFormatPr baseColWidth="8" defaultRowHeight="14.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99" t="inlineStr">
        <is>
          <t>SUPPORT QUALITY ASSURANCE — SCORING FORM</t>
        </is>
      </c>
      <c r="C1" s="90" t="n"/>
      <c r="D1" s="90" t="n"/>
      <c r="E1" s="90" t="n"/>
      <c r="F1" s="74" t="n"/>
    </row>
    <row r="2" ht="18" customHeight="1">
      <c r="B2" s="89" t="inlineStr">
        <is>
          <t>Resolution-Focused Coaching &amp; Performance Framework  |  Rate each behavior: Met / Partial / Missed / N.A. — then assign the 0-5 category score (suggested score is advisory).</t>
        </is>
      </c>
      <c r="C2" s="90" t="n"/>
      <c r="D2" s="90" t="n"/>
      <c r="E2" s="90" t="n"/>
      <c r="F2" s="74" t="n"/>
    </row>
    <row r="4">
      <c r="B4" s="80" t="inlineStr">
        <is>
          <t>1 · CASE INFORMATION</t>
        </is>
      </c>
      <c r="C4" s="90" t="n"/>
      <c r="D4" s="90" t="n"/>
      <c r="E4" s="90" t="n"/>
      <c r="F4" s="74" t="n"/>
    </row>
    <row r="5" ht="29" customHeight="1">
      <c r="B5" s="94" t="inlineStr">
        <is>
          <t>Agent Name</t>
        </is>
      </c>
      <c r="C5" s="88" t="n"/>
      <c r="D5" s="87" t="inlineStr">
        <is>
          <t>Case / Ticket ID</t>
        </is>
      </c>
      <c r="E5" s="88" t="n"/>
      <c r="F5" s="71" t="n"/>
    </row>
    <row r="6" ht="29" customHeight="1">
      <c r="B6" s="94" t="inlineStr">
        <is>
          <t>Evaluator (QA)</t>
        </is>
      </c>
      <c r="C6" s="88" t="n"/>
      <c r="D6" s="87" t="inlineStr">
        <is>
          <t>Interaction Date</t>
        </is>
      </c>
      <c r="E6" s="88" t="n"/>
      <c r="F6" s="71" t="n"/>
    </row>
    <row r="7">
      <c r="B7" s="94" t="inlineStr">
        <is>
          <t>Product</t>
        </is>
      </c>
      <c r="C7" s="88" t="n"/>
      <c r="D7" s="87" t="inlineStr">
        <is>
          <t>Channel</t>
        </is>
      </c>
      <c r="E7" s="88" t="n"/>
      <c r="F7" s="71" t="n"/>
    </row>
    <row r="8">
      <c r="B8" s="94" t="inlineStr">
        <is>
          <t>Warranty Status</t>
        </is>
      </c>
      <c r="C8" s="88" t="n"/>
      <c r="D8" s="87" t="inlineStr">
        <is>
          <t>Review Date</t>
        </is>
      </c>
      <c r="E8" s="88" t="n"/>
      <c r="F8" s="71" t="n"/>
    </row>
    <row r="9" ht="29" customHeight="1">
      <c r="B9" s="94" t="inlineStr">
        <is>
          <t>Case Type</t>
        </is>
      </c>
      <c r="C9" s="88" t="n"/>
      <c r="D9" s="87" t="inlineStr">
        <is>
          <t>Interaction Duration</t>
        </is>
      </c>
      <c r="E9" s="88" t="n"/>
      <c r="F9" s="71" t="n"/>
    </row>
    <row r="10" ht="29" customHeight="1">
      <c r="B10" s="94" t="inlineStr">
        <is>
          <t>Touch # (multi-touch case)</t>
        </is>
      </c>
      <c r="C10" s="88" t="n"/>
      <c r="D10" s="87" t="inlineStr">
        <is>
          <t>Prior touches reviewed?</t>
        </is>
      </c>
      <c r="E10" s="88" t="n"/>
      <c r="F10" s="71" t="n"/>
    </row>
    <row r="11" ht="29" customHeight="1">
      <c r="B11" s="94" t="inlineStr">
        <is>
          <t>CSAT / Survey result</t>
        </is>
      </c>
      <c r="C11" s="88" t="n"/>
      <c r="D11" s="87" t="inlineStr">
        <is>
          <t>FCR / total contacts</t>
        </is>
      </c>
      <c r="E11" s="88" t="n"/>
      <c r="F11" s="71" t="n"/>
    </row>
    <row r="12">
      <c r="B12" s="94" t="inlineStr">
        <is>
          <t>Total case time</t>
        </is>
      </c>
      <c r="C12" s="88" t="n"/>
      <c r="D12" s="87" t="inlineStr">
        <is>
          <t>SLA status</t>
        </is>
      </c>
      <c r="E12" s="88" t="n"/>
      <c r="F12" s="71" t="n"/>
    </row>
    <row r="13" ht="58" customHeight="1">
      <c r="B13" s="87" t="inlineStr">
        <is>
          <t>Case Summary (customer issue &amp; goal)</t>
        </is>
      </c>
      <c r="C13" s="86" t="n"/>
      <c r="D13" s="82" t="n"/>
      <c r="E13" s="82" t="n"/>
      <c r="F13" s="71" t="n"/>
    </row>
    <row r="14" ht="46" customHeight="1">
      <c r="B14" s="87" t="inlineStr">
        <is>
          <t>Inherited context (what this agent received from prior touches)</t>
        </is>
      </c>
      <c r="C14" s="86" t="n"/>
      <c r="D14" s="82" t="n"/>
      <c r="E14" s="82" t="n"/>
      <c r="F14" s="71" t="n"/>
    </row>
    <row r="15">
      <c r="B15" s="80" t="inlineStr">
        <is>
          <t>CLASSIFICATION &amp; ROOT-CAUSE   (added from the 360 Form model)</t>
        </is>
      </c>
      <c r="C15" s="90" t="n"/>
      <c r="D15" s="90" t="n"/>
      <c r="E15" s="90" t="n"/>
      <c r="F15" s="74" t="n"/>
    </row>
    <row r="16" ht="58" customHeight="1">
      <c r="B16" s="94" t="inlineStr">
        <is>
          <t>Audit / Review Type</t>
        </is>
      </c>
      <c r="C16" s="88" t="n"/>
      <c r="D16" s="87" t="inlineStr">
        <is>
          <t>Contact iteration (repeat contact)</t>
        </is>
      </c>
      <c r="E16" s="88" t="n"/>
      <c r="F16" s="71" t="n"/>
    </row>
    <row r="17" ht="29" customHeight="1">
      <c r="B17" s="94" t="inlineStr">
        <is>
          <t>Resolution status — detailed</t>
        </is>
      </c>
      <c r="C17" s="88" t="n"/>
      <c r="D17" s="87" t="inlineStr">
        <is>
          <t>Primary root-cause domain</t>
        </is>
      </c>
      <c r="E17" s="88" t="n"/>
      <c r="F17" s="71" t="n"/>
    </row>
    <row r="18">
      <c r="B18" s="94" t="inlineStr">
        <is>
          <t>Process driver (if any)</t>
        </is>
      </c>
      <c r="C18" s="88" t="n"/>
      <c r="D18" s="82" t="n"/>
      <c r="E18" s="82" t="n"/>
      <c r="F18" s="71" t="n"/>
    </row>
    <row r="19">
      <c r="B19" s="94" t="inlineStr">
        <is>
          <t>Product driver (if any)</t>
        </is>
      </c>
      <c r="C19" s="88" t="n"/>
      <c r="D19" s="82" t="n"/>
      <c r="E19" s="82" t="n"/>
      <c r="F19" s="71" t="n"/>
    </row>
    <row r="20">
      <c r="B20" s="94" t="inlineStr">
        <is>
          <t>System / tooling driver (if any)</t>
        </is>
      </c>
      <c r="C20" s="88" t="n"/>
      <c r="D20" s="82" t="n"/>
      <c r="E20" s="82" t="n"/>
      <c r="F20" s="71" t="n"/>
    </row>
    <row r="21">
      <c r="B21" s="94" t="inlineStr">
        <is>
          <t>Root-cause / contact-driver notes   (feeds Team Scoring → Team Opportunities Identified)</t>
        </is>
      </c>
      <c r="C21" s="82" t="n"/>
      <c r="D21" s="82" t="n"/>
      <c r="E21" s="82" t="n"/>
      <c r="F21" s="71" t="n"/>
    </row>
    <row r="22" ht="58" customHeight="1">
      <c r="B22" s="88" t="n"/>
      <c r="C22" s="82" t="n"/>
      <c r="D22" s="82" t="n"/>
      <c r="E22" s="82" t="n"/>
      <c r="F22" s="71" t="n"/>
    </row>
    <row r="24">
      <c r="B24" s="96" t="inlineStr">
        <is>
          <t>2 · SCORE SUMMARY</t>
        </is>
      </c>
      <c r="C24" s="90" t="n"/>
      <c r="D24" s="90" t="n"/>
      <c r="E24" s="90" t="n"/>
      <c r="F24" s="74" t="n"/>
    </row>
    <row r="25" ht="18" customHeight="1">
      <c r="B25" s="119" t="inlineStr">
        <is>
          <t>Category</t>
        </is>
      </c>
      <c r="C25" s="119" t="inlineStr">
        <is>
          <t>Weight</t>
        </is>
      </c>
      <c r="D25" s="119" t="inlineStr">
        <is>
          <t>Score (0-5)</t>
        </is>
      </c>
      <c r="E25" s="119" t="inlineStr">
        <is>
          <t>Weighted</t>
        </is>
      </c>
      <c r="F25" s="119" t="inlineStr">
        <is>
          <t>Band</t>
        </is>
      </c>
    </row>
    <row r="26" ht="28" customHeight="1">
      <c r="B26" s="16" t="inlineStr">
        <is>
          <t>Resolution / Progress Toward Resolution</t>
        </is>
      </c>
      <c r="C26" s="17" t="n">
        <v>0.3</v>
      </c>
      <c r="D26" s="18">
        <f>IF(C46="",C45,C46)</f>
        <v/>
      </c>
      <c r="E26" s="19">
        <f>IF(D26="","",(D26/5)*C26)</f>
        <v/>
      </c>
      <c r="F26" s="20">
        <f>IF(D26="","",IF(D26&gt;=4,"Strong",IF(D26=3,"Developing","Needs Focus")))</f>
        <v/>
      </c>
    </row>
    <row r="27">
      <c r="B27" s="21" t="inlineStr">
        <is>
          <t>Technical Accuracy</t>
        </is>
      </c>
      <c r="C27" s="22" t="n">
        <v>0.2</v>
      </c>
      <c r="D27" s="23">
        <f>IF(C61="",C60,C61)</f>
        <v/>
      </c>
      <c r="E27" s="24">
        <f>IF(D27="","",(D27/5)*C27)</f>
        <v/>
      </c>
      <c r="F27" s="25">
        <f>IF(D27="","",IF(D27&gt;=4,"Strong",IF(D27=3,"Developing","Needs Focus")))</f>
        <v/>
      </c>
    </row>
    <row r="28" ht="28" customHeight="1">
      <c r="B28" s="16" t="inlineStr">
        <is>
          <t>Communication &amp; Call Control</t>
        </is>
      </c>
      <c r="C28" s="17" t="n">
        <v>0.15</v>
      </c>
      <c r="D28" s="18">
        <f>IF(C77="",C76,C77)</f>
        <v/>
      </c>
      <c r="E28" s="19">
        <f>IF(D28="","",(D28/5)*C28)</f>
        <v/>
      </c>
      <c r="F28" s="20">
        <f>IF(D28="","",IF(D28&gt;=4,"Strong",IF(D28=3,"Developing","Needs Focus")))</f>
        <v/>
      </c>
    </row>
    <row r="29" ht="28" customHeight="1">
      <c r="B29" s="21" t="inlineStr">
        <is>
          <t>Customer Ownership</t>
        </is>
      </c>
      <c r="C29" s="22" t="n">
        <v>0.15</v>
      </c>
      <c r="D29" s="23">
        <f>IF(C93="",C92,C93)</f>
        <v/>
      </c>
      <c r="E29" s="24">
        <f>IF(D29="","",(D29/5)*C29)</f>
        <v/>
      </c>
      <c r="F29" s="25">
        <f>IF(D29="","",IF(D29&gt;=4,"Strong",IF(D29=3,"Developing","Needs Focus")))</f>
        <v/>
      </c>
    </row>
    <row r="30" ht="28" customHeight="1">
      <c r="B30" s="16" t="inlineStr">
        <is>
          <t>Escalation Judgment</t>
        </is>
      </c>
      <c r="C30" s="17" t="n">
        <v>0.1</v>
      </c>
      <c r="D30" s="18">
        <f>IF(C106="",C105,C106)</f>
        <v/>
      </c>
      <c r="E30" s="19">
        <f>IF(D30="","",(D30/5)*C30)</f>
        <v/>
      </c>
      <c r="F30" s="20">
        <f>IF(D30="","",IF(D30&gt;=4,"Strong",IF(D30=3,"Developing","Needs Focus")))</f>
        <v/>
      </c>
    </row>
    <row r="31" ht="28" customHeight="1">
      <c r="B31" s="21" t="inlineStr">
        <is>
          <t>Customer Experience</t>
        </is>
      </c>
      <c r="C31" s="22" t="n">
        <v>0.05</v>
      </c>
      <c r="D31" s="23">
        <f>IF(C127="",C126,C127)</f>
        <v/>
      </c>
      <c r="E31" s="24">
        <f>IF(D31="","",(D31/5)*C31)</f>
        <v/>
      </c>
      <c r="F31" s="25">
        <f>IF(D31="","",IF(D31&gt;=4,"Strong",IF(D31=3,"Developing","Needs Focus")))</f>
        <v/>
      </c>
    </row>
    <row r="32" ht="28" customHeight="1">
      <c r="B32" s="16" t="inlineStr">
        <is>
          <t>Documentation &amp; Notes</t>
        </is>
      </c>
      <c r="C32" s="17" t="n">
        <v>0.05</v>
      </c>
      <c r="D32" s="18">
        <f>IF(C142="",C141,C142)</f>
        <v/>
      </c>
      <c r="E32" s="19">
        <f>IF(D32="","",(D32/5)*C32)</f>
        <v/>
      </c>
      <c r="F32" s="20">
        <f>IF(D32="","",IF(D32&gt;=4,"Strong",IF(D32=3,"Developing","Needs Focus")))</f>
        <v/>
      </c>
    </row>
    <row r="33" ht="24" customHeight="1">
      <c r="B33" s="96" t="inlineStr">
        <is>
          <t>WEIGHTED TOTAL SCORE</t>
        </is>
      </c>
      <c r="C33" s="26">
        <f>SUM(C26:C32)</f>
        <v/>
      </c>
      <c r="D33" s="27" t="n"/>
      <c r="E33" s="28">
        <f>IF(OR(C173="No",C174="No",C175="No",COUNTIF(C177:C187,"Yes")&gt;0,COUNTIF(C157:C167,"Yes")&gt;0),0,SUM(E26:E32))</f>
        <v/>
      </c>
      <c r="F33" s="29">
        <f>IF(E33="","",IF(OR(C173="No",C174="No",C175="No",COUNTIF(C177:C187,"Yes")&gt;0,COUNTIF(C157:C167,"Yes")&gt;0),"AUTO-ZERO (0%)",IF(E33&gt;=0.85,"MEETS / EXCEEDS",IF(E33&gt;=0.7,"DEVELOPING","NEEDS IMPROVEMENT"))))</f>
        <v/>
      </c>
    </row>
    <row r="34">
      <c r="B34" s="11" t="n"/>
      <c r="C34" s="12" t="n"/>
      <c r="D34" s="92" t="n"/>
    </row>
    <row r="35" ht="24" customHeight="1">
      <c r="B35" s="96" t="inlineStr">
        <is>
          <t>3 · CATEGORY ASSESSMENTS</t>
        </is>
      </c>
      <c r="C35" s="90" t="n"/>
      <c r="D35" s="90" t="n"/>
      <c r="E35" s="90" t="n"/>
      <c r="F35" s="74" t="n"/>
    </row>
    <row r="36" ht="18" customHeight="1">
      <c r="B36" s="80" t="inlineStr">
        <is>
          <t>1. RESOLUTION / PROGRESS TOWARD RESOLUTION</t>
        </is>
      </c>
      <c r="C36" s="90" t="n"/>
      <c r="D36" s="90" t="n"/>
      <c r="E36" s="74" t="n"/>
      <c r="F36" s="6" t="inlineStr">
        <is>
          <t>Weight: 30%</t>
        </is>
      </c>
    </row>
    <row r="37" ht="28" customHeight="1">
      <c r="B37" s="121" t="inlineStr">
        <is>
          <t>Objective: Determine whether the interaction moved the customer meaningfully closer to resolution.</t>
        </is>
      </c>
      <c r="C37" s="82" t="n"/>
      <c r="D37" s="82" t="n"/>
      <c r="E37" s="82" t="n"/>
      <c r="F37" s="71" t="n"/>
    </row>
    <row r="38" ht="18" customHeight="1">
      <c r="B38" s="94" t="inlineStr">
        <is>
          <t>Behavioral Indicator</t>
        </is>
      </c>
      <c r="C38" s="7" t="inlineStr">
        <is>
          <t>Assessment</t>
        </is>
      </c>
      <c r="D38" s="94" t="inlineStr">
        <is>
          <t>Evidence / Observation (quote or timestamp where possible)</t>
        </is>
      </c>
      <c r="E38" s="82" t="n"/>
      <c r="F38" s="71" t="n"/>
    </row>
    <row r="39" ht="28" customHeight="1">
      <c r="B39" s="81" t="inlineStr">
        <is>
          <t>Resolved the issue or achieved the best possible outcome (RMA, valid escalation, limitation explained, education)</t>
        </is>
      </c>
      <c r="C39" s="9" t="n"/>
      <c r="D39" s="81" t="n"/>
      <c r="E39" s="82" t="n"/>
      <c r="F39" s="71" t="n"/>
    </row>
    <row r="40" ht="28" customHeight="1">
      <c r="B40" s="83" t="inlineStr">
        <is>
          <t>Completed reasonable troubleshooting before reaching a conclusion</t>
        </is>
      </c>
      <c r="C40" s="9" t="n"/>
      <c r="D40" s="83" t="n"/>
      <c r="E40" s="82" t="n"/>
      <c r="F40" s="71" t="n"/>
    </row>
    <row r="41" ht="28" customHeight="1">
      <c r="B41" s="81" t="inlineStr">
        <is>
          <t>Used the appropriate resolution path for the situation and warranty status, moving the customer closer to a solution with clear next steps.</t>
        </is>
      </c>
      <c r="C41" s="9" t="n"/>
      <c r="D41" s="81" t="n"/>
      <c r="E41" s="82" t="n"/>
      <c r="F41" s="71" t="n"/>
    </row>
    <row r="42" ht="28" customHeight="1">
      <c r="B42" s="83" t="n"/>
      <c r="C42" s="9" t="n"/>
      <c r="D42" s="83" t="n"/>
      <c r="E42" s="82" t="n"/>
      <c r="F42" s="71" t="n"/>
    </row>
    <row r="43" ht="28" customHeight="1">
      <c r="B43" s="81" t="n"/>
      <c r="C43" s="9" t="n"/>
      <c r="D43" s="81" t="n"/>
      <c r="E43" s="82" t="n"/>
      <c r="F43" s="71" t="n"/>
    </row>
    <row r="44" ht="28" customHeight="1">
      <c r="B44" s="8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44" s="82" t="n"/>
      <c r="D44" s="82" t="n"/>
      <c r="E44" s="82" t="n"/>
      <c r="F44" s="71" t="n"/>
    </row>
    <row r="45" ht="28" customHeight="1">
      <c r="B45" s="11" t="inlineStr">
        <is>
          <t>Auto score (0–5) from indicator ratings — applies unless overridden</t>
        </is>
      </c>
      <c r="C45" s="122">
        <f>IF((COUNTIF(C39:C43,"Met")+COUNTIF(C39:C43,"Partial")+COUNTIF(C39:C43,"Missed"))=0,"",ROUND((COUNTIF(C39:C43,"Met")*5+COUNTIF(C39:C43,"Partial")*2.5)/(COUNTIF(C39:C43,"Met")+COUNTIF(C39:C43,"Partial")+COUNTIF(C39:C43,"Missed")),0))</f>
        <v/>
      </c>
      <c r="D45" s="92" t="n"/>
      <c r="E45" s="82" t="n"/>
      <c r="F45" s="71" t="n"/>
    </row>
    <row r="46" ht="24" customHeight="1">
      <c r="B46" s="13" t="inlineStr">
        <is>
          <t>FINAL SCORE — leave blank to use the auto score; type 0–5 to override</t>
        </is>
      </c>
      <c r="C46" s="14" t="n"/>
      <c r="D46" s="84">
        <f>IF(IF(C46="",C45,C46)="","← rate the indicators above (auto-scores), or type an override",CHOOSE(IF(C46="",C45,C46)+1,"Agent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6" s="82" t="n"/>
      <c r="F46" s="71" t="n"/>
    </row>
    <row r="47" ht="36" customHeight="1">
      <c r="B47" s="13" t="inlineStr">
        <is>
          <t>Score reflects the cumulative effect of this touch within the 8-month journey: the Nov 24, 2025 hardware/RMA determination remains undelivered, and the case culminates here in executive-level escalation with no path forward offered.</t>
        </is>
      </c>
      <c r="C47" s="86" t="n"/>
      <c r="D47" s="82" t="n"/>
      <c r="E47" s="82" t="n"/>
      <c r="F47" s="71" t="n"/>
    </row>
    <row r="48" ht="28" customHeight="1">
      <c r="B48" s="85" t="n"/>
    </row>
    <row r="49" ht="18" customHeight="1">
      <c r="B49" s="80" t="inlineStr">
        <is>
          <t>2. TECHNICAL ACCURACY</t>
        </is>
      </c>
      <c r="C49" s="90" t="n"/>
      <c r="D49" s="90" t="n"/>
      <c r="E49" s="74" t="n"/>
      <c r="F49" s="6" t="inlineStr">
        <is>
          <t>Weight: 20%</t>
        </is>
      </c>
    </row>
    <row r="50" ht="28" customHeight="1">
      <c r="B50" s="121" t="inlineStr">
        <is>
          <t>Objective: Evaluate the quality of troubleshooting and technical guidance.</t>
        </is>
      </c>
      <c r="C50" s="82" t="n"/>
      <c r="D50" s="82" t="n"/>
      <c r="E50" s="82" t="n"/>
      <c r="F50" s="71" t="n"/>
    </row>
    <row r="51" ht="36" customHeight="1">
      <c r="B51" s="94" t="inlineStr">
        <is>
          <t>Behavioral Indicator</t>
        </is>
      </c>
      <c r="C51" s="7" t="inlineStr">
        <is>
          <t>Assessment</t>
        </is>
      </c>
      <c r="D51" s="94" t="inlineStr">
        <is>
          <t>Evidence / Observation (quote or timestamp where possible)</t>
        </is>
      </c>
      <c r="E51" s="82" t="n"/>
      <c r="F51" s="71" t="n"/>
    </row>
    <row r="52" ht="28" customHeight="1">
      <c r="B52" s="81" t="inlineStr">
        <is>
          <t>Correctly identified the symptoms and asked relevant diagnostic questions</t>
        </is>
      </c>
      <c r="C52" s="9" t="n"/>
      <c r="D52" s="81" t="n"/>
      <c r="E52" s="82" t="n"/>
      <c r="F52" s="71" t="n"/>
    </row>
    <row r="53" ht="28" customHeight="1">
      <c r="B53" s="83" t="inlineStr">
        <is>
          <t>Identified the root cause (or likely cause) when possible</t>
        </is>
      </c>
      <c r="C53" s="9" t="n"/>
      <c r="D53" s="83" t="n"/>
      <c r="E53" s="82" t="n"/>
      <c r="F53" s="71" t="n"/>
    </row>
    <row r="54" ht="28" customHeight="1">
      <c r="B54" s="81" t="inlineStr">
        <is>
          <t>Followed a logical troubleshooting process, and available tools were used, efficiently and appropriately.</t>
        </is>
      </c>
      <c r="C54" s="9" t="n"/>
      <c r="D54" s="81" t="n"/>
      <c r="E54" s="82" t="n"/>
      <c r="F54" s="71" t="n"/>
    </row>
    <row r="55" ht="28" customHeight="1">
      <c r="B55" s="83" t="n"/>
      <c r="C55" s="9" t="n"/>
      <c r="D55" s="83" t="n"/>
      <c r="E55" s="82" t="n"/>
      <c r="F55" s="71" t="n"/>
    </row>
    <row r="56" ht="28" customHeight="1">
      <c r="B56" s="81" t="inlineStr">
        <is>
          <t>Gave technically accurate information; no unsupported conclusions</t>
        </is>
      </c>
      <c r="C56" s="9" t="n"/>
      <c r="D56" s="81" t="n"/>
      <c r="E56" s="82" t="n"/>
      <c r="F56" s="71" t="n"/>
    </row>
    <row r="57" ht="28" customHeight="1">
      <c r="B57" s="83" t="n"/>
      <c r="C57" s="9" t="n"/>
      <c r="D57" s="83" t="n"/>
      <c r="E57" s="82" t="n"/>
      <c r="F57" s="71" t="n"/>
    </row>
    <row r="58" ht="28" customHeight="1">
      <c r="B58" s="81" t="n"/>
      <c r="C58" s="9" t="n"/>
      <c r="D58" s="81" t="n"/>
      <c r="E58" s="82" t="n"/>
      <c r="F58" s="71" t="n"/>
    </row>
    <row r="59" ht="28" customHeight="1">
      <c r="B59" s="85" t="inlineStr">
        <is>
          <t>⚠ Deduct for: incorrect technical information; skipped critical troubleshooting; misdiagnosis; unnecessary actions recommended; ISP or customer blamed without evidence; repeating basic steps the customer already completed.</t>
        </is>
      </c>
      <c r="C59" s="82" t="n"/>
      <c r="D59" s="82" t="n"/>
      <c r="E59" s="82" t="n"/>
      <c r="F59" s="71" t="n"/>
    </row>
    <row r="60" ht="28" customHeight="1">
      <c r="B60" s="11" t="inlineStr">
        <is>
          <t>Auto score (0–5) from indicator ratings — applies unless overridden</t>
        </is>
      </c>
      <c r="C60" s="122">
        <f>IF((COUNTIF(C52:C58,"Met")+COUNTIF(C52:C58,"Partial")+COUNTIF(C52:C58,"Missed"))=0,"",ROUND((COUNTIF(C52:C58,"Met")*5+COUNTIF(C52:C58,"Partial")*2.5)/(COUNTIF(C52:C58,"Met")+COUNTIF(C52:C58,"Partial")+COUNTIF(C52:C58,"Missed")),0))</f>
        <v/>
      </c>
      <c r="D60" s="92" t="n"/>
      <c r="E60" s="82" t="n"/>
      <c r="F60" s="71" t="n"/>
    </row>
    <row r="61" ht="24" customHeight="1">
      <c r="B61" s="13" t="inlineStr">
        <is>
          <t>FINAL SCORE — leave blank to use the auto score; type 0–5 to override</t>
        </is>
      </c>
      <c r="C61" s="14" t="n"/>
      <c r="D61" s="84">
        <f>IF(IF(C61="",C60,C61)="","← rate the indicators above (auto-scores), or type an override",CHOOSE(IF(C61="",C60,C61)+1,"Agent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61" s="82" t="n"/>
      <c r="F61" s="71" t="n"/>
    </row>
    <row r="62" ht="36" customHeight="1">
      <c r="B62" s="13" t="inlineStr">
        <is>
          <t>Individual diagnostic steps (signal/backhaul check, swap-test proposal) were sound, but the unvalidated reversal of a prior CAT-level conclusion undermines technical credibility.</t>
        </is>
      </c>
      <c r="C62" s="86" t="n"/>
      <c r="D62" s="82" t="n"/>
      <c r="E62" s="82" t="n"/>
      <c r="F62" s="71" t="n"/>
    </row>
    <row r="63" ht="28" customHeight="1">
      <c r="B63" s="83" t="n"/>
      <c r="C63" s="9" t="n"/>
      <c r="D63" s="83" t="n"/>
    </row>
    <row r="64" ht="18" customHeight="1">
      <c r="B64" s="80" t="inlineStr">
        <is>
          <t>3. COMMUNICATION &amp; CALL CONTROL</t>
        </is>
      </c>
      <c r="C64" s="90" t="n"/>
      <c r="D64" s="90" t="n"/>
      <c r="E64" s="74" t="n"/>
      <c r="F64" s="6" t="inlineStr">
        <is>
          <t>Weight: 15%</t>
        </is>
      </c>
    </row>
    <row r="65" ht="28" customHeight="1">
      <c r="B65" s="121" t="inlineStr">
        <is>
          <t>Objective: Evaluate how effectively the agent managed the interaction.</t>
        </is>
      </c>
      <c r="C65" s="82" t="n"/>
      <c r="D65" s="82" t="n"/>
      <c r="E65" s="82" t="n"/>
      <c r="F65" s="71" t="n"/>
    </row>
    <row r="66" ht="24" customHeight="1">
      <c r="B66" s="94" t="inlineStr">
        <is>
          <t>Behavioral Indicator</t>
        </is>
      </c>
      <c r="C66" s="7" t="inlineStr">
        <is>
          <t>Assessment</t>
        </is>
      </c>
      <c r="D66" s="94" t="inlineStr">
        <is>
          <t>Evidence / Observation (quote or timestamp where possible)</t>
        </is>
      </c>
      <c r="E66" s="82" t="n"/>
      <c r="F66" s="71" t="n"/>
    </row>
    <row r="67" ht="28" customHeight="1">
      <c r="B67" s="81" t="inlineStr">
        <is>
          <t>Expectations were set clearly from the start</t>
        </is>
      </c>
      <c r="C67" s="9" t="n"/>
      <c r="D67" s="81" t="n"/>
      <c r="E67" s="82" t="n"/>
      <c r="F67" s="71" t="n"/>
    </row>
    <row r="68" ht="28" customHeight="1">
      <c r="B68" s="83" t="inlineStr">
        <is>
          <t>Agent maintained call control and troubleshooting flow</t>
        </is>
      </c>
      <c r="C68" s="9" t="n"/>
      <c r="D68" s="83" t="n"/>
      <c r="E68" s="82" t="n"/>
      <c r="F68" s="71" t="n"/>
    </row>
    <row r="69" ht="28" customHeight="1">
      <c r="B69" s="81" t="inlineStr">
        <is>
          <t>Actions were explained in understandable, jargon-free language</t>
        </is>
      </c>
      <c r="C69" s="9" t="n"/>
      <c r="D69" s="81" t="n"/>
      <c r="E69" s="82" t="n"/>
      <c r="F69" s="71" t="n"/>
    </row>
    <row r="70" ht="28" customHeight="1">
      <c r="B70" s="83" t="inlineStr">
        <is>
          <t>Actively listened and showed comprehension throughout the interaction/s</t>
        </is>
      </c>
      <c r="C70" s="9" t="n"/>
      <c r="D70" s="83" t="n"/>
      <c r="E70" s="82" t="n"/>
      <c r="F70" s="71" t="n"/>
    </row>
    <row r="71" ht="28" customHeight="1">
      <c r="B71" s="81" t="inlineStr">
        <is>
          <t>Customer understanding was confirmed at key points</t>
        </is>
      </c>
      <c r="C71" s="9" t="n"/>
      <c r="D71" s="81" t="n"/>
      <c r="E71" s="82" t="n"/>
      <c r="F71" s="71" t="n"/>
    </row>
    <row r="72" ht="28" customHeight="1">
      <c r="B72" s="83" t="inlineStr">
        <is>
          <t>Managed time well, with clear transitions between steps</t>
        </is>
      </c>
      <c r="C72" s="9" t="n"/>
      <c r="D72" s="83" t="n"/>
      <c r="E72" s="82" t="n"/>
      <c r="F72" s="71" t="n"/>
    </row>
    <row r="73" ht="28" customHeight="1">
      <c r="B73" s="81" t="inlineStr">
        <is>
          <t>Handled difficult moments when needed to maintain call control</t>
        </is>
      </c>
      <c r="C73" s="9" t="n"/>
      <c r="D73" s="81" t="n"/>
      <c r="E73" s="82" t="n"/>
      <c r="F73" s="71" t="n"/>
    </row>
    <row r="74" ht="28" customHeight="1">
      <c r="B74" s="83" t="inlineStr">
        <is>
          <t>Adjusted communication for the customer's accessibility needs (hearing, vision, language barrier, age, cognitive)</t>
        </is>
      </c>
      <c r="C74" s="9" t="n"/>
      <c r="D74" s="83" t="n"/>
      <c r="E74" s="82" t="n"/>
      <c r="F74" s="71" t="n"/>
    </row>
    <row r="75" ht="28" customHeight="1">
      <c r="B75" s="85" t="inlineStr">
        <is>
          <t>⚠ High performance: customer always knows what is happening and the agent drives the call confidently. One instruction at a time for customers who need it.</t>
        </is>
      </c>
      <c r="C75" s="82" t="n"/>
      <c r="D75" s="82" t="n"/>
      <c r="E75" s="82" t="n"/>
      <c r="F75" s="71" t="n"/>
    </row>
    <row r="76" ht="28" customHeight="1">
      <c r="B76" s="11" t="inlineStr">
        <is>
          <t>Auto score (0–5) from indicator ratings — applies unless overridden</t>
        </is>
      </c>
      <c r="C76" s="122">
        <f>IF((COUNTIF(C67:C74,"Met")+COUNTIF(C67:C74,"Partial")+COUNTIF(C67:C74,"Missed"))=0,"",ROUND((COUNTIF(C67:C74,"Met")*5+COUNTIF(C67:C74,"Partial")*2.5)/(COUNTIF(C67:C74,"Met")+COUNTIF(C67:C74,"Partial")+COUNTIF(C67:C74,"Missed")),0))</f>
        <v/>
      </c>
      <c r="D76" s="92" t="n"/>
      <c r="E76" s="82" t="n"/>
      <c r="F76" s="71" t="n"/>
    </row>
    <row r="77" ht="24" customHeight="1">
      <c r="B77" s="13" t="inlineStr">
        <is>
          <t>FINAL SCORE — leave blank to use the auto score; type 0–5 to override</t>
        </is>
      </c>
      <c r="C77" s="14" t="n"/>
      <c r="D77" s="84">
        <f>IF(IF(C77="",C76,C77)="","← rate the indicators above (auto-scores), or type an override",CHOOSE(IF(C77="",C76,C77)+1,"Agent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7" s="82" t="n"/>
      <c r="F77" s="71" t="n"/>
    </row>
    <row r="78" ht="36" customHeight="1">
      <c r="B78" s="13" t="inlineStr">
        <is>
          <t>The core communication failure is the unacknowledged expectation gap: the customer's RMA expectation from Nov 24 was never reconciled with the renewed troubleshooting requests.</t>
        </is>
      </c>
      <c r="C78" s="86" t="n"/>
      <c r="D78" s="82" t="n"/>
      <c r="E78" s="82" t="n"/>
      <c r="F78" s="71" t="n"/>
    </row>
    <row r="79" ht="28" customHeight="1">
      <c r="B79" s="83" t="n"/>
      <c r="C79" s="9" t="n"/>
      <c r="D79" s="83" t="n"/>
    </row>
    <row r="80" ht="18" customHeight="1">
      <c r="B80" s="80" t="inlineStr">
        <is>
          <t>4. CUSTOMER OWNERSHIP</t>
        </is>
      </c>
      <c r="C80" s="90" t="n"/>
      <c r="D80" s="90" t="n"/>
      <c r="E80" s="74" t="n"/>
      <c r="F80" s="6" t="inlineStr">
        <is>
          <t>Weight: 15%</t>
        </is>
      </c>
    </row>
    <row r="81" ht="28" customHeight="1">
      <c r="B81" s="121" t="inlineStr">
        <is>
          <t>Objective: Measure the degree to which the agent accepted responsibility for moving the customer forward.</t>
        </is>
      </c>
      <c r="C81" s="82" t="n"/>
      <c r="D81" s="82" t="n"/>
      <c r="E81" s="82" t="n"/>
      <c r="F81" s="71" t="n"/>
    </row>
    <row r="82" ht="24" customHeight="1">
      <c r="B82" s="94" t="inlineStr">
        <is>
          <t>Behavioral Indicator</t>
        </is>
      </c>
      <c r="C82" s="7" t="inlineStr">
        <is>
          <t>Assessment</t>
        </is>
      </c>
      <c r="D82" s="94" t="inlineStr">
        <is>
          <t>Evidence / Observation (quote or timestamp where possible)</t>
        </is>
      </c>
      <c r="E82" s="82" t="n"/>
      <c r="F82" s="71" t="n"/>
    </row>
    <row r="83" ht="28" customHeight="1">
      <c r="B83" s="81" t="inlineStr">
        <is>
          <t>Took accountability for the customer's outcome and avoided unnecessary transfers</t>
        </is>
      </c>
      <c r="C83" s="9" t="n"/>
      <c r="D83" s="81" t="n"/>
      <c r="E83" s="82" t="n"/>
      <c r="F83" s="71" t="n"/>
    </row>
    <row r="84" ht="28" customHeight="1">
      <c r="B84" s="83" t="n"/>
      <c r="C84" s="9" t="n"/>
      <c r="D84" s="83" t="n"/>
      <c r="E84" s="82" t="n"/>
      <c r="F84" s="71" t="n"/>
    </row>
    <row r="85" ht="28" customHeight="1">
      <c r="B85" s="81" t="inlineStr">
        <is>
          <t>Commitments made were followed through, and a clear path forward was created for the customer.</t>
        </is>
      </c>
      <c r="C85" s="9" t="n"/>
      <c r="D85" s="81" t="n"/>
      <c r="E85" s="82" t="n"/>
      <c r="F85" s="71" t="n"/>
    </row>
    <row r="86" ht="28" customHeight="1">
      <c r="B86" s="83" t="n"/>
      <c r="C86" s="9" t="n"/>
      <c r="D86" s="83" t="n"/>
      <c r="E86" s="82" t="n"/>
      <c r="F86" s="71" t="n"/>
    </row>
    <row r="87" ht="28" customHeight="1">
      <c r="B87" s="81" t="inlineStr">
        <is>
          <t>Next actions were documented</t>
        </is>
      </c>
      <c r="C87" s="9" t="n"/>
      <c r="D87" s="81" t="n"/>
      <c r="E87" s="82" t="n"/>
      <c r="F87" s="71" t="n"/>
    </row>
    <row r="88" ht="28" customHeight="1">
      <c r="B88" s="83" t="inlineStr">
        <is>
          <t>Realistic expectations were set</t>
        </is>
      </c>
      <c r="C88" s="9" t="n"/>
      <c r="D88" s="83" t="n"/>
      <c r="E88" s="82" t="n"/>
      <c r="F88" s="71" t="n"/>
    </row>
    <row r="89" ht="28" customHeight="1">
      <c r="B89" s="81" t="inlineStr">
        <is>
          <t>Completed required disconnect follow-up and met callback commitments within the agreed window</t>
        </is>
      </c>
      <c r="C89" s="9" t="n"/>
      <c r="D89" s="81" t="n"/>
      <c r="E89" s="82" t="n"/>
      <c r="F89" s="71" t="n"/>
    </row>
    <row r="90" ht="28" customHeight="1">
      <c r="B90" s="83" t="n"/>
      <c r="C90" s="9" t="n"/>
      <c r="D90" s="83" t="n"/>
      <c r="E90" s="82" t="n"/>
      <c r="F90" s="71" t="n"/>
    </row>
    <row r="91" ht="28" customHeight="1">
      <c r="B91" s="85" t="inlineStr">
        <is>
          <t>⚠ Automatic deductions: no documented follow-up after disconnect; unclear next steps; passing responsibility without context; failure to complete promised actions; missed or late callbacks without proactive renegotiation.</t>
        </is>
      </c>
      <c r="C91" s="82" t="n"/>
      <c r="D91" s="82" t="n"/>
      <c r="E91" s="82" t="n"/>
      <c r="F91" s="71" t="n"/>
    </row>
    <row r="92" ht="28" customHeight="1">
      <c r="B92" s="11" t="inlineStr">
        <is>
          <t>Auto score (0–5) from indicator ratings — applies unless overridden</t>
        </is>
      </c>
      <c r="C92" s="122">
        <f>IF((COUNTIF(C83:C90,"Met")+COUNTIF(C83:C90,"Partial")+COUNTIF(C83:C90,"Missed"))=0,"",ROUND((COUNTIF(C83:C90,"Met")*5+COUNTIF(C83:C90,"Partial")*2.5)/(COUNTIF(C83:C90,"Met")+COUNTIF(C83:C90,"Partial")+COUNTIF(C83:C90,"Missed")),0))</f>
        <v/>
      </c>
      <c r="D92" s="92" t="n"/>
      <c r="E92" s="82" t="n"/>
      <c r="F92" s="71" t="n"/>
    </row>
    <row r="93" ht="24" customHeight="1">
      <c r="B93" s="13" t="inlineStr">
        <is>
          <t>FINAL SCORE — leave blank to use the auto score; type 0–5 to override</t>
        </is>
      </c>
      <c r="C93" s="14" t="n"/>
      <c r="D93" s="84">
        <f>IF(IF(C93="",C92,C93)="","← rate the indicators above (auto-scores), or type an override",CHOOSE(IF(C93="",C92,C93)+1,"Agent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93" s="82" t="n"/>
      <c r="F93" s="71" t="n"/>
    </row>
    <row r="94" ht="36" customHeight="1">
      <c r="B94" s="13" t="inlineStr">
        <is>
          <t>The escalation itself was a positive ownership step, but follow-through collapsed: the customer's direct questions and the SLA commitment were both left unmet, requiring PMO intervention.</t>
        </is>
      </c>
      <c r="C94" s="86" t="n"/>
      <c r="D94" s="82" t="n"/>
      <c r="E94" s="82" t="n"/>
      <c r="F94" s="71" t="n"/>
    </row>
    <row r="95" ht="24" customHeight="1">
      <c r="B95" s="13" t="n"/>
      <c r="C95" s="14" t="n"/>
      <c r="D95" s="84" t="n"/>
    </row>
    <row r="96" ht="18" customHeight="1">
      <c r="B96" s="80" t="inlineStr">
        <is>
          <t>5. ESCALATION JUDGMENT</t>
        </is>
      </c>
      <c r="C96" s="90" t="n"/>
      <c r="D96" s="90" t="n"/>
      <c r="E96" s="74" t="n"/>
      <c r="F96" s="6" t="inlineStr">
        <is>
          <t>Weight: 10%</t>
        </is>
      </c>
    </row>
    <row r="97" ht="28" customHeight="1">
      <c r="B97" s="121" t="inlineStr">
        <is>
          <t>Objective: Determine whether escalation decisions were appropriate — including UPWARD escalations the customer requested (management, complaint, legal). Mark all N.A. if no escalation was involved and none was warranted.</t>
        </is>
      </c>
      <c r="C97" s="82" t="n"/>
      <c r="D97" s="82" t="n"/>
      <c r="E97" s="82" t="n"/>
      <c r="F97" s="71" t="n"/>
    </row>
    <row r="98" ht="18" customHeight="1">
      <c r="B98" s="94" t="inlineStr">
        <is>
          <t>Behavioral Indicator</t>
        </is>
      </c>
      <c r="C98" s="7" t="inlineStr">
        <is>
          <t>Assessment</t>
        </is>
      </c>
      <c r="D98" s="94" t="inlineStr">
        <is>
          <t>Evidence / Observation (quote or timestamp where possible)</t>
        </is>
      </c>
      <c r="E98" s="82" t="n"/>
      <c r="F98" s="71" t="n"/>
    </row>
    <row r="99" ht="28" customHeight="1">
      <c r="B99" s="81" t="inlineStr">
        <is>
          <t>Completed reasonable troubleshooting before escalating</t>
        </is>
      </c>
      <c r="C99" s="9" t="n"/>
      <c r="D99" s="81" t="n"/>
      <c r="E99" s="82" t="n"/>
      <c r="F99" s="71" t="n"/>
    </row>
    <row r="100" ht="28" customHeight="1">
      <c r="B100" s="83" t="inlineStr">
        <is>
          <t>Identified a valid reason to escalate</t>
        </is>
      </c>
      <c r="C100" s="9" t="n"/>
      <c r="D100" s="83" t="n"/>
      <c r="E100" s="82" t="n"/>
      <c r="F100" s="71" t="n"/>
    </row>
    <row r="101" ht="28" customHeight="1">
      <c r="B101" s="81" t="inlineStr">
        <is>
          <t>Provided complete escalation details using the correct escalation path</t>
        </is>
      </c>
      <c r="C101" s="9" t="n"/>
      <c r="D101" s="81" t="n"/>
      <c r="E101" s="82" t="n"/>
      <c r="F101" s="71" t="n"/>
    </row>
    <row r="102" ht="28" customHeight="1">
      <c r="B102" s="83" t="n"/>
      <c r="C102" s="9" t="n"/>
      <c r="D102" s="83" t="n"/>
      <c r="E102" s="82" t="n"/>
      <c r="F102" s="71" t="n"/>
    </row>
    <row r="103" ht="28" customHeight="1">
      <c r="B103" s="81" t="inlineStr">
        <is>
          <t>Clearly explained why escalation was necessary and what would happen next.</t>
        </is>
      </c>
      <c r="C103" s="9" t="n"/>
      <c r="D103" s="81" t="n"/>
      <c r="E103" s="82" t="n"/>
      <c r="F103" s="71" t="n"/>
    </row>
    <row r="104" ht="28" customHeight="1">
      <c r="B104" s="85" t="inlineStr">
        <is>
          <t>⚠ Low score: premature, avoidable, poorly documented, used as a substitute for troubleshooting — or a warranted escalation (incl. a customer's management request) that was NOT made.</t>
        </is>
      </c>
      <c r="C104" s="82" t="n"/>
      <c r="D104" s="82" t="n"/>
      <c r="E104" s="82" t="n"/>
      <c r="F104" s="71" t="n"/>
    </row>
    <row r="105" ht="28" customHeight="1">
      <c r="B105" s="11" t="inlineStr">
        <is>
          <t>Auto score (0–5) from indicator ratings — applies unless overridden</t>
        </is>
      </c>
      <c r="C105" s="122">
        <f>IF((COUNTIF(C99:C103,"Met")+COUNTIF(C99:C103,"Partial")+COUNTIF(C99:C103,"Missed"))=0,"",ROUND((COUNTIF(C99:C103,"Met")*5+COUNTIF(C99:C103,"Partial")*2.5)/(COUNTIF(C99:C103,"Met")+COUNTIF(C99:C103,"Partial")+COUNTIF(C99:C103,"Missed")),0))</f>
        <v/>
      </c>
      <c r="D105" s="92" t="n"/>
      <c r="E105" s="82" t="n"/>
      <c r="F105" s="71" t="n"/>
    </row>
    <row r="106" ht="24" customHeight="1">
      <c r="B106" s="13" t="inlineStr">
        <is>
          <t>FINAL SCORE — leave blank to use the auto score; type 0–5 to override</t>
        </is>
      </c>
      <c r="C106" s="14" t="n"/>
      <c r="D106" s="84">
        <f>IF(IF(C106="",C105,C106)="","← rate the indicators above (auto-scores), or type an override",CHOOSE(IF(C106="",C105,C106)+1,"Agent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6" s="82" t="n"/>
      <c r="F106" s="71" t="n"/>
    </row>
    <row r="107" ht="36" customHeight="1">
      <c r="B107" s="13" t="inlineStr">
        <is>
          <t>The escalation decision and routing were correct; the SLA management and handoff completeness after escalation were not.</t>
        </is>
      </c>
      <c r="C107" s="86" t="n"/>
      <c r="D107" s="82" t="n"/>
      <c r="E107" s="82" t="n"/>
      <c r="F107" s="71" t="n"/>
    </row>
    <row r="108" ht="20" customHeight="1">
      <c r="B108" s="80" t="inlineStr">
        <is>
          <t>ESCALATION FOLLOW-UP   ·   Complete only if an escalation was submitted</t>
        </is>
      </c>
      <c r="C108" s="90" t="n"/>
      <c r="D108" s="90" t="n"/>
      <c r="E108" s="90" t="n"/>
      <c r="F108" s="74" t="n"/>
    </row>
    <row r="109" ht="20" customHeight="1">
      <c r="B109" s="13" t="inlineStr">
        <is>
          <t>What did the receiving agent / Level 2 do to resolve or advance this case?</t>
        </is>
      </c>
      <c r="C109" s="123" t="n"/>
      <c r="F109" s="6" t="n"/>
    </row>
    <row r="110" ht="45" customHeight="1">
      <c r="B110" s="124" t="n"/>
      <c r="C110" s="125" t="n"/>
    </row>
    <row r="111" ht="18" customHeight="1">
      <c r="B111" s="80" t="inlineStr">
        <is>
          <t>L1 learning points from this escalation outcome</t>
        </is>
      </c>
      <c r="C111" s="90" t="n"/>
      <c r="D111" s="90" t="n"/>
      <c r="E111" s="90" t="n"/>
      <c r="F111" s="74" t="n"/>
    </row>
    <row r="112" ht="28" customHeight="1">
      <c r="B112" s="13" t="inlineStr">
        <is>
          <t>1.</t>
        </is>
      </c>
      <c r="C112" s="9" t="n"/>
      <c r="D112" s="82" t="n"/>
      <c r="E112" s="82" t="n"/>
      <c r="F112" s="71" t="n"/>
    </row>
    <row r="113" ht="28" customHeight="1">
      <c r="B113" s="13" t="inlineStr">
        <is>
          <t>2.</t>
        </is>
      </c>
      <c r="C113" s="9" t="n"/>
      <c r="D113" s="82" t="n"/>
      <c r="E113" s="82" t="n"/>
      <c r="F113" s="71" t="n"/>
    </row>
    <row r="114" ht="28" customHeight="1">
      <c r="B114" s="13" t="inlineStr">
        <is>
          <t>3.</t>
        </is>
      </c>
      <c r="C114" s="9" t="n"/>
      <c r="D114" s="82" t="n"/>
      <c r="E114" s="82" t="n"/>
      <c r="F114" s="71" t="n"/>
    </row>
    <row r="115" ht="28" customHeight="1">
      <c r="B115" s="83" t="n"/>
      <c r="C115" s="9" t="n"/>
      <c r="D115" s="83" t="n"/>
    </row>
    <row r="116" ht="18" customHeight="1">
      <c r="B116" s="80" t="inlineStr">
        <is>
          <t>6. CUSTOMER EXPERIENCE</t>
        </is>
      </c>
      <c r="C116" s="90" t="n"/>
      <c r="D116" s="90" t="n"/>
      <c r="E116" s="74" t="n"/>
      <c r="F116" s="6" t="inlineStr">
        <is>
          <t>Weight: 5%</t>
        </is>
      </c>
    </row>
    <row r="117" ht="28" customHeight="1">
      <c r="B117" s="121" t="inlineStr">
        <is>
          <t>Objective: Measure the overall customer experience delivered during the interaction.</t>
        </is>
      </c>
      <c r="C117" s="82" t="n"/>
      <c r="D117" s="82" t="n"/>
      <c r="E117" s="82" t="n"/>
      <c r="F117" s="71" t="n"/>
    </row>
    <row r="118" ht="28" customHeight="1">
      <c r="B118" s="94" t="inlineStr">
        <is>
          <t>Behavioral Indicator</t>
        </is>
      </c>
      <c r="C118" s="7" t="inlineStr">
        <is>
          <t>Assessment</t>
        </is>
      </c>
      <c r="D118" s="94" t="inlineStr">
        <is>
          <t>Evidence / Observation (quote or timestamp where possible)</t>
        </is>
      </c>
      <c r="E118" s="82" t="n"/>
      <c r="F118" s="71" t="n"/>
    </row>
    <row r="119" ht="28" customHeight="1">
      <c r="B119" s="81" t="inlineStr">
        <is>
          <t>Demonstrated empathy including for repeat-contact fatigue</t>
        </is>
      </c>
      <c r="C119" s="9" t="n"/>
      <c r="D119" s="81" t="n"/>
      <c r="E119" s="82" t="n"/>
      <c r="F119" s="71" t="n"/>
    </row>
    <row r="120" ht="28" customHeight="1">
      <c r="B120" s="83" t="inlineStr">
        <is>
          <t>Stayed professional throughout and maintained patience, even under pressure</t>
        </is>
      </c>
      <c r="C120" s="9" t="n"/>
      <c r="D120" s="83" t="n"/>
      <c r="E120" s="82" t="n"/>
      <c r="F120" s="71" t="n"/>
    </row>
    <row r="121" ht="28" customHeight="1">
      <c r="B121" s="81" t="inlineStr">
        <is>
          <t>Agent matched the customer's tone, pace, level, and energy</t>
        </is>
      </c>
      <c r="C121" s="9" t="n"/>
      <c r="D121" s="81" t="n"/>
      <c r="E121" s="82" t="n"/>
      <c r="F121" s="71" t="n"/>
    </row>
    <row r="122" ht="28" customHeight="1">
      <c r="B122" s="83" t="n"/>
      <c r="C122" s="9" t="n"/>
      <c r="D122" s="83" t="n"/>
      <c r="E122" s="82" t="n"/>
      <c r="F122" s="71" t="n"/>
    </row>
    <row r="123" ht="28" customHeight="1">
      <c r="B123" s="81" t="inlineStr">
        <is>
          <t>Minimized customer effort</t>
        </is>
      </c>
      <c r="C123" s="9" t="n"/>
      <c r="D123" s="81" t="n"/>
      <c r="E123" s="82" t="n"/>
      <c r="F123" s="71" t="n"/>
    </row>
    <row r="124" ht="28" customHeight="1">
      <c r="B124" s="83" t="inlineStr">
        <is>
          <t>Maintained customer understanding and engagement</t>
        </is>
      </c>
      <c r="C124" s="9" t="n"/>
      <c r="D124" s="83" t="n"/>
      <c r="E124" s="82" t="n"/>
      <c r="F124" s="71" t="n"/>
    </row>
    <row r="125" ht="28" customHeight="1">
      <c r="B125" s="85" t="inlineStr">
        <is>
          <t>⚠ Negative indicators: dismissive responses; robotic interactions; frustration escalation caused by agent behavior; marathon sessions pushed onto vulnerable customers without offering to pause and resume.</t>
        </is>
      </c>
      <c r="C125" s="82" t="n"/>
      <c r="D125" s="82" t="n"/>
      <c r="E125" s="82" t="n"/>
      <c r="F125" s="71" t="n"/>
    </row>
    <row r="126" ht="28" customHeight="1">
      <c r="B126" s="11" t="inlineStr">
        <is>
          <t>Auto score (0–5) from indicator ratings — applies unless overridden</t>
        </is>
      </c>
      <c r="C126" s="122">
        <f>IF((COUNTIF(C119:C124,"Met")+COUNTIF(C119:C124,"Partial")+COUNTIF(C119:C124,"Missed"))=0,"",ROUND((COUNTIF(C119:C124,"Met")*5+COUNTIF(C119:C124,"Partial")*2.5)/(COUNTIF(C119:C124,"Met")+COUNTIF(C119:C124,"Partial")+COUNTIF(C119:C124,"Missed")),0))</f>
        <v/>
      </c>
      <c r="D126" s="92" t="n"/>
      <c r="E126" s="82" t="n"/>
      <c r="F126" s="71" t="n"/>
    </row>
    <row r="127" ht="24" customHeight="1">
      <c r="B127" s="13" t="inlineStr">
        <is>
          <t>FINAL SCORE — leave blank to use the auto score; type 0–5 to override</t>
        </is>
      </c>
      <c r="C127" s="14" t="n"/>
      <c r="D127" s="84">
        <f>IF(IF(C127="",C126,C127)="","← rate the indicators above (auto-scores), or type an override",CHOOSE(IF(C127="",C126,C127)+1,"Agent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27" s="82" t="n"/>
      <c r="F127" s="71" t="n"/>
    </row>
    <row r="128" ht="36" customHeight="1">
      <c r="B128" s="13" t="inlineStr">
        <is>
          <t>Professionalism was maintained, but the customer's confidence and engagement collapsed by the end of this touch.</t>
        </is>
      </c>
      <c r="C128" s="86" t="n"/>
      <c r="D128" s="82" t="n"/>
      <c r="E128" s="82" t="n"/>
      <c r="F128" s="71" t="n"/>
    </row>
    <row r="129" ht="28" customHeight="1">
      <c r="B129" s="85" t="n"/>
      <c r="C129" s="9" t="n"/>
      <c r="D129" s="83" t="n"/>
    </row>
    <row r="130" ht="18" customHeight="1">
      <c r="B130" s="80" t="inlineStr">
        <is>
          <t>7. DOCUMENTATION &amp; NOTES</t>
        </is>
      </c>
      <c r="C130" s="90" t="n"/>
      <c r="D130" s="90" t="n"/>
      <c r="E130" s="74" t="n"/>
      <c r="F130" s="6" t="inlineStr">
        <is>
          <t>Weight: 5%</t>
        </is>
      </c>
    </row>
    <row r="131" ht="28" customHeight="1">
      <c r="B131" s="121" t="inlineStr">
        <is>
          <t>Objective: Ensure future agents can quickly understand the case. Purpose is continuity, not compliance.</t>
        </is>
      </c>
      <c r="C131" s="82" t="n"/>
      <c r="D131" s="82" t="n"/>
      <c r="E131" s="82" t="n"/>
      <c r="F131" s="71" t="n"/>
    </row>
    <row r="132" ht="36" customHeight="1">
      <c r="B132" s="94" t="inlineStr">
        <is>
          <t>Behavioral Indicator</t>
        </is>
      </c>
      <c r="C132" s="7" t="inlineStr">
        <is>
          <t>Assessment</t>
        </is>
      </c>
      <c r="D132" s="94" t="inlineStr">
        <is>
          <t>Evidence / Observation (quote or timestamp where possible)</t>
        </is>
      </c>
      <c r="E132" s="82" t="n"/>
      <c r="F132" s="71" t="n"/>
    </row>
    <row r="133" ht="28" customHeight="1">
      <c r="B133" s="81" t="inlineStr">
        <is>
          <t>Recorded customer issue summary</t>
        </is>
      </c>
      <c r="C133" s="9" t="n"/>
      <c r="D133" s="81" t="n"/>
      <c r="E133" s="82" t="n"/>
      <c r="F133" s="71" t="n"/>
    </row>
    <row r="134" ht="28" customHeight="1">
      <c r="B134" s="83" t="inlineStr">
        <is>
          <t>Documented troubleshooting steps</t>
        </is>
      </c>
      <c r="C134" s="9" t="n"/>
      <c r="D134" s="83" t="n"/>
      <c r="E134" s="82" t="n"/>
      <c r="F134" s="71" t="n"/>
    </row>
    <row r="135" ht="28" customHeight="1">
      <c r="B135" s="81" t="inlineStr">
        <is>
          <t>Noted key findings</t>
        </is>
      </c>
      <c r="C135" s="9" t="n"/>
      <c r="D135" s="81" t="n"/>
      <c r="E135" s="82" t="n"/>
      <c r="F135" s="71" t="n"/>
    </row>
    <row r="136" ht="28" customHeight="1">
      <c r="B136" s="83" t="inlineStr">
        <is>
          <t>Captured agent reasoning - escalation justification, offline recommendations provided by colleagues and other support POCs especially if no private notes applicable to step/action.</t>
        </is>
      </c>
      <c r="C136" s="9" t="n"/>
      <c r="D136" s="83" t="n"/>
      <c r="E136" s="82" t="n"/>
      <c r="F136" s="71" t="n"/>
    </row>
    <row r="137" ht="28" customHeight="1">
      <c r="B137" s="81" t="n"/>
      <c r="C137" s="9" t="n"/>
      <c r="D137" s="81" t="n"/>
      <c r="E137" s="82" t="n"/>
      <c r="F137" s="71" t="n"/>
    </row>
    <row r="138" ht="28" customHeight="1">
      <c r="B138" s="83" t="inlineStr">
        <is>
          <t>Documented next steps and follow-ups</t>
        </is>
      </c>
      <c r="C138" s="9" t="n"/>
      <c r="D138" s="83" t="n"/>
      <c r="E138" s="82" t="n"/>
      <c r="F138" s="71" t="n"/>
    </row>
    <row r="139" ht="28" customHeight="1">
      <c r="B139" s="81" t="inlineStr">
        <is>
          <t>Updated ticket status accurately</t>
        </is>
      </c>
      <c r="C139" s="9" t="n"/>
      <c r="D139" s="81" t="n"/>
      <c r="E139" s="82" t="n"/>
      <c r="F139" s="71" t="n"/>
    </row>
    <row r="140" ht="28" customHeight="1">
      <c r="B140" s="85" t="inlineStr">
        <is>
          <t>⚠ Documentation supports outcomes but should not outweigh troubleshooting quality, communication, or ownership. Notes must carry the FULL history — including pre-ticket contacts — so no agent treats a long-running case as new.</t>
        </is>
      </c>
      <c r="C140" s="82" t="n"/>
      <c r="D140" s="82" t="n"/>
      <c r="E140" s="82" t="n"/>
      <c r="F140" s="71" t="n"/>
    </row>
    <row r="141" ht="52" customHeight="1">
      <c r="B141" s="11" t="inlineStr">
        <is>
          <t>Auto score (0–5) from indicator ratings — applies unless overridden</t>
        </is>
      </c>
      <c r="C141" s="122">
        <f>IF((COUNTIF(C133:C139,"Met")+COUNTIF(C133:C139,"Partial")+COUNTIF(C133:C139,"Missed"))=0,"",ROUND((COUNTIF(C133:C139,"Met")*5+COUNTIF(C133:C139,"Partial")*2.5)/(COUNTIF(C133:C139,"Met")+COUNTIF(C133:C139,"Partial")+COUNTIF(C133:C139,"Missed")),0))</f>
        <v/>
      </c>
      <c r="D141" s="92" t="n"/>
      <c r="E141" s="82" t="n"/>
      <c r="F141" s="71" t="n"/>
    </row>
    <row r="142" ht="24" customHeight="1">
      <c r="B142" s="13" t="inlineStr">
        <is>
          <t>FINAL SCORE — leave blank to use the auto score; type 0–5 to override</t>
        </is>
      </c>
      <c r="C142" s="14" t="n"/>
      <c r="D142" s="84">
        <f>IF(IF(C142="",C141,C142)="","← rate the indicators above (auto-scores), or type an override",CHOOSE(IF(C142="",C141,C142)+1,"Agent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42" s="82" t="n"/>
      <c r="F142" s="71" t="n"/>
    </row>
    <row r="143" ht="36" customHeight="1">
      <c r="B143" s="13" t="inlineStr">
        <is>
          <t>Escalation steps are documented, but the case record does not carry the full history forward, and ticket status does not reflect reality.</t>
        </is>
      </c>
      <c r="C143" s="86" t="n"/>
      <c r="D143" s="82" t="n"/>
      <c r="E143" s="82" t="n"/>
      <c r="F143" s="71" t="n"/>
    </row>
    <row r="144">
      <c r="B144" s="80" t="n"/>
    </row>
    <row r="145" ht="30" customHeight="1">
      <c r="B145" s="80" t="n"/>
      <c r="C145" s="9" t="n"/>
      <c r="D145" s="85" t="n"/>
    </row>
    <row r="146" ht="30" customHeight="1">
      <c r="B146" s="80" t="inlineStr">
        <is>
          <t>4 · RESOLUTION OUTCOME</t>
        </is>
      </c>
      <c r="C146" s="90" t="n"/>
      <c r="D146" s="90" t="n"/>
      <c r="E146" s="90" t="n"/>
      <c r="F146" s="74" t="n"/>
    </row>
    <row r="147">
      <c r="B147" s="94" t="inlineStr">
        <is>
          <t>Outcome classification</t>
        </is>
      </c>
      <c r="C147" s="97" t="n"/>
      <c r="D147" s="82" t="n"/>
      <c r="E147" s="82" t="n"/>
      <c r="F147" s="71" t="n"/>
    </row>
    <row r="148" ht="52" customHeight="1">
      <c r="B148" s="87" t="inlineStr">
        <is>
          <t>Primary positive outcome achieved</t>
        </is>
      </c>
      <c r="C148" s="88" t="n"/>
      <c r="D148" s="82" t="n"/>
      <c r="E148" s="82" t="n"/>
      <c r="F148" s="71" t="n"/>
    </row>
    <row r="149" ht="52" customHeight="1">
      <c r="B149" s="94" t="inlineStr">
        <is>
          <t>Justification</t>
        </is>
      </c>
      <c r="C149" s="86" t="n"/>
      <c r="D149" s="82" t="n"/>
      <c r="E149" s="82" t="n"/>
      <c r="F149" s="71" t="n"/>
    </row>
    <row r="150" ht="26" customHeight="1">
      <c r="B150" s="80" t="n"/>
      <c r="C150" s="9" t="n"/>
      <c r="D150" s="81" t="n"/>
    </row>
    <row r="151" ht="26" customHeight="1">
      <c r="B151" s="80" t="inlineStr">
        <is>
          <t>5 · DISCONNECTED CALL FOLLOW-UP</t>
        </is>
      </c>
      <c r="C151" s="90" t="n"/>
      <c r="D151" s="90" t="n"/>
      <c r="E151" s="90" t="n"/>
      <c r="F151" s="74" t="n"/>
    </row>
    <row r="152" ht="30" customHeight="1">
      <c r="B152" s="87" t="inlineStr">
        <is>
          <t>Did the interaction disconnect before completion?</t>
        </is>
      </c>
      <c r="C152" s="9" t="inlineStr">
        <is>
          <t>No</t>
        </is>
      </c>
      <c r="D152" s="85" t="inlineStr">
        <is>
          <t>If Yes, at least one documented follow-up action is required.</t>
        </is>
      </c>
      <c r="E152" s="82" t="n"/>
      <c r="F152" s="71" t="n"/>
    </row>
    <row r="153" ht="30" customHeight="1">
      <c r="B153" s="94" t="inlineStr">
        <is>
          <t>Follow-up action taken</t>
        </is>
      </c>
      <c r="C153" s="88" t="inlineStr">
        <is>
          <t>N.A. — no disconnect</t>
        </is>
      </c>
      <c r="D153" s="71" t="n"/>
      <c r="E153" s="79">
        <f>IF(AND(C152="Yes",OR(C153="None",C153="N.A. — no disconnect")),"⚠ MISSED OWNERSHIP OPPORTUNITY — flag in Customer Ownership and Critical Failures","OK")</f>
        <v/>
      </c>
      <c r="F153" s="71" t="n"/>
    </row>
    <row r="154" ht="26" customHeight="1">
      <c r="B154" s="98" t="n"/>
      <c r="C154" s="9" t="n"/>
      <c r="D154" s="81" t="n"/>
    </row>
    <row r="155" ht="26" customHeight="1">
      <c r="B155" s="98" t="inlineStr">
        <is>
          <t>6 · CRITICAL FAILURE CONDITIONS  (any 'Yes' triggers automatic review / coaching / QA failure regardless of score)</t>
        </is>
      </c>
      <c r="C155" s="90" t="n"/>
      <c r="D155" s="90" t="n"/>
      <c r="E155" s="90" t="n"/>
      <c r="F155" s="74" t="n"/>
    </row>
    <row r="156" ht="26" customHeight="1">
      <c r="B156" s="80" t="inlineStr">
        <is>
          <t>Condition</t>
        </is>
      </c>
      <c r="C156" s="119" t="inlineStr">
        <is>
          <t>Present?</t>
        </is>
      </c>
      <c r="D156" s="80" t="inlineStr">
        <is>
          <t>Notes / Evidence</t>
        </is>
      </c>
      <c r="E156" s="90" t="n"/>
      <c r="F156" s="74" t="n"/>
    </row>
    <row r="157" ht="26" customHeight="1">
      <c r="B157" s="81" t="inlineStr">
        <is>
          <t>Harmful or incorrect troubleshooting provided</t>
        </is>
      </c>
      <c r="C157" s="9" t="inlineStr">
        <is>
          <t>No</t>
        </is>
      </c>
      <c r="D157" s="81" t="n"/>
      <c r="E157" s="82" t="n"/>
      <c r="F157" s="71" t="n"/>
    </row>
    <row r="158" ht="26" customHeight="1">
      <c r="B158" s="83" t="inlineStr">
        <is>
          <t>Misrepresented product capabilities</t>
        </is>
      </c>
      <c r="C158" s="9" t="inlineStr">
        <is>
          <t>No</t>
        </is>
      </c>
      <c r="D158" s="83" t="n"/>
      <c r="E158" s="82" t="n"/>
      <c r="F158" s="71" t="n"/>
    </row>
    <row r="159" ht="26" customHeight="1">
      <c r="B159" s="81" t="inlineStr">
        <is>
          <t>Unsupported root-cause claims (e.g., ISP/customer blame w/o evidence)</t>
        </is>
      </c>
      <c r="C159" s="9" t="inlineStr">
        <is>
          <t>No</t>
        </is>
      </c>
      <c r="D159" s="81" t="n"/>
      <c r="E159" s="82" t="n"/>
      <c r="F159" s="71" t="n"/>
    </row>
    <row r="160" ht="26" customHeight="1">
      <c r="B160" s="83" t="inlineStr">
        <is>
          <t>No follow-up after disconnected call</t>
        </is>
      </c>
      <c r="C160" s="9" t="inlineStr">
        <is>
          <t>No</t>
        </is>
      </c>
      <c r="D160" s="83" t="n"/>
      <c r="E160" s="82" t="n"/>
      <c r="F160" s="71" t="n"/>
    </row>
    <row r="161" ht="26" customHeight="1">
      <c r="B161" s="81" t="inlineStr">
        <is>
          <t>Failed to complete a promised action (incl. missed agreed callback window)</t>
        </is>
      </c>
      <c r="C161" s="9" t="inlineStr">
        <is>
          <t>No</t>
        </is>
      </c>
      <c r="D161" s="81" t="n"/>
      <c r="E161" s="82" t="n"/>
      <c r="F161" s="71" t="n"/>
    </row>
    <row r="162" ht="26" customHeight="1">
      <c r="B162" s="83" t="inlineStr">
        <is>
          <t>Abandoned customer without a path forward</t>
        </is>
      </c>
      <c r="C162" s="9" t="inlineStr">
        <is>
          <t>No</t>
        </is>
      </c>
      <c r="D162" s="83" t="n"/>
      <c r="E162" s="82" t="n"/>
      <c r="F162" s="71" t="n"/>
    </row>
    <row r="163" ht="26" customHeight="1">
      <c r="B163" s="81" t="inlineStr">
        <is>
          <t>Escalated without reasonable troubleshooting / to avoid ownership</t>
        </is>
      </c>
      <c r="C163" s="9" t="inlineStr">
        <is>
          <t>No</t>
        </is>
      </c>
      <c r="D163" s="81" t="n"/>
      <c r="E163" s="82" t="n"/>
      <c r="F163" s="71" t="n"/>
    </row>
    <row r="164" ht="26" customHeight="1">
      <c r="B164" s="83" t="inlineStr">
        <is>
          <t>Unprofessional, rude, or dismissive conduct / policy violation</t>
        </is>
      </c>
      <c r="C164" s="9" t="inlineStr">
        <is>
          <t>No</t>
        </is>
      </c>
      <c r="D164" s="83" t="n"/>
      <c r="E164" s="82" t="n"/>
      <c r="F164" s="71" t="n"/>
    </row>
    <row r="165" ht="26" customHeight="1">
      <c r="B165" s="83" t="inlineStr">
        <is>
          <t>Case marked Resolved while issue known to be unresolved (premature closure / no closure reason)</t>
        </is>
      </c>
      <c r="C165" s="9" t="inlineStr">
        <is>
          <t>No</t>
        </is>
      </c>
      <c r="D165" s="83" t="n"/>
      <c r="E165" s="82" t="n"/>
      <c r="F165" s="71" t="n"/>
    </row>
    <row r="166" ht="26" customHeight="1">
      <c r="B166" s="81" t="inlineStr">
        <is>
          <t>Customer complaint, management-contact, or legal-risk request not escalated</t>
        </is>
      </c>
      <c r="C166" s="9" t="inlineStr">
        <is>
          <t>No</t>
        </is>
      </c>
      <c r="D166" s="81" t="n"/>
      <c r="E166" s="82" t="n"/>
      <c r="F166" s="71" t="n"/>
    </row>
    <row r="167" ht="26" customHeight="1">
      <c r="B167" s="81" t="inlineStr">
        <is>
          <t>Survey / CSAT manipulation</t>
        </is>
      </c>
      <c r="C167" s="9" t="inlineStr">
        <is>
          <t>No</t>
        </is>
      </c>
      <c r="D167" s="81" t="n"/>
      <c r="E167" s="82" t="n"/>
      <c r="F167" s="71" t="n"/>
    </row>
    <row r="168" ht="26" customHeight="1">
      <c r="B168" s="98" t="inlineStr">
        <is>
          <t>CRITICAL FAILURE FLAGGED?</t>
        </is>
      </c>
      <c r="C168" s="93">
        <f>IF(COUNTIF(C157:C167,"Yes")&gt;0,"YES — "&amp;COUNTIF(C157:C167,"Yes")&amp;" condition(s) flagged — automatic review required regardless of weighted score","No critical failures")</f>
        <v/>
      </c>
      <c r="D168" s="90" t="n"/>
      <c r="E168" s="90" t="n"/>
      <c r="F168" s="74" t="n"/>
    </row>
    <row r="169" ht="20" customHeight="1">
      <c r="B169" s="96" t="n"/>
      <c r="C169" s="119" t="n"/>
      <c r="D169" s="80" t="n"/>
    </row>
    <row r="170" ht="22" customHeight="1">
      <c r="B170" s="98" t="inlineStr">
        <is>
          <t>7 · AUTO-ZERO   (from the 360 Form — any trigger forces the Quality Score to 0%)</t>
        </is>
      </c>
      <c r="C170" s="90" t="n"/>
      <c r="D170" s="90" t="n"/>
      <c r="E170" s="90" t="n"/>
      <c r="F170" s="74" t="n"/>
    </row>
    <row r="171" ht="30" customHeight="1">
      <c r="B171" s="85" t="inlineStr">
        <is>
          <t>A gate marked 'No', any A–K item marked 'Yes', or any §6 critical-failure condition forces the weighted Quality Score (§3) to 0%. Category scores still show for coaching.</t>
        </is>
      </c>
      <c r="C171" s="82" t="n"/>
      <c r="D171" s="82" t="n"/>
      <c r="E171" s="82" t="n"/>
      <c r="F171" s="71" t="n"/>
    </row>
    <row r="172" ht="30" customHeight="1">
      <c r="B172" s="80" t="inlineStr">
        <is>
          <t>Compliance gate  (mark Yes if adhered)</t>
        </is>
      </c>
      <c r="C172" s="119" t="inlineStr">
        <is>
          <t>Adherent?</t>
        </is>
      </c>
      <c r="D172" s="80" t="inlineStr">
        <is>
          <t>Notes / Evidence</t>
        </is>
      </c>
      <c r="E172" s="90" t="n"/>
      <c r="F172" s="74" t="n"/>
    </row>
    <row r="173" ht="26" customHeight="1">
      <c r="B173" s="81" t="inlineStr">
        <is>
          <t>Adherence to Callback Hours</t>
        </is>
      </c>
      <c r="C173" s="9" t="inlineStr">
        <is>
          <t>Yes</t>
        </is>
      </c>
      <c r="D173" s="81" t="n"/>
      <c r="E173" s="82" t="n"/>
      <c r="F173" s="71" t="n"/>
    </row>
    <row r="174" ht="26" customHeight="1">
      <c r="B174" s="81" t="inlineStr">
        <is>
          <t>Adherence to PCI &amp; Information Security Standards</t>
        </is>
      </c>
      <c r="C174" s="9" t="inlineStr">
        <is>
          <t>Yes</t>
        </is>
      </c>
      <c r="D174" s="81" t="n"/>
      <c r="E174" s="82" t="n"/>
      <c r="F174" s="71" t="n"/>
    </row>
    <row r="175" ht="26" customHeight="1">
      <c r="B175" s="81" t="inlineStr">
        <is>
          <t>Sales</t>
        </is>
      </c>
      <c r="C175" s="9" t="inlineStr">
        <is>
          <t>Yes</t>
        </is>
      </c>
      <c r="D175" s="81" t="n"/>
      <c r="E175" s="82" t="n"/>
      <c r="F175" s="71" t="n"/>
    </row>
    <row r="176" ht="32" customHeight="1">
      <c r="B176" s="80" t="inlineStr">
        <is>
          <t>AUTO-ZERO list — A to K  (mark Yes if it occurred)</t>
        </is>
      </c>
      <c r="C176" s="119" t="inlineStr">
        <is>
          <t>Occurred?</t>
        </is>
      </c>
      <c r="D176" s="80" t="inlineStr">
        <is>
          <t>Notes / Evidence</t>
        </is>
      </c>
      <c r="E176" s="90" t="n"/>
      <c r="F176" s="74" t="n"/>
    </row>
    <row r="177" ht="26" customHeight="1">
      <c r="B177" s="81" t="inlineStr">
        <is>
          <t>A.  Call / Session Abandonment</t>
        </is>
      </c>
      <c r="C177" s="9" t="inlineStr">
        <is>
          <t>No</t>
        </is>
      </c>
      <c r="D177" s="81" t="n"/>
      <c r="E177" s="82" t="n"/>
      <c r="F177" s="71" t="n"/>
    </row>
    <row r="178" ht="26" customHeight="1">
      <c r="B178" s="81" t="inlineStr">
        <is>
          <t>B.  Call / Session Avoidance / Evasion</t>
        </is>
      </c>
      <c r="C178" s="9" t="inlineStr">
        <is>
          <t>No</t>
        </is>
      </c>
      <c r="D178" s="81" t="n"/>
      <c r="E178" s="82" t="n"/>
      <c r="F178" s="71" t="n"/>
    </row>
    <row r="179" ht="26" customHeight="1">
      <c r="B179" s="81" t="inlineStr">
        <is>
          <t>C.  Discourtesy</t>
        </is>
      </c>
      <c r="C179" s="9" t="inlineStr">
        <is>
          <t>No</t>
        </is>
      </c>
      <c r="D179" s="81" t="n"/>
      <c r="E179" s="82" t="n"/>
      <c r="F179" s="71" t="n"/>
    </row>
    <row r="180" ht="26" customHeight="1">
      <c r="B180" s="81" t="inlineStr">
        <is>
          <t>D.  Escalation</t>
        </is>
      </c>
      <c r="C180" s="9" t="inlineStr">
        <is>
          <t>No</t>
        </is>
      </c>
      <c r="D180" s="81" t="n"/>
      <c r="E180" s="82" t="n"/>
      <c r="F180" s="71" t="n"/>
    </row>
    <row r="181" ht="26" customHeight="1">
      <c r="B181" s="81" t="inlineStr">
        <is>
          <t>E.  Failure to ask for the email address</t>
        </is>
      </c>
      <c r="C181" s="9" t="inlineStr">
        <is>
          <t>No</t>
        </is>
      </c>
      <c r="D181" s="81" t="n"/>
      <c r="E181" s="82" t="n"/>
      <c r="F181" s="71" t="n"/>
    </row>
    <row r="182" ht="26" customHeight="1">
      <c r="B182" s="81" t="inlineStr">
        <is>
          <t>F.  Fraud</t>
        </is>
      </c>
      <c r="C182" s="9" t="inlineStr">
        <is>
          <t>No</t>
        </is>
      </c>
      <c r="D182" s="81" t="n"/>
      <c r="E182" s="82" t="n"/>
      <c r="F182" s="71" t="n"/>
    </row>
    <row r="183" ht="26" customHeight="1">
      <c r="B183" s="81" t="inlineStr">
        <is>
          <t>G.  Hard-selling</t>
        </is>
      </c>
      <c r="C183" s="9" t="inlineStr">
        <is>
          <t>No</t>
        </is>
      </c>
      <c r="D183" s="81" t="n"/>
      <c r="E183" s="82" t="n"/>
      <c r="F183" s="71" t="n"/>
    </row>
    <row r="184" ht="26" customHeight="1">
      <c r="B184" s="81" t="inlineStr">
        <is>
          <t>H.  Line Release</t>
        </is>
      </c>
      <c r="C184" s="9" t="inlineStr">
        <is>
          <t>No</t>
        </is>
      </c>
      <c r="D184" s="81" t="n"/>
      <c r="E184" s="82" t="n"/>
      <c r="F184" s="71" t="n"/>
    </row>
    <row r="185" ht="26" customHeight="1">
      <c r="B185" s="81" t="inlineStr">
        <is>
          <t>I.  Non-Adherence to Callback Hours</t>
        </is>
      </c>
      <c r="C185" s="9" t="inlineStr">
        <is>
          <t>No</t>
        </is>
      </c>
      <c r="D185" s="81" t="n"/>
      <c r="E185" s="82" t="n"/>
      <c r="F185" s="71" t="n"/>
    </row>
    <row r="186" ht="26" customHeight="1">
      <c r="B186" s="81" t="inlineStr">
        <is>
          <t>J.  Non-Adherence to PCI and Information Security Standards</t>
        </is>
      </c>
      <c r="C186" s="9" t="inlineStr">
        <is>
          <t>No</t>
        </is>
      </c>
      <c r="D186" s="81" t="n"/>
      <c r="E186" s="82" t="n"/>
      <c r="F186" s="71" t="n"/>
    </row>
    <row r="187" ht="26" customHeight="1">
      <c r="B187" s="81" t="inlineStr">
        <is>
          <t>K.  Non-First Call Resolution</t>
        </is>
      </c>
      <c r="C187" s="9" t="inlineStr">
        <is>
          <t>No</t>
        </is>
      </c>
      <c r="D187" s="81" t="n"/>
      <c r="E187" s="82" t="n"/>
      <c r="F187" s="71" t="n"/>
    </row>
    <row r="188" ht="24" customHeight="1">
      <c r="B188" s="98" t="inlineStr">
        <is>
          <t>AUTO-ZERO TRIGGERED?</t>
        </is>
      </c>
      <c r="C188" s="93">
        <f>IF(OR(C173="No",C174="No",C175="No",COUNTIF(C177:C187,"Yes")&gt;0,COUNTIF(C157:C167,"Yes")&gt;0),"YES — Quality Score forced to 0%","No")</f>
        <v/>
      </c>
      <c r="D188" s="90" t="n"/>
      <c r="E188" s="90" t="n"/>
      <c r="F188" s="74" t="n"/>
    </row>
    <row r="189" ht="58" customHeight="1">
      <c r="B189" s="86" t="n"/>
      <c r="C189" s="86" t="n"/>
      <c r="D189" s="81" t="n"/>
    </row>
    <row r="190" ht="20" customHeight="1">
      <c r="B190" s="96" t="inlineStr">
        <is>
          <t>8 · COACHING &amp; FEEDBACK   (every review answers the three QA questions below)</t>
        </is>
      </c>
      <c r="C190" s="90" t="n"/>
      <c r="D190" s="90" t="n"/>
      <c r="E190" s="90" t="n"/>
      <c r="F190" s="74" t="n"/>
    </row>
    <row r="191" ht="30" customHeight="1">
      <c r="B191" s="91" t="inlineStr">
        <is>
          <t>Q1 · Did we help the customer as effectively as we reasonably could?</t>
        </is>
      </c>
      <c r="C191" s="90" t="n"/>
      <c r="D191" s="90" t="n"/>
      <c r="E191" s="90" t="n"/>
      <c r="F191" s="74" t="n"/>
    </row>
    <row r="192" ht="58" customHeight="1">
      <c r="B192" s="86" t="n"/>
      <c r="C192" s="82" t="n"/>
      <c r="D192" s="82" t="n"/>
      <c r="E192" s="82" t="n"/>
      <c r="F192" s="71" t="n"/>
    </row>
    <row r="193" ht="30" customHeight="1">
      <c r="B193" s="91" t="inlineStr">
        <is>
          <t>Q2 · Did the agent demonstrate strong technical and communication behavior?</t>
        </is>
      </c>
      <c r="C193" s="90" t="n"/>
      <c r="D193" s="90" t="n"/>
      <c r="E193" s="90" t="n"/>
      <c r="F193" s="74" t="n"/>
    </row>
    <row r="194" ht="24" customHeight="1">
      <c r="B194" s="87" t="inlineStr">
        <is>
          <t>What went well — behaviors to repeat</t>
        </is>
      </c>
      <c r="C194" s="82" t="n"/>
      <c r="D194" s="82" t="n"/>
      <c r="E194" s="82" t="n"/>
      <c r="F194" s="71" t="n"/>
    </row>
    <row r="195" ht="32" customHeight="1">
      <c r="B195" s="7" t="inlineStr">
        <is>
          <t>1.</t>
        </is>
      </c>
      <c r="C195" s="86" t="n"/>
      <c r="D195" s="82" t="n"/>
      <c r="E195" s="82" t="n"/>
      <c r="F195" s="71" t="n"/>
    </row>
    <row r="196" ht="32" customHeight="1">
      <c r="B196" s="7" t="inlineStr">
        <is>
          <t>2.</t>
        </is>
      </c>
      <c r="C196" s="86" t="n"/>
      <c r="D196" s="82" t="n"/>
      <c r="E196" s="82" t="n"/>
      <c r="F196" s="71" t="n"/>
    </row>
    <row r="197" ht="32" customHeight="1">
      <c r="B197" s="7" t="inlineStr">
        <is>
          <t>3.</t>
        </is>
      </c>
      <c r="C197" s="86" t="n"/>
      <c r="D197" s="82" t="n"/>
      <c r="E197" s="82" t="n"/>
      <c r="F197" s="71" t="n"/>
    </row>
    <row r="198" ht="24" customHeight="1">
      <c r="B198" s="87" t="inlineStr">
        <is>
          <t>Improvement opportunities — behaviors to improve</t>
        </is>
      </c>
      <c r="C198" s="82" t="n"/>
      <c r="D198" s="82" t="n"/>
      <c r="E198" s="82" t="n"/>
      <c r="F198" s="71" t="n"/>
    </row>
    <row r="199" ht="32" customHeight="1">
      <c r="B199" s="7" t="inlineStr">
        <is>
          <t>1.</t>
        </is>
      </c>
      <c r="C199" s="86" t="n"/>
      <c r="D199" s="82" t="n"/>
      <c r="E199" s="82" t="n"/>
      <c r="F199" s="71" t="n"/>
    </row>
    <row r="200" ht="32" customHeight="1">
      <c r="B200" s="7" t="inlineStr">
        <is>
          <t>2.</t>
        </is>
      </c>
      <c r="C200" s="86" t="n"/>
      <c r="D200" s="82" t="n"/>
      <c r="E200" s="82" t="n"/>
      <c r="F200" s="71" t="n"/>
    </row>
    <row r="201" ht="32" customHeight="1">
      <c r="B201" s="7" t="inlineStr">
        <is>
          <t>3.</t>
        </is>
      </c>
      <c r="C201" s="86" t="n"/>
      <c r="D201" s="82" t="n"/>
      <c r="E201" s="82" t="n"/>
      <c r="F201" s="71" t="n"/>
    </row>
    <row r="202" ht="24" customHeight="1">
      <c r="B202" s="87" t="inlineStr">
        <is>
          <t>Coaching recommendation — specific actions the agent should apply going forward</t>
        </is>
      </c>
      <c r="C202" s="82" t="n"/>
      <c r="D202" s="82" t="n"/>
      <c r="E202" s="82" t="n"/>
      <c r="F202" s="71" t="n"/>
    </row>
    <row r="203" ht="58" customHeight="1">
      <c r="B203" s="86" t="n"/>
      <c r="C203" s="82" t="n"/>
      <c r="D203" s="82" t="n"/>
      <c r="E203" s="82" t="n"/>
      <c r="F203" s="71" t="n"/>
    </row>
    <row r="204" ht="20" customHeight="1">
      <c r="B204" s="87" t="inlineStr">
        <is>
          <t>NEXT SESSION FOCUS   ·   Specific behaviors to practice before the next review</t>
        </is>
      </c>
      <c r="C204" s="82" t="n"/>
      <c r="D204" s="82" t="n"/>
      <c r="E204" s="82" t="n"/>
      <c r="F204" s="71" t="n"/>
    </row>
    <row r="205" ht="28" customHeight="1">
      <c r="B205" s="86" t="inlineStr">
        <is>
          <t>1.</t>
        </is>
      </c>
      <c r="C205" s="86" t="n"/>
      <c r="D205" s="82" t="n"/>
      <c r="E205" s="82" t="n"/>
      <c r="F205" s="71" t="n"/>
    </row>
    <row r="206" ht="28" customHeight="1">
      <c r="B206" s="86" t="inlineStr">
        <is>
          <t>2.</t>
        </is>
      </c>
      <c r="C206" s="86" t="n"/>
      <c r="D206" s="82" t="n"/>
      <c r="E206" s="82" t="n"/>
      <c r="F206" s="71" t="n"/>
    </row>
    <row r="207" ht="28" customHeight="1">
      <c r="B207" s="86" t="inlineStr">
        <is>
          <t>3.</t>
        </is>
      </c>
    </row>
    <row r="208" ht="32" customHeight="1">
      <c r="B208" s="91" t="inlineStr">
        <is>
          <t>Q3 · What does this interaction tell us about training, process, or knowledge gaps across the team?</t>
        </is>
      </c>
      <c r="C208" s="90" t="n"/>
      <c r="D208" s="90" t="n"/>
      <c r="E208" s="90" t="n"/>
      <c r="F208" s="74" t="n"/>
    </row>
    <row r="209" ht="24" customHeight="1">
      <c r="B209" s="87" t="inlineStr">
        <is>
          <t>Organizational insights — training / process / KB / chatbot / tooling / product / contact-driver gaps</t>
        </is>
      </c>
      <c r="C209" s="82" t="n"/>
      <c r="D209" s="82" t="n"/>
      <c r="E209" s="82" t="n"/>
      <c r="F209" s="71" t="n"/>
    </row>
    <row r="210" ht="58" customHeight="1">
      <c r="B210" s="86" t="n"/>
      <c r="C210" s="82" t="n"/>
      <c r="D210" s="82" t="n"/>
      <c r="E210" s="82" t="n"/>
      <c r="F210" s="71" t="n"/>
    </row>
    <row r="211" ht="24" customHeight="1">
      <c r="B211" s="87" t="inlineStr">
        <is>
          <t>Multi-touch / journey notes — handoff quality, continuity, where the chain strengthened or broke</t>
        </is>
      </c>
      <c r="C211" s="82" t="n"/>
      <c r="D211" s="82" t="n"/>
      <c r="E211" s="82" t="n"/>
      <c r="F211" s="71" t="n"/>
    </row>
    <row r="212" ht="58" customHeight="1">
      <c r="B212" s="86" t="n"/>
      <c r="C212" s="82" t="n"/>
      <c r="D212" s="82" t="n"/>
      <c r="E212" s="82" t="n"/>
      <c r="F212" s="71" t="n"/>
    </row>
    <row r="213" ht="24" customHeight="1">
      <c r="B213" s="87" t="inlineStr">
        <is>
          <t>Final QA assessment — overall customer outcome, support quality, and coaching value</t>
        </is>
      </c>
      <c r="C213" s="82" t="n"/>
      <c r="D213" s="82" t="n"/>
      <c r="E213" s="82" t="n"/>
      <c r="F213" s="71" t="n"/>
    </row>
    <row r="214" ht="58" customHeight="1">
      <c r="B214" s="86" t="n"/>
      <c r="C214" s="82" t="n"/>
      <c r="D214" s="82" t="n"/>
      <c r="E214" s="82" t="n"/>
      <c r="F214" s="71" t="n"/>
    </row>
    <row r="215" ht="58" customHeight="1">
      <c r="B215" s="86" t="n"/>
    </row>
    <row r="216" ht="24" customHeight="1">
      <c r="B216" s="87" t="inlineStr">
        <is>
          <t>Multi-touch / journey notes — handoff quality, continuity, where the chain strengthened or broke</t>
        </is>
      </c>
    </row>
    <row r="217" ht="58" customHeight="1">
      <c r="B217" s="86" t="n"/>
    </row>
    <row r="218" ht="24" customHeight="1">
      <c r="B218" s="87" t="inlineStr">
        <is>
          <t>Final QA assessment — overall customer outcome, support quality, and coaching value</t>
        </is>
      </c>
    </row>
    <row r="219" ht="58" customHeight="1">
      <c r="B219" s="86" t="n"/>
    </row>
  </sheetData>
  <mergeCells count="190">
    <mergeCell ref="D76:F76"/>
    <mergeCell ref="B194:F194"/>
    <mergeCell ref="B209:F209"/>
    <mergeCell ref="B81:F81"/>
    <mergeCell ref="D179:F179"/>
    <mergeCell ref="D66:F66"/>
    <mergeCell ref="D166:F166"/>
    <mergeCell ref="D53:F53"/>
    <mergeCell ref="B131:F131"/>
    <mergeCell ref="B214:F214"/>
    <mergeCell ref="E8:F8"/>
    <mergeCell ref="B36:E36"/>
    <mergeCell ref="C13:F13"/>
    <mergeCell ref="D181:F181"/>
    <mergeCell ref="C78:F78"/>
    <mergeCell ref="E153:F153"/>
    <mergeCell ref="B2:F2"/>
    <mergeCell ref="D102:F102"/>
    <mergeCell ref="C62:F62"/>
    <mergeCell ref="D165:F165"/>
    <mergeCell ref="D92:F92"/>
    <mergeCell ref="B170:F170"/>
    <mergeCell ref="D39:F39"/>
    <mergeCell ref="D152:F152"/>
    <mergeCell ref="C107:F107"/>
    <mergeCell ref="B44:F44"/>
    <mergeCell ref="D133:F133"/>
    <mergeCell ref="D142:F142"/>
    <mergeCell ref="B37:F37"/>
    <mergeCell ref="B108:F108"/>
    <mergeCell ref="D119:F119"/>
    <mergeCell ref="D159:F159"/>
    <mergeCell ref="B15:F15"/>
    <mergeCell ref="D186:F186"/>
    <mergeCell ref="B213:F213"/>
    <mergeCell ref="D183:F183"/>
    <mergeCell ref="D105:F105"/>
    <mergeCell ref="C207:F207"/>
    <mergeCell ref="D57:F57"/>
    <mergeCell ref="E12:F12"/>
    <mergeCell ref="B49:E49"/>
    <mergeCell ref="D120:F120"/>
    <mergeCell ref="D185:F185"/>
    <mergeCell ref="D41:F41"/>
    <mergeCell ref="B125:F125"/>
    <mergeCell ref="D163:F163"/>
    <mergeCell ref="C149:F149"/>
    <mergeCell ref="B64:E64"/>
    <mergeCell ref="E5:F5"/>
    <mergeCell ref="B208:F208"/>
    <mergeCell ref="C19:F19"/>
    <mergeCell ref="D162:F162"/>
    <mergeCell ref="C199:F199"/>
    <mergeCell ref="D43:F43"/>
    <mergeCell ref="D156:F156"/>
    <mergeCell ref="D137:F137"/>
    <mergeCell ref="D106:F106"/>
    <mergeCell ref="B210:F210"/>
    <mergeCell ref="B111:F111"/>
    <mergeCell ref="D93:F93"/>
    <mergeCell ref="D74:F74"/>
    <mergeCell ref="D68:F68"/>
    <mergeCell ref="D83:F83"/>
    <mergeCell ref="C14:F14"/>
    <mergeCell ref="D157:F157"/>
    <mergeCell ref="D55:F55"/>
    <mergeCell ref="D67:F67"/>
    <mergeCell ref="B171:F171"/>
    <mergeCell ref="C200:F200"/>
    <mergeCell ref="D132:F132"/>
    <mergeCell ref="D85:F85"/>
    <mergeCell ref="C147:F147"/>
    <mergeCell ref="B130:E130"/>
    <mergeCell ref="D54:F54"/>
    <mergeCell ref="B146:F146"/>
    <mergeCell ref="D60:F60"/>
    <mergeCell ref="D182:F182"/>
    <mergeCell ref="D69:F69"/>
    <mergeCell ref="D100:F100"/>
    <mergeCell ref="B109:C110"/>
    <mergeCell ref="D174:F174"/>
    <mergeCell ref="E16:F16"/>
    <mergeCell ref="D46:F46"/>
    <mergeCell ref="C201:F201"/>
    <mergeCell ref="D40:F40"/>
    <mergeCell ref="C148:F148"/>
    <mergeCell ref="B116:E116"/>
    <mergeCell ref="D158:F158"/>
    <mergeCell ref="B204:F204"/>
    <mergeCell ref="C188:F188"/>
    <mergeCell ref="B198:F198"/>
    <mergeCell ref="D86:F86"/>
    <mergeCell ref="B4:F4"/>
    <mergeCell ref="B75:F75"/>
    <mergeCell ref="D160:F160"/>
    <mergeCell ref="D136:F136"/>
    <mergeCell ref="B59:F59"/>
    <mergeCell ref="B193:F193"/>
    <mergeCell ref="B190:F190"/>
    <mergeCell ref="B202:F202"/>
    <mergeCell ref="B80:E80"/>
    <mergeCell ref="D87:F87"/>
    <mergeCell ref="B21:F21"/>
    <mergeCell ref="C18:F18"/>
    <mergeCell ref="D122:F122"/>
    <mergeCell ref="D71:F71"/>
    <mergeCell ref="D184:F184"/>
    <mergeCell ref="D58:F58"/>
    <mergeCell ref="B1:F1"/>
    <mergeCell ref="D121:F121"/>
    <mergeCell ref="D177:F177"/>
    <mergeCell ref="D73:F73"/>
    <mergeCell ref="D164:F164"/>
    <mergeCell ref="D42:F42"/>
    <mergeCell ref="D82:F82"/>
    <mergeCell ref="D51:F51"/>
    <mergeCell ref="E6:F6"/>
    <mergeCell ref="D173:F173"/>
    <mergeCell ref="B191:F191"/>
    <mergeCell ref="C128:F128"/>
    <mergeCell ref="C20:F20"/>
    <mergeCell ref="D123:F123"/>
    <mergeCell ref="C113:F113"/>
    <mergeCell ref="C143:F143"/>
    <mergeCell ref="C112:F112"/>
    <mergeCell ref="C205:F205"/>
    <mergeCell ref="C94:F94"/>
    <mergeCell ref="C47:F47"/>
    <mergeCell ref="D138:F138"/>
    <mergeCell ref="D178:F178"/>
    <mergeCell ref="D172:F172"/>
    <mergeCell ref="D187:F187"/>
    <mergeCell ref="B65:F65"/>
    <mergeCell ref="D99:F99"/>
    <mergeCell ref="B192:F192"/>
    <mergeCell ref="C114:F114"/>
    <mergeCell ref="E7:F7"/>
    <mergeCell ref="D84:F84"/>
    <mergeCell ref="D45:F45"/>
    <mergeCell ref="B212:F212"/>
    <mergeCell ref="D101:F101"/>
    <mergeCell ref="B50:F50"/>
    <mergeCell ref="D124:F124"/>
    <mergeCell ref="B203:F203"/>
    <mergeCell ref="D77:F77"/>
    <mergeCell ref="B91:F91"/>
    <mergeCell ref="D61:F61"/>
    <mergeCell ref="D126:F126"/>
    <mergeCell ref="D141:F141"/>
    <mergeCell ref="D70:F70"/>
    <mergeCell ref="D135:F135"/>
    <mergeCell ref="D175:F175"/>
    <mergeCell ref="B155:F155"/>
    <mergeCell ref="B140:F140"/>
    <mergeCell ref="B22:F22"/>
    <mergeCell ref="E17:F17"/>
    <mergeCell ref="D103:F103"/>
    <mergeCell ref="D72:F72"/>
    <mergeCell ref="D134:F134"/>
    <mergeCell ref="B117:F117"/>
    <mergeCell ref="E10:F10"/>
    <mergeCell ref="D180:F180"/>
    <mergeCell ref="B151:F151"/>
    <mergeCell ref="D118:F118"/>
    <mergeCell ref="D56:F56"/>
    <mergeCell ref="C195:F195"/>
    <mergeCell ref="D167:F167"/>
    <mergeCell ref="D127:F127"/>
    <mergeCell ref="D161:F161"/>
    <mergeCell ref="D176:F176"/>
    <mergeCell ref="E9:F9"/>
    <mergeCell ref="D38:F38"/>
    <mergeCell ref="D98:F98"/>
    <mergeCell ref="D89:F89"/>
    <mergeCell ref="C197:F197"/>
    <mergeCell ref="C206:F206"/>
    <mergeCell ref="B96:E96"/>
    <mergeCell ref="E11:F11"/>
    <mergeCell ref="D88:F88"/>
    <mergeCell ref="C196:F196"/>
    <mergeCell ref="C168:F168"/>
    <mergeCell ref="B211:F211"/>
    <mergeCell ref="C153:D153"/>
    <mergeCell ref="D90:F90"/>
    <mergeCell ref="B24:F24"/>
    <mergeCell ref="B104:F104"/>
    <mergeCell ref="D139:F139"/>
    <mergeCell ref="D52:F52"/>
    <mergeCell ref="B97:F97"/>
    <mergeCell ref="B35:F35"/>
  </mergeCells>
  <conditionalFormatting sqref="C20:C24">
    <cfRule type="cellIs" priority="1" operator="equal" dxfId="2">
      <formula>"Met"</formula>
    </cfRule>
    <cfRule type="cellIs" priority="2" operator="equal" dxfId="1">
      <formula>"Partial"</formula>
    </cfRule>
    <cfRule type="cellIs" priority="3" operator="equal" dxfId="0">
      <formula>"Missed"</formula>
    </cfRule>
  </conditionalFormatting>
  <conditionalFormatting sqref="C27">
    <cfRule type="cellIs" priority="4" operator="lessThanOrEqual" dxfId="0">
      <formula>2</formula>
    </cfRule>
    <cfRule type="cellIs" priority="5" operator="equal" dxfId="1">
      <formula>3</formula>
    </cfRule>
    <cfRule type="cellIs" priority="6" operator="greaterThanOrEqual" dxfId="2">
      <formula>4</formula>
    </cfRule>
  </conditionalFormatting>
  <conditionalFormatting sqref="C33:C39">
    <cfRule type="cellIs" priority="7" operator="equal" dxfId="2">
      <formula>"Met"</formula>
    </cfRule>
    <cfRule type="cellIs" priority="8" operator="equal" dxfId="1">
      <formula>"Partial"</formula>
    </cfRule>
    <cfRule type="cellIs" priority="9" operator="equal" dxfId="0">
      <formula>"Missed"</formula>
    </cfRule>
  </conditionalFormatting>
  <conditionalFormatting sqref="C42">
    <cfRule type="cellIs" priority="10" operator="lessThanOrEqual" dxfId="0">
      <formula>2</formula>
    </cfRule>
    <cfRule type="cellIs" priority="11" operator="equal" dxfId="1">
      <formula>3</formula>
    </cfRule>
    <cfRule type="cellIs" priority="12" operator="greaterThanOrEqual" dxfId="2">
      <formula>4</formula>
    </cfRule>
  </conditionalFormatting>
  <conditionalFormatting sqref="C48:C55">
    <cfRule type="cellIs" priority="13" operator="equal" dxfId="2">
      <formula>"Met"</formula>
    </cfRule>
    <cfRule type="cellIs" priority="14" operator="equal" dxfId="1">
      <formula>"Partial"</formula>
    </cfRule>
    <cfRule type="cellIs" priority="15" operator="equal" dxfId="0">
      <formula>"Missed"</formula>
    </cfRule>
  </conditionalFormatting>
  <conditionalFormatting sqref="C58">
    <cfRule type="cellIs" priority="16" operator="lessThanOrEqual" dxfId="0">
      <formula>2</formula>
    </cfRule>
    <cfRule type="cellIs" priority="17" operator="equal" dxfId="1">
      <formula>3</formula>
    </cfRule>
    <cfRule type="cellIs" priority="18" operator="greaterThanOrEqual" dxfId="2">
      <formula>4</formula>
    </cfRule>
  </conditionalFormatting>
  <conditionalFormatting sqref="C64:C71">
    <cfRule type="cellIs" priority="19" operator="equal" dxfId="2">
      <formula>"Met"</formula>
    </cfRule>
    <cfRule type="cellIs" priority="20" operator="equal" dxfId="1">
      <formula>"Partial"</formula>
    </cfRule>
    <cfRule type="cellIs" priority="21" operator="equal" dxfId="0">
      <formula>"Missed"</formula>
    </cfRule>
  </conditionalFormatting>
  <conditionalFormatting sqref="C74">
    <cfRule type="cellIs" priority="22" operator="lessThanOrEqual" dxfId="0">
      <formula>2</formula>
    </cfRule>
    <cfRule type="cellIs" priority="23" operator="equal" dxfId="1">
      <formula>3</formula>
    </cfRule>
    <cfRule type="cellIs" priority="24" operator="greaterThanOrEqual" dxfId="2">
      <formula>4</formula>
    </cfRule>
  </conditionalFormatting>
  <conditionalFormatting sqref="C80:C84">
    <cfRule type="cellIs" priority="25" operator="equal" dxfId="2">
      <formula>"Met"</formula>
    </cfRule>
    <cfRule type="cellIs" priority="26" operator="equal" dxfId="1">
      <formula>"Partial"</formula>
    </cfRule>
    <cfRule type="cellIs" priority="27" operator="equal" dxfId="0">
      <formula>"Missed"</formula>
    </cfRule>
  </conditionalFormatting>
  <conditionalFormatting sqref="C87">
    <cfRule type="cellIs" priority="28" operator="lessThanOrEqual" dxfId="0">
      <formula>2</formula>
    </cfRule>
    <cfRule type="cellIs" priority="29" operator="equal" dxfId="1">
      <formula>3</formula>
    </cfRule>
    <cfRule type="cellIs" priority="30" operator="greaterThanOrEqual" dxfId="2">
      <formula>4</formula>
    </cfRule>
  </conditionalFormatting>
  <conditionalFormatting sqref="C93:C98">
    <cfRule type="cellIs" priority="31" operator="equal" dxfId="2">
      <formula>"Met"</formula>
    </cfRule>
    <cfRule type="cellIs" priority="32" operator="equal" dxfId="1">
      <formula>"Partial"</formula>
    </cfRule>
    <cfRule type="cellIs" priority="33" operator="equal" dxfId="0">
      <formula>"Missed"</formula>
    </cfRule>
  </conditionalFormatting>
  <conditionalFormatting sqref="C101">
    <cfRule type="cellIs" priority="34" operator="lessThanOrEqual" dxfId="0">
      <formula>2</formula>
    </cfRule>
    <cfRule type="cellIs" priority="35" operator="equal" dxfId="1">
      <formula>3</formula>
    </cfRule>
    <cfRule type="cellIs" priority="36" operator="greaterThanOrEqual" dxfId="2">
      <formula>4</formula>
    </cfRule>
  </conditionalFormatting>
  <conditionalFormatting sqref="C107:C113">
    <cfRule type="cellIs" priority="37" operator="equal" dxfId="2">
      <formula>"Met"</formula>
    </cfRule>
    <cfRule type="cellIs" priority="38" operator="equal" dxfId="1">
      <formula>"Partial"</formula>
    </cfRule>
    <cfRule type="cellIs" priority="39" operator="equal" dxfId="0">
      <formula>"Missed"</formula>
    </cfRule>
  </conditionalFormatting>
  <conditionalFormatting sqref="C116">
    <cfRule type="cellIs" priority="40" operator="lessThanOrEqual" dxfId="0">
      <formula>2</formula>
    </cfRule>
    <cfRule type="cellIs" priority="41" operator="equal" dxfId="1">
      <formula>3</formula>
    </cfRule>
    <cfRule type="cellIs" priority="42" operator="greaterThanOrEqual" dxfId="2">
      <formula>4</formula>
    </cfRule>
  </conditionalFormatting>
  <conditionalFormatting sqref="C141:C151">
    <cfRule type="cellIs" priority="51" operator="equal" dxfId="0">
      <formula>"Yes"</formula>
    </cfRule>
  </conditionalFormatting>
  <conditionalFormatting sqref="C152">
    <cfRule type="expression" priority="53" dxfId="2">
      <formula>NOT(ISNUMBER(SEARCH("YES",C152)))</formula>
    </cfRule>
    <cfRule type="expression" priority="52" dxfId="0">
      <formula>ISNUMBER(SEARCH("YES",C152))</formula>
    </cfRule>
  </conditionalFormatting>
  <conditionalFormatting sqref="E128">
    <cfRule type="cellIs" priority="43" operator="greaterThanOrEqual" dxfId="30">
      <formula>0.85</formula>
    </cfRule>
    <cfRule type="cellIs" priority="44" operator="between" dxfId="29">
      <formula>0.7</formula>
      <formula>0.8499</formula>
    </cfRule>
    <cfRule type="cellIs" priority="45" operator="lessThan" dxfId="28">
      <formula>0.7</formula>
    </cfRule>
  </conditionalFormatting>
  <conditionalFormatting sqref="E137">
    <cfRule type="expression" priority="49" dxfId="0">
      <formula>E137&lt;&gt;"OK"</formula>
    </cfRule>
    <cfRule type="expression" priority="50" dxfId="2">
      <formula>E137="OK"</formula>
    </cfRule>
  </conditionalFormatting>
  <conditionalFormatting sqref="F121:F127">
    <cfRule type="cellIs" priority="46" operator="equal" dxfId="9">
      <formula>"Strong"</formula>
    </cfRule>
    <cfRule type="cellIs" priority="48" operator="equal" dxfId="7">
      <formula>"Needs Focus"</formula>
    </cfRule>
    <cfRule type="cellIs" priority="47" operator="equal" dxfId="8">
      <formula>"Developing"</formula>
    </cfRule>
  </conditionalFormatting>
  <dataValidations count="11">
    <dataValidation sqref="C39 C40 C41 C52 C53 C54 C56 C67 C68 C69 C70 C71 C72 C73 C74 C83 C85 C87 C88 C89 C99 C100 C101 C103 C119 C120 C121 C123 C124 C133 C134 C135 C136 C138 C139" showDropDown="0" showInputMessage="0" showErrorMessage="0" allowBlank="1" type="list">
      <formula1>"Met,Partial,Missed,N.A."</formula1>
    </dataValidation>
    <dataValidation sqref="C46 C61 C77 C93 C106 C127 C142" showDropDown="0" showInputMessage="0" showErrorMessage="0" allowBlank="1" type="whole">
      <formula1>0</formula1>
    </dataValidation>
    <dataValidation sqref="C152 C157:C167 C177:C187 E10" showDropDown="0" showInputMessage="0" showErrorMessage="0" allowBlank="1" type="list">
      <formula1>"No,Yes"</formula1>
    </dataValidation>
    <dataValidation sqref="C8" showDropDown="0" showInputMessage="0" showErrorMessage="0" allowBlank="1" type="list">
      <formula1>"In-Warranty,Out-of-Warranty,Unknown"</formula1>
    </dataValidation>
    <dataValidation sqref="E7" showDropDown="0" showInputMessage="0" showErrorMessage="0" allowBlank="1" type="list">
      <formula1>"Phone,Chat,Email,Social,Other"</formula1>
    </dataValidation>
    <dataValidation sqref="C9" showDropDown="0" showInputMessage="0" showErrorMessage="0" allowBlank="1" type="list">
      <formula1>"Technical Issue,Setup/How-To,RMA/Replacement,Billing/Account,Connectivity,Other"</formula1>
    </dataValidation>
    <dataValidation sqref="E12" showDropDown="0" showInputMessage="0" showErrorMessage="0" allowBlank="1" type="list">
      <formula1>"Within SLA,Breached,N.A."</formula1>
    </dataValidation>
    <dataValidation sqref="C147" showDropDown="0" showInputMessage="0" showErrorMessage="0" allowBlank="1" type="list">
      <formula1>"Successful Resolution,Partial Resolution,Appropriate Escalation,Ownership Gap,Unresolved"</formula1>
    </dataValidation>
    <dataValidation sqref="C148" showDropDown="0" showInputMessage="0" showErrorMessage="0" allowBlank="1" type="list">
      <formula1>_xlfn._LONGTEXT("Issue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sqref="C153" showDropDown="0" showInputMessage="0" showErrorMessage="0" allowBlank="1" type="list">
      <formula1>"Callback attempt,Follow-up email,Private note documenting actions,Documented why follow-up not possible,None,N.A. — no disconnect"</formula1>
    </dataValidation>
    <dataValidation sqref="C173:C175" showDropDown="0" showInputMessage="0" showErrorMessage="0" allowBlank="1"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D42"/>
  <sheetViews>
    <sheetView showGridLines="0" workbookViewId="0">
      <selection activeCell="A1" sqref="A1"/>
    </sheetView>
  </sheetViews>
  <sheetFormatPr baseColWidth="8" defaultRowHeight="14.5"/>
  <cols>
    <col width="4" customWidth="1" min="1" max="1"/>
    <col width="30" customWidth="1" min="2" max="2"/>
    <col width="10" customWidth="1" min="3" max="3"/>
    <col width="80" customWidth="1" min="4" max="4"/>
  </cols>
  <sheetData>
    <row r="1" ht="26" customHeight="1">
      <c r="B1" s="99" t="inlineStr">
        <is>
          <t>SCORING GUIDE &amp; CATEGORY CRITERIA</t>
        </is>
      </c>
      <c r="C1" s="90" t="n"/>
      <c r="D1" s="74" t="n"/>
    </row>
    <row r="3">
      <c r="B3" s="80" t="inlineStr">
        <is>
          <t>How to use this form</t>
        </is>
      </c>
      <c r="C3" s="90" t="n"/>
      <c r="D3" s="74" t="n"/>
    </row>
    <row r="4">
      <c r="B4" s="81" t="inlineStr">
        <is>
          <t>1. Fill in Case Information, the Case Summary, and (for multi-touch cases) the Inherited Context field.</t>
        </is>
      </c>
      <c r="C4" s="82" t="n"/>
      <c r="D4" s="71" t="n"/>
    </row>
    <row r="5">
      <c r="B5" s="83" t="inlineStr">
        <is>
          <t>2. For each category, rate every behavioral indicator: Met / Partial / Missed / N.A. (N.A. excludes it from the suggested score).</t>
        </is>
      </c>
      <c r="C5" s="82" t="n"/>
      <c r="D5" s="71" t="n"/>
    </row>
    <row r="6">
      <c r="B6" s="81" t="inlineStr">
        <is>
          <t>3. Record evidence — quotes, timestamps, or note excerpts — beside each indicator.</t>
        </is>
      </c>
      <c r="C6" s="82" t="n"/>
      <c r="D6" s="71" t="n"/>
    </row>
    <row r="7">
      <c r="B7" s="83" t="inlineStr">
        <is>
          <t>4. Review the auto-suggested score, then assign the FINAL 0-5 score using evaluator judgment and the anchors below.</t>
        </is>
      </c>
      <c r="C7" s="82" t="n"/>
      <c r="D7" s="71" t="n"/>
    </row>
    <row r="8">
      <c r="B8" s="81" t="inlineStr">
        <is>
          <t>5. Classify the Resolution Outcome and the primary positive outcome achieved.</t>
        </is>
      </c>
      <c r="C8" s="82" t="n"/>
      <c r="D8" s="71" t="n"/>
    </row>
    <row r="9">
      <c r="B9" s="83" t="inlineStr">
        <is>
          <t>6. Complete the Disconnect Follow-Up check and the Critical Failure checklist.</t>
        </is>
      </c>
      <c r="C9" s="82" t="n"/>
      <c r="D9" s="71" t="n"/>
    </row>
    <row r="10">
      <c r="B10" s="81" t="inlineStr">
        <is>
          <t>7. Write coaching feedback: at least one actionable coaching opportunity is required; add an operational improvement recommendation where applicable.</t>
        </is>
      </c>
      <c r="C10" s="82" t="n"/>
      <c r="D10" s="71" t="n"/>
    </row>
    <row r="11">
      <c r="B11" s="83" t="inlineStr">
        <is>
          <t>8. For multi-touch cases, also read the Multi-Touch Guide sheet and log every touch in the Case Tracker under the same Case ID.</t>
        </is>
      </c>
      <c r="C11" s="82" t="n"/>
      <c r="D11" s="71" t="n"/>
    </row>
    <row r="13">
      <c r="B13" s="80" t="inlineStr">
        <is>
          <t>Score Anchors (0–5 scale)</t>
        </is>
      </c>
      <c r="C13" s="90" t="n"/>
      <c r="D13" s="74" t="n"/>
    </row>
    <row r="14">
      <c r="B14" s="119" t="inlineStr">
        <is>
          <t>Score</t>
        </is>
      </c>
      <c r="C14" s="80" t="inlineStr">
        <is>
          <t>Description</t>
        </is>
      </c>
      <c r="D14" s="74" t="n"/>
    </row>
    <row r="15">
      <c r="B15" s="31" t="inlineStr">
        <is>
          <t>5</t>
        </is>
      </c>
      <c r="C15" s="81" t="inlineStr">
        <is>
          <t>Issue resolved or strongest available outcome achieved</t>
        </is>
      </c>
      <c r="D15" s="71" t="n"/>
    </row>
    <row r="16">
      <c r="B16" s="32" t="inlineStr">
        <is>
          <t>4</t>
        </is>
      </c>
      <c r="C16" s="83" t="inlineStr">
        <is>
          <t>Significant progress made with clear next steps</t>
        </is>
      </c>
      <c r="D16" s="71" t="n"/>
    </row>
    <row r="17">
      <c r="B17" s="31" t="inlineStr">
        <is>
          <t>3</t>
        </is>
      </c>
      <c r="C17" s="81" t="inlineStr">
        <is>
          <t>Partial progress made but opportunities missed</t>
        </is>
      </c>
      <c r="D17" s="71" t="n"/>
    </row>
    <row r="18">
      <c r="B18" s="32" t="inlineStr">
        <is>
          <t>2</t>
        </is>
      </c>
      <c r="C18" s="83" t="inlineStr">
        <is>
          <t>Limited progress despite available troubleshooting paths</t>
        </is>
      </c>
      <c r="D18" s="71" t="n"/>
    </row>
    <row r="19">
      <c r="B19" s="31" t="inlineStr">
        <is>
          <t>1</t>
        </is>
      </c>
      <c r="C19" s="81" t="inlineStr">
        <is>
          <t>Little or no meaningful progress</t>
        </is>
      </c>
      <c r="D19" s="71" t="n"/>
    </row>
    <row r="20">
      <c r="B20" s="32" t="inlineStr">
        <is>
          <t>0</t>
        </is>
      </c>
      <c r="C20" s="83" t="inlineStr">
        <is>
          <t>Agent actions delayed, prevented, or negatively impacted resolution</t>
        </is>
      </c>
      <c r="D20" s="71" t="n"/>
    </row>
    <row r="22">
      <c r="B22" s="80" t="inlineStr">
        <is>
          <t>Indicator ratings</t>
        </is>
      </c>
      <c r="C22" s="90" t="n"/>
      <c r="D22" s="74" t="n"/>
    </row>
    <row r="23">
      <c r="B23" s="31" t="inlineStr">
        <is>
          <t>Met</t>
        </is>
      </c>
      <c r="C23" s="81" t="inlineStr">
        <is>
          <t>Behavior fully demonstrated (counts as 5 toward the suggested score)</t>
        </is>
      </c>
      <c r="D23" s="71" t="n"/>
    </row>
    <row r="24">
      <c r="B24" s="32" t="inlineStr">
        <is>
          <t>Partial</t>
        </is>
      </c>
      <c r="C24" s="83" t="inlineStr">
        <is>
          <t>Behavior attempted but incomplete or inconsistent (counts as 2.5)</t>
        </is>
      </c>
      <c r="D24" s="71" t="n"/>
    </row>
    <row r="25">
      <c r="B25" s="31" t="inlineStr">
        <is>
          <t>Missed</t>
        </is>
      </c>
      <c r="C25" s="81" t="inlineStr">
        <is>
          <t>Behavior expected but not demonstrated (counts as 0)</t>
        </is>
      </c>
      <c r="D25" s="71" t="n"/>
    </row>
    <row r="26">
      <c r="B26" s="32" t="inlineStr">
        <is>
          <t>N.A.</t>
        </is>
      </c>
      <c r="C26" s="83" t="inlineStr">
        <is>
          <t>Not applicable to this interaction (excluded from the suggested score)</t>
        </is>
      </c>
      <c r="D26" s="71" t="n"/>
    </row>
    <row r="28">
      <c r="B28" s="80" t="inlineStr">
        <is>
          <t>Category Objectives &amp; Watch-Fors</t>
        </is>
      </c>
      <c r="C28" s="90" t="n"/>
      <c r="D28" s="74" t="n"/>
    </row>
    <row r="29" ht="60" customHeight="1">
      <c r="B29" s="33" t="inlineStr">
        <is>
          <t>Resolution / Progress Toward Resolution (30%)</t>
        </is>
      </c>
      <c r="C29" s="81" t="inlineStr">
        <is>
          <t>Determine whether the interaction moved the customer meaningfully closer to resolution. Does NOT count: customer simply ends call; generic KB sent without troubleshooting; warranty used as reason to stop helping; escalation as shortcut; unsupported ISP blame; 'monitor &amp; call back' with no plan; ownership transferred without expectations or documentation.</t>
        </is>
      </c>
      <c r="D29" s="71" t="n"/>
    </row>
    <row r="30" ht="60" customHeight="1">
      <c r="B30" s="34" t="inlineStr">
        <is>
          <t>Technical Accuracy (20%)</t>
        </is>
      </c>
      <c r="C30" s="100" t="inlineStr">
        <is>
          <t>Evaluate the quality of troubleshooting and technical guidance. Deduct for: incorrect technical information; skipped critical troubleshooting; misdiagnosis; unnecessary actions recommended; ISP or customer blamed without evidence; repeating basic steps the customer already completed.</t>
        </is>
      </c>
      <c r="D30" s="71" t="n"/>
    </row>
    <row r="31" ht="60" customHeight="1">
      <c r="B31" s="33" t="inlineStr">
        <is>
          <t>Communication &amp; Call Control (15%)</t>
        </is>
      </c>
      <c r="C31" s="81" t="inlineStr">
        <is>
          <t>Evaluate how effectively the agent managed the interaction. High performance: customer always knows what is happening and the agent drives the call confidently. One instruction at a time for customers who need it.</t>
        </is>
      </c>
      <c r="D31" s="71" t="n"/>
    </row>
    <row r="32" ht="60" customHeight="1">
      <c r="B32" s="34" t="inlineStr">
        <is>
          <t>Customer Ownership (15%)</t>
        </is>
      </c>
      <c r="C32" s="100" t="inlineStr">
        <is>
          <t>Measure the degree to which the agent accepted responsibility for moving the customer forward. Automatic deductions: no documented follow-up after disconnect; unclear next steps; passing responsibility without context; failure to complete promised actions; missed or late callbacks without proactive renegotiation.</t>
        </is>
      </c>
      <c r="D32" s="71" t="n"/>
    </row>
    <row r="33" ht="60" customHeight="1">
      <c r="B33" s="33" t="inlineStr">
        <is>
          <t>Escalation Judgment (10%)</t>
        </is>
      </c>
      <c r="C33" s="81" t="inlineStr">
        <is>
          <t>Determine whether escalation decisions were appropriate — including UPWARD escalations the customer requested (management, complaint, legal). Mark all N.A. if no escalation was involved and none was warranted. Low score: premature, avoidable, poorly documented, used as a substitute for troubleshooting — or a warranted escalation (incl. a customer's management request) that was NOT made.</t>
        </is>
      </c>
      <c r="D33" s="71" t="n"/>
    </row>
    <row r="34" ht="60" customHeight="1">
      <c r="B34" s="34" t="inlineStr">
        <is>
          <t>Customer Experience (5%)</t>
        </is>
      </c>
      <c r="C34" s="100" t="inlineStr">
        <is>
          <t>Measure the overall customer experience delivered during the interaction. Negative indicators: dismissive responses; robotic interactions; frustration escalation caused by agent behavior; marathon sessions pushed onto vulnerable customers without offering to pause and resume.</t>
        </is>
      </c>
      <c r="D34" s="71" t="n"/>
    </row>
    <row r="35" ht="60" customHeight="1">
      <c r="B35" s="33" t="inlineStr">
        <is>
          <t>Documentation &amp; Notes (5%)</t>
        </is>
      </c>
      <c r="C35" s="81" t="inlineStr">
        <is>
          <t>Ensure future agents can quickly understand the case. Purpose is continuity, not compliance. Documentation supports outcomes but should not outweigh troubleshooting quality, communication, or ownership. Notes must carry the FULL history — including pre-ticket contacts — so no agent treats a long-running case as new.</t>
        </is>
      </c>
      <c r="D35" s="71" t="n"/>
    </row>
    <row r="37">
      <c r="B37" s="80" t="inlineStr">
        <is>
          <t>Overall Result Bands</t>
        </is>
      </c>
      <c r="C37" s="90" t="n"/>
      <c r="D37" s="74" t="n"/>
    </row>
    <row r="38">
      <c r="B38" s="36" t="inlineStr">
        <is>
          <t>≥ 85%</t>
        </is>
      </c>
      <c r="C38" s="104" t="inlineStr">
        <is>
          <t>Meets / Exceeds — strong support behavior</t>
        </is>
      </c>
      <c r="D38" s="71" t="n"/>
    </row>
    <row r="39">
      <c r="B39" s="37" t="inlineStr">
        <is>
          <t>70–84%</t>
        </is>
      </c>
      <c r="C39" s="103" t="inlineStr">
        <is>
          <t>Developing — coaching opportunities present</t>
        </is>
      </c>
      <c r="D39" s="71" t="n"/>
    </row>
    <row r="40">
      <c r="B40" s="38" t="inlineStr">
        <is>
          <t>&lt; 70%</t>
        </is>
      </c>
      <c r="C40" s="102" t="inlineStr">
        <is>
          <t>Needs improvement — prioritized coaching required</t>
        </is>
      </c>
      <c r="D40" s="71" t="n"/>
    </row>
    <row r="42" ht="40" customHeight="1">
      <c r="B42" s="101" t="inlineStr">
        <is>
          <t>A critical failure overrides the band: any flagged condition requires automatic review regardless of the weighted total. Every review must produce at least one actionable coaching opportunity and, where applicable, one operational improvement recommendation.</t>
        </is>
      </c>
      <c r="C42" s="90" t="n"/>
      <c r="D42" s="74" t="n"/>
    </row>
  </sheetData>
  <mergeCells count="36">
    <mergeCell ref="B11:D11"/>
    <mergeCell ref="C34:D34"/>
    <mergeCell ref="B42:D42"/>
    <mergeCell ref="C30:D30"/>
    <mergeCell ref="C24:D24"/>
    <mergeCell ref="C15:D15"/>
    <mergeCell ref="C33:D33"/>
    <mergeCell ref="B1:D1"/>
    <mergeCell ref="B8:D8"/>
    <mergeCell ref="B13:D13"/>
    <mergeCell ref="C14:D14"/>
    <mergeCell ref="C26:D26"/>
    <mergeCell ref="C35:D35"/>
    <mergeCell ref="B10:D10"/>
    <mergeCell ref="C20:D20"/>
    <mergeCell ref="B28:D28"/>
    <mergeCell ref="C29:D29"/>
    <mergeCell ref="B37:D37"/>
    <mergeCell ref="C16:D16"/>
    <mergeCell ref="C25:D25"/>
    <mergeCell ref="B9:D9"/>
    <mergeCell ref="C40:D40"/>
    <mergeCell ref="C31:D31"/>
    <mergeCell ref="B6:D6"/>
    <mergeCell ref="B5:D5"/>
    <mergeCell ref="B4:D4"/>
    <mergeCell ref="B7:D7"/>
    <mergeCell ref="C17:D17"/>
    <mergeCell ref="C23:D23"/>
    <mergeCell ref="C39:D39"/>
    <mergeCell ref="B3:D3"/>
    <mergeCell ref="C32:D32"/>
    <mergeCell ref="C38:D38"/>
    <mergeCell ref="B22:D22"/>
    <mergeCell ref="C19:D19"/>
    <mergeCell ref="C18:D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C47"/>
  <sheetViews>
    <sheetView showGridLines="0" workbookViewId="0">
      <pane ySplit="2" topLeftCell="A3" activePane="bottomLeft" state="frozen"/>
      <selection pane="bottomLeft" activeCell="A1" sqref="A1"/>
    </sheetView>
  </sheetViews>
  <sheetFormatPr baseColWidth="8" defaultRowHeight="14.5"/>
  <cols>
    <col width="4" customWidth="1" min="1" max="1"/>
    <col width="34" customWidth="1" min="2" max="2"/>
    <col width="110" customWidth="1" min="3" max="3"/>
  </cols>
  <sheetData>
    <row r="1" ht="26" customHeight="1">
      <c r="B1" s="99" t="inlineStr">
        <is>
          <t>MULTI-TOUCH CASE SCORING — HOW IT WORKS</t>
        </is>
      </c>
      <c r="C1" s="74" t="n"/>
    </row>
    <row r="3">
      <c r="B3" s="80" t="inlineStr">
        <is>
          <t>THE MECHANICS</t>
        </is>
      </c>
      <c r="C3" s="74" t="n"/>
    </row>
    <row r="4" ht="72" customHeight="1">
      <c r="B4" s="33" t="inlineStr">
        <is>
          <t>1. One scoring form per touch, not per case</t>
        </is>
      </c>
      <c r="C4" s="81" t="inlineStr">
        <is>
          <t>Each agent who handles the case gets their own complete evaluation (indicators, 0-5 scores, weighted total). Set Touch # on the form and mark 'Prior touches reviewed?' = Yes. The rubric requires assessing the entire customer journey, so read the earlier touches before scoring any of them. Use the 'Inherited context' field to record what the agent received.</t>
        </is>
      </c>
    </row>
    <row r="5" ht="72" customHeight="1">
      <c r="B5" s="34" t="inlineStr">
        <is>
          <t>2. Score each agent on THEIR contribution, in the context they inherited</t>
        </is>
      </c>
      <c r="C5" s="100" t="inlineStr">
        <is>
          <t>Resolution/Progress measures whether THAT touch moved the customer closer — an agent who inherits a mess and makes real progress can score 4-5 even on an old, ugly case. Agents are NOT penalized for problems they inherited, but they ARE penalized for problems they pass downstream: thin handoff notes, undocumented promises, premature RESOLVED statuses, missed callbacks.</t>
        </is>
      </c>
    </row>
    <row r="6" ht="72" customHeight="1">
      <c r="B6" s="33" t="inlineStr">
        <is>
          <t>3. Handoff quality is scored on the SENDING agent</t>
        </is>
      </c>
      <c r="C6" s="81" t="inlineStr">
        <is>
          <t>Customer Ownership ('ownership transfer without context' = automatic deduction) and Documentation ('could another agent quickly understand the case?') belong to the agent who wrote the notes. If a later agent re-runs all diagnostics because earlier notes were unusable, that hits the EARLIER touch. But if good notes existed and the later agent ignored them and made the customer repeat everything, that hits the LATER agent's Communication (repetitive questioning) and Customer Experience (increased effort).</t>
        </is>
      </c>
    </row>
    <row r="7" ht="72" customHeight="1">
      <c r="B7" s="34" t="inlineStr">
        <is>
          <t>4. Critical failures attach to a specific touch</t>
        </is>
      </c>
      <c r="C7" s="100" t="inlineStr">
        <is>
          <t>A premature RESOLVED, a missed callback window, a compliance violation, or an unescalated complaint fails THAT touch's review regardless of how the journey ends — and regardless of that touch's weighted score.</t>
        </is>
      </c>
    </row>
    <row r="8" ht="72" customHeight="1">
      <c r="B8" s="33" t="inlineStr">
        <is>
          <t>5. The journey rolls up in the Case Tracker</t>
        </is>
      </c>
      <c r="C8" s="81" t="inlineStr">
        <is>
          <t>Log every touch under the same Case ID with an incrementing Touch #. Per-touch weighted scores sit side by side so you can pinpoint exactly where the support chain broke or recovered. The journey's final outcome classification comes from the last touch; journey-level findings (process, KB, tooling, product) go into Organizational Insights — not into any single agent's score.</t>
        </is>
      </c>
    </row>
    <row r="9" ht="72" customHeight="1">
      <c r="B9" s="34" t="inlineStr">
        <is>
          <t>6. Watch for journey-level failure patterns</t>
        </is>
      </c>
      <c r="C9" s="100" t="inlineStr">
        <is>
          <t>Repeated premature closures, shifting callback promises, each agent re-starting from zero, escalation ping-pong, and unacknowledged cumulative customer effort are SYSTEMIC findings. Score the touch that caused each one, then raise the pattern as an organizational insight with a named process owner.</t>
        </is>
      </c>
    </row>
    <row r="11">
      <c r="B11" s="80" t="inlineStr">
        <is>
          <t>WORKED JOURNEY — TE00124020 / TE00127492 (Richard &amp; Diana Stell, Linksys WHW03 → MX4200, Apr 1 – May 30, 2026)</t>
        </is>
      </c>
      <c r="C11" s="74" t="n"/>
    </row>
    <row r="12" ht="58" customHeight="1">
      <c r="B12" s="105" t="inlineStr">
        <is>
          <t>Sources: Call Analysis Report 2026-05-25 (13 recordings) and Concentrix Case Investigation 2026-05-27. An 80-year-old couple in a 7,000 sq ft home; 7-week journey across 2 tickets, 10+ agents, 15+ hours; ended with CSAT 1/5, an SLA breach (&gt;30 days), a legal threat, and the customer scrapping Linksys for Eero. Per-touch scores are in the Case Tracker; the full scored form for the final touch (Eric Marbella, May 18-19) is on the Example (Filled) sheet.</t>
        </is>
      </c>
      <c r="C12" s="71" t="n"/>
    </row>
    <row r="13">
      <c r="B13" s="98" t="inlineStr">
        <is>
          <t>WHERE THE CHAIN BROKE</t>
        </is>
      </c>
      <c r="C13" s="98" t="inlineStr">
        <is>
          <t>Scored against the touch that caused it</t>
        </is>
      </c>
    </row>
    <row r="14" ht="66" customHeight="1">
      <c r="B14" s="39" t="inlineStr">
        <is>
          <t>Pre-ticket history lost (CRITICAL)</t>
        </is>
      </c>
      <c r="C14" s="81" t="inlineStr">
        <is>
          <t>Recordings 1-6 (April 1-23: WHW03 failure, $30 paid session, L2 escalation, compatibility advice that drove the MX4200 purchase) never made it into ticket TE00127492. Every later agent treated a months-long pattern as a new case. → Documentation failure on the early touches; organizational insight on ticket-linking process.</t>
        </is>
      </c>
    </row>
    <row r="15" ht="66" customHeight="1">
      <c r="B15" s="40" t="inlineStr">
        <is>
          <t>PCI DSS violation (CRITICAL)</t>
        </is>
      </c>
      <c r="C15" s="83" t="inlineStr">
        <is>
          <t>Recording 3 (Apr 1, paid support): full card number, CVV, and expiry spoken aloud and captured in plaintext transcript; the $30 charge itself never documented in any ticket. → Critical failure on that touch + immediate compliance escalation.</t>
        </is>
      </c>
    </row>
    <row r="16" ht="66" customHeight="1">
      <c r="B16" s="39" t="inlineStr">
        <is>
          <t>Receipt-gate before troubleshooting</t>
        </is>
      </c>
      <c r="C16" s="81" t="inlineStr">
        <is>
          <t>May 1 (Riojene Ladera): customer with active 5-min drop cycles was refused troubleshooting until a warranty receipt was emailed; note reads 'No trouble shooting made.' → Resolution &amp; Ownership failure: warranty validation must not replace support on an active issue.</t>
        </is>
      </c>
    </row>
    <row r="17" ht="66" customHeight="1">
      <c r="B17" s="40" t="inlineStr">
        <is>
          <t>Premature RESOLVED ×5</t>
        </is>
      </c>
      <c r="C17" s="83" t="inlineStr">
        <is>
          <t>Ticket marked RESOLVED on Apr 28, May 1, May 4, May 18, May 19 while the streaming-stability complaint was never confirmed fixed. Final closure had no private-note reason. → Documentation/Ownership failures on each closing touch; masks true case age and breaks SLA monitoring.</t>
        </is>
      </c>
    </row>
    <row r="18" ht="66" customHeight="1">
      <c r="B18" s="39" t="inlineStr">
        <is>
          <t>Callback management collapse</t>
        </is>
      </c>
      <c r="C18" s="81" t="inlineStr">
        <is>
          <t>Apr 1: promised 2-3h L2 callback vs the 24-48h process. May 18: customer waited 3+ hours through 3 L1 calls. May 19: agreed 4-5 PM window missed by 42-66 min, with conflicting explanations in notes ('in a meeting' vs 'engaged with another task'). → Ownership failures on the promising/missing touches; systemic trend finding.</t>
        </is>
      </c>
    </row>
    <row r="19" ht="66" customHeight="1">
      <c r="B19" s="40" t="inlineStr">
        <is>
          <t>Complaint &amp; legal threat not escalated (CRITICAL)</t>
        </is>
      </c>
      <c r="C19" s="83" t="inlineStr">
        <is>
          <t>May 19, 3:33 PM: customer email requests management contact 'before I talk to a lawyer.' Response (after TC consult) apologized but never escalated to management; no DSAT/management record until PMO intervened May 27. → Escalation Judgment failure on the final touch.</t>
        </is>
      </c>
    </row>
    <row r="20" ht="66" customHeight="1">
      <c r="B20" s="39" t="inlineStr">
        <is>
          <t>Accessibility never adapted</t>
        </is>
      </c>
      <c r="C20" s="81" t="inlineStr">
        <is>
          <t>Customer stated hearing aids and age on nearly every call; investigation cites the same 'simplify, slow down, one step at a time' opportunity for 4+ different agents. → Communication finding per touch + training-level organizational insight.</t>
        </is>
      </c>
    </row>
    <row r="22">
      <c r="B22" s="80" t="inlineStr">
        <is>
          <t>WHERE THE CHAIN RECOVERED (recognize these touches)</t>
        </is>
      </c>
      <c r="C22" s="74" t="n"/>
    </row>
    <row r="23" ht="50" customHeight="1">
      <c r="B23" s="41" t="inlineStr">
        <is>
          <t>Venn-Emir Calvin (Apr 23)</t>
        </is>
      </c>
      <c r="C23" s="81" t="inlineStr">
        <is>
          <t>Caught the mis-captured email address in under 2 minutes, corrected it, re-sent the guide — clean continuity fix; investigation found no opportunities.</t>
        </is>
      </c>
    </row>
    <row r="24" ht="50" customHeight="1">
      <c r="B24" s="42" t="inlineStr">
        <is>
          <t>Paolo Ebora (May 4)</t>
        </is>
      </c>
      <c r="C24" s="100" t="inlineStr">
        <is>
          <t>98-minute deep dive: HomeKit isolation, interference analysis, firmware validation, captured sysinfo/network logs via remote access, identified 2 bad-RSSI nodes (-90/-93 dBm), provided L2 hotline. Best diagnostics of the journey.</t>
        </is>
      </c>
    </row>
    <row r="25" ht="50" customHeight="1">
      <c r="B25" s="41" t="inlineStr">
        <is>
          <t>Eric Marbella (May 18, technical leg)</t>
        </is>
      </c>
      <c r="C25" s="81" t="inlineStr">
        <is>
          <t>3h26m session after the modem swap: correctly isolated the fault away from the ISP to the MX4200 parent node, restored internet, set up 4 child nodes with documented RSSI. The technical work was strong — the ownership collapse came the next day.</t>
        </is>
      </c>
    </row>
    <row r="27">
      <c r="B27" s="80" t="inlineStr">
        <is>
          <t>JOURNEY-LEVEL ORGANIZATIONAL INSIGHTS (do not assign to any single agent's score)</t>
        </is>
      </c>
      <c r="C27" s="74" t="n"/>
    </row>
    <row r="28" ht="40" customHeight="1">
      <c r="B28" s="81" t="inlineStr">
        <is>
          <t>• Callback management is systemic, not individual: promised windows shifted repeatedly across L1 and L2; the post-case survey says technicians 'never call back as promised.' Recommend enforced callback calendaring and a contingency script when a window is at risk.</t>
        </is>
      </c>
      <c r="C28" s="71" t="n"/>
    </row>
    <row r="29" ht="40" customHeight="1">
      <c r="B29" s="83" t="inlineStr">
        <is>
          <t>• Case Management &amp; Closure Process needs reinforcement (per investigation): RESOLVED requires customer-confirmed resolution or a documented closure reason; CALLBACK/PENDING states must be used while work is open.</t>
        </is>
      </c>
      <c r="C29" s="71" t="n"/>
    </row>
    <row r="30" ht="40" customHeight="1">
      <c r="B30" s="81" t="inlineStr">
        <is>
          <t>• Ticket linking: pre-purchase and pre-ticket history must be attached or cross-referenced when a new ticket is opened for the same customer/issue (TE00124020 → TE00127492 gap).</t>
        </is>
      </c>
      <c r="C30" s="71" t="n"/>
    </row>
    <row r="31" ht="40" customHeight="1">
      <c r="B31" s="83" t="inlineStr">
        <is>
          <t>• Compliance: PCI-safe payment flow required for paid support (no card data spoken on a recorded line); audit recordings/transcripts retention for Rec 3.</t>
        </is>
      </c>
      <c r="C31" s="71" t="n"/>
    </row>
    <row r="32" ht="40" customHeight="1">
      <c r="B32" s="81" t="inlineStr">
        <is>
          <t>• Product/advice loop: the MX4200 mixed-mesh recommendation for a 7,000 sq ft home with legacy WHW03 nodes drove 6 purchases without a coverage/topology consult — feed back to sales-advice scripts and KB.</t>
        </is>
      </c>
      <c r="C32" s="71" t="n"/>
    </row>
    <row r="33" ht="40" customHeight="1">
      <c r="B33" s="83" t="inlineStr">
        <is>
          <t>• Vulnerable-customer handling: a standard for elderly / hard-of-hearing customers (pace, one-step instructions, session-length checkpoints, offer to pause and resume) would have changed this journey's trajectory.</t>
        </is>
      </c>
      <c r="C33" s="71" t="n"/>
    </row>
    <row r="35">
      <c r="B35" s="80" t="inlineStr">
        <is>
          <t>THE TEAM / JOURNEY SCORE — SCORING THE CHAIN, NOT JUST THE LINKS</t>
        </is>
      </c>
      <c r="C35" s="74" t="n"/>
    </row>
    <row r="36" ht="46" customHeight="1">
      <c r="B36" s="101" t="inlineStr">
        <is>
          <t>Per the incentive philosophy (team improvement first, shared accountability), every multi-touch case also receives one Team Score covering all agents who touched it. It lives at the bottom of the Case Tracker. It drives team-level coaching, process fixes, and recognition — it is never used for individual discipline; individual feedback comes only from each agent's own touch form.</t>
        </is>
      </c>
      <c r="C36" s="74" t="n"/>
    </row>
    <row r="37" ht="58" customHeight="1">
      <c r="B37" s="50" t="inlineStr">
        <is>
          <t>Formula</t>
        </is>
      </c>
      <c r="C37" s="81" t="inlineStr">
        <is>
          <t>Team Score = 50% × Average Touch Weighted Score  +  30% × (Journey Outcome ÷ 5)  +  20% × (Continuity &amp; Handoffs ÷ 5). Execution gets half the weight; the other half belongs to what the customer actually experienced — the end result and how well the chain held together. Same result bands as individual scores (≥85% / 70-84% / &lt;70%). Any journey containing a critical failure carries the automatic-review flag regardless of its Team Score.</t>
        </is>
      </c>
    </row>
    <row r="38" ht="52" customHeight="1">
      <c r="B38" s="34" t="inlineStr">
        <is>
          <t>Journey Outcome anchors (0-5)</t>
        </is>
      </c>
      <c r="C38" s="83" t="inlineStr">
        <is>
          <t>5 = issue resolved AND confirmed with the customer, positive close · 4 = resolved with minor friction · 3 = partial resolution or accepted workaround with a clear path · 2 = unresolved but customer holds a valid, owned next step · 1 = unresolved and the customer disengaged · 0 = customer harmed, churned, or left with legal/compliance exposure.</t>
        </is>
      </c>
    </row>
    <row r="39" ht="52" customHeight="1">
      <c r="B39" s="34" t="inlineStr">
        <is>
          <t>Continuity &amp; Handoffs anchors (0-5)</t>
        </is>
      </c>
      <c r="C39" s="81" t="inlineStr">
        <is>
          <t>5 = seamless handoffs; no agent restarted from zero; statuses always truthful · 4 = minor gaps, quickly recovered · 3 = some repeated work, but the thread held · 2 = significant rework caused by thin notes or wrong statuses · 1 = chain repeatedly broke (lost history, premature closures, shifting promises) · 0 = continuity collapse itself drove the complaint.</t>
        </is>
      </c>
    </row>
    <row r="40" ht="84" customHeight="1">
      <c r="B40" s="34" t="inlineStr">
        <is>
          <t>Worked example (Stell journey)</t>
        </is>
      </c>
      <c r="C40" s="83" t="inlineStr">
        <is>
          <t>Average of the 13 touch scores ≈ 57% — individually, most touches were mediocre-to-fair and two were strong. But Outcome = 0 (churned, CSAT 1/5, legal threat) and Continuity = 1 (history lost, 5 premature closures). Team Score = 50%×57% + 30%×0 + 20%×(1/5) ≈ 33% — Needs Improvement. That 24-point gap between average execution and the Team Score IS the finding: no single agent failed badly enough to explain losing the customer; the chain did. The fixes are therefore process-level (callback management, closure discipline, ticket linking), which is exactly what the investigation concluded.</t>
        </is>
      </c>
    </row>
    <row r="41" ht="52" customHeight="1">
      <c r="B41" s="34" t="inlineStr">
        <is>
          <t>Crediting the team</t>
        </is>
      </c>
      <c r="C41" s="81" t="inlineStr">
        <is>
          <t>Quality is created collectively (L1, escalation teams, trainers, QA, team leads, operations). When a Team Score is strong, recognize the whole chain — including agents whose touch was a 2-minute continuity save (e.g., Venn-Emir's email fix). When it is weak despite strong individual touches, the coaching target is the handoff process and its owners, not the agents.</t>
        </is>
      </c>
    </row>
    <row r="43">
      <c r="B43" s="80" t="inlineStr">
        <is>
          <t>CONTRIBUTION TYPE &amp; HANDOFF QUALITY — PER-TOUCH IMPACT TAGS</t>
        </is>
      </c>
      <c r="C43" s="74" t="n"/>
    </row>
    <row r="44" ht="46" customHeight="1">
      <c r="B44" s="101" t="inlineStr">
        <is>
          <t>Two extra columns on the Case Tracker (Contribution Type, Handoff Quality) tag what each touch actually did for the case, separately from its category scores. They make the Team Score's Continuity component an informed judgment instead of a guess, and they stop the first agent on a hard case from being penalised for complexity while the last agent gets all the credit.</t>
        </is>
      </c>
      <c r="C44" s="74" t="n"/>
    </row>
    <row r="45" ht="66" customHeight="1">
      <c r="B45" s="34" t="inlineStr">
        <is>
          <t>Contribution Type (per touch)</t>
        </is>
      </c>
      <c r="C45" s="81" t="inlineStr">
        <is>
          <t>Resolver = delivered the final fix, correct escalation, or proper closure for that thread · Progress Builder = advanced diagnosis or troubleshooting that moved the case forward, even if not fully fixed · Maintainer = kept momentum, clarified, documented, escalated appropriately without new ground gained · Regression Contributor = reset progress, misdiagnosed, premature closure, or otherwise caused regression. Use 'N/A' only when a touch is purely administrative with no case impact.</t>
        </is>
      </c>
    </row>
    <row r="46" ht="78" customHeight="1">
      <c r="B46" s="34" t="inlineStr">
        <is>
          <t>Handoff Quality (0-5, per touch)</t>
        </is>
      </c>
      <c r="C46" s="83" t="inlineStr">
        <is>
          <t>Rates the OUTGOING handoff this touch left for whoever (or whatever) came next, across four dimensions: context completeness (did notes explain what was done?), continuity preservation (did it avoid forcing a restart?), expectation alignment (was the customer told something accurate about what happens next?), technical clarity (are logs/findings usable by the next agent?). 5 = clean handoff, nothing to redo · 3-4 = usable with minor gaps · 1-2 = next agent effectively restarts or inherits a broken promise · 0 = handoff itself caused the next failure. Leave blank or mark N/A for a case's final touch.</t>
        </is>
      </c>
    </row>
    <row r="47" ht="70" customHeight="1">
      <c r="B47" s="34" t="inlineStr">
        <is>
          <t>Stell journey pattern</t>
        </is>
      </c>
      <c r="C47" s="81" t="inlineStr">
        <is>
          <t>Of the 13 touches, 4 carry Handoff Quality of 1 (Dorothy's wrong callback window, Joziel's 10-15 min promise, Charmaigne's mis-captured email, Riojene's receipt-gate refusal, Jerald's third shifting promise) and 2 are Regression Contributor-tagged for premature RESOLVED closures (Nathan, and via Riojene's refusal). Only Paolo Real and Venn-Emir produced clean Resolver handoffs (4-5). This is what a Continuity score of 1/5 looks like in practice — see the Team Scoring sheet for the live breakdown.</t>
        </is>
      </c>
    </row>
  </sheetData>
  <mergeCells count="16">
    <mergeCell ref="B44:C44"/>
    <mergeCell ref="B30:C30"/>
    <mergeCell ref="B29:C29"/>
    <mergeCell ref="B33:C33"/>
    <mergeCell ref="B11:C11"/>
    <mergeCell ref="B3:C3"/>
    <mergeCell ref="B28:C28"/>
    <mergeCell ref="B22:C22"/>
    <mergeCell ref="B36:C36"/>
    <mergeCell ref="B32:C32"/>
    <mergeCell ref="B31:C31"/>
    <mergeCell ref="B27:C27"/>
    <mergeCell ref="B1:C1"/>
    <mergeCell ref="B35:C35"/>
    <mergeCell ref="B43:C43"/>
    <mergeCell ref="B12:C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D77"/>
  <sheetViews>
    <sheetView showGridLines="0" workbookViewId="0">
      <pane ySplit="11" topLeftCell="A12" activePane="bottomLeft" state="frozen"/>
      <selection pane="bottomLeft" activeCell="A1" sqref="A1"/>
    </sheetView>
  </sheetViews>
  <sheetFormatPr baseColWidth="8" defaultRowHeight="14.5"/>
  <cols>
    <col width="3" customWidth="1" min="1" max="1"/>
    <col width="36" customWidth="1" min="2" max="2"/>
    <col width="52" customWidth="1" min="3" max="3"/>
    <col width="58" customWidth="1" min="4" max="4"/>
  </cols>
  <sheetData>
    <row r="1" ht="28" customHeight="1">
      <c r="B1" s="99" t="inlineStr">
        <is>
          <t>TEAM SCORING — METHODOLOGY &amp; TEAM OPPORTUNITY ANALYSIS</t>
        </is>
      </c>
      <c r="C1" s="90" t="n"/>
      <c r="D1" s="74" t="n"/>
    </row>
    <row r="2" ht="32" customHeight="1">
      <c r="B2" s="114" t="inlineStr">
        <is>
          <t>Individual forms answer 'how did this agent do?'. Team Scoring answers 'how did the CHAIN perform for the customer?' and 'what should we coach, fix, or build as a TEAM?'. The scorecard below is live from the Case Tracker.</t>
        </is>
      </c>
      <c r="C2" s="90" t="n"/>
      <c r="D2" s="74" t="n"/>
    </row>
    <row r="4" ht="24" customHeight="1">
      <c r="B4" s="112">
        <f>"◆  LIVE TEAM SCORECARD  ·  "&amp;IF('Case Tracker'!A56="","(enter a Case ID + journey scores in Case Tracker row 56)",'Case Tracker'!A56)&amp;"  ◆"</f>
        <v/>
      </c>
      <c r="C4" s="109" t="n"/>
      <c r="D4" s="110" t="n"/>
    </row>
    <row r="5" ht="16" customHeight="1">
      <c r="B5" s="59" t="inlineStr">
        <is>
          <t>TEAM SCORE</t>
        </is>
      </c>
      <c r="C5" s="59" t="inlineStr">
        <is>
          <t>RESULT BAND</t>
        </is>
      </c>
      <c r="D5" s="59" t="inlineStr">
        <is>
          <t>CONTAINS CRITICAL FAILURE?</t>
        </is>
      </c>
    </row>
    <row r="6" ht="64" customHeight="1">
      <c r="B6" s="60">
        <f>'Case Tracker'!G56</f>
        <v/>
      </c>
      <c r="C6" s="61">
        <f>UPPER('Case Tracker'!H56)</f>
        <v/>
      </c>
      <c r="D6" s="62" t="inlineStr">
        <is>
          <t>See section 6 of each agent's Scoring Form</t>
        </is>
      </c>
    </row>
    <row r="7" ht="16" customHeight="1">
      <c r="B7" s="63" t="inlineStr">
        <is>
          <t>EXECUTION  (50% weight)</t>
        </is>
      </c>
      <c r="C7" s="63" t="inlineStr">
        <is>
          <t>JOURNEY OUTCOME  (30% weight)</t>
        </is>
      </c>
      <c r="D7" s="63" t="inlineStr">
        <is>
          <t>CONTINUITY &amp; HANDOFFS  (20% weight)</t>
        </is>
      </c>
    </row>
    <row r="8" ht="28" customHeight="1">
      <c r="B8" s="64">
        <f>IF('Case Tracker'!D56="","—",TEXT('Case Tracker'!D56,"0.0%")&amp;"  avg of "&amp;'Case Tracker'!C56&amp;" touches")</f>
        <v/>
      </c>
      <c r="C8" s="65">
        <f>IF('Case Tracker'!E56="","—",'Case Tracker'!E56&amp;" / 5")</f>
        <v/>
      </c>
      <c r="D8" s="65">
        <f>IF('Case Tracker'!F56="","—",'Case Tracker'!F56&amp;" / 5")</f>
        <v/>
      </c>
    </row>
    <row r="9" ht="22" customHeight="1">
      <c r="B9" s="108">
        <f>IF('Case Tracker'!D56="","Team Score computes once the journey row (Case Tracker row 56) is filled."," = 50% × "&amp;TEXT('Case Tracker'!D56,"0.0%")&amp;"  +  30% × ("&amp;'Case Tracker'!E56&amp;"÷5)  +  20% × ("&amp;'Case Tracker'!F56&amp;"÷5)")</f>
        <v/>
      </c>
      <c r="C9" s="109" t="n"/>
      <c r="D9" s="110" t="n"/>
    </row>
    <row r="10" ht="28" customHeight="1">
      <c r="B10" s="106" t="inlineStr">
        <is>
          <t>↑ Updates automatically from the Case Tracker (Team/Journey Scores, row 56). Edit Outcome / Continuity there and this scorecard moves with it. For your own journeys, copy this block and point it at the relevant journey row.</t>
        </is>
      </c>
      <c r="C10" s="82" t="n"/>
      <c r="D10" s="71" t="n"/>
    </row>
    <row r="12">
      <c r="B12" s="80" t="inlineStr">
        <is>
          <t>1 · WHY A TEAM SCORE EXISTS</t>
        </is>
      </c>
      <c r="C12" s="90" t="n"/>
      <c r="D12" s="74" t="n"/>
    </row>
    <row r="13" ht="72" customHeight="1">
      <c r="B13" s="72" t="inlineStr">
        <is>
          <t>The rubric's incentive philosophy ranks team improvement FIRST, then individual excellence, then shared accountability. Quality is created collectively — L1, escalation teams, trainers, QA, team leads, operations. A multi-touch case is the truest test: the customer experiences ONE journey, not thirteen separate calls. The Team Score makes the chain itself a scored, coachable unit, so process failures stop hiding between individually 'acceptable' touches. Rule: the Team Score drives team coaching, process fixes, and chain-wide recognition. It is NEVER used for individual discipline — individual feedback comes only from each agent's own touch form.</t>
        </is>
      </c>
      <c r="C13" s="82" t="n"/>
      <c r="D13" s="71" t="n"/>
    </row>
    <row r="15">
      <c r="B15" s="80" t="inlineStr">
        <is>
          <t>2 · THE FORMULA, COMPONENT BY COMPONENT</t>
        </is>
      </c>
      <c r="C15" s="90" t="n"/>
      <c r="D15" s="74" t="n"/>
    </row>
    <row r="16">
      <c r="B16" s="80" t="inlineStr">
        <is>
          <t>Component</t>
        </is>
      </c>
      <c r="C16" s="80" t="inlineStr">
        <is>
          <t>What it measures &amp; why this weight</t>
        </is>
      </c>
      <c r="D16" s="80" t="inlineStr">
        <is>
          <t>Journey numbers — auto-computed once touches are logged</t>
        </is>
      </c>
    </row>
    <row r="17" ht="104" customHeight="1">
      <c r="B17" s="53" t="inlineStr">
        <is>
          <t>EXECUTION — 50%
Average of all touch weighted scores</t>
        </is>
      </c>
      <c r="C17" s="72" t="inlineStr">
        <is>
          <t>The team's average quality of work, touch by touch. Auto-computed in the tracker (AVERAGE of the Weighted column for the journey's rows). Gets half the weight because good execution is necessary — but deliberately NOT more than half, because a chain of individually fine touches can still lose a customer.</t>
        </is>
      </c>
      <c r="D17" s="72" t="n"/>
    </row>
    <row r="18" ht="104" customHeight="1">
      <c r="B18" s="55" t="inlineStr">
        <is>
          <t>JOURNEY OUTCOME — 30%
Evaluator-judged 0-5</t>
        </is>
      </c>
      <c r="C18" s="70" t="inlineStr">
        <is>
          <t>What the customer actually got at the end of the whole journey. Anchors: 5 = resolved AND confirmed, positive close · 4 = resolved, minor friction · 3 = partial/accepted workaround with clear path · 2 = unresolved but customer holds a valid, owned next step · 1 = unresolved, customer disengaged · 0 = customer harmed, churned, or left with legal/compliance exposure. Judged once per journey, against the FINAL state.</t>
        </is>
      </c>
      <c r="D18" s="70" t="n"/>
    </row>
    <row r="19" ht="104" customHeight="1">
      <c r="B19" s="53" t="inlineStr">
        <is>
          <t>CONTINUITY &amp; HANDOFFS — 20%
Evaluator-judged 0-5</t>
        </is>
      </c>
      <c r="C19" s="72" t="inlineStr">
        <is>
          <t>How well the chain held together BETWEEN touches: did notes carry forward, were statuses truthful, did promises survive handoffs, did anyone restart from zero? Anchors: 5 = seamless · 4 = minor gaps, quickly recovered · 3 = some repeated work, thread held · 2 = significant rework from thin notes/wrong statuses · 1 = chain repeatedly broke · 0 = the continuity collapse itself drove the complaint.</t>
        </is>
      </c>
      <c r="D19" s="72" t="n"/>
    </row>
    <row r="20" ht="30" customHeight="1">
      <c r="B20" s="111" t="inlineStr">
        <is>
          <t>TEAM SCORE  =  50% × Execution  +  30% × (Outcome ÷ 5)  +  20% × (Continuity ÷ 5).   Enter the journey's Outcome &amp; Continuity (0-5) in Case Tracker row 56; Execution auto-computes.</t>
        </is>
      </c>
      <c r="C20" s="90" t="n"/>
      <c r="D20" s="74" t="n"/>
    </row>
    <row r="22">
      <c r="B22" s="80" t="inlineStr">
        <is>
          <t>3 · READING THE RESULT — THE GAP IS THE DIAGNOSIS</t>
        </is>
      </c>
      <c r="C22" s="90" t="n"/>
      <c r="D22" s="74" t="n"/>
    </row>
    <row r="23" ht="46" customHeight="1">
      <c r="B23" s="53" t="inlineStr">
        <is>
          <t>Team Score ≈ Execution average</t>
        </is>
      </c>
      <c r="C23" s="72" t="inlineStr">
        <is>
          <t>The chain neither helped nor hurt. Coach individuals on their own findings; no major process action.</t>
        </is>
      </c>
      <c r="D23" s="71" t="n"/>
    </row>
    <row r="24" ht="46" customHeight="1">
      <c r="B24" s="55" t="inlineStr">
        <is>
          <t>Team Score WELL ABOVE Execution average</t>
        </is>
      </c>
      <c r="C24" s="70" t="inlineStr">
        <is>
          <t>Strong outcome/continuity lifted ordinary touches — the process carried the team. Recognize the chain and the process owners; capture what worked as a standard.</t>
        </is>
      </c>
      <c r="D24" s="71" t="n"/>
    </row>
    <row r="25" ht="46" customHeight="1">
      <c r="B25" s="53" t="inlineStr">
        <is>
          <t>Team Score WELL BELOW Execution average</t>
        </is>
      </c>
      <c r="C25" s="72" t="inlineStr">
        <is>
          <t>Individually 'acceptable' agents, collectively a lost customer. The failure lives BETWEEN touches: handoffs, statuses, callbacks, ticket linking. Coaching individuals harder will NOT fix this — the action plan must target process, with named owners and dates.</t>
        </is>
      </c>
      <c r="D25" s="71" t="n"/>
    </row>
    <row r="27">
      <c r="B27" s="80" t="inlineStr">
        <is>
          <t>4 · TEAM CATEGORY HEATMAP — WHERE THE TEAM IS WEAK (live formulas over the Case Tracker touch rows)</t>
        </is>
      </c>
      <c r="C27" s="90" t="n"/>
      <c r="D27" s="74" t="n"/>
    </row>
    <row r="28" ht="40" customHeight="1">
      <c r="B28" s="107" t="inlineStr">
        <is>
          <t>Averaging each category ACROSS all touches turns the individual reviews into one team profile. Compare each to the 0-5 scale; &lt;2.75 is a team coaching theme.</t>
        </is>
      </c>
      <c r="C28" s="82" t="n"/>
      <c r="D28" s="71" t="n"/>
    </row>
    <row r="29">
      <c r="B29" s="80" t="inlineStr">
        <is>
          <t>Category (weight)</t>
        </is>
      </c>
      <c r="C29" s="119" t="inlineStr">
        <is>
          <t>Team avg (0-5)</t>
        </is>
      </c>
      <c r="D29" s="80" t="inlineStr">
        <is>
          <t>What the journey shows</t>
        </is>
      </c>
    </row>
    <row r="30" ht="44" customHeight="1">
      <c r="B30" s="53" t="inlineStr">
        <is>
          <t>Resolution / Progress (30%)</t>
        </is>
      </c>
      <c r="C30" s="66">
        <f>IFERROR(ROUND(AVERAGE('Case Tracker'!E5:E49),2),"")</f>
        <v/>
      </c>
      <c r="D30" s="72" t="n"/>
    </row>
    <row r="31" ht="44" customHeight="1">
      <c r="B31" s="55" t="inlineStr">
        <is>
          <t>Technical Accuracy (20%)</t>
        </is>
      </c>
      <c r="C31" s="67">
        <f>IFERROR(ROUND(AVERAGE('Case Tracker'!F5:F49),2),"")</f>
        <v/>
      </c>
      <c r="D31" s="70" t="n"/>
    </row>
    <row r="32" ht="44" customHeight="1">
      <c r="B32" s="53" t="inlineStr">
        <is>
          <t>Communication &amp; Call Control (15%)</t>
        </is>
      </c>
      <c r="C32" s="66">
        <f>IFERROR(ROUND(AVERAGE('Case Tracker'!G5:G49),2),"")</f>
        <v/>
      </c>
      <c r="D32" s="72" t="n"/>
    </row>
    <row r="33" ht="44" customHeight="1">
      <c r="B33" s="55" t="inlineStr">
        <is>
          <t>Customer Ownership (15%)</t>
        </is>
      </c>
      <c r="C33" s="67">
        <f>IFERROR(ROUND(AVERAGE('Case Tracker'!H5:H49),2),"")</f>
        <v/>
      </c>
      <c r="D33" s="70" t="n"/>
    </row>
    <row r="34" ht="44" customHeight="1">
      <c r="B34" s="53" t="inlineStr">
        <is>
          <t>Escalation Judgment (10%)</t>
        </is>
      </c>
      <c r="C34" s="66">
        <f>IFERROR(ROUND(AVERAGE('Case Tracker'!I5:I49),2),"")</f>
        <v/>
      </c>
      <c r="D34" s="72" t="n"/>
    </row>
    <row r="35" ht="44" customHeight="1">
      <c r="B35" s="55" t="inlineStr">
        <is>
          <t>Customer Experience (5%)</t>
        </is>
      </c>
      <c r="C35" s="67">
        <f>IFERROR(ROUND(AVERAGE('Case Tracker'!J5:J49),2),"")</f>
        <v/>
      </c>
      <c r="D35" s="70" t="n"/>
    </row>
    <row r="36" ht="44" customHeight="1">
      <c r="B36" s="53" t="inlineStr">
        <is>
          <t>Documentation &amp; Notes (5%)</t>
        </is>
      </c>
      <c r="C36" s="66">
        <f>IFERROR(ROUND(AVERAGE('Case Tracker'!K5:K49),2),"")</f>
        <v/>
      </c>
      <c r="D36" s="72" t="n"/>
    </row>
    <row r="37" ht="44" customHeight="1">
      <c r="B37" s="75" t="inlineStr">
        <is>
          <t>Reading: red (&lt;2.75) = team coaching theme · yellow (2.75-3.49) = monitor &amp; spot-coach · green (≥3.5) = team strength to protect.</t>
        </is>
      </c>
      <c r="C37" s="90" t="n"/>
      <c r="D37" s="74" t="n"/>
    </row>
    <row r="39">
      <c r="B39" s="98" t="inlineStr">
        <is>
          <t>5 · TEAM OPPORTUNITIES IDENTIFIED (the team action plan)</t>
        </is>
      </c>
      <c r="C39" s="90" t="n"/>
      <c r="D39" s="74" t="n"/>
    </row>
    <row r="40">
      <c r="B40" s="80" t="inlineStr">
        <is>
          <t>Opportunity (category)</t>
        </is>
      </c>
      <c r="C40" s="80" t="inlineStr">
        <is>
          <t>Evidence across touches (why it's a TEAM issue, not one agent)</t>
        </is>
      </c>
      <c r="D40" s="80" t="inlineStr">
        <is>
          <t>Team action &amp; suggested owner</t>
        </is>
      </c>
    </row>
    <row r="41" ht="88" customHeight="1">
      <c r="B41" s="53" t="n"/>
      <c r="C41" s="72" t="n"/>
      <c r="D41" s="72" t="n"/>
    </row>
    <row r="42" ht="88" customHeight="1">
      <c r="B42" s="55" t="n"/>
      <c r="C42" s="70" t="n"/>
      <c r="D42" s="70" t="n"/>
    </row>
    <row r="43" ht="88" customHeight="1">
      <c r="B43" s="53" t="n"/>
      <c r="C43" s="72" t="n"/>
      <c r="D43" s="72" t="n"/>
    </row>
    <row r="44" ht="88" customHeight="1">
      <c r="B44" s="55" t="n"/>
      <c r="C44" s="70" t="n"/>
      <c r="D44" s="70" t="n"/>
    </row>
    <row r="45" ht="88" customHeight="1">
      <c r="B45" s="53" t="n"/>
      <c r="C45" s="72" t="n"/>
      <c r="D45" s="72" t="n"/>
    </row>
    <row r="46" ht="88" customHeight="1">
      <c r="B46" s="55" t="n"/>
      <c r="C46" s="70" t="n"/>
      <c r="D46" s="70" t="n"/>
    </row>
    <row r="47" ht="88" customHeight="1">
      <c r="B47" s="53" t="n"/>
      <c r="C47" s="72" t="n"/>
      <c r="D47" s="72" t="n"/>
    </row>
    <row r="48" ht="88" customHeight="1">
      <c r="B48" s="55" t="n"/>
      <c r="C48" s="70" t="n"/>
      <c r="D48" s="70" t="n"/>
    </row>
    <row r="50">
      <c r="B50" s="80" t="inlineStr">
        <is>
          <t>6 · HOW TO RUN A TEAM REVIEW FOR YOUR OWN JOURNEYS (~30 min once touches are scored)</t>
        </is>
      </c>
      <c r="C50" s="90" t="n"/>
      <c r="D50" s="74" t="n"/>
    </row>
    <row r="51" ht="40" customHeight="1">
      <c r="B51" s="57" t="inlineStr">
        <is>
          <t>Step 1</t>
        </is>
      </c>
      <c r="C51" s="72" t="inlineStr">
        <is>
          <t>Score every touch individually first (Scoring Form per agent) and log all rows in the Case Tracker under the same Case ID.</t>
        </is>
      </c>
      <c r="D51" s="71" t="n"/>
    </row>
    <row r="52" ht="40" customHeight="1">
      <c r="B52" s="58" t="inlineStr">
        <is>
          <t>Step 2</t>
        </is>
      </c>
      <c r="C52" s="70" t="inlineStr">
        <is>
          <t>In the Team/Journey Scores section (Case Tracker, row 53+), enter the Case ID — Touches and Avg Touch % auto-fill. Judge Outcome (0-5) and Continuity (0-5) with the anchors in section 2. The Team Score computes; the hero scorecard at the top of this sheet mirrors it.</t>
        </is>
      </c>
      <c r="D52" s="71" t="n"/>
    </row>
    <row r="53" ht="40" customHeight="1">
      <c r="B53" s="57" t="inlineStr">
        <is>
          <t>Step 3</t>
        </is>
      </c>
      <c r="C53" s="72" t="inlineStr">
        <is>
          <t>Compare Team Score vs Execution average (section 3). A big negative gap = process problem; flag it as such in your report.</t>
        </is>
      </c>
      <c r="D53" s="71" t="n"/>
    </row>
    <row r="54" ht="40" customHeight="1">
      <c r="B54" s="58" t="inlineStr">
        <is>
          <t>Step 4</t>
        </is>
      </c>
      <c r="C54" s="70" t="inlineStr">
        <is>
          <t>Build the category heatmap: average each category column across the journey's tracker rows (copy the section-4 formulas, adjusting the row range). Bottom two categories = your team coaching themes.</t>
        </is>
      </c>
      <c r="D54" s="71" t="n"/>
    </row>
    <row r="55" ht="40" customHeight="1">
      <c r="B55" s="57" t="inlineStr">
        <is>
          <t>Step 5</t>
        </is>
      </c>
      <c r="C55" s="72" t="inlineStr">
        <is>
          <t>Scan for recurring patterns: same coaching note on 3+ agents (training gap) · same broken-promise type on 2+ touches (process gap) · any premature closure, lost history, or unescalated complaint (critical — name it).</t>
        </is>
      </c>
      <c r="D55" s="71" t="n"/>
    </row>
    <row r="56" ht="40" customHeight="1">
      <c r="B56" s="58" t="inlineStr">
        <is>
          <t>Step 6</t>
        </is>
      </c>
      <c r="C56" s="70" t="inlineStr">
        <is>
          <t>Write the team action plan: every opportunity gets an action, a NAMED owner, and a date (section 5 is the model). Recognize the chain's best touches explicitly — including small continuity saves. Deliver individual feedback separately from this team review.</t>
        </is>
      </c>
      <c r="D56" s="71" t="n"/>
    </row>
    <row r="58" ht="36" customHeight="1">
      <c r="B58" s="75" t="inlineStr">
        <is>
          <t>Recognition rule: when the Team Score is strong, credit the WHOLE chain — including 2-minute continuity saves like Venn-Emir's email fix. When it is weak despite strong individual touches, the coaching target is the handoff process and its owners, never a hunt for one culprit.</t>
        </is>
      </c>
      <c r="C58" s="90" t="n"/>
      <c r="D58" s="74" t="n"/>
    </row>
    <row r="60" ht="22" customHeight="1">
      <c r="B60" s="80" t="inlineStr">
        <is>
          <t>7 · CONTRIBUTION TYPE &amp; HANDOFF QUALITY — LIVE PER-TOUCH BREAKDOWN</t>
        </is>
      </c>
      <c r="C60" s="90" t="n"/>
      <c r="D60" s="74" t="n"/>
    </row>
    <row r="61" ht="32" customHeight="1">
      <c r="B61" s="101" t="inlineStr">
        <is>
          <t>Pulled live from the Case Tracker (columns O &amp; P). Use this to judge the Continuity &amp; Handoffs component above — it shows WHERE the chain held and WHERE it broke, touch by touch, instead of one averaged number.</t>
        </is>
      </c>
      <c r="C61" s="90" t="n"/>
      <c r="D61" s="74" t="n"/>
    </row>
    <row r="62" ht="34" customHeight="1">
      <c r="B62" s="113">
        <f>"Contribution mix across "&amp;COUNTA('Case Tracker'!C5:C49)&amp;" touches:  "&amp;COUNTIF('Case Tracker'!O5:O49,"Resolver")&amp;" Resolver · "&amp;COUNTIF('Case Tracker'!O5:O49,"Progress Builder")&amp;" Progress Builder · "&amp;COUNTIF('Case Tracker'!O5:O49,"Maintainer")&amp;" Maintainer · "&amp;COUNTIF('Case Tracker'!O5:O49,"Regression Contributor")&amp;" Regression Contributor"</f>
        <v/>
      </c>
      <c r="C62" s="90" t="n"/>
      <c r="D62" s="74" t="n"/>
    </row>
    <row r="63" ht="24" customHeight="1">
      <c r="B63" s="68" t="inlineStr">
        <is>
          <t>Touch (Agent)</t>
        </is>
      </c>
      <c r="C63" s="69" t="inlineStr">
        <is>
          <t>Contribution Type</t>
        </is>
      </c>
      <c r="D63" s="69" t="inlineStr">
        <is>
          <t>Handoff Quality (0-5)</t>
        </is>
      </c>
    </row>
    <row r="64">
      <c r="B64" s="83">
        <f>IF('Case Tracker'!C5="","",'Case Tracker'!D5&amp;" - "&amp;'Case Tracker'!C5)</f>
        <v/>
      </c>
      <c r="C64" s="25">
        <f>IF('Case Tracker'!C5="","",'Case Tracker'!O5)</f>
        <v/>
      </c>
      <c r="D64" s="25">
        <f>IF('Case Tracker'!C5="","",'Case Tracker'!P5)</f>
        <v/>
      </c>
    </row>
    <row r="65">
      <c r="B65" s="81">
        <f>IF('Case Tracker'!C6="","",'Case Tracker'!D6&amp;" - "&amp;'Case Tracker'!C6)</f>
        <v/>
      </c>
      <c r="C65" s="20">
        <f>IF('Case Tracker'!C6="","",'Case Tracker'!O6)</f>
        <v/>
      </c>
      <c r="D65" s="20">
        <f>IF('Case Tracker'!C6="","",'Case Tracker'!P6)</f>
        <v/>
      </c>
    </row>
    <row r="66">
      <c r="B66" s="83">
        <f>IF('Case Tracker'!C7="","",'Case Tracker'!D7&amp;" - "&amp;'Case Tracker'!C7)</f>
        <v/>
      </c>
      <c r="C66" s="25">
        <f>IF('Case Tracker'!C7="","",'Case Tracker'!O7)</f>
        <v/>
      </c>
      <c r="D66" s="25">
        <f>IF('Case Tracker'!C7="","",'Case Tracker'!P7)</f>
        <v/>
      </c>
    </row>
    <row r="67">
      <c r="B67" s="81">
        <f>IF('Case Tracker'!C8="","",'Case Tracker'!D8&amp;" - "&amp;'Case Tracker'!C8)</f>
        <v/>
      </c>
      <c r="C67" s="20">
        <f>IF('Case Tracker'!C8="","",'Case Tracker'!O8)</f>
        <v/>
      </c>
      <c r="D67" s="20">
        <f>IF('Case Tracker'!C8="","",'Case Tracker'!P8)</f>
        <v/>
      </c>
    </row>
    <row r="68">
      <c r="B68" s="83">
        <f>IF('Case Tracker'!C9="","",'Case Tracker'!D9&amp;" - "&amp;'Case Tracker'!C9)</f>
        <v/>
      </c>
      <c r="C68" s="25">
        <f>IF('Case Tracker'!C9="","",'Case Tracker'!O9)</f>
        <v/>
      </c>
      <c r="D68" s="25">
        <f>IF('Case Tracker'!C9="","",'Case Tracker'!P9)</f>
        <v/>
      </c>
    </row>
    <row r="69">
      <c r="B69" s="81">
        <f>IF('Case Tracker'!C10="","",'Case Tracker'!D10&amp;" - "&amp;'Case Tracker'!C10)</f>
        <v/>
      </c>
      <c r="C69" s="20">
        <f>IF('Case Tracker'!C10="","",'Case Tracker'!O10)</f>
        <v/>
      </c>
      <c r="D69" s="20">
        <f>IF('Case Tracker'!C10="","",'Case Tracker'!P10)</f>
        <v/>
      </c>
    </row>
    <row r="70">
      <c r="B70" s="83">
        <f>IF('Case Tracker'!C11="","",'Case Tracker'!D11&amp;" - "&amp;'Case Tracker'!C11)</f>
        <v/>
      </c>
      <c r="C70" s="25">
        <f>IF('Case Tracker'!C11="","",'Case Tracker'!O11)</f>
        <v/>
      </c>
      <c r="D70" s="25">
        <f>IF('Case Tracker'!C11="","",'Case Tracker'!P11)</f>
        <v/>
      </c>
    </row>
    <row r="71">
      <c r="B71" s="81">
        <f>IF('Case Tracker'!C12="","",'Case Tracker'!D12&amp;" - "&amp;'Case Tracker'!C12)</f>
        <v/>
      </c>
      <c r="C71" s="20">
        <f>IF('Case Tracker'!C12="","",'Case Tracker'!O12)</f>
        <v/>
      </c>
      <c r="D71" s="20">
        <f>IF('Case Tracker'!C12="","",'Case Tracker'!P12)</f>
        <v/>
      </c>
    </row>
    <row r="72">
      <c r="B72" s="83">
        <f>IF('Case Tracker'!C13="","",'Case Tracker'!D13&amp;" - "&amp;'Case Tracker'!C13)</f>
        <v/>
      </c>
      <c r="C72" s="25">
        <f>IF('Case Tracker'!C13="","",'Case Tracker'!O13)</f>
        <v/>
      </c>
      <c r="D72" s="25">
        <f>IF('Case Tracker'!C13="","",'Case Tracker'!P13)</f>
        <v/>
      </c>
    </row>
    <row r="73">
      <c r="B73" s="81">
        <f>IF('Case Tracker'!C14="","",'Case Tracker'!D14&amp;" - "&amp;'Case Tracker'!C14)</f>
        <v/>
      </c>
      <c r="C73" s="20">
        <f>IF('Case Tracker'!C14="","",'Case Tracker'!O14)</f>
        <v/>
      </c>
      <c r="D73" s="20">
        <f>IF('Case Tracker'!C14="","",'Case Tracker'!P14)</f>
        <v/>
      </c>
    </row>
    <row r="74">
      <c r="B74" s="83">
        <f>IF('Case Tracker'!C15="","",'Case Tracker'!D15&amp;" - "&amp;'Case Tracker'!C15)</f>
        <v/>
      </c>
      <c r="C74" s="25">
        <f>IF('Case Tracker'!C15="","",'Case Tracker'!O15)</f>
        <v/>
      </c>
      <c r="D74" s="25">
        <f>IF('Case Tracker'!C15="","",'Case Tracker'!P15)</f>
        <v/>
      </c>
    </row>
    <row r="75">
      <c r="B75" s="81">
        <f>IF('Case Tracker'!C16="","",'Case Tracker'!D16&amp;" - "&amp;'Case Tracker'!C16)</f>
        <v/>
      </c>
      <c r="C75" s="20">
        <f>IF('Case Tracker'!C16="","",'Case Tracker'!O16)</f>
        <v/>
      </c>
      <c r="D75" s="20">
        <f>IF('Case Tracker'!C16="","",'Case Tracker'!P16)</f>
        <v/>
      </c>
    </row>
    <row r="76">
      <c r="B76" s="83">
        <f>IF('Case Tracker'!C17="","",'Case Tracker'!D17&amp;" - "&amp;'Case Tracker'!C17)</f>
        <v/>
      </c>
      <c r="C76" s="25">
        <f>IF('Case Tracker'!C17="","",'Case Tracker'!O17)</f>
        <v/>
      </c>
      <c r="D76" s="25">
        <f>IF('Case Tracker'!C17="","",'Case Tracker'!P17)</f>
        <v/>
      </c>
    </row>
    <row r="77" ht="40" customHeight="1">
      <c r="B77" s="85" t="inlineStr">
        <is>
          <t>Reading this table: a long run of Regression Contributor / low Handoff Quality rows is a process problem (closure discipline, callback management), not an individual one — see Team Opportunities above. A single Regression Contributor surrounded by Resolvers/Progress Builders points at one agent or one moment, and belongs in that agent's individual coaching instead.</t>
        </is>
      </c>
      <c r="C77" s="82" t="n"/>
      <c r="D77" s="71" t="n"/>
    </row>
  </sheetData>
  <mergeCells count="29">
    <mergeCell ref="B60:D60"/>
    <mergeCell ref="C24:D24"/>
    <mergeCell ref="B61:D61"/>
    <mergeCell ref="B1:D1"/>
    <mergeCell ref="B13:D13"/>
    <mergeCell ref="B39:D39"/>
    <mergeCell ref="B10:D10"/>
    <mergeCell ref="B28:D28"/>
    <mergeCell ref="B37:D37"/>
    <mergeCell ref="C54:D54"/>
    <mergeCell ref="C25:D25"/>
    <mergeCell ref="C55:D55"/>
    <mergeCell ref="B9:D9"/>
    <mergeCell ref="B15:D15"/>
    <mergeCell ref="C56:D56"/>
    <mergeCell ref="B20:D20"/>
    <mergeCell ref="C51:D51"/>
    <mergeCell ref="B4:D4"/>
    <mergeCell ref="B50:D50"/>
    <mergeCell ref="B12:D12"/>
    <mergeCell ref="C52:D52"/>
    <mergeCell ref="B62:D62"/>
    <mergeCell ref="C23:D23"/>
    <mergeCell ref="B22:D22"/>
    <mergeCell ref="B58:D58"/>
    <mergeCell ref="B27:D27"/>
    <mergeCell ref="C53:D53"/>
    <mergeCell ref="B77:D77"/>
    <mergeCell ref="B2:D2"/>
  </mergeCells>
  <conditionalFormatting sqref="B6">
    <cfRule type="cellIs" priority="3" operator="greaterThanOrEqual" dxfId="89">
      <formula>0.85</formula>
    </cfRule>
    <cfRule type="cellIs" priority="4" operator="between" dxfId="88">
      <formula>0.7</formula>
      <formula>0.8499</formula>
    </cfRule>
    <cfRule type="cellIs" priority="5" operator="lessThan" dxfId="87">
      <formula>0.7</formula>
    </cfRule>
  </conditionalFormatting>
  <conditionalFormatting sqref="C30:C36">
    <cfRule type="cellIs" priority="6" operator="lessThan" dxfId="0">
      <formula>2.75</formula>
    </cfRule>
    <cfRule type="cellIs" priority="7" operator="between" dxfId="1">
      <formula>2.75</formula>
      <formula>3.49</formula>
    </cfRule>
    <cfRule type="cellIs" priority="8" operator="greaterThanOrEqual" dxfId="2">
      <formula>3.5</formula>
    </cfRule>
  </conditionalFormatting>
  <conditionalFormatting sqref="C64:C76">
    <cfRule type="cellIs" priority="9" operator="equal" dxfId="2">
      <formula>"Resolver"</formula>
    </cfRule>
    <cfRule type="cellIs" priority="10" operator="equal" dxfId="2">
      <formula>"Progress Builder"</formula>
    </cfRule>
    <cfRule type="cellIs" priority="11" operator="equal" dxfId="4">
      <formula>"Maintainer"</formula>
    </cfRule>
    <cfRule type="cellIs" priority="12" operator="equal" dxfId="0">
      <formula>"Regression Contributor"</formula>
    </cfRule>
  </conditionalFormatting>
  <conditionalFormatting sqref="D64:D76">
    <cfRule type="cellIs" priority="13" operator="greaterThanOrEqual" dxfId="2">
      <formula>4</formula>
    </cfRule>
    <cfRule type="cellIs" priority="14" operator="between" dxfId="1">
      <formula>2</formula>
      <formula>3</formula>
    </cfRule>
    <cfRule type="cellIs" priority="15" operator="lessThanOrEqual" dxfId="0">
      <formula>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B1:F170"/>
  <sheetViews>
    <sheetView showGridLines="0" workbookViewId="0">
      <pane ySplit="2" topLeftCell="A3" activePane="bottomLeft" state="frozen"/>
      <selection pane="bottomLeft" activeCell="A1" sqref="A1"/>
    </sheetView>
  </sheetViews>
  <sheetFormatPr baseColWidth="8" defaultRowHeight="14.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115" t="inlineStr">
        <is>
          <t>SUPPORT QA — SCORING FORM  (WORKED EXAMPLE — FINAL TOUCH OF A MULTI-TOUCH CASE)</t>
        </is>
      </c>
      <c r="C1" s="90" t="n"/>
      <c r="D1" s="90" t="n"/>
      <c r="E1" s="90" t="n"/>
      <c r="F1" s="74" t="n"/>
    </row>
    <row r="2" ht="18" customHeight="1">
      <c r="B2" s="89" t="inlineStr">
        <is>
          <t>Resolution-Focused Coaching &amp; Performance Framework  |  Rate each behavior: Met / Partial / Missed / N.A. — then assign the 0-5 category score (suggested score is advisory).</t>
        </is>
      </c>
      <c r="C2" s="90" t="n"/>
      <c r="D2" s="90" t="n"/>
      <c r="E2" s="90" t="n"/>
      <c r="F2" s="74" t="n"/>
    </row>
    <row r="4">
      <c r="B4" s="80" t="inlineStr">
        <is>
          <t>1 · CASE INFORMATION</t>
        </is>
      </c>
      <c r="C4" s="90" t="n"/>
      <c r="D4" s="90" t="n"/>
      <c r="E4" s="90" t="n"/>
      <c r="F4" s="74" t="n"/>
    </row>
    <row r="5" ht="29" customHeight="1">
      <c r="B5" s="94" t="inlineStr">
        <is>
          <t>Agent Name</t>
        </is>
      </c>
      <c r="C5" s="88" t="inlineStr">
        <is>
          <t>Eric Marbella (L2 / CAT)</t>
        </is>
      </c>
      <c r="D5" s="87" t="inlineStr">
        <is>
          <t>Case / Ticket ID</t>
        </is>
      </c>
      <c r="E5" s="88" t="inlineStr">
        <is>
          <t>TE00127492 (prior: TE00124020)</t>
        </is>
      </c>
      <c r="F5" s="71" t="n"/>
    </row>
    <row r="6" ht="29" customHeight="1">
      <c r="B6" s="94" t="inlineStr">
        <is>
          <t>Evaluator (QA)</t>
        </is>
      </c>
      <c r="C6" s="88" t="inlineStr">
        <is>
          <t>QA Specialist</t>
        </is>
      </c>
      <c r="D6" s="87" t="inlineStr">
        <is>
          <t>Interaction Date</t>
        </is>
      </c>
      <c r="E6" s="88" t="inlineStr">
        <is>
          <t>2026-05-18 to 2026-05-19</t>
        </is>
      </c>
      <c r="F6" s="71" t="n"/>
    </row>
    <row r="7">
      <c r="B7" s="94" t="inlineStr">
        <is>
          <t>Product</t>
        </is>
      </c>
      <c r="C7" s="88" t="inlineStr">
        <is>
          <t>Linksys MX4200 Velop Mesh (6× MX4200 + 5× WHW03)</t>
        </is>
      </c>
      <c r="D7" s="87" t="inlineStr">
        <is>
          <t>Channel</t>
        </is>
      </c>
      <c r="E7" s="88" t="inlineStr">
        <is>
          <t>Phone</t>
        </is>
      </c>
      <c r="F7" s="71" t="n"/>
    </row>
    <row r="8">
      <c r="B8" s="94" t="inlineStr">
        <is>
          <t>Warranty Status</t>
        </is>
      </c>
      <c r="C8" s="88" t="inlineStr">
        <is>
          <t>In-Warranty</t>
        </is>
      </c>
      <c r="D8" s="87" t="inlineStr">
        <is>
          <t>Review Date</t>
        </is>
      </c>
      <c r="E8" s="88" t="inlineStr">
        <is>
          <t>2026-05-25</t>
        </is>
      </c>
      <c r="F8" s="71" t="n"/>
    </row>
    <row r="9" ht="29" customHeight="1">
      <c r="B9" s="94" t="inlineStr">
        <is>
          <t>Case Type</t>
        </is>
      </c>
      <c r="C9" s="88" t="inlineStr">
        <is>
          <t>Connectivity</t>
        </is>
      </c>
      <c r="D9" s="87" t="inlineStr">
        <is>
          <t>Interaction Duration</t>
        </is>
      </c>
      <c r="E9" s="88" t="inlineStr">
        <is>
          <t>3 hr 26 min (session) + May 19 follow-up</t>
        </is>
      </c>
      <c r="F9" s="71" t="n"/>
    </row>
    <row r="10" ht="29" customHeight="1">
      <c r="B10" s="94" t="inlineStr">
        <is>
          <t>Touch # (multi-touch case)</t>
        </is>
      </c>
      <c r="C10" s="88" t="inlineStr">
        <is>
          <t>13 of 13 (final)</t>
        </is>
      </c>
      <c r="D10" s="87" t="inlineStr">
        <is>
          <t>Prior touches reviewed?</t>
        </is>
      </c>
      <c r="E10" s="88" t="inlineStr">
        <is>
          <t>Yes</t>
        </is>
      </c>
      <c r="F10" s="71" t="n"/>
    </row>
    <row r="11" ht="29" customHeight="1">
      <c r="B11" s="94" t="inlineStr">
        <is>
          <t>CSAT / Survey result</t>
        </is>
      </c>
      <c r="C11" s="88" t="inlineStr">
        <is>
          <t>1 / 5 — Resolution Rate: No</t>
        </is>
      </c>
      <c r="D11" s="87" t="inlineStr">
        <is>
          <t>FCR / total contacts</t>
        </is>
      </c>
      <c r="E11" s="88" t="inlineStr">
        <is>
          <t>4+ contacts (survey); 13+ recorded touches</t>
        </is>
      </c>
      <c r="F11" s="71" t="n"/>
    </row>
    <row r="12">
      <c r="B12" s="94" t="inlineStr">
        <is>
          <t>Total case time</t>
        </is>
      </c>
      <c r="C12" s="88" t="inlineStr">
        <is>
          <t>15 hr 12 min (ticket)</t>
        </is>
      </c>
      <c r="D12" s="87" t="inlineStr">
        <is>
          <t>SLA status</t>
        </is>
      </c>
      <c r="E12" s="88" t="inlineStr">
        <is>
          <t>Breached</t>
        </is>
      </c>
      <c r="F12" s="71" t="n"/>
    </row>
    <row r="13" ht="58" customHeight="1">
      <c r="B13" s="87" t="inlineStr">
        <is>
          <t>Case Summary (customer issue &amp; goal)</t>
        </is>
      </c>
      <c r="C13" s="86" t="inlineStr">
        <is>
          <t>Richard &amp; Diana Stell (80+, hearing aids, 7,000 sq ft Dallas home, AT&amp;T fiber): 7 weeks of mesh instability after Linksys advised replacing a failed WHW03 with MX4200 (6 purchased). Streaming, cameras, and pool equipment kept dropping. May 18: customer had replaced the AT&amp;T modem per prior L2 advice and could not reconnect the mesh.</t>
        </is>
      </c>
      <c r="D13" s="82" t="n"/>
      <c r="E13" s="82" t="n"/>
      <c r="F13" s="71" t="n"/>
    </row>
    <row r="14" ht="46" customHeight="1">
      <c r="B14" s="87" t="inlineStr">
        <is>
          <t>Inherited context (what this agent received from prior touches)</t>
        </is>
      </c>
      <c r="C14" s="86" t="inlineStr">
        <is>
          <t>Escalated CAT case; customer had waited 3+ hours through three L1 calls that day after multiple missed callbacks. Prior L2 (Paolo Ebora) notes: 2 bad-RSSI nodes (-90/-93 dBm), AT&amp;T SSID interference suspected (disabling never confirmed), sysinfo logs on ticket. Pre-ticket history (Recs 1-6, incl. $30 paid session) absent from the ticket.</t>
        </is>
      </c>
      <c r="D14" s="82" t="n"/>
      <c r="E14" s="82" t="n"/>
      <c r="F14" s="71" t="n"/>
    </row>
    <row r="16">
      <c r="B16" s="96" t="inlineStr">
        <is>
          <t>2 · CATEGORY ASSESSMENTS</t>
        </is>
      </c>
      <c r="C16" s="90" t="n"/>
      <c r="D16" s="90" t="n"/>
      <c r="E16" s="90" t="n"/>
      <c r="F16" s="74" t="n"/>
    </row>
    <row r="17" ht="18" customHeight="1">
      <c r="B17" s="80" t="inlineStr">
        <is>
          <t>1. RESOLUTION / PROGRESS TOWARD RESOLUTION</t>
        </is>
      </c>
      <c r="C17" s="90" t="n"/>
      <c r="D17" s="90" t="n"/>
      <c r="E17" s="74" t="n"/>
      <c r="F17" s="6" t="inlineStr">
        <is>
          <t>Weight: 30%</t>
        </is>
      </c>
    </row>
    <row r="18" ht="28" customHeight="1">
      <c r="B18" s="95" t="inlineStr">
        <is>
          <t>Objective: Determine whether the interaction moved the customer meaningfully closer to resolution.</t>
        </is>
      </c>
      <c r="C18" s="82" t="n"/>
      <c r="D18" s="82" t="n"/>
      <c r="E18" s="82" t="n"/>
      <c r="F18" s="71" t="n"/>
    </row>
    <row r="19">
      <c r="B19" s="94" t="inlineStr">
        <is>
          <t>Behavioral Indicator</t>
        </is>
      </c>
      <c r="C19" s="7" t="inlineStr">
        <is>
          <t>Assessment</t>
        </is>
      </c>
      <c r="D19" s="94" t="inlineStr">
        <is>
          <t>Evidence / Observation (quote or timestamp where possible)</t>
        </is>
      </c>
      <c r="E19" s="82" t="n"/>
      <c r="F19" s="71" t="n"/>
    </row>
    <row r="20" ht="28" customHeight="1">
      <c r="B20" s="81" t="inlineStr">
        <is>
          <t>Issue resolved, or the strongest available outcome was achieved (RMA, valid escalation, limitation explained, education)</t>
        </is>
      </c>
      <c r="C20" s="9" t="inlineStr">
        <is>
          <t>Partial</t>
        </is>
      </c>
      <c r="D20" s="81" t="inlineStr">
        <is>
          <t>Internet restored May 18 (482-530 Mbps down); but primary complaint — streaming stability — never confirmed; TV still flashing red at session end; case closed RESOLVED May 19 anyway</t>
        </is>
      </c>
      <c r="E20" s="82" t="n"/>
      <c r="F20" s="71" t="n"/>
    </row>
    <row r="21" ht="28" customHeight="1">
      <c r="B21" s="83" t="inlineStr">
        <is>
          <t>Reasonable troubleshooting was completed before any conclusion was reached</t>
        </is>
      </c>
      <c r="C21" s="9" t="inlineStr">
        <is>
          <t>Met</t>
        </is>
      </c>
      <c r="D21" s="83" t="inlineStr">
        <is>
          <t>Confirmed modem install, isolated fault away from ISP to MX4200 parent node before acting</t>
        </is>
      </c>
      <c r="E21" s="82" t="n"/>
      <c r="F21" s="71" t="n"/>
    </row>
    <row r="22" ht="28" customHeight="1">
      <c r="B22" s="81" t="inlineStr">
        <is>
          <t>Clear, actionable next steps were provided to the customer</t>
        </is>
      </c>
      <c r="C22" s="9" t="inlineStr">
        <is>
          <t>Partial</t>
        </is>
      </c>
      <c r="D22" s="81" t="inlineStr">
        <is>
          <t>Callback agreed 4-5 PM CT May 19 — then missed; final email only asked customer to propose a new time</t>
        </is>
      </c>
      <c r="E22" s="82" t="n"/>
      <c r="F22" s="71" t="n"/>
    </row>
    <row r="23" ht="28" customHeight="1">
      <c r="B23" s="83" t="inlineStr">
        <is>
          <t>Resolution path was appropriate for the situation and warranty status</t>
        </is>
      </c>
      <c r="C23" s="9" t="inlineStr">
        <is>
          <t>Partial</t>
        </is>
      </c>
      <c r="D23" s="83" t="inlineStr">
        <is>
          <t>Restoration path correct; closure path was not (RESOLVED on an unresolved case)</t>
        </is>
      </c>
      <c r="E23" s="82" t="n"/>
      <c r="F23" s="71" t="n"/>
    </row>
    <row r="24" ht="28" customHeight="1">
      <c r="B24" s="81" t="inlineStr">
        <is>
          <t>Customer was moved meaningfully closer to a solution</t>
        </is>
      </c>
      <c r="C24" s="9" t="inlineStr">
        <is>
          <t>Met</t>
        </is>
      </c>
      <c r="D24" s="81" t="inlineStr">
        <is>
          <t>4 child nodes added with documented RSSI; 1st-floor optimization and sequence reboot still outstanding</t>
        </is>
      </c>
      <c r="E24" s="82" t="n"/>
      <c r="F24" s="71" t="n"/>
    </row>
    <row r="25" ht="28" customHeight="1">
      <c r="B25" s="8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82" t="n"/>
      <c r="D25" s="82" t="n"/>
      <c r="E25" s="82" t="n"/>
      <c r="F25" s="71" t="n"/>
    </row>
    <row r="26">
      <c r="B26" s="11" t="inlineStr">
        <is>
          <t>Suggested score (auto from indicators — advisory only; evaluator judgment prevails)</t>
        </is>
      </c>
      <c r="C26" s="12">
        <f>IF((COUNTIF(C20:C24,"Met")+COUNTIF(C20:C24,"Partial")+COUNTIF(C20:C24,"Missed"))=0,"",ROUND((COUNTIF(C20:C24,"Met")*5+COUNTIF(C20:C24,"Partial")*2.5)/(COUNTIF(C20:C24,"Met")+COUNTIF(C20:C24,"Partial")+COUNTIF(C20:C24,"Missed")),1))</f>
        <v/>
      </c>
      <c r="D26" s="92" t="n"/>
      <c r="E26" s="82" t="n"/>
      <c r="F26" s="71" t="n"/>
    </row>
    <row r="27" ht="24" customHeight="1">
      <c r="B27" s="13" t="inlineStr">
        <is>
          <t>FINAL CATEGORY SCORE (0–5)</t>
        </is>
      </c>
      <c r="C27" s="14" t="n">
        <v>3</v>
      </c>
      <c r="D27" s="84">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82" t="n"/>
      <c r="F27" s="71" t="n"/>
    </row>
    <row r="28" ht="36" customHeight="1">
      <c r="B28" s="13" t="inlineStr">
        <is>
          <t>Category comments / coaching notes</t>
        </is>
      </c>
      <c r="C28" s="86" t="inlineStr">
        <is>
          <t>Real technical progress (internet restored) — judged in inherited context, a genuine recovery. Capped by unconfirmed primary complaint and premature closure.</t>
        </is>
      </c>
      <c r="D28" s="82" t="n"/>
      <c r="E28" s="82" t="n"/>
      <c r="F28" s="71" t="n"/>
    </row>
    <row r="30" ht="18" customHeight="1">
      <c r="B30" s="80" t="inlineStr">
        <is>
          <t>2. TECHNICAL ACCURACY</t>
        </is>
      </c>
      <c r="C30" s="90" t="n"/>
      <c r="D30" s="90" t="n"/>
      <c r="E30" s="74" t="n"/>
      <c r="F30" s="6" t="inlineStr">
        <is>
          <t>Weight: 20%</t>
        </is>
      </c>
    </row>
    <row r="31" ht="28" customHeight="1">
      <c r="B31" s="95" t="inlineStr">
        <is>
          <t>Objective: Evaluate the quality of troubleshooting and technical guidance.</t>
        </is>
      </c>
      <c r="C31" s="82" t="n"/>
      <c r="D31" s="82" t="n"/>
      <c r="E31" s="82" t="n"/>
      <c r="F31" s="71" t="n"/>
    </row>
    <row r="32">
      <c r="B32" s="94" t="inlineStr">
        <is>
          <t>Behavioral Indicator</t>
        </is>
      </c>
      <c r="C32" s="7" t="inlineStr">
        <is>
          <t>Assessment</t>
        </is>
      </c>
      <c r="D32" s="94" t="inlineStr">
        <is>
          <t>Evidence / Observation (quote or timestamp where possible)</t>
        </is>
      </c>
      <c r="E32" s="82" t="n"/>
      <c r="F32" s="71" t="n"/>
    </row>
    <row r="33" ht="28" customHeight="1">
      <c r="B33" s="81" t="inlineStr">
        <is>
          <t>Symptoms were identified correctly</t>
        </is>
      </c>
      <c r="C33" s="9" t="inlineStr">
        <is>
          <t>Met</t>
        </is>
      </c>
      <c r="D33" s="81" t="inlineStr">
        <is>
          <t>Correctly framed issue as wireless coverage/stability, not internet speed</t>
        </is>
      </c>
      <c r="E33" s="82" t="n"/>
      <c r="F33" s="71" t="n"/>
    </row>
    <row r="34" ht="28" customHeight="1">
      <c r="B34" s="83" t="inlineStr">
        <is>
          <t>Relevant diagnostic questions were asked</t>
        </is>
      </c>
      <c r="C34" s="9" t="inlineStr">
        <is>
          <t>Met</t>
        </is>
      </c>
      <c r="D34" s="83" t="inlineStr">
        <is>
          <t>Verified inventory (6× MX4200), modem state, node placement before troubleshooting</t>
        </is>
      </c>
      <c r="E34" s="82" t="n"/>
      <c r="F34" s="71" t="n"/>
    </row>
    <row r="35" ht="28" customHeight="1">
      <c r="B35" s="81" t="inlineStr">
        <is>
          <t>Logical troubleshooting methodology was followed</t>
        </is>
      </c>
      <c r="C35" s="9" t="inlineStr">
        <is>
          <t>Met</t>
        </is>
      </c>
      <c r="D35" s="81" t="inlineStr">
        <is>
          <t>Logical narrowing: modem supplying internet → fault domain = parent node config</t>
        </is>
      </c>
      <c r="E35" s="82" t="n"/>
      <c r="F35" s="71" t="n"/>
    </row>
    <row r="36" ht="28" customHeight="1">
      <c r="B36" s="83" t="inlineStr">
        <is>
          <t>Available tools were used appropriately</t>
        </is>
      </c>
      <c r="C36" s="9" t="inlineStr">
        <is>
          <t>Met</t>
        </is>
      </c>
      <c r="D36" s="83" t="inlineStr">
        <is>
          <t>ZOHO remote session 480107042; RSSI per node: 04512 -68, 02733 -61, 02853 -56, 16475 -59 dBm</t>
        </is>
      </c>
      <c r="E36" s="82" t="n"/>
      <c r="F36" s="71" t="n"/>
    </row>
    <row r="37" ht="28" customHeight="1">
      <c r="B37" s="81" t="inlineStr">
        <is>
          <t>Information provided was technically accurate</t>
        </is>
      </c>
      <c r="C37" s="9" t="inlineStr">
        <is>
          <t>Met</t>
        </is>
      </c>
      <c r="D37" s="81" t="inlineStr">
        <is>
          <t>Speed and topology explanations accurate; overlap node (16267, -18 dBm) correctly identified</t>
        </is>
      </c>
      <c r="E37" s="82" t="n"/>
      <c r="F37" s="71" t="n"/>
    </row>
    <row r="38" ht="28" customHeight="1">
      <c r="B38" s="83" t="inlineStr">
        <is>
          <t>Assumptions were validated; no unsupported conclusions</t>
        </is>
      </c>
      <c r="C38" s="9" t="inlineStr">
        <is>
          <t>Partial</t>
        </is>
      </c>
      <c r="D38" s="83" t="inlineStr">
        <is>
          <t>AT&amp;T SSID disabling — prior touch's open isolation step — never confirmed during the session</t>
        </is>
      </c>
      <c r="E38" s="82" t="n"/>
      <c r="F38" s="71" t="n"/>
    </row>
    <row r="39" ht="28" customHeight="1">
      <c r="B39" s="81" t="inlineStr">
        <is>
          <t>Root cause (or likely cause) was identified when possible</t>
        </is>
      </c>
      <c r="C39" s="9" t="inlineStr">
        <is>
          <t>Partial</t>
        </is>
      </c>
      <c r="D39" s="81" t="inlineStr">
        <is>
          <t>Overlap node found, but stability root cause left unconfirmed at close</t>
        </is>
      </c>
      <c r="E39" s="82" t="n"/>
      <c r="F39" s="71" t="n"/>
    </row>
    <row r="40" ht="28" customHeight="1">
      <c r="B40" s="85" t="inlineStr">
        <is>
          <t>⚠ Deduct for: incorrect technical information; skipped critical troubleshooting; misdiagnosis; unnecessary actions recommended; ISP or customer blamed without evidence; repeating basic steps the customer already completed.</t>
        </is>
      </c>
      <c r="C40" s="82" t="n"/>
      <c r="D40" s="82" t="n"/>
      <c r="E40" s="82" t="n"/>
      <c r="F40" s="71" t="n"/>
    </row>
    <row r="41">
      <c r="B41" s="11" t="inlineStr">
        <is>
          <t>Suggested score (auto from indicators — advisory only; evaluator judgment prevails)</t>
        </is>
      </c>
      <c r="C41" s="12">
        <f>IF((COUNTIF(C33:C39,"Met")+COUNTIF(C33:C39,"Partial")+COUNTIF(C33:C39,"Missed"))=0,"",ROUND((COUNTIF(C33:C39,"Met")*5+COUNTIF(C33:C39,"Partial")*2.5)/(COUNTIF(C33:C39,"Met")+COUNTIF(C33:C39,"Partial")+COUNTIF(C33:C39,"Missed")),1))</f>
        <v/>
      </c>
      <c r="D41" s="92" t="n"/>
      <c r="E41" s="82" t="n"/>
      <c r="F41" s="71" t="n"/>
    </row>
    <row r="42" ht="24" customHeight="1">
      <c r="B42" s="13" t="inlineStr">
        <is>
          <t>FINAL CATEGORY SCORE (0–5)</t>
        </is>
      </c>
      <c r="C42" s="14" t="n">
        <v>4</v>
      </c>
      <c r="D42" s="84">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82" t="n"/>
      <c r="F42" s="71" t="n"/>
    </row>
    <row r="43" ht="36" customHeight="1">
      <c r="B43" s="13" t="inlineStr">
        <is>
          <t>Category comments / coaching notes</t>
        </is>
      </c>
      <c r="C43" s="86" t="inlineStr">
        <is>
          <t>Strongest technical touch of the journey alongside Paolo Ebora's May 4 session. Close the loop on inherited open steps (AT&amp;T SSID) next time.</t>
        </is>
      </c>
      <c r="D43" s="82" t="n"/>
      <c r="E43" s="82" t="n"/>
      <c r="F43" s="71" t="n"/>
    </row>
    <row r="45" ht="18" customHeight="1">
      <c r="B45" s="80" t="inlineStr">
        <is>
          <t>3. COMMUNICATION &amp; CALL CONTROL</t>
        </is>
      </c>
      <c r="C45" s="90" t="n"/>
      <c r="D45" s="90" t="n"/>
      <c r="E45" s="74" t="n"/>
      <c r="F45" s="6" t="inlineStr">
        <is>
          <t>Weight: 15%</t>
        </is>
      </c>
    </row>
    <row r="46" ht="28" customHeight="1">
      <c r="B46" s="95" t="inlineStr">
        <is>
          <t>Objective: Evaluate how effectively the agent managed the interaction.</t>
        </is>
      </c>
      <c r="C46" s="82" t="n"/>
      <c r="D46" s="82" t="n"/>
      <c r="E46" s="82" t="n"/>
      <c r="F46" s="71" t="n"/>
    </row>
    <row r="47">
      <c r="B47" s="94" t="inlineStr">
        <is>
          <t>Behavioral Indicator</t>
        </is>
      </c>
      <c r="C47" s="7" t="inlineStr">
        <is>
          <t>Assessment</t>
        </is>
      </c>
      <c r="D47" s="94" t="inlineStr">
        <is>
          <t>Evidence / Observation (quote or timestamp where possible)</t>
        </is>
      </c>
      <c r="E47" s="82" t="n"/>
      <c r="F47" s="71" t="n"/>
    </row>
    <row r="48" ht="28" customHeight="1">
      <c r="B48" s="81" t="inlineStr">
        <is>
          <t>Expectations were set clearly from the start</t>
        </is>
      </c>
      <c r="C48" s="9" t="inlineStr">
        <is>
          <t>Partial</t>
        </is>
      </c>
      <c r="D48" s="81" t="inlineStr">
        <is>
          <t>Callback window agreed clearly — then broken without proactive renegotiation</t>
        </is>
      </c>
      <c r="E48" s="82" t="n"/>
      <c r="F48" s="71" t="n"/>
    </row>
    <row r="49" ht="28" customHeight="1">
      <c r="B49" s="83" t="inlineStr">
        <is>
          <t>Agent maintained control of the troubleshooting flow</t>
        </is>
      </c>
      <c r="C49" s="9" t="inlineStr">
        <is>
          <t>Met</t>
        </is>
      </c>
      <c r="D49" s="83" t="inlineStr">
        <is>
          <t>Drove a focused 3h26m session; investigation: 'more focused than earlier contacts'</t>
        </is>
      </c>
      <c r="E49" s="82" t="n"/>
      <c r="F49" s="71" t="n"/>
    </row>
    <row r="50" ht="28" customHeight="1">
      <c r="B50" s="81" t="inlineStr">
        <is>
          <t>Actions were explained in understandable, jargon-free language</t>
        </is>
      </c>
      <c r="C50" s="9" t="inlineStr">
        <is>
          <t>Partial</t>
        </is>
      </c>
      <c r="D50" s="81" t="inlineStr">
        <is>
          <t>Investigation: 'simplify technical explanations' — terms like RSSI/SSID needed clarification</t>
        </is>
      </c>
      <c r="E50" s="82" t="n"/>
      <c r="F50" s="71" t="n"/>
    </row>
    <row r="51" ht="28" customHeight="1">
      <c r="B51" s="83" t="inlineStr">
        <is>
          <t>Questions were purposeful (no repetitive questioning)</t>
        </is>
      </c>
      <c r="C51" s="9" t="inlineStr">
        <is>
          <t>Met</t>
        </is>
      </c>
      <c r="D51" s="83" t="inlineStr">
        <is>
          <t>Questions tied to isolation; no redundant re-asking of inherited facts</t>
        </is>
      </c>
      <c r="E51" s="82" t="n"/>
      <c r="F51" s="71" t="n"/>
    </row>
    <row r="52" ht="28" customHeight="1">
      <c r="B52" s="81" t="inlineStr">
        <is>
          <t>Customer understanding was confirmed at key points</t>
        </is>
      </c>
      <c r="C52" s="9" t="inlineStr">
        <is>
          <t>Partial</t>
        </is>
      </c>
      <c r="D52" s="81" t="inlineStr">
        <is>
          <t>Investigation: 'strengthen recap and final action ownership'</t>
        </is>
      </c>
      <c r="E52" s="82" t="n"/>
      <c r="F52" s="71" t="n"/>
    </row>
    <row r="53" ht="28" customHeight="1">
      <c r="B53" s="83" t="inlineStr">
        <is>
          <t>Clear transitions between troubleshooting steps; effective time management</t>
        </is>
      </c>
      <c r="C53" s="9" t="inlineStr">
        <is>
          <t>Partial</t>
        </is>
      </c>
      <c r="D53" s="83" t="inlineStr">
        <is>
          <t>Session ran ~6 PM to 11 PM for an 80-year-old couple; no checkpoint offered to pause/resume</t>
        </is>
      </c>
      <c r="E53" s="82" t="n"/>
      <c r="F53" s="71" t="n"/>
    </row>
    <row r="54" ht="28" customHeight="1">
      <c r="B54" s="81" t="inlineStr">
        <is>
          <t>Difficult moments were managed professionally</t>
        </is>
      </c>
      <c r="C54" s="9" t="inlineStr">
        <is>
          <t>Met</t>
        </is>
      </c>
      <c r="D54" s="81" t="inlineStr">
        <is>
          <t>Stayed professional with an exhausted, frustrated customer</t>
        </is>
      </c>
      <c r="E54" s="82" t="n"/>
      <c r="F54" s="71" t="n"/>
    </row>
    <row r="55" ht="28" customHeight="1">
      <c r="B55" s="83" t="inlineStr">
        <is>
          <t>Communication adapted to the customer's accessibility needs (hearing, vision, age)</t>
        </is>
      </c>
      <c r="C55" s="9" t="inlineStr">
        <is>
          <t>Missed</t>
        </is>
      </c>
      <c r="D55" s="83" t="inlineStr">
        <is>
          <t>Hearing-difficulty adaptation cited as opportunity for this and 3 prior agents; pace unchanged</t>
        </is>
      </c>
      <c r="E55" s="82" t="n"/>
      <c r="F55" s="71" t="n"/>
    </row>
    <row r="56" ht="28" customHeight="1">
      <c r="B56" s="85" t="inlineStr">
        <is>
          <t>⚠ High performance: customer always knows what is happening and the agent drives the call confidently. One instruction at a time for customers who need it.</t>
        </is>
      </c>
      <c r="C56" s="82" t="n"/>
      <c r="D56" s="82" t="n"/>
      <c r="E56" s="82" t="n"/>
      <c r="F56" s="71" t="n"/>
    </row>
    <row r="57">
      <c r="B57" s="11" t="inlineStr">
        <is>
          <t>Suggested score (auto from indicators — advisory only; evaluator judgment prevails)</t>
        </is>
      </c>
      <c r="C57" s="12">
        <f>IF((COUNTIF(C48:C55,"Met")+COUNTIF(C48:C55,"Partial")+COUNTIF(C48:C55,"Missed"))=0,"",ROUND((COUNTIF(C48:C55,"Met")*5+COUNTIF(C48:C55,"Partial")*2.5)/(COUNTIF(C48:C55,"Met")+COUNTIF(C48:C55,"Partial")+COUNTIF(C48:C55,"Missed")),1))</f>
        <v/>
      </c>
      <c r="D57" s="92" t="n"/>
      <c r="E57" s="82" t="n"/>
      <c r="F57" s="71" t="n"/>
    </row>
    <row r="58" ht="24" customHeight="1">
      <c r="B58" s="13" t="inlineStr">
        <is>
          <t>FINAL CATEGORY SCORE (0–5)</t>
        </is>
      </c>
      <c r="C58" s="14" t="n">
        <v>3</v>
      </c>
      <c r="D58" s="84">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82" t="n"/>
      <c r="F58" s="71" t="n"/>
    </row>
    <row r="59" ht="36" customHeight="1">
      <c r="B59" s="13" t="inlineStr">
        <is>
          <t>Category comments / coaching notes</t>
        </is>
      </c>
      <c r="C59" s="86" t="inlineStr">
        <is>
          <t>Focused and professional; needs accessibility adaptation and a stronger recap/next-step close (per investigation findings).</t>
        </is>
      </c>
      <c r="D59" s="82" t="n"/>
      <c r="E59" s="82" t="n"/>
      <c r="F59" s="71" t="n"/>
    </row>
    <row r="61" ht="18" customHeight="1">
      <c r="B61" s="80" t="inlineStr">
        <is>
          <t>4. CUSTOMER OWNERSHIP</t>
        </is>
      </c>
      <c r="C61" s="90" t="n"/>
      <c r="D61" s="90" t="n"/>
      <c r="E61" s="74" t="n"/>
      <c r="F61" s="6" t="inlineStr">
        <is>
          <t>Weight: 15%</t>
        </is>
      </c>
    </row>
    <row r="62" ht="28" customHeight="1">
      <c r="B62" s="95" t="inlineStr">
        <is>
          <t>Objective: Measure the degree to which the agent accepted responsibility for moving the customer forward.</t>
        </is>
      </c>
      <c r="C62" s="82" t="n"/>
      <c r="D62" s="82" t="n"/>
      <c r="E62" s="82" t="n"/>
      <c r="F62" s="71" t="n"/>
    </row>
    <row r="63">
      <c r="B63" s="94" t="inlineStr">
        <is>
          <t>Behavioral Indicator</t>
        </is>
      </c>
      <c r="C63" s="7" t="inlineStr">
        <is>
          <t>Assessment</t>
        </is>
      </c>
      <c r="D63" s="94" t="inlineStr">
        <is>
          <t>Evidence / Observation (quote or timestamp where possible)</t>
        </is>
      </c>
      <c r="E63" s="82" t="n"/>
      <c r="F63" s="71" t="n"/>
    </row>
    <row r="64" ht="28" customHeight="1">
      <c r="B64" s="81" t="inlineStr">
        <is>
          <t>Agent demonstrated accountability for the customer's outcome</t>
        </is>
      </c>
      <c r="C64" s="9" t="inlineStr">
        <is>
          <t>Partial</t>
        </is>
      </c>
      <c r="D64" s="81" t="inlineStr">
        <is>
          <t>Claimed queue, drove session, attempted callbacks + emails — but closure undermined accountability</t>
        </is>
      </c>
      <c r="E64" s="82" t="n"/>
      <c r="F64" s="71" t="n"/>
    </row>
    <row r="65" ht="28" customHeight="1">
      <c r="B65" s="83" t="inlineStr">
        <is>
          <t>Unnecessary transfers were avoided</t>
        </is>
      </c>
      <c r="C65" s="9" t="inlineStr">
        <is>
          <t>Met</t>
        </is>
      </c>
      <c r="D65" s="83" t="inlineStr">
        <is>
          <t>Owned at L2 end-to-end; no bouncing</t>
        </is>
      </c>
      <c r="E65" s="82" t="n"/>
      <c r="F65" s="71" t="n"/>
    </row>
    <row r="66" ht="28" customHeight="1">
      <c r="B66" s="81" t="inlineStr">
        <is>
          <t>Commitments made during the interaction were followed through</t>
        </is>
      </c>
      <c r="C66" s="9" t="inlineStr">
        <is>
          <t>Missed</t>
        </is>
      </c>
      <c r="D66" s="81" t="inlineStr">
        <is>
          <t>Agreed 4-5 PM CT callback missed: calls at 5:42 &amp; 6:06 PM (42-66 min late); customer: 'you called at 5:45 — 1 and 3/4 hours late'</t>
        </is>
      </c>
      <c r="E66" s="82" t="n"/>
      <c r="F66" s="71" t="n"/>
    </row>
    <row r="67" ht="28" customHeight="1">
      <c r="B67" s="83" t="inlineStr">
        <is>
          <t>A clear path forward was created for the customer</t>
        </is>
      </c>
      <c r="C67" s="9" t="inlineStr">
        <is>
          <t>Partial</t>
        </is>
      </c>
      <c r="D67" s="83" t="inlineStr">
        <is>
          <t>Replacement plan after missed callback = customer must propose a time; weak for a 7-week case</t>
        </is>
      </c>
      <c r="E67" s="82" t="n"/>
      <c r="F67" s="71" t="n"/>
    </row>
    <row r="68" ht="28" customHeight="1">
      <c r="B68" s="81" t="inlineStr">
        <is>
          <t>Next actions were documented</t>
        </is>
      </c>
      <c r="C68" s="9" t="inlineStr">
        <is>
          <t>Met</t>
        </is>
      </c>
      <c r="D68" s="81" t="inlineStr">
        <is>
          <t>Session notes detailed: speeds, RSSI per node, declined reboot, agreed window — all recorded</t>
        </is>
      </c>
      <c r="E68" s="82" t="n"/>
      <c r="F68" s="71" t="n"/>
    </row>
    <row r="69" ht="28" customHeight="1">
      <c r="B69" s="83" t="inlineStr">
        <is>
          <t>Realistic expectations were set</t>
        </is>
      </c>
      <c r="C69" s="9" t="inlineStr">
        <is>
          <t>Partial</t>
        </is>
      </c>
      <c r="D69" s="83" t="inlineStr">
        <is>
          <t>Knew 4-5 PM window conflicted with TC/OM meetings (private notes 13:48/14:42) yet did not renegotiate in advance</t>
        </is>
      </c>
      <c r="E69" s="82" t="n"/>
      <c r="F69" s="71" t="n"/>
    </row>
    <row r="70" ht="28" customHeight="1">
      <c r="B70" s="81" t="inlineStr">
        <is>
          <t>Disconnect follow-up completed (callback / email / note) — mark N.A. if no disconnect</t>
        </is>
      </c>
      <c r="C70" s="9" t="inlineStr">
        <is>
          <t>N.A.</t>
        </is>
      </c>
      <c r="D70" s="81" t="inlineStr">
        <is>
          <t>No disconnect on this touch</t>
        </is>
      </c>
      <c r="E70" s="82" t="n"/>
      <c r="F70" s="71" t="n"/>
    </row>
    <row r="71" ht="28" customHeight="1">
      <c r="B71" s="83" t="inlineStr">
        <is>
          <t>Callback commitments were met within the agreed window (or proactively renegotiated before it lapsed)</t>
        </is>
      </c>
      <c r="C71" s="9" t="inlineStr">
        <is>
          <t>Missed</t>
        </is>
      </c>
      <c r="D71" s="83" t="inlineStr">
        <is>
          <t>Window missed; conflicting explanations later ('meeting' vs 'engaged with another task')</t>
        </is>
      </c>
      <c r="E71" s="82" t="n"/>
      <c r="F71" s="71" t="n"/>
    </row>
    <row r="72" ht="28" customHeight="1">
      <c r="B72" s="85" t="inlineStr">
        <is>
          <t>⚠ Automatic deductions: no documented follow-up after disconnect; unclear next steps; passing responsibility without context; failure to complete promised actions; missed or late callbacks without proactive renegotiation.</t>
        </is>
      </c>
      <c r="C72" s="82" t="n"/>
      <c r="D72" s="82" t="n"/>
      <c r="E72" s="82" t="n"/>
      <c r="F72" s="71" t="n"/>
    </row>
    <row r="73">
      <c r="B73" s="11" t="inlineStr">
        <is>
          <t>Suggested score (auto from indicators — advisory only; evaluator judgment prevails)</t>
        </is>
      </c>
      <c r="C73" s="12">
        <f>IF((COUNTIF(C64:C71,"Met")+COUNTIF(C64:C71,"Partial")+COUNTIF(C64:C71,"Missed"))=0,"",ROUND((COUNTIF(C64:C71,"Met")*5+COUNTIF(C64:C71,"Partial")*2.5)/(COUNTIF(C64:C71,"Met")+COUNTIF(C64:C71,"Partial")+COUNTIF(C64:C71,"Missed")),1))</f>
        <v/>
      </c>
      <c r="D73" s="92" t="n"/>
      <c r="E73" s="82" t="n"/>
      <c r="F73" s="71" t="n"/>
    </row>
    <row r="74" ht="24" customHeight="1">
      <c r="B74" s="13" t="inlineStr">
        <is>
          <t>FINAL CATEGORY SCORE (0–5)</t>
        </is>
      </c>
      <c r="C74" s="14" t="n">
        <v>1</v>
      </c>
      <c r="D74" s="84">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82" t="n"/>
      <c r="F74" s="71" t="n"/>
    </row>
    <row r="75" ht="36" customHeight="1">
      <c r="B75" s="13" t="inlineStr">
        <is>
          <t>Category comments / coaching notes</t>
        </is>
      </c>
      <c r="C75" s="86" t="inlineStr">
        <is>
          <t>Automatic deductions applied: missed agreed callback window without proactive renegotiation + premature RESOLVED. The calendar conflict was visible in advance.</t>
        </is>
      </c>
      <c r="D75" s="82" t="n"/>
      <c r="E75" s="82" t="n"/>
      <c r="F75" s="71" t="n"/>
    </row>
    <row r="77" ht="18" customHeight="1">
      <c r="B77" s="80" t="inlineStr">
        <is>
          <t>5. ESCALATION JUDGMENT</t>
        </is>
      </c>
      <c r="C77" s="90" t="n"/>
      <c r="D77" s="90" t="n"/>
      <c r="E77" s="74" t="n"/>
      <c r="F77" s="6" t="inlineStr">
        <is>
          <t>Weight: 10%</t>
        </is>
      </c>
    </row>
    <row r="78" ht="28" customHeight="1">
      <c r="B78" s="95" t="inlineStr">
        <is>
          <t>Objective: Determine whether escalation decisions were appropriate — including UPWARD escalations the customer requested (management, complaint, legal). Mark all N.A. if no escalation was involved and none was warranted.</t>
        </is>
      </c>
      <c r="C78" s="82" t="n"/>
      <c r="D78" s="82" t="n"/>
      <c r="E78" s="82" t="n"/>
      <c r="F78" s="71" t="n"/>
    </row>
    <row r="79">
      <c r="B79" s="94" t="inlineStr">
        <is>
          <t>Behavioral Indicator</t>
        </is>
      </c>
      <c r="C79" s="7" t="inlineStr">
        <is>
          <t>Assessment</t>
        </is>
      </c>
      <c r="D79" s="94" t="inlineStr">
        <is>
          <t>Evidence / Observation (quote or timestamp where possible)</t>
        </is>
      </c>
      <c r="E79" s="82" t="n"/>
      <c r="F79" s="71" t="n"/>
    </row>
    <row r="80" ht="28" customHeight="1">
      <c r="B80" s="81" t="inlineStr">
        <is>
          <t>Reasonable troubleshooting was completed before escalating</t>
        </is>
      </c>
      <c r="C80" s="9" t="inlineStr">
        <is>
          <t>N.A.</t>
        </is>
      </c>
      <c r="D80" s="81" t="inlineStr">
        <is>
          <t>No technical escalation needed — agent is the L2 endpoint</t>
        </is>
      </c>
      <c r="E80" s="82" t="n"/>
      <c r="F80" s="71" t="n"/>
    </row>
    <row r="81" ht="28" customHeight="1">
      <c r="B81" s="83" t="inlineStr">
        <is>
          <t>Legitimate escalation criteria were identified (incl. complaint / management / legal-risk triggers)</t>
        </is>
      </c>
      <c r="C81" s="9" t="inlineStr">
        <is>
          <t>Missed</t>
        </is>
      </c>
      <c r="D81" s="83" t="inlineStr">
        <is>
          <t>May 19, 3:33 PM customer email: 'I would like to talk to your management, before I talk to a lawyer' — a textbook management/legal-risk trigger, not actioned</t>
        </is>
      </c>
      <c r="E81" s="82" t="n"/>
      <c r="F81" s="71" t="n"/>
    </row>
    <row r="82" ht="28" customHeight="1">
      <c r="B82" s="81" t="inlineStr">
        <is>
          <t>Escalation contained complete, useful details (logs, findings, steps tried)</t>
        </is>
      </c>
      <c r="C82" s="9" t="inlineStr">
        <is>
          <t>N.A.</t>
        </is>
      </c>
      <c r="D82" s="81" t="inlineStr">
        <is>
          <t>No management/DSAT escalation record until PMO intervened May 27</t>
        </is>
      </c>
      <c r="E82" s="82" t="n"/>
      <c r="F82" s="71" t="n"/>
    </row>
    <row r="83" ht="28" customHeight="1">
      <c r="B83" s="83" t="inlineStr">
        <is>
          <t>Correct escalation path was chosen</t>
        </is>
      </c>
      <c r="C83" s="9" t="inlineStr">
        <is>
          <t>Missed</t>
        </is>
      </c>
      <c r="D83" s="83" t="inlineStr">
        <is>
          <t>Consulted TC Marc Baynos about how to WORD the reply — not to escalate the complaint</t>
        </is>
      </c>
      <c r="E83" s="82" t="n"/>
      <c r="F83" s="71" t="n"/>
    </row>
    <row r="84" ht="28" customHeight="1">
      <c r="B84" s="81" t="inlineStr">
        <is>
          <t>Customer expectations about the escalation were set appropriately</t>
        </is>
      </c>
      <c r="C84" s="9" t="inlineStr">
        <is>
          <t>Missed</t>
        </is>
      </c>
      <c r="D84" s="81" t="inlineStr">
        <is>
          <t>Final email never acknowledged the management request</t>
        </is>
      </c>
      <c r="E84" s="82" t="n"/>
      <c r="F84" s="71" t="n"/>
    </row>
    <row r="85" ht="28" customHeight="1">
      <c r="B85" s="85" t="inlineStr">
        <is>
          <t>⚠ Low score: premature, avoidable, poorly documented, used as a substitute for troubleshooting — or a warranted escalation (incl. a customer's management request) that was NOT made.</t>
        </is>
      </c>
      <c r="C85" s="82" t="n"/>
      <c r="D85" s="82" t="n"/>
      <c r="E85" s="82" t="n"/>
      <c r="F85" s="71" t="n"/>
    </row>
    <row r="86">
      <c r="B86" s="11" t="inlineStr">
        <is>
          <t>Suggested score (auto from indicators — advisory only; evaluator judgment prevails)</t>
        </is>
      </c>
      <c r="C86" s="12">
        <f>IF((COUNTIF(C80:C84,"Met")+COUNTIF(C80:C84,"Partial")+COUNTIF(C80:C84,"Missed"))=0,"",ROUND((COUNTIF(C80:C84,"Met")*5+COUNTIF(C80:C84,"Partial")*2.5)/(COUNTIF(C80:C84,"Met")+COUNTIF(C80:C84,"Partial")+COUNTIF(C80:C84,"Missed")),1))</f>
        <v/>
      </c>
      <c r="D86" s="92" t="n"/>
      <c r="E86" s="82" t="n"/>
      <c r="F86" s="71" t="n"/>
    </row>
    <row r="87" ht="24" customHeight="1">
      <c r="B87" s="13" t="inlineStr">
        <is>
          <t>FINAL CATEGORY SCORE (0–5)</t>
        </is>
      </c>
      <c r="C87" s="14" t="n">
        <v>1</v>
      </c>
      <c r="D87" s="84">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82" t="n"/>
      <c r="F87" s="71" t="n"/>
    </row>
    <row r="88" ht="36" customHeight="1">
      <c r="B88" s="13" t="inlineStr">
        <is>
          <t>Category comments / coaching notes</t>
        </is>
      </c>
      <c r="C88" s="86" t="inlineStr">
        <is>
          <t>The escalation that mattered was upward: an explicit management request with a legal threat from a vulnerable customer. It was not made. Scored 1 (TC consult occurred) rather than 0.</t>
        </is>
      </c>
      <c r="D88" s="82" t="n"/>
      <c r="E88" s="82" t="n"/>
      <c r="F88" s="71" t="n"/>
    </row>
    <row r="90" ht="18" customHeight="1">
      <c r="B90" s="80" t="inlineStr">
        <is>
          <t>6. CUSTOMER EXPERIENCE</t>
        </is>
      </c>
      <c r="C90" s="90" t="n"/>
      <c r="D90" s="90" t="n"/>
      <c r="E90" s="74" t="n"/>
      <c r="F90" s="6" t="inlineStr">
        <is>
          <t>Weight: 5%</t>
        </is>
      </c>
    </row>
    <row r="91" ht="28" customHeight="1">
      <c r="B91" s="95" t="inlineStr">
        <is>
          <t>Objective: Measure the overall customer experience delivered during the interaction.</t>
        </is>
      </c>
      <c r="C91" s="82" t="n"/>
      <c r="D91" s="82" t="n"/>
      <c r="E91" s="82" t="n"/>
      <c r="F91" s="71" t="n"/>
    </row>
    <row r="92">
      <c r="B92" s="94" t="inlineStr">
        <is>
          <t>Behavioral Indicator</t>
        </is>
      </c>
      <c r="C92" s="7" t="inlineStr">
        <is>
          <t>Assessment</t>
        </is>
      </c>
      <c r="D92" s="94" t="inlineStr">
        <is>
          <t>Evidence / Observation (quote or timestamp where possible)</t>
        </is>
      </c>
      <c r="E92" s="82" t="n"/>
      <c r="F92" s="71" t="n"/>
    </row>
    <row r="93" ht="28" customHeight="1">
      <c r="B93" s="81" t="inlineStr">
        <is>
          <t>Empathy was demonstrated (incl. acknowledging cumulative effort and fatigue on repeat contacts)</t>
        </is>
      </c>
      <c r="C93" s="9" t="inlineStr">
        <is>
          <t>Partial</t>
        </is>
      </c>
      <c r="D93" s="81" t="inlineStr">
        <is>
          <t>Apologies sent, but investigation: 'acknowledge customer effort and fatigue more explicitly' (20-30 hrs, no dinner, age 80)</t>
        </is>
      </c>
      <c r="E93" s="82" t="n"/>
      <c r="F93" s="71" t="n"/>
    </row>
    <row r="94" ht="28" customHeight="1">
      <c r="B94" s="83" t="inlineStr">
        <is>
          <t>Professionalism was maintained throughout</t>
        </is>
      </c>
      <c r="C94" s="9" t="inlineStr">
        <is>
          <t>Met</t>
        </is>
      </c>
      <c r="D94" s="83" t="inlineStr">
        <is>
          <t>Courteous and calm in all calls and emails</t>
        </is>
      </c>
      <c r="E94" s="82" t="n"/>
      <c r="F94" s="71" t="n"/>
    </row>
    <row r="95" ht="28" customHeight="1">
      <c r="B95" s="81" t="inlineStr">
        <is>
          <t>Communication style was adapted to the customer</t>
        </is>
      </c>
      <c r="C95" s="9" t="inlineStr">
        <is>
          <t>Partial</t>
        </is>
      </c>
      <c r="D95" s="81" t="inlineStr">
        <is>
          <t>Some simplification, but pace/jargon unadjusted for hearing difficulty</t>
        </is>
      </c>
      <c r="E95" s="82" t="n"/>
      <c r="F95" s="71" t="n"/>
    </row>
    <row r="96" ht="28" customHeight="1">
      <c r="B96" s="83" t="inlineStr">
        <is>
          <t>Patience was maintained, even under pressure</t>
        </is>
      </c>
      <c r="C96" s="9" t="inlineStr">
        <is>
          <t>Met</t>
        </is>
      </c>
      <c r="D96" s="83" t="inlineStr">
        <is>
          <t>Patient through a 3h26m session</t>
        </is>
      </c>
      <c r="E96" s="82" t="n"/>
      <c r="F96" s="71" t="n"/>
    </row>
    <row r="97" ht="28" customHeight="1">
      <c r="B97" s="81" t="inlineStr">
        <is>
          <t>Customer effort was reduced where possible</t>
        </is>
      </c>
      <c r="C97" s="9" t="inlineStr">
        <is>
          <t>Missed</t>
        </is>
      </c>
      <c r="D97" s="81" t="inlineStr">
        <is>
          <t>11 PM finish, then customer expected to chase the reschedule; survey: 'almost impossible to get a technician who can help'</t>
        </is>
      </c>
      <c r="E97" s="82" t="n"/>
      <c r="F97" s="71" t="n"/>
    </row>
    <row r="98" ht="28" customHeight="1">
      <c r="B98" s="83" t="inlineStr">
        <is>
          <t>Customer felt heard, understood next steps, and remained engaged</t>
        </is>
      </c>
      <c r="C98" s="9" t="inlineStr">
        <is>
          <t>Missed</t>
        </is>
      </c>
      <c r="D98" s="83" t="inlineStr">
        <is>
          <t>CSAT 1/5; 'worst customer service I have ever had'; customer scrapped Linksys for Eero</t>
        </is>
      </c>
      <c r="E98" s="82" t="n"/>
      <c r="F98" s="71" t="n"/>
    </row>
    <row r="99" ht="28" customHeight="1">
      <c r="B99" s="85" t="inlineStr">
        <is>
          <t>⚠ Negative indicators: dismissive responses; robotic interactions; frustration escalation caused by agent behavior; marathon sessions pushed onto vulnerable customers without offering to pause and resume.</t>
        </is>
      </c>
      <c r="C99" s="82" t="n"/>
      <c r="D99" s="82" t="n"/>
      <c r="E99" s="82" t="n"/>
      <c r="F99" s="71" t="n"/>
    </row>
    <row r="100">
      <c r="B100" s="11" t="inlineStr">
        <is>
          <t>Suggested score (auto from indicators — advisory only; evaluator judgment prevails)</t>
        </is>
      </c>
      <c r="C100" s="12">
        <f>IF((COUNTIF(C93:C98,"Met")+COUNTIF(C93:C98,"Partial")+COUNTIF(C93:C98,"Missed"))=0,"",ROUND((COUNTIF(C93:C98,"Met")*5+COUNTIF(C93:C98,"Partial")*2.5)/(COUNTIF(C93:C98,"Met")+COUNTIF(C93:C98,"Partial")+COUNTIF(C93:C98,"Missed")),1))</f>
        <v/>
      </c>
      <c r="D100" s="92" t="n"/>
      <c r="E100" s="82" t="n"/>
      <c r="F100" s="71" t="n"/>
    </row>
    <row r="101" ht="24" customHeight="1">
      <c r="B101" s="13" t="inlineStr">
        <is>
          <t>FINAL CATEGORY SCORE (0–5)</t>
        </is>
      </c>
      <c r="C101" s="14" t="n">
        <v>2</v>
      </c>
      <c r="D101" s="84">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82" t="n"/>
      <c r="F101" s="71" t="n"/>
    </row>
    <row r="102" ht="36" customHeight="1">
      <c r="B102" s="13" t="inlineStr">
        <is>
          <t>Category comments / coaching notes</t>
        </is>
      </c>
      <c r="C102" s="86" t="inlineStr">
        <is>
          <t>Patience and courtesy present; effort-reduction and fatigue acknowledgment absent. The outcome data (CSAT 1, churn) reflects the journey, but this touch's choices contributed directly.</t>
        </is>
      </c>
      <c r="D102" s="82" t="n"/>
      <c r="E102" s="82" t="n"/>
      <c r="F102" s="71" t="n"/>
    </row>
    <row r="104" ht="18" customHeight="1">
      <c r="B104" s="80" t="inlineStr">
        <is>
          <t>7. DOCUMENTATION &amp; NOTES</t>
        </is>
      </c>
      <c r="C104" s="90" t="n"/>
      <c r="D104" s="90" t="n"/>
      <c r="E104" s="74" t="n"/>
      <c r="F104" s="6" t="inlineStr">
        <is>
          <t>Weight: 5%</t>
        </is>
      </c>
    </row>
    <row r="105" ht="28" customHeight="1">
      <c r="B105" s="95" t="inlineStr">
        <is>
          <t>Objective: Ensure future agents can quickly understand the case. Purpose is continuity, not compliance.</t>
        </is>
      </c>
      <c r="C105" s="82" t="n"/>
      <c r="D105" s="82" t="n"/>
      <c r="E105" s="82" t="n"/>
      <c r="F105" s="71" t="n"/>
    </row>
    <row r="106">
      <c r="B106" s="94" t="inlineStr">
        <is>
          <t>Behavioral Indicator</t>
        </is>
      </c>
      <c r="C106" s="7" t="inlineStr">
        <is>
          <t>Assessment</t>
        </is>
      </c>
      <c r="D106" s="94" t="inlineStr">
        <is>
          <t>Evidence / Observation (quote or timestamp where possible)</t>
        </is>
      </c>
      <c r="E106" s="82" t="n"/>
      <c r="F106" s="71" t="n"/>
    </row>
    <row r="107" ht="28" customHeight="1">
      <c r="B107" s="81" t="inlineStr">
        <is>
          <t>Customer issue summary recorded</t>
        </is>
      </c>
      <c r="C107" s="9" t="inlineStr">
        <is>
          <t>Met</t>
        </is>
      </c>
      <c r="D107" s="81" t="inlineStr">
        <is>
          <t>Issue and modem-replacement context captured on claim</t>
        </is>
      </c>
      <c r="E107" s="82" t="n"/>
      <c r="F107" s="71" t="n"/>
    </row>
    <row r="108" ht="28" customHeight="1">
      <c r="B108" s="83" t="inlineStr">
        <is>
          <t>Troubleshooting performed is documented</t>
        </is>
      </c>
      <c r="C108" s="9" t="inlineStr">
        <is>
          <t>Met</t>
        </is>
      </c>
      <c r="D108" s="83" t="inlineStr">
        <is>
          <t>Session note: speeds, 4 child nodes, RSSI per node, overlap node, declined sequence reboot</t>
        </is>
      </c>
      <c r="E108" s="82" t="n"/>
      <c r="F108" s="71" t="n"/>
    </row>
    <row r="109" ht="28" customHeight="1">
      <c r="B109" s="81" t="inlineStr">
        <is>
          <t>Key findings / discoveries noted</t>
        </is>
      </c>
      <c r="C109" s="9" t="inlineStr">
        <is>
          <t>Met</t>
        </is>
      </c>
      <c r="D109" s="81" t="inlineStr">
        <is>
          <t>Key findings recorded incl. 16267 overlap at -18 dBm</t>
        </is>
      </c>
      <c r="E109" s="82" t="n"/>
      <c r="F109" s="71" t="n"/>
    </row>
    <row r="110" ht="28" customHeight="1">
      <c r="B110" s="83" t="inlineStr">
        <is>
          <t>Agent reasoning is captured</t>
        </is>
      </c>
      <c r="C110" s="9" t="inlineStr">
        <is>
          <t>Partial</t>
        </is>
      </c>
      <c r="D110" s="83" t="inlineStr">
        <is>
          <t>Why RESOLVED was chosen is nowhere — investigation: 'no private note indicating the reason for closing the unresolved case'</t>
        </is>
      </c>
      <c r="E110" s="82" t="n"/>
      <c r="F110" s="71" t="n"/>
    </row>
    <row r="111" ht="28" customHeight="1">
      <c r="B111" s="81" t="inlineStr">
        <is>
          <t>Escalation justification included — mark N.A. if no escalation</t>
        </is>
      </c>
      <c r="C111" s="9" t="inlineStr">
        <is>
          <t>Missed</t>
        </is>
      </c>
      <c r="D111" s="81" t="inlineStr">
        <is>
          <t>Customer's management/legal request never documented as an escalation item</t>
        </is>
      </c>
      <c r="E111" s="82" t="n"/>
      <c r="F111" s="71" t="n"/>
    </row>
    <row r="112" ht="28" customHeight="1">
      <c r="B112" s="83" t="inlineStr">
        <is>
          <t>Next steps and follow-up actions listed (incl. callback records)</t>
        </is>
      </c>
      <c r="C112" s="9" t="inlineStr">
        <is>
          <t>Partial</t>
        </is>
      </c>
      <c r="D112" s="83" t="inlineStr">
        <is>
          <t>Callback agreement noted; post-miss plan vague ('reply with preferred date/time')</t>
        </is>
      </c>
      <c r="E112" s="82" t="n"/>
      <c r="F112" s="71" t="n"/>
    </row>
    <row r="113" ht="28" customHeight="1">
      <c r="B113" s="81" t="inlineStr">
        <is>
          <t>Ticket status accurately reflects case state (no premature RESOLVED; closure reason documented)</t>
        </is>
      </c>
      <c r="C113" s="9" t="inlineStr">
        <is>
          <t>Missed</t>
        </is>
      </c>
      <c r="D113" s="81" t="inlineStr">
        <is>
          <t>RESOLVED set May 19 on a known-unresolved case — 5th premature closure on this ticket; NTE requested by investigation</t>
        </is>
      </c>
      <c r="E113" s="82" t="n"/>
      <c r="F113" s="71" t="n"/>
    </row>
    <row r="114" ht="28" customHeight="1">
      <c r="B114" s="85" t="inlineStr">
        <is>
          <t>⚠ Documentation supports outcomes but should not outweigh troubleshooting quality, communication, or ownership. Notes must carry the FULL history — including pre-ticket contacts — so no agent treats a long-running case as new.</t>
        </is>
      </c>
      <c r="C114" s="82" t="n"/>
      <c r="D114" s="82" t="n"/>
      <c r="E114" s="82" t="n"/>
      <c r="F114" s="71" t="n"/>
    </row>
    <row r="115">
      <c r="B115" s="11" t="inlineStr">
        <is>
          <t>Suggested score (auto from indicators — advisory only; evaluator judgment prevails)</t>
        </is>
      </c>
      <c r="C115" s="12">
        <f>IF((COUNTIF(C107:C113,"Met")+COUNTIF(C107:C113,"Partial")+COUNTIF(C107:C113,"Missed"))=0,"",ROUND((COUNTIF(C107:C113,"Met")*5+COUNTIF(C107:C113,"Partial")*2.5)/(COUNTIF(C107:C113,"Met")+COUNTIF(C107:C113,"Partial")+COUNTIF(C107:C113,"Missed")),1))</f>
        <v/>
      </c>
      <c r="D115" s="92" t="n"/>
      <c r="E115" s="82" t="n"/>
      <c r="F115" s="71" t="n"/>
    </row>
    <row r="116" ht="24" customHeight="1">
      <c r="B116" s="13" t="inlineStr">
        <is>
          <t>FINAL CATEGORY SCORE (0–5)</t>
        </is>
      </c>
      <c r="C116" s="14" t="n">
        <v>2</v>
      </c>
      <c r="D116" s="84">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82" t="n"/>
      <c r="F116" s="71" t="n"/>
    </row>
    <row r="117" ht="36" customHeight="1">
      <c r="B117" s="13" t="inlineStr">
        <is>
          <t>Category comments / coaching notes</t>
        </is>
      </c>
      <c r="C117" s="86" t="inlineStr">
        <is>
          <t>Technical notes excellent; closure documentation failed — no reason for RESOLVED, conflicting missed-callback explanations across notes.</t>
        </is>
      </c>
      <c r="D117" s="82" t="n"/>
      <c r="E117" s="82" t="n"/>
      <c r="F117" s="71" t="n"/>
    </row>
    <row r="119">
      <c r="B119" s="96" t="inlineStr">
        <is>
          <t>3 · SCORE SUMMARY</t>
        </is>
      </c>
      <c r="C119" s="90" t="n"/>
      <c r="D119" s="90" t="n"/>
      <c r="E119" s="90" t="n"/>
      <c r="F119" s="74" t="n"/>
    </row>
    <row r="120">
      <c r="B120" s="119" t="inlineStr">
        <is>
          <t>Category</t>
        </is>
      </c>
      <c r="C120" s="119" t="inlineStr">
        <is>
          <t>Weight</t>
        </is>
      </c>
      <c r="D120" s="119" t="inlineStr">
        <is>
          <t>Score (0-5)</t>
        </is>
      </c>
      <c r="E120" s="119" t="inlineStr">
        <is>
          <t>Weighted</t>
        </is>
      </c>
      <c r="F120" s="119" t="inlineStr">
        <is>
          <t>Band</t>
        </is>
      </c>
    </row>
    <row r="121">
      <c r="B121" s="16" t="inlineStr">
        <is>
          <t>Resolution / Progress Toward Resolution</t>
        </is>
      </c>
      <c r="C121" s="17" t="n">
        <v>0.3</v>
      </c>
      <c r="D121" s="18">
        <f>C27</f>
        <v/>
      </c>
      <c r="E121" s="19">
        <f>IF(D121="","",(D121/5)*C121)</f>
        <v/>
      </c>
      <c r="F121" s="20">
        <f>IF(D121="","",IF(D121&gt;=4,"Strong",IF(D121=3,"Developing","Needs Focus")))</f>
        <v/>
      </c>
    </row>
    <row r="122">
      <c r="B122" s="21" t="inlineStr">
        <is>
          <t>Technical Accuracy</t>
        </is>
      </c>
      <c r="C122" s="22" t="n">
        <v>0.2</v>
      </c>
      <c r="D122" s="23">
        <f>C42</f>
        <v/>
      </c>
      <c r="E122" s="24">
        <f>IF(D122="","",(D122/5)*C122)</f>
        <v/>
      </c>
      <c r="F122" s="25">
        <f>IF(D122="","",IF(D122&gt;=4,"Strong",IF(D122=3,"Developing","Needs Focus")))</f>
        <v/>
      </c>
    </row>
    <row r="123">
      <c r="B123" s="16" t="inlineStr">
        <is>
          <t>Communication &amp; Call Control</t>
        </is>
      </c>
      <c r="C123" s="17" t="n">
        <v>0.15</v>
      </c>
      <c r="D123" s="18">
        <f>C58</f>
        <v/>
      </c>
      <c r="E123" s="19">
        <f>IF(D123="","",(D123/5)*C123)</f>
        <v/>
      </c>
      <c r="F123" s="20">
        <f>IF(D123="","",IF(D123&gt;=4,"Strong",IF(D123=3,"Developing","Needs Focus")))</f>
        <v/>
      </c>
    </row>
    <row r="124">
      <c r="B124" s="21" t="inlineStr">
        <is>
          <t>Customer Ownership</t>
        </is>
      </c>
      <c r="C124" s="22" t="n">
        <v>0.15</v>
      </c>
      <c r="D124" s="23">
        <f>C74</f>
        <v/>
      </c>
      <c r="E124" s="24">
        <f>IF(D124="","",(D124/5)*C124)</f>
        <v/>
      </c>
      <c r="F124" s="25">
        <f>IF(D124="","",IF(D124&gt;=4,"Strong",IF(D124=3,"Developing","Needs Focus")))</f>
        <v/>
      </c>
    </row>
    <row r="125">
      <c r="B125" s="16" t="inlineStr">
        <is>
          <t>Escalation Judgment</t>
        </is>
      </c>
      <c r="C125" s="17" t="n">
        <v>0.1</v>
      </c>
      <c r="D125" s="18">
        <f>C87</f>
        <v/>
      </c>
      <c r="E125" s="19">
        <f>IF(D125="","",(D125/5)*C125)</f>
        <v/>
      </c>
      <c r="F125" s="20">
        <f>IF(D125="","",IF(D125&gt;=4,"Strong",IF(D125=3,"Developing","Needs Focus")))</f>
        <v/>
      </c>
    </row>
    <row r="126">
      <c r="B126" s="21" t="inlineStr">
        <is>
          <t>Customer Experience</t>
        </is>
      </c>
      <c r="C126" s="22" t="n">
        <v>0.05</v>
      </c>
      <c r="D126" s="23">
        <f>C101</f>
        <v/>
      </c>
      <c r="E126" s="24">
        <f>IF(D126="","",(D126/5)*C126)</f>
        <v/>
      </c>
      <c r="F126" s="25">
        <f>IF(D126="","",IF(D126&gt;=4,"Strong",IF(D126=3,"Developing","Needs Focus")))</f>
        <v/>
      </c>
    </row>
    <row r="127">
      <c r="B127" s="16" t="inlineStr">
        <is>
          <t>Documentation &amp; Notes</t>
        </is>
      </c>
      <c r="C127" s="17" t="n">
        <v>0.05</v>
      </c>
      <c r="D127" s="18">
        <f>C116</f>
        <v/>
      </c>
      <c r="E127" s="19">
        <f>IF(D127="","",(D127/5)*C127)</f>
        <v/>
      </c>
      <c r="F127" s="20">
        <f>IF(D127="","",IF(D127&gt;=4,"Strong",IF(D127=3,"Developing","Needs Focus")))</f>
        <v/>
      </c>
    </row>
    <row r="128" ht="24" customHeight="1">
      <c r="B128" s="96" t="inlineStr">
        <is>
          <t>WEIGHTED TOTAL SCORE</t>
        </is>
      </c>
      <c r="C128" s="26">
        <f>SUM(C121:C127)</f>
        <v/>
      </c>
      <c r="D128" s="27" t="n"/>
      <c r="E128" s="28">
        <f>SUM(E121:E127)</f>
        <v/>
      </c>
      <c r="F128" s="29">
        <f>IF(E128="","",IF(E128&gt;=0.85,"MEETS / EXCEEDS",IF(E128&gt;=0.7,"DEVELOPING","NEEDS IMPROVEMENT")))</f>
        <v/>
      </c>
    </row>
    <row r="130">
      <c r="B130" s="80" t="inlineStr">
        <is>
          <t>4 · RESOLUTION OUTCOME</t>
        </is>
      </c>
      <c r="C130" s="90" t="n"/>
      <c r="D130" s="90" t="n"/>
      <c r="E130" s="90" t="n"/>
      <c r="F130" s="74" t="n"/>
    </row>
    <row r="131">
      <c r="B131" s="94" t="inlineStr">
        <is>
          <t>Outcome classification</t>
        </is>
      </c>
      <c r="C131" s="97" t="inlineStr">
        <is>
          <t>Ownership Gap</t>
        </is>
      </c>
      <c r="D131" s="82" t="n"/>
      <c r="E131" s="82" t="n"/>
      <c r="F131" s="71" t="n"/>
    </row>
    <row r="132">
      <c r="B132" s="87" t="inlineStr">
        <is>
          <t>Primary positive outcome achieved</t>
        </is>
      </c>
      <c r="C132" s="88" t="inlineStr">
        <is>
          <t>None achieved</t>
        </is>
      </c>
      <c r="D132" s="82" t="n"/>
      <c r="E132" s="82" t="n"/>
      <c r="F132" s="71" t="n"/>
    </row>
    <row r="133" ht="52" customHeight="1">
      <c r="B133" s="94" t="inlineStr">
        <is>
          <t>Justification</t>
        </is>
      </c>
      <c r="C133" s="86" t="inlineStr">
        <is>
          <t>Internet restoration was real progress, but the customer's primary complaint (wireless streaming stability) was never confirmed fixed, the agreed follow-up was missed, the case was closed RESOLVED without a documented reason, and an explicit management/legal escalation request went unactioned. Customer churned to a competitor. The journey's final classification is Ownership Gap — strong technical work undone by ownership and escalation failures.</t>
        </is>
      </c>
      <c r="D133" s="82" t="n"/>
      <c r="E133" s="82" t="n"/>
      <c r="F133" s="71" t="n"/>
    </row>
    <row r="135">
      <c r="B135" s="80" t="inlineStr">
        <is>
          <t>5 · DISCONNECTED CALL FOLLOW-UP</t>
        </is>
      </c>
      <c r="C135" s="90" t="n"/>
      <c r="D135" s="90" t="n"/>
      <c r="E135" s="90" t="n"/>
      <c r="F135" s="74" t="n"/>
    </row>
    <row r="136">
      <c r="B136" s="87" t="inlineStr">
        <is>
          <t>Did the interaction disconnect before completion?</t>
        </is>
      </c>
      <c r="C136" s="9" t="inlineStr">
        <is>
          <t>No</t>
        </is>
      </c>
      <c r="D136" s="85" t="inlineStr">
        <is>
          <t>If Yes, at least one documented follow-up action is required.</t>
        </is>
      </c>
      <c r="E136" s="82" t="n"/>
      <c r="F136" s="71" t="n"/>
    </row>
    <row r="137" ht="30" customHeight="1">
      <c r="B137" s="94" t="inlineStr">
        <is>
          <t>Follow-up action taken</t>
        </is>
      </c>
      <c r="C137" s="88" t="inlineStr">
        <is>
          <t>N.A. — no disconnect</t>
        </is>
      </c>
      <c r="D137" s="71" t="n"/>
      <c r="E137" s="79">
        <f>IF(AND(C136="Yes",OR(C137="None",C137="N.A. — no disconnect")),"⚠ MISSED OWNERSHIP OPPORTUNITY — flag in Customer Ownership and Critical Failures","OK")</f>
        <v/>
      </c>
      <c r="F137" s="71" t="n"/>
    </row>
    <row r="139">
      <c r="B139" s="98" t="inlineStr">
        <is>
          <t>6 · CRITICAL FAILURE CONDITIONS  (any 'Yes' triggers automatic review / coaching / QA failure regardless of score)</t>
        </is>
      </c>
      <c r="C139" s="90" t="n"/>
      <c r="D139" s="90" t="n"/>
      <c r="E139" s="90" t="n"/>
      <c r="F139" s="74" t="n"/>
    </row>
    <row r="140">
      <c r="B140" s="80" t="inlineStr">
        <is>
          <t>Condition</t>
        </is>
      </c>
      <c r="C140" s="119" t="inlineStr">
        <is>
          <t>Present?</t>
        </is>
      </c>
      <c r="D140" s="80" t="inlineStr">
        <is>
          <t>Notes / Evidence</t>
        </is>
      </c>
      <c r="E140" s="90" t="n"/>
      <c r="F140" s="74" t="n"/>
    </row>
    <row r="141" ht="26" customHeight="1">
      <c r="B141" s="81" t="inlineStr">
        <is>
          <t>Harmful or incorrect troubleshooting provided</t>
        </is>
      </c>
      <c r="C141" s="9" t="inlineStr">
        <is>
          <t>No</t>
        </is>
      </c>
      <c r="D141" s="81" t="n"/>
      <c r="E141" s="82" t="n"/>
      <c r="F141" s="71" t="n"/>
    </row>
    <row r="142" ht="26" customHeight="1">
      <c r="B142" s="83" t="inlineStr">
        <is>
          <t>Misrepresented product capabilities</t>
        </is>
      </c>
      <c r="C142" s="9" t="inlineStr">
        <is>
          <t>No</t>
        </is>
      </c>
      <c r="D142" s="83" t="n"/>
      <c r="E142" s="82" t="n"/>
      <c r="F142" s="71" t="n"/>
    </row>
    <row r="143" ht="26" customHeight="1">
      <c r="B143" s="81" t="inlineStr">
        <is>
          <t>Unsupported root-cause claims (e.g., ISP/customer blame w/o evidence)</t>
        </is>
      </c>
      <c r="C143" s="9" t="inlineStr">
        <is>
          <t>No</t>
        </is>
      </c>
      <c r="D143" s="81" t="n"/>
      <c r="E143" s="82" t="n"/>
      <c r="F143" s="71" t="n"/>
    </row>
    <row r="144" ht="26" customHeight="1">
      <c r="B144" s="83" t="inlineStr">
        <is>
          <t>No follow-up after disconnected call</t>
        </is>
      </c>
      <c r="C144" s="9" t="inlineStr">
        <is>
          <t>No</t>
        </is>
      </c>
      <c r="D144" s="83" t="n"/>
      <c r="E144" s="82" t="n"/>
      <c r="F144" s="71" t="n"/>
    </row>
    <row r="145" ht="26" customHeight="1">
      <c r="B145" s="81" t="inlineStr">
        <is>
          <t>Failed to complete a promised action (incl. missed agreed callback window)</t>
        </is>
      </c>
      <c r="C145" s="9" t="inlineStr">
        <is>
          <t>Yes</t>
        </is>
      </c>
      <c r="D145" s="81" t="inlineStr">
        <is>
          <t>Agreed 4-5 PM CT window May 19; calls placed 5:42 &amp; 6:06 PM (42-66 min late). Conflicting explanations in notes.</t>
        </is>
      </c>
      <c r="E145" s="82" t="n"/>
      <c r="F145" s="71" t="n"/>
    </row>
    <row r="146" ht="26" customHeight="1">
      <c r="B146" s="83" t="inlineStr">
        <is>
          <t>Abandoned customer without a path forward</t>
        </is>
      </c>
      <c r="C146" s="9" t="inlineStr">
        <is>
          <t>No</t>
        </is>
      </c>
      <c r="D146" s="83" t="n"/>
      <c r="E146" s="82" t="n"/>
      <c r="F146" s="71" t="n"/>
    </row>
    <row r="147" ht="26" customHeight="1">
      <c r="B147" s="81" t="inlineStr">
        <is>
          <t>Escalated without reasonable troubleshooting / to avoid ownership</t>
        </is>
      </c>
      <c r="C147" s="9" t="inlineStr">
        <is>
          <t>No</t>
        </is>
      </c>
      <c r="D147" s="81" t="n"/>
      <c r="E147" s="82" t="n"/>
      <c r="F147" s="71" t="n"/>
    </row>
    <row r="148" ht="26" customHeight="1">
      <c r="B148" s="83" t="inlineStr">
        <is>
          <t>Unprofessional, rude, or dismissive conduct / policy violation</t>
        </is>
      </c>
      <c r="C148" s="9" t="inlineStr">
        <is>
          <t>No</t>
        </is>
      </c>
      <c r="D148" s="83" t="n"/>
      <c r="E148" s="82" t="n"/>
      <c r="F148" s="71" t="n"/>
    </row>
    <row r="149" ht="26" customHeight="1">
      <c r="B149" s="81" t="inlineStr">
        <is>
          <t>Compliance / security violation (e.g., payment card data spoken or stored in plaintext — PCI DSS)</t>
        </is>
      </c>
      <c r="C149" s="9" t="inlineStr">
        <is>
          <t>No</t>
        </is>
      </c>
      <c r="D149" s="81" t="n"/>
      <c r="E149" s="82" t="n"/>
      <c r="F149" s="71" t="n"/>
    </row>
    <row r="150" ht="26" customHeight="1">
      <c r="B150" s="83" t="inlineStr">
        <is>
          <t>Case marked Resolved while issue known to be unresolved (premature closure / no closure reason)</t>
        </is>
      </c>
      <c r="C150" s="9" t="inlineStr">
        <is>
          <t>Yes</t>
        </is>
      </c>
      <c r="D150" s="83" t="inlineStr">
        <is>
          <t>RESOLVED set May 19 after apology email; no private note with closure reason; survey 3 days later: Resolution Rate = No. 5th premature RESOLVED on this ticket.</t>
        </is>
      </c>
      <c r="E150" s="82" t="n"/>
      <c r="F150" s="71" t="n"/>
    </row>
    <row r="151" ht="26" customHeight="1">
      <c r="B151" s="81" t="inlineStr">
        <is>
          <t>Customer complaint, management-contact, or legal-risk request not escalated</t>
        </is>
      </c>
      <c r="C151" s="9" t="inlineStr">
        <is>
          <t>Yes</t>
        </is>
      </c>
      <c r="D151" s="81" t="inlineStr">
        <is>
          <t>Customer email 3:33 PM May 19 requested management contact and referenced a lawyer; no management/DSAT escalation until PMO intervention May 27.</t>
        </is>
      </c>
      <c r="E151" s="82" t="n"/>
      <c r="F151" s="71" t="n"/>
    </row>
    <row r="152">
      <c r="B152" s="98" t="inlineStr">
        <is>
          <t>CRITICAL FAILURE FLAGGED?</t>
        </is>
      </c>
      <c r="C152" s="93">
        <f>IF(COUNTIF(C141:C151,"Yes")&gt;0,"YES — "&amp;COUNTIF(C141:C151,"Yes")&amp;" condition(s) flagged — automatic review required regardless of weighted score","No critical failures")</f>
        <v/>
      </c>
      <c r="D152" s="90" t="n"/>
      <c r="E152" s="90" t="n"/>
      <c r="F152" s="74" t="n"/>
    </row>
    <row r="154">
      <c r="B154" s="96" t="inlineStr">
        <is>
          <t>7 · COACHING &amp; FEEDBACK  (every review must produce at least one actionable coaching opportunity)</t>
        </is>
      </c>
      <c r="C154" s="90" t="n"/>
      <c r="D154" s="90" t="n"/>
      <c r="E154" s="90" t="n"/>
      <c r="F154" s="74" t="n"/>
    </row>
    <row r="155">
      <c r="B155" s="80" t="inlineStr">
        <is>
          <t>WHAT WENT WELL — behaviors to repeat</t>
        </is>
      </c>
      <c r="C155" s="90" t="n"/>
      <c r="D155" s="90" t="n"/>
      <c r="E155" s="90" t="n"/>
      <c r="F155" s="74" t="n"/>
    </row>
    <row r="156" ht="32" customHeight="1">
      <c r="B156" s="7" t="inlineStr">
        <is>
          <t>1.</t>
        </is>
      </c>
      <c r="C156" s="86" t="inlineStr">
        <is>
          <t>Took over a collapsing case and delivered the journey's decisive technical win: fault isolated away from the ISP to the MX4200 parent node, internet restored, 4 child nodes configured with per-node RSSI documented</t>
        </is>
      </c>
      <c r="D156" s="82" t="n"/>
      <c r="E156" s="82" t="n"/>
      <c r="F156" s="71" t="n"/>
    </row>
    <row r="157" ht="32" customHeight="1">
      <c r="B157" s="7" t="inlineStr">
        <is>
          <t>2.</t>
        </is>
      </c>
      <c r="C157" s="86" t="inlineStr">
        <is>
          <t>End-to-end L2 ownership of the technical work — no bouncing, 3h26m of focused troubleshooting with remote tooling (ZOHO)</t>
        </is>
      </c>
      <c r="D157" s="82" t="n"/>
      <c r="E157" s="82" t="n"/>
      <c r="F157" s="71" t="n"/>
    </row>
    <row r="158" ht="32" customHeight="1">
      <c r="B158" s="7" t="inlineStr">
        <is>
          <t>3.</t>
        </is>
      </c>
      <c r="C158" s="86" t="inlineStr">
        <is>
          <t>Recovery attempts after the miss (2 calls, voicemails, 2 emails with reference number and hotline) show the follow-up instinct exists — the failure was timing and closure, not absence</t>
        </is>
      </c>
      <c r="D158" s="82" t="n"/>
      <c r="E158" s="82" t="n"/>
      <c r="F158" s="71" t="n"/>
    </row>
    <row r="159">
      <c r="B159" s="80" t="inlineStr">
        <is>
          <t>IMPROVEMENT OPPORTUNITIES — behaviors to improve</t>
        </is>
      </c>
      <c r="C159" s="90" t="n"/>
      <c r="D159" s="90" t="n"/>
      <c r="E159" s="90" t="n"/>
      <c r="F159" s="74" t="n"/>
    </row>
    <row r="160" ht="32" customHeight="1">
      <c r="B160" s="7" t="inlineStr">
        <is>
          <t>1.</t>
        </is>
      </c>
      <c r="C160" s="86" t="inlineStr">
        <is>
          <t>Protect or renegotiate callback commitments: the May 19 TC/OM meetings were known before the 4-5 PM window — a 2-minute proactive 'can we move to 6 PM?' email would have prevented the complaint</t>
        </is>
      </c>
      <c r="D160" s="82" t="n"/>
      <c r="E160" s="82" t="n"/>
      <c r="F160" s="71" t="n"/>
    </row>
    <row r="161" ht="32" customHeight="1">
      <c r="B161" s="7" t="inlineStr">
        <is>
          <t>2.</t>
        </is>
      </c>
      <c r="C161" s="86" t="inlineStr">
        <is>
          <t>Never set RESOLVED on a known-unresolved case: use CALLBACK/PENDING and document a closure reason; this ticket's 5th premature closure triggered an NTE</t>
        </is>
      </c>
      <c r="D161" s="82" t="n"/>
      <c r="E161" s="82" t="n"/>
      <c r="F161" s="71" t="n"/>
    </row>
    <row r="162" ht="32" customHeight="1">
      <c r="B162" s="7" t="inlineStr">
        <is>
          <t>3.</t>
        </is>
      </c>
      <c r="C162" s="86" t="inlineStr">
        <is>
          <t>Treat an explicit management request + legal reference from a vulnerable customer as a same-day mandatory escalation, independent of any apology email</t>
        </is>
      </c>
      <c r="D162" s="82" t="n"/>
      <c r="E162" s="82" t="n"/>
      <c r="F162" s="71" t="n"/>
    </row>
    <row r="163">
      <c r="B163" s="80" t="inlineStr">
        <is>
          <t>COACHING RECOMMENDATION — specific actions the agent should apply going forward</t>
        </is>
      </c>
      <c r="C163" s="90" t="n"/>
      <c r="D163" s="90" t="n"/>
      <c r="E163" s="90" t="n"/>
      <c r="F163" s="74" t="n"/>
    </row>
    <row r="164" ht="58" customHeight="1">
      <c r="B164" s="86" t="inlineStr">
        <is>
          <t>SMART (Action Owner: TC Kirby Dona, 48h per investigation): (1) For the next 30 days, every callback commitment goes on the calendar at agreement time, with a proactive renegotiation message sent BEFORE any window that conflicts. (2) Provide NTE clarifying the May 19 RESOLVED status; going forward, closure requires customer confirmation or a documented reason in a private note. (3) Complete complaint-handling refresher: management/legal requests are escalated same-day with a documented handoff.</t>
        </is>
      </c>
      <c r="C164" s="82" t="n"/>
      <c r="D164" s="82" t="n"/>
      <c r="E164" s="82" t="n"/>
      <c r="F164" s="71" t="n"/>
    </row>
    <row r="165">
      <c r="B165" s="80" t="inlineStr">
        <is>
          <t>ORGANIZATIONAL INSIGHTS — training / process / KB / chatbot / tooling / product gaps discovered</t>
        </is>
      </c>
      <c r="C165" s="90" t="n"/>
      <c r="D165" s="90" t="n"/>
      <c r="E165" s="90" t="n"/>
      <c r="F165" s="74" t="n"/>
    </row>
    <row r="166" ht="70" customHeight="1">
      <c r="B166" s="86" t="inlineStr">
        <is>
          <t>(1) Callback management is a systemic failure across L1 and L2 — enforced callback calendaring + contingency script. (2) Reinforce 'Linksys CAT Case Management and Closure Process' (Action: TCs Baynos &amp; Dona) — RESOLVED toggled 5× on this unresolved ticket. (3) Ticket-linking gap: pre-ticket history (TE00124020, Recs 1-6, $30 paid session) invisible to every later agent. (4) PCI: Rec 3 contains card number/CVV/expiry in plaintext — immediate compliance review + PCI-safe payment flow. (5) Vulnerable-customer standard needed (pace, one-step instructions, session-length checkpoints). (6) Product-advice loop: mixed WHW03/MX4200 mesh recommendation for 7,000 sq ft drove 6 purchases without a topology consult.</t>
        </is>
      </c>
      <c r="C166" s="82" t="n"/>
      <c r="D166" s="82" t="n"/>
      <c r="E166" s="82" t="n"/>
      <c r="F166" s="71" t="n"/>
    </row>
    <row r="167">
      <c r="B167" s="80" t="inlineStr">
        <is>
          <t>MULTI-TOUCH / JOURNEY NOTES — handoff quality received &amp; passed, continuity, where the chain stands</t>
        </is>
      </c>
      <c r="C167" s="90" t="n"/>
      <c r="D167" s="90" t="n"/>
      <c r="E167" s="90" t="n"/>
      <c r="F167" s="74" t="n"/>
    </row>
    <row r="168" ht="58" customHeight="1">
      <c r="B168" s="86" t="inlineStr">
        <is>
          <t>Touch 13 of 13. Handoff RECEIVED: adequate from Paolo Ebora (RSSI findings, logs) but burdened by the day's 3-hour callback chaos and 7 weeks of erosion; pre-ticket history missing through no fault of this agent. Handoff PASSED: case closed RESOLVED with no closure note and an unescalated legal-risk complaint — the chain ended here with the customer churning to Eero. See Multi-Touch Guide for the full chain analysis and Case Tracker rows 5-17 for per-touch scores.</t>
        </is>
      </c>
      <c r="C168" s="82" t="n"/>
      <c r="D168" s="82" t="n"/>
      <c r="E168" s="82" t="n"/>
      <c r="F168" s="71" t="n"/>
    </row>
    <row r="169">
      <c r="B169" s="80" t="inlineStr">
        <is>
          <t>FINAL QA ASSESSMENT — customer outcome, support quality, and coaching value</t>
        </is>
      </c>
      <c r="C169" s="90" t="n"/>
      <c r="D169" s="90" t="n"/>
      <c r="E169" s="90" t="n"/>
      <c r="F169" s="74" t="n"/>
    </row>
    <row r="170" ht="58" customHeight="1">
      <c r="B170" s="86" t="inlineStr">
        <is>
          <t>Weighted 52% (Needs Improvement) with 3 critical failures — automatic review applies regardless of score. The paradox of this touch is the coaching value: technically it was the journey's best recovery; the case was lost on ownership basics — a missed window the agent saw coming, a closure that misrepresented case state, and a complaint that demanded escalation. Fix the ownership discipline and this agent is a journey-saver, not a journey-ender.</t>
        </is>
      </c>
      <c r="C170" s="82" t="n"/>
      <c r="D170" s="82" t="n"/>
      <c r="E170" s="82" t="n"/>
      <c r="F170" s="71" t="n"/>
    </row>
  </sheetData>
  <mergeCells count="149">
    <mergeCell ref="B16:F16"/>
    <mergeCell ref="D116:F116"/>
    <mergeCell ref="B25:F25"/>
    <mergeCell ref="D66:F66"/>
    <mergeCell ref="D53:F53"/>
    <mergeCell ref="D47:F47"/>
    <mergeCell ref="E8:F8"/>
    <mergeCell ref="B18:F1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B135:F135"/>
    <mergeCell ref="D57:F57"/>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C156:F156"/>
    <mergeCell ref="E9:F9"/>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conditionalFormatting sqref="C20:C24">
    <cfRule type="cellIs" priority="1" operator="equal" dxfId="2">
      <formula>"Met"</formula>
    </cfRule>
    <cfRule type="cellIs" priority="2" operator="equal" dxfId="1">
      <formula>"Partial"</formula>
    </cfRule>
    <cfRule type="cellIs" priority="3" operator="equal" dxfId="0">
      <formula>"Missed"</formula>
    </cfRule>
  </conditionalFormatting>
  <conditionalFormatting sqref="C27">
    <cfRule type="cellIs" priority="4" operator="lessThanOrEqual" dxfId="0">
      <formula>2</formula>
    </cfRule>
    <cfRule type="cellIs" priority="5" operator="equal" dxfId="1">
      <formula>3</formula>
    </cfRule>
    <cfRule type="cellIs" priority="6" operator="greaterThanOrEqual" dxfId="2">
      <formula>4</formula>
    </cfRule>
  </conditionalFormatting>
  <conditionalFormatting sqref="C33:C39">
    <cfRule type="cellIs" priority="7" operator="equal" dxfId="2">
      <formula>"Met"</formula>
    </cfRule>
    <cfRule type="cellIs" priority="8" operator="equal" dxfId="1">
      <formula>"Partial"</formula>
    </cfRule>
    <cfRule type="cellIs" priority="9" operator="equal" dxfId="0">
      <formula>"Missed"</formula>
    </cfRule>
  </conditionalFormatting>
  <conditionalFormatting sqref="C42">
    <cfRule type="cellIs" priority="10" operator="lessThanOrEqual" dxfId="0">
      <formula>2</formula>
    </cfRule>
    <cfRule type="cellIs" priority="11" operator="equal" dxfId="1">
      <formula>3</formula>
    </cfRule>
    <cfRule type="cellIs" priority="12" operator="greaterThanOrEqual" dxfId="2">
      <formula>4</formula>
    </cfRule>
  </conditionalFormatting>
  <conditionalFormatting sqref="C48:C55">
    <cfRule type="cellIs" priority="13" operator="equal" dxfId="2">
      <formula>"Met"</formula>
    </cfRule>
    <cfRule type="cellIs" priority="14" operator="equal" dxfId="1">
      <formula>"Partial"</formula>
    </cfRule>
    <cfRule type="cellIs" priority="15" operator="equal" dxfId="0">
      <formula>"Missed"</formula>
    </cfRule>
  </conditionalFormatting>
  <conditionalFormatting sqref="C58">
    <cfRule type="cellIs" priority="16" operator="lessThanOrEqual" dxfId="0">
      <formula>2</formula>
    </cfRule>
    <cfRule type="cellIs" priority="17" operator="equal" dxfId="1">
      <formula>3</formula>
    </cfRule>
    <cfRule type="cellIs" priority="18" operator="greaterThanOrEqual" dxfId="2">
      <formula>4</formula>
    </cfRule>
  </conditionalFormatting>
  <conditionalFormatting sqref="C64:C71">
    <cfRule type="cellIs" priority="19" operator="equal" dxfId="2">
      <formula>"Met"</formula>
    </cfRule>
    <cfRule type="cellIs" priority="20" operator="equal" dxfId="1">
      <formula>"Partial"</formula>
    </cfRule>
    <cfRule type="cellIs" priority="21" operator="equal" dxfId="0">
      <formula>"Missed"</formula>
    </cfRule>
  </conditionalFormatting>
  <conditionalFormatting sqref="C74">
    <cfRule type="cellIs" priority="22" operator="lessThanOrEqual" dxfId="0">
      <formula>2</formula>
    </cfRule>
    <cfRule type="cellIs" priority="23" operator="equal" dxfId="1">
      <formula>3</formula>
    </cfRule>
    <cfRule type="cellIs" priority="24" operator="greaterThanOrEqual" dxfId="2">
      <formula>4</formula>
    </cfRule>
  </conditionalFormatting>
  <conditionalFormatting sqref="C80:C84">
    <cfRule type="cellIs" priority="25" operator="equal" dxfId="2">
      <formula>"Met"</formula>
    </cfRule>
    <cfRule type="cellIs" priority="26" operator="equal" dxfId="1">
      <formula>"Partial"</formula>
    </cfRule>
    <cfRule type="cellIs" priority="27" operator="equal" dxfId="0">
      <formula>"Missed"</formula>
    </cfRule>
  </conditionalFormatting>
  <conditionalFormatting sqref="C87">
    <cfRule type="cellIs" priority="28" operator="lessThanOrEqual" dxfId="0">
      <formula>2</formula>
    </cfRule>
    <cfRule type="cellIs" priority="29" operator="equal" dxfId="1">
      <formula>3</formula>
    </cfRule>
    <cfRule type="cellIs" priority="30" operator="greaterThanOrEqual" dxfId="2">
      <formula>4</formula>
    </cfRule>
  </conditionalFormatting>
  <conditionalFormatting sqref="C93:C98">
    <cfRule type="cellIs" priority="31" operator="equal" dxfId="2">
      <formula>"Met"</formula>
    </cfRule>
    <cfRule type="cellIs" priority="32" operator="equal" dxfId="1">
      <formula>"Partial"</formula>
    </cfRule>
    <cfRule type="cellIs" priority="33" operator="equal" dxfId="0">
      <formula>"Missed"</formula>
    </cfRule>
  </conditionalFormatting>
  <conditionalFormatting sqref="C101">
    <cfRule type="cellIs" priority="34" operator="lessThanOrEqual" dxfId="0">
      <formula>2</formula>
    </cfRule>
    <cfRule type="cellIs" priority="35" operator="equal" dxfId="1">
      <formula>3</formula>
    </cfRule>
    <cfRule type="cellIs" priority="36" operator="greaterThanOrEqual" dxfId="2">
      <formula>4</formula>
    </cfRule>
  </conditionalFormatting>
  <conditionalFormatting sqref="C107:C113">
    <cfRule type="cellIs" priority="37" operator="equal" dxfId="2">
      <formula>"Met"</formula>
    </cfRule>
    <cfRule type="cellIs" priority="38" operator="equal" dxfId="1">
      <formula>"Partial"</formula>
    </cfRule>
    <cfRule type="cellIs" priority="39" operator="equal" dxfId="0">
      <formula>"Missed"</formula>
    </cfRule>
  </conditionalFormatting>
  <conditionalFormatting sqref="C116">
    <cfRule type="cellIs" priority="40" operator="lessThanOrEqual" dxfId="0">
      <formula>2</formula>
    </cfRule>
    <cfRule type="cellIs" priority="41" operator="equal" dxfId="1">
      <formula>3</formula>
    </cfRule>
    <cfRule type="cellIs" priority="42" operator="greaterThanOrEqual" dxfId="2">
      <formula>4</formula>
    </cfRule>
  </conditionalFormatting>
  <conditionalFormatting sqref="C141:C151">
    <cfRule type="cellIs" priority="51" operator="equal" dxfId="0">
      <formula>"Yes"</formula>
    </cfRule>
  </conditionalFormatting>
  <conditionalFormatting sqref="C152">
    <cfRule type="expression" priority="53" dxfId="2">
      <formula>NOT(ISNUMBER(SEARCH("YES",C152)))</formula>
    </cfRule>
    <cfRule type="expression" priority="52" dxfId="0">
      <formula>ISNUMBER(SEARCH("YES",C152))</formula>
    </cfRule>
  </conditionalFormatting>
  <conditionalFormatting sqref="E128">
    <cfRule type="cellIs" priority="43" operator="greaterThanOrEqual" dxfId="30">
      <formula>0.85</formula>
    </cfRule>
    <cfRule type="cellIs" priority="44" operator="between" dxfId="29">
      <formula>0.7</formula>
      <formula>0.8499</formula>
    </cfRule>
    <cfRule type="cellIs" priority="45" operator="lessThan" dxfId="28">
      <formula>0.7</formula>
    </cfRule>
  </conditionalFormatting>
  <conditionalFormatting sqref="E137">
    <cfRule type="expression" priority="49" dxfId="0">
      <formula>E137&lt;&gt;"OK"</formula>
    </cfRule>
    <cfRule type="expression" priority="50" dxfId="2">
      <formula>E137="OK"</formula>
    </cfRule>
  </conditionalFormatting>
  <conditionalFormatting sqref="F121:F127">
    <cfRule type="cellIs" priority="46" operator="equal" dxfId="9">
      <formula>"Strong"</formula>
    </cfRule>
    <cfRule type="cellIs" priority="48" operator="equal" dxfId="7">
      <formula>"Needs Focus"</formula>
    </cfRule>
    <cfRule type="cellIs" priority="47" operator="equal" dxfId="8">
      <formula>"Developing"</formula>
    </cfRule>
  </conditionalFormatting>
  <dataValidations count="10">
    <dataValidation sqref="C20 C21 C22 C23 C24 C33 C34 C35 C36 C37 C38 C39 C48 C49 C50 C51 C52 C53 C54 C55 C64 C65 C66 C67 C68 C69 C70 C71 C80 C81 C82 C83 C84 C93 C94 C95 C96 C97 C98 C107 C108 C109 C110 C111 C112 C113" showDropDown="0" showInputMessage="0" showErrorMessage="0" allowBlank="1" type="list">
      <formula1>"Met,Partial,Missed,N.A."</formula1>
    </dataValidation>
    <dataValidation sqref="C27 C42 C58 C74 C87 C101 C116" showDropDown="0" showInputMessage="0" showErrorMessage="1" allowBlank="1" errorTitle="Invalid score" error="Enter a whole number from 0 to 5." type="whole">
      <formula1>0</formula1>
      <formula2>5</formula2>
    </dataValidation>
    <dataValidation sqref="C136 C141 C142 C143 C144 C145 C146 C147 C148 C149 C150 C151 E10" showDropDown="0" showInputMessage="0" showErrorMessage="0" allowBlank="1" type="list">
      <formula1>"No,Yes"</formula1>
    </dataValidation>
    <dataValidation sqref="C8" showDropDown="0" showInputMessage="0" showErrorMessage="0" allowBlank="1" type="list">
      <formula1>"In-Warranty,Out-of-Warranty,Unknown"</formula1>
    </dataValidation>
    <dataValidation sqref="E7" showDropDown="0" showInputMessage="0" showErrorMessage="0" allowBlank="1" type="list">
      <formula1>"Phone,Chat,Email,Social,Other"</formula1>
    </dataValidation>
    <dataValidation sqref="C9" showDropDown="0" showInputMessage="0" showErrorMessage="0" allowBlank="1" type="list">
      <formula1>"Technical Issue,Setup/How-To,RMA/Replacement,Billing/Account,Connectivity,Other"</formula1>
    </dataValidation>
    <dataValidation sqref="E12" showDropDown="0" showInputMessage="0" showErrorMessage="0" allowBlank="1" type="list">
      <formula1>"Within SLA,Breached,N.A."</formula1>
    </dataValidation>
    <dataValidation sqref="C131" showDropDown="0" showInputMessage="0" showErrorMessage="0" allowBlank="1" type="list">
      <formula1>"Successful Resolution,Partial Resolution,Appropriate Escalation,Ownership Gap,Unresolved"</formula1>
    </dataValidation>
    <dataValidation sqref="C132" showDropDown="0" showInputMessage="0" showErrorMessage="0" allowBlank="1" type="list">
      <formula1>_xlfn._LONGTEXT("Issue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sqref="C137" showDropDown="0" showInputMessage="0" showErrorMessage="0" allowBlank="1" type="list">
      <formula1>"Callback attempt,Follow-up email,Private note documenting actions,Documented why follow-up not possible,None,N.A. — no disconnect"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0"/>
  <sheetViews>
    <sheetView showGridLines="0" workbookViewId="0">
      <pane ySplit="4" topLeftCell="A5" activePane="bottomLeft" state="frozen"/>
      <selection pane="bottomLeft" activeCell="A1" sqref="A1"/>
    </sheetView>
  </sheetViews>
  <sheetFormatPr baseColWidth="8" defaultRowHeight="14.5"/>
  <cols>
    <col width="11" customWidth="1" min="1" max="1"/>
    <col width="13" customWidth="1" min="2" max="2"/>
    <col width="18" customWidth="1" min="3" max="3"/>
    <col width="8" customWidth="1" min="4" max="11"/>
    <col width="10" customWidth="1" min="12" max="12"/>
    <col width="13" customWidth="1" min="13" max="13"/>
    <col width="60" customWidth="1" min="14" max="14"/>
    <col width="22" customWidth="1" min="15" max="15"/>
    <col width="14" customWidth="1" min="16" max="16"/>
  </cols>
  <sheetData>
    <row r="1" ht="26" customHeight="1">
      <c r="A1" s="99" t="inlineStr">
        <is>
          <t>CASE TRACKER — Multi-Case &amp; Multi-Touch Log</t>
        </is>
      </c>
      <c r="B1" s="90" t="n"/>
      <c r="C1" s="90" t="n"/>
      <c r="D1" s="90" t="n"/>
      <c r="E1" s="90" t="n"/>
      <c r="F1" s="90" t="n"/>
      <c r="G1" s="90" t="n"/>
      <c r="H1" s="90" t="n"/>
      <c r="I1" s="90" t="n"/>
      <c r="J1" s="90" t="n"/>
      <c r="K1" s="90" t="n"/>
      <c r="L1" s="90" t="n"/>
      <c r="M1" s="90" t="n"/>
      <c r="N1" s="90" t="n"/>
      <c r="O1" s="90" t="n"/>
      <c r="P1" s="74" t="n"/>
    </row>
    <row r="2" ht="16" customHeight="1">
      <c r="A2" s="120" t="inlineStr">
        <is>
          <t>One row per touch. Reuse a Case ID across rows to track a multi-touch journey. Scores 0-5; Weighted % and Result calculate automatically. Pre-loaded: the TE00124020 / TE00127492 journey (see Multi-Touch Guide).</t>
        </is>
      </c>
      <c r="B2" s="90" t="n"/>
      <c r="C2" s="90" t="n"/>
      <c r="D2" s="90" t="n"/>
      <c r="E2" s="90" t="n"/>
      <c r="F2" s="90" t="n"/>
      <c r="G2" s="90" t="n"/>
      <c r="H2" s="90" t="n"/>
      <c r="I2" s="90" t="n"/>
      <c r="J2" s="90" t="n"/>
      <c r="K2" s="90" t="n"/>
      <c r="L2" s="90" t="n"/>
      <c r="M2" s="90" t="n"/>
      <c r="N2" s="90" t="n"/>
      <c r="O2" s="90" t="n"/>
      <c r="P2" s="74" t="n"/>
    </row>
    <row r="3" ht="24" customHeight="1">
      <c r="A3" s="118">
        <f>IF(A56="","  JOURNEY TEAM SCORE  ▸  log touches below, then enter a Case ID + Outcome/Continuity in row 56","  LOADED JOURNEY TEAM SCORE  ▸  "&amp;A56&amp;":  "&amp;TEXT(G56,"0.0%")&amp;"   "&amp;UPPER(H56))</f>
        <v/>
      </c>
      <c r="B3" s="90" t="n"/>
      <c r="C3" s="90" t="n"/>
      <c r="D3" s="90" t="n"/>
      <c r="E3" s="90" t="n"/>
      <c r="F3" s="90" t="n"/>
      <c r="G3" s="90" t="n"/>
      <c r="H3" s="90" t="n"/>
      <c r="I3" s="90" t="n"/>
      <c r="J3" s="90" t="n"/>
      <c r="K3" s="90" t="n"/>
      <c r="L3" s="90" t="n"/>
      <c r="M3" s="90" t="n"/>
      <c r="N3" s="90" t="n"/>
      <c r="O3" s="90" t="n"/>
      <c r="P3" s="74" t="n"/>
    </row>
    <row r="4" ht="30" customHeight="1">
      <c r="A4" s="43" t="inlineStr">
        <is>
          <t>Date</t>
        </is>
      </c>
      <c r="B4" s="43" t="inlineStr">
        <is>
          <t>Case ID</t>
        </is>
      </c>
      <c r="C4" s="43" t="inlineStr">
        <is>
          <t>Agent</t>
        </is>
      </c>
      <c r="D4" s="43" t="inlineStr">
        <is>
          <t>Touch #</t>
        </is>
      </c>
      <c r="E4" s="43" t="inlineStr">
        <is>
          <t>Res 30%</t>
        </is>
      </c>
      <c r="F4" s="43" t="inlineStr">
        <is>
          <t>Tech 20%</t>
        </is>
      </c>
      <c r="G4" s="43" t="inlineStr">
        <is>
          <t>Comm 15%</t>
        </is>
      </c>
      <c r="H4" s="43" t="inlineStr">
        <is>
          <t>Own 15%</t>
        </is>
      </c>
      <c r="I4" s="43" t="inlineStr">
        <is>
          <t>Esc 10%</t>
        </is>
      </c>
      <c r="J4" s="43" t="inlineStr">
        <is>
          <t>CX 5%</t>
        </is>
      </c>
      <c r="K4" s="43" t="inlineStr">
        <is>
          <t>Doc 5%</t>
        </is>
      </c>
      <c r="L4" s="43" t="inlineStr">
        <is>
          <t>Weighted</t>
        </is>
      </c>
      <c r="M4" s="43" t="inlineStr">
        <is>
          <t>Result</t>
        </is>
      </c>
      <c r="N4" s="43" t="inlineStr">
        <is>
          <t>Outcome / Notes</t>
        </is>
      </c>
      <c r="O4" s="69" t="inlineStr">
        <is>
          <t>Contribution Type</t>
        </is>
      </c>
      <c r="P4" s="69" t="inlineStr">
        <is>
          <t>Handoff Quality (0-5)</t>
        </is>
      </c>
    </row>
    <row r="5" ht="40" customHeight="1">
      <c r="A5" s="44" t="n"/>
      <c r="B5" s="44" t="n"/>
      <c r="C5" s="44" t="n"/>
      <c r="D5" s="44" t="n"/>
      <c r="E5" s="44" t="n"/>
      <c r="F5" s="44" t="n"/>
      <c r="G5" s="44" t="n"/>
      <c r="H5" s="44" t="n"/>
      <c r="I5" s="44" t="n"/>
      <c r="J5" s="44" t="n"/>
      <c r="K5" s="44" t="n"/>
      <c r="L5" s="45">
        <f>IF((COUNT(E5)+COUNT(F5)+COUNT(G5)+COUNT(H5)+COUNT(I5)+COUNT(J5)+COUNT(K5))=0,"",IFERROR(E5/5*0.3,0)+IFERROR(F5/5*0.2,0)+IFERROR(G5/5*0.15,0)+IFERROR(H5/5*0.15,0)+IFERROR(I5/5*0.1,0)+IFERROR(J5/5*0.05,0)+IFERROR(K5/5*0.05,0))</f>
        <v/>
      </c>
      <c r="M5" s="20">
        <f>IF(L5="","",IF(L5&gt;=0.85,"Meets/Exceeds",IF(L5&gt;=0.7,"Developing","Needs Improv.")))</f>
        <v/>
      </c>
      <c r="N5" s="81" t="n"/>
      <c r="O5" s="20" t="n"/>
      <c r="P5" s="20" t="n"/>
    </row>
    <row r="6" ht="40" customHeight="1">
      <c r="A6" s="44" t="n"/>
      <c r="B6" s="44" t="n"/>
      <c r="C6" s="44" t="n"/>
      <c r="D6" s="44" t="n"/>
      <c r="E6" s="44" t="n"/>
      <c r="F6" s="44" t="n"/>
      <c r="G6" s="44" t="n"/>
      <c r="H6" s="44" t="n"/>
      <c r="I6" s="44" t="n"/>
      <c r="J6" s="44" t="n"/>
      <c r="K6" s="44" t="n"/>
      <c r="L6" s="46">
        <f>IF((COUNT(E6)+COUNT(F6)+COUNT(G6)+COUNT(H6)+COUNT(I6)+COUNT(J6)+COUNT(K6))=0,"",IFERROR(E6/5*0.3,0)+IFERROR(F6/5*0.2,0)+IFERROR(G6/5*0.15,0)+IFERROR(H6/5*0.15,0)+IFERROR(I6/5*0.1,0)+IFERROR(J6/5*0.05,0)+IFERROR(K6/5*0.05,0))</f>
        <v/>
      </c>
      <c r="M6" s="25">
        <f>IF(L6="","",IF(L6&gt;=0.85,"Meets/Exceeds",IF(L6&gt;=0.7,"Developing","Needs Improv.")))</f>
        <v/>
      </c>
      <c r="N6" s="83" t="n"/>
      <c r="O6" s="25" t="n"/>
      <c r="P6" s="25" t="n"/>
    </row>
    <row r="7" ht="40" customHeight="1">
      <c r="A7" s="44" t="n"/>
      <c r="B7" s="44" t="n"/>
      <c r="C7" s="44" t="n"/>
      <c r="D7" s="44" t="n"/>
      <c r="E7" s="44" t="n"/>
      <c r="F7" s="44" t="n"/>
      <c r="G7" s="44" t="n"/>
      <c r="H7" s="44" t="n"/>
      <c r="I7" s="44" t="n"/>
      <c r="J7" s="44" t="n"/>
      <c r="K7" s="44" t="n"/>
      <c r="L7" s="45">
        <f>IF((COUNT(E7)+COUNT(F7)+COUNT(G7)+COUNT(H7)+COUNT(I7)+COUNT(J7)+COUNT(K7))=0,"",IFERROR(E7/5*0.3,0)+IFERROR(F7/5*0.2,0)+IFERROR(G7/5*0.15,0)+IFERROR(H7/5*0.15,0)+IFERROR(I7/5*0.1,0)+IFERROR(J7/5*0.05,0)+IFERROR(K7/5*0.05,0))</f>
        <v/>
      </c>
      <c r="M7" s="20">
        <f>IF(L7="","",IF(L7&gt;=0.85,"Meets/Exceeds",IF(L7&gt;=0.7,"Developing","Needs Improv.")))</f>
        <v/>
      </c>
      <c r="N7" s="81" t="n"/>
      <c r="O7" s="20" t="n"/>
      <c r="P7" s="20" t="n"/>
    </row>
    <row r="8" ht="40" customHeight="1">
      <c r="A8" s="44" t="n"/>
      <c r="B8" s="44" t="n"/>
      <c r="C8" s="44" t="n"/>
      <c r="D8" s="44" t="n"/>
      <c r="E8" s="44" t="n"/>
      <c r="F8" s="44" t="n"/>
      <c r="G8" s="44" t="n"/>
      <c r="H8" s="44" t="n"/>
      <c r="I8" s="44" t="n"/>
      <c r="J8" s="44" t="n"/>
      <c r="K8" s="44" t="n"/>
      <c r="L8" s="46">
        <f>IF((COUNT(E8)+COUNT(F8)+COUNT(G8)+COUNT(H8)+COUNT(I8)+COUNT(J8)+COUNT(K8))=0,"",IFERROR(E8/5*0.3,0)+IFERROR(F8/5*0.2,0)+IFERROR(G8/5*0.15,0)+IFERROR(H8/5*0.15,0)+IFERROR(I8/5*0.1,0)+IFERROR(J8/5*0.05,0)+IFERROR(K8/5*0.05,0))</f>
        <v/>
      </c>
      <c r="M8" s="25">
        <f>IF(L8="","",IF(L8&gt;=0.85,"Meets/Exceeds",IF(L8&gt;=0.7,"Developing","Needs Improv.")))</f>
        <v/>
      </c>
      <c r="N8" s="83" t="n"/>
      <c r="O8" s="25" t="n"/>
      <c r="P8" s="25" t="n"/>
    </row>
    <row r="9" ht="40" customHeight="1">
      <c r="A9" s="44" t="n"/>
      <c r="B9" s="44" t="n"/>
      <c r="C9" s="44" t="n"/>
      <c r="D9" s="44" t="n"/>
      <c r="E9" s="44" t="n"/>
      <c r="F9" s="44" t="n"/>
      <c r="G9" s="44" t="n"/>
      <c r="H9" s="44" t="n"/>
      <c r="I9" s="44" t="n"/>
      <c r="J9" s="44" t="n"/>
      <c r="K9" s="44" t="n"/>
      <c r="L9" s="45">
        <f>IF((COUNT(E9)+COUNT(F9)+COUNT(G9)+COUNT(H9)+COUNT(I9)+COUNT(J9)+COUNT(K9))=0,"",IFERROR(E9/5*0.3,0)+IFERROR(F9/5*0.2,0)+IFERROR(G9/5*0.15,0)+IFERROR(H9/5*0.15,0)+IFERROR(I9/5*0.1,0)+IFERROR(J9/5*0.05,0)+IFERROR(K9/5*0.05,0))</f>
        <v/>
      </c>
      <c r="M9" s="20">
        <f>IF(L9="","",IF(L9&gt;=0.85,"Meets/Exceeds",IF(L9&gt;=0.7,"Developing","Needs Improv.")))</f>
        <v/>
      </c>
      <c r="N9" s="81" t="n"/>
      <c r="O9" s="20" t="n"/>
      <c r="P9" s="20" t="n"/>
    </row>
    <row r="10" ht="40" customHeight="1">
      <c r="A10" s="44" t="n"/>
      <c r="B10" s="44" t="n"/>
      <c r="C10" s="44" t="n"/>
      <c r="D10" s="44" t="n"/>
      <c r="E10" s="44" t="n"/>
      <c r="F10" s="44" t="n"/>
      <c r="G10" s="44" t="n"/>
      <c r="H10" s="44" t="n"/>
      <c r="I10" s="44" t="n"/>
      <c r="J10" s="44" t="n"/>
      <c r="K10" s="44" t="n"/>
      <c r="L10" s="46">
        <f>IF((COUNT(E10)+COUNT(F10)+COUNT(G10)+COUNT(H10)+COUNT(I10)+COUNT(J10)+COUNT(K10))=0,"",IFERROR(E10/5*0.3,0)+IFERROR(F10/5*0.2,0)+IFERROR(G10/5*0.15,0)+IFERROR(H10/5*0.15,0)+IFERROR(I10/5*0.1,0)+IFERROR(J10/5*0.05,0)+IFERROR(K10/5*0.05,0))</f>
        <v/>
      </c>
      <c r="M10" s="25">
        <f>IF(L10="","",IF(L10&gt;=0.85,"Meets/Exceeds",IF(L10&gt;=0.7,"Developing","Needs Improv.")))</f>
        <v/>
      </c>
      <c r="N10" s="83" t="n"/>
      <c r="O10" s="25" t="n"/>
      <c r="P10" s="25" t="n"/>
    </row>
    <row r="11" ht="40" customHeight="1">
      <c r="A11" s="44" t="n"/>
      <c r="B11" s="44" t="n"/>
      <c r="C11" s="44" t="n"/>
      <c r="D11" s="44" t="n"/>
      <c r="E11" s="44" t="n"/>
      <c r="F11" s="44" t="n"/>
      <c r="G11" s="44" t="n"/>
      <c r="H11" s="44" t="n"/>
      <c r="I11" s="44" t="n"/>
      <c r="J11" s="44" t="n"/>
      <c r="K11" s="44" t="n"/>
      <c r="L11" s="45">
        <f>IF((COUNT(E11)+COUNT(F11)+COUNT(G11)+COUNT(H11)+COUNT(I11)+COUNT(J11)+COUNT(K11))=0,"",IFERROR(E11/5*0.3,0)+IFERROR(F11/5*0.2,0)+IFERROR(G11/5*0.15,0)+IFERROR(H11/5*0.15,0)+IFERROR(I11/5*0.1,0)+IFERROR(J11/5*0.05,0)+IFERROR(K11/5*0.05,0))</f>
        <v/>
      </c>
      <c r="M11" s="20">
        <f>IF(L11="","",IF(L11&gt;=0.85,"Meets/Exceeds",IF(L11&gt;=0.7,"Developing","Needs Improv.")))</f>
        <v/>
      </c>
      <c r="N11" s="81" t="n"/>
      <c r="O11" s="20" t="n"/>
      <c r="P11" s="20" t="n"/>
    </row>
    <row r="12" ht="40" customHeight="1">
      <c r="A12" s="44" t="n"/>
      <c r="B12" s="44" t="n"/>
      <c r="C12" s="44" t="n"/>
      <c r="D12" s="44" t="n"/>
      <c r="E12" s="44" t="n"/>
      <c r="F12" s="44" t="n"/>
      <c r="G12" s="44" t="n"/>
      <c r="H12" s="44" t="n"/>
      <c r="I12" s="44" t="n"/>
      <c r="J12" s="44" t="n"/>
      <c r="K12" s="44" t="n"/>
      <c r="L12" s="46">
        <f>IF((COUNT(E12)+COUNT(F12)+COUNT(G12)+COUNT(H12)+COUNT(I12)+COUNT(J12)+COUNT(K12))=0,"",IFERROR(E12/5*0.3,0)+IFERROR(F12/5*0.2,0)+IFERROR(G12/5*0.15,0)+IFERROR(H12/5*0.15,0)+IFERROR(I12/5*0.1,0)+IFERROR(J12/5*0.05,0)+IFERROR(K12/5*0.05,0))</f>
        <v/>
      </c>
      <c r="M12" s="25">
        <f>IF(L12="","",IF(L12&gt;=0.85,"Meets/Exceeds",IF(L12&gt;=0.7,"Developing","Needs Improv.")))</f>
        <v/>
      </c>
      <c r="N12" s="83" t="n"/>
      <c r="O12" s="25" t="n"/>
      <c r="P12" s="25" t="n"/>
    </row>
    <row r="13" ht="40" customHeight="1">
      <c r="A13" s="44" t="n"/>
      <c r="B13" s="44" t="n"/>
      <c r="C13" s="44" t="n"/>
      <c r="D13" s="44" t="n"/>
      <c r="E13" s="44" t="n"/>
      <c r="F13" s="44" t="n"/>
      <c r="G13" s="44" t="n"/>
      <c r="H13" s="44" t="n"/>
      <c r="I13" s="44" t="n"/>
      <c r="J13" s="44" t="n"/>
      <c r="K13" s="44" t="n"/>
      <c r="L13" s="45">
        <f>IF((COUNT(E13)+COUNT(F13)+COUNT(G13)+COUNT(H13)+COUNT(I13)+COUNT(J13)+COUNT(K13))=0,"",IFERROR(E13/5*0.3,0)+IFERROR(F13/5*0.2,0)+IFERROR(G13/5*0.15,0)+IFERROR(H13/5*0.15,0)+IFERROR(I13/5*0.1,0)+IFERROR(J13/5*0.05,0)+IFERROR(K13/5*0.05,0))</f>
        <v/>
      </c>
      <c r="M13" s="20">
        <f>IF(L13="","",IF(L13&gt;=0.85,"Meets/Exceeds",IF(L13&gt;=0.7,"Developing","Needs Improv.")))</f>
        <v/>
      </c>
      <c r="N13" s="81" t="n"/>
      <c r="O13" s="20" t="n"/>
      <c r="P13" s="20" t="n"/>
    </row>
    <row r="14" ht="40" customHeight="1">
      <c r="A14" s="44" t="n"/>
      <c r="B14" s="44" t="n"/>
      <c r="C14" s="44" t="n"/>
      <c r="D14" s="44" t="n"/>
      <c r="E14" s="44" t="n"/>
      <c r="F14" s="44" t="n"/>
      <c r="G14" s="44" t="n"/>
      <c r="H14" s="44" t="n"/>
      <c r="I14" s="44" t="n"/>
      <c r="J14" s="44" t="n"/>
      <c r="K14" s="44" t="n"/>
      <c r="L14" s="46">
        <f>IF((COUNT(E14)+COUNT(F14)+COUNT(G14)+COUNT(H14)+COUNT(I14)+COUNT(J14)+COUNT(K14))=0,"",IFERROR(E14/5*0.3,0)+IFERROR(F14/5*0.2,0)+IFERROR(G14/5*0.15,0)+IFERROR(H14/5*0.15,0)+IFERROR(I14/5*0.1,0)+IFERROR(J14/5*0.05,0)+IFERROR(K14/5*0.05,0))</f>
        <v/>
      </c>
      <c r="M14" s="25">
        <f>IF(L14="","",IF(L14&gt;=0.85,"Meets/Exceeds",IF(L14&gt;=0.7,"Developing","Needs Improv.")))</f>
        <v/>
      </c>
      <c r="N14" s="83" t="n"/>
      <c r="O14" s="25" t="n"/>
      <c r="P14" s="25" t="n"/>
    </row>
    <row r="15" ht="40" customHeight="1">
      <c r="A15" s="44" t="n"/>
      <c r="B15" s="44" t="n"/>
      <c r="C15" s="44" t="n"/>
      <c r="D15" s="44" t="n"/>
      <c r="E15" s="44" t="n"/>
      <c r="F15" s="44" t="n"/>
      <c r="G15" s="44" t="n"/>
      <c r="H15" s="44" t="n"/>
      <c r="I15" s="44" t="n"/>
      <c r="J15" s="44" t="n"/>
      <c r="K15" s="44" t="n"/>
      <c r="L15" s="45">
        <f>IF((COUNT(E15)+COUNT(F15)+COUNT(G15)+COUNT(H15)+COUNT(I15)+COUNT(J15)+COUNT(K15))=0,"",IFERROR(E15/5*0.3,0)+IFERROR(F15/5*0.2,0)+IFERROR(G15/5*0.15,0)+IFERROR(H15/5*0.15,0)+IFERROR(I15/5*0.1,0)+IFERROR(J15/5*0.05,0)+IFERROR(K15/5*0.05,0))</f>
        <v/>
      </c>
      <c r="M15" s="20">
        <f>IF(L15="","",IF(L15&gt;=0.85,"Meets/Exceeds",IF(L15&gt;=0.7,"Developing","Needs Improv.")))</f>
        <v/>
      </c>
      <c r="N15" s="81" t="n"/>
      <c r="O15" s="20" t="n"/>
      <c r="P15" s="20" t="n"/>
    </row>
    <row r="16" ht="40" customHeight="1">
      <c r="A16" s="44" t="n"/>
      <c r="B16" s="44" t="n"/>
      <c r="C16" s="44" t="n"/>
      <c r="D16" s="44" t="n"/>
      <c r="E16" s="44" t="n"/>
      <c r="F16" s="44" t="n"/>
      <c r="G16" s="44" t="n"/>
      <c r="H16" s="44" t="n"/>
      <c r="I16" s="44" t="n"/>
      <c r="J16" s="44" t="n"/>
      <c r="K16" s="44" t="n"/>
      <c r="L16" s="46">
        <f>IF((COUNT(E16)+COUNT(F16)+COUNT(G16)+COUNT(H16)+COUNT(I16)+COUNT(J16)+COUNT(K16))=0,"",IFERROR(E16/5*0.3,0)+IFERROR(F16/5*0.2,0)+IFERROR(G16/5*0.15,0)+IFERROR(H16/5*0.15,0)+IFERROR(I16/5*0.1,0)+IFERROR(J16/5*0.05,0)+IFERROR(K16/5*0.05,0))</f>
        <v/>
      </c>
      <c r="M16" s="25">
        <f>IF(L16="","",IF(L16&gt;=0.85,"Meets/Exceeds",IF(L16&gt;=0.7,"Developing","Needs Improv.")))</f>
        <v/>
      </c>
      <c r="N16" s="83" t="n"/>
      <c r="O16" s="25" t="n"/>
      <c r="P16" s="25" t="n"/>
    </row>
    <row r="17" ht="40" customHeight="1">
      <c r="A17" s="44" t="n"/>
      <c r="B17" s="44" t="n"/>
      <c r="C17" s="44" t="n"/>
      <c r="D17" s="44" t="n"/>
      <c r="E17" s="44" t="n"/>
      <c r="F17" s="44" t="n"/>
      <c r="G17" s="44" t="n"/>
      <c r="H17" s="44" t="n"/>
      <c r="I17" s="44" t="n"/>
      <c r="J17" s="44" t="n"/>
      <c r="K17" s="44" t="n"/>
      <c r="L17" s="45">
        <f>IF((COUNT(E17)+COUNT(F17)+COUNT(G17)+COUNT(H17)+COUNT(I17)+COUNT(J17)+COUNT(K17))=0,"",IFERROR(E17/5*0.3,0)+IFERROR(F17/5*0.2,0)+IFERROR(G17/5*0.15,0)+IFERROR(H17/5*0.15,0)+IFERROR(I17/5*0.1,0)+IFERROR(J17/5*0.05,0)+IFERROR(K17/5*0.05,0))</f>
        <v/>
      </c>
      <c r="M17" s="20">
        <f>IF(L17="","",IF(L17&gt;=0.85,"Meets/Exceeds",IF(L17&gt;=0.7,"Developing","Needs Improv.")))</f>
        <v/>
      </c>
      <c r="N17" s="81" t="n"/>
      <c r="O17" s="20" t="n"/>
      <c r="P17" s="20" t="n"/>
    </row>
    <row r="18">
      <c r="A18" s="44" t="n"/>
      <c r="B18" s="44" t="n"/>
      <c r="C18" s="44" t="n"/>
      <c r="D18" s="44" t="n"/>
      <c r="E18" s="44" t="n"/>
      <c r="F18" s="44" t="n"/>
      <c r="G18" s="44" t="n"/>
      <c r="H18" s="44" t="n"/>
      <c r="I18" s="44" t="n"/>
      <c r="J18" s="44" t="n"/>
      <c r="K18" s="44" t="n"/>
      <c r="L18" s="46">
        <f>IF((COUNT(E18)+COUNT(F18)+COUNT(G18)+COUNT(H18)+COUNT(I18)+COUNT(J18)+COUNT(K18))=0,"",IFERROR(E18/5*0.3,0)+IFERROR(F18/5*0.2,0)+IFERROR(G18/5*0.15,0)+IFERROR(H18/5*0.15,0)+IFERROR(I18/5*0.1,0)+IFERROR(J18/5*0.05,0)+IFERROR(K18/5*0.05,0))</f>
        <v/>
      </c>
      <c r="M18" s="25">
        <f>IF(L18="","",IF(L18&gt;=0.85,"Meets/Exceeds",IF(L18&gt;=0.7,"Developing","Needs Improv.")))</f>
        <v/>
      </c>
      <c r="N18" s="83" t="n"/>
      <c r="O18" s="25" t="n"/>
      <c r="P18" s="25" t="n"/>
    </row>
    <row r="19">
      <c r="A19" s="44" t="n"/>
      <c r="B19" s="44" t="n"/>
      <c r="C19" s="44" t="n"/>
      <c r="D19" s="44" t="n"/>
      <c r="E19" s="44" t="n"/>
      <c r="F19" s="44" t="n"/>
      <c r="G19" s="44" t="n"/>
      <c r="H19" s="44" t="n"/>
      <c r="I19" s="44" t="n"/>
      <c r="J19" s="44" t="n"/>
      <c r="K19" s="44" t="n"/>
      <c r="L19" s="45">
        <f>IF((COUNT(E19)+COUNT(F19)+COUNT(G19)+COUNT(H19)+COUNT(I19)+COUNT(J19)+COUNT(K19))=0,"",IFERROR(E19/5*0.3,0)+IFERROR(F19/5*0.2,0)+IFERROR(G19/5*0.15,0)+IFERROR(H19/5*0.15,0)+IFERROR(I19/5*0.1,0)+IFERROR(J19/5*0.05,0)+IFERROR(K19/5*0.05,0))</f>
        <v/>
      </c>
      <c r="M19" s="20">
        <f>IF(L19="","",IF(L19&gt;=0.85,"Meets/Exceeds",IF(L19&gt;=0.7,"Developing","Needs Improv.")))</f>
        <v/>
      </c>
      <c r="N19" s="81" t="n"/>
      <c r="O19" s="20" t="n"/>
      <c r="P19" s="20" t="n"/>
    </row>
    <row r="20">
      <c r="A20" s="44" t="n"/>
      <c r="B20" s="44" t="n"/>
      <c r="C20" s="44" t="n"/>
      <c r="D20" s="44" t="n"/>
      <c r="E20" s="44" t="n"/>
      <c r="F20" s="44" t="n"/>
      <c r="G20" s="44" t="n"/>
      <c r="H20" s="44" t="n"/>
      <c r="I20" s="44" t="n"/>
      <c r="J20" s="44" t="n"/>
      <c r="K20" s="44" t="n"/>
      <c r="L20" s="46">
        <f>IF((COUNT(E20)+COUNT(F20)+COUNT(G20)+COUNT(H20)+COUNT(I20)+COUNT(J20)+COUNT(K20))=0,"",IFERROR(E20/5*0.3,0)+IFERROR(F20/5*0.2,0)+IFERROR(G20/5*0.15,0)+IFERROR(H20/5*0.15,0)+IFERROR(I20/5*0.1,0)+IFERROR(J20/5*0.05,0)+IFERROR(K20/5*0.05,0))</f>
        <v/>
      </c>
      <c r="M20" s="25">
        <f>IF(L20="","",IF(L20&gt;=0.85,"Meets/Exceeds",IF(L20&gt;=0.7,"Developing","Needs Improv.")))</f>
        <v/>
      </c>
      <c r="N20" s="83" t="n"/>
      <c r="O20" s="25" t="n"/>
      <c r="P20" s="25" t="n"/>
    </row>
    <row r="21">
      <c r="A21" s="44" t="n"/>
      <c r="B21" s="44" t="n"/>
      <c r="C21" s="44" t="n"/>
      <c r="D21" s="44" t="n"/>
      <c r="E21" s="44" t="n"/>
      <c r="F21" s="44" t="n"/>
      <c r="G21" s="44" t="n"/>
      <c r="H21" s="44" t="n"/>
      <c r="I21" s="44" t="n"/>
      <c r="J21" s="44" t="n"/>
      <c r="K21" s="44" t="n"/>
      <c r="L21" s="45">
        <f>IF((COUNT(E21)+COUNT(F21)+COUNT(G21)+COUNT(H21)+COUNT(I21)+COUNT(J21)+COUNT(K21))=0,"",IFERROR(E21/5*0.3,0)+IFERROR(F21/5*0.2,0)+IFERROR(G21/5*0.15,0)+IFERROR(H21/5*0.15,0)+IFERROR(I21/5*0.1,0)+IFERROR(J21/5*0.05,0)+IFERROR(K21/5*0.05,0))</f>
        <v/>
      </c>
      <c r="M21" s="20">
        <f>IF(L21="","",IF(L21&gt;=0.85,"Meets/Exceeds",IF(L21&gt;=0.7,"Developing","Needs Improv.")))</f>
        <v/>
      </c>
      <c r="N21" s="81" t="n"/>
      <c r="O21" s="20" t="n"/>
      <c r="P21" s="20" t="n"/>
    </row>
    <row r="22">
      <c r="A22" s="44" t="n"/>
      <c r="B22" s="44" t="n"/>
      <c r="C22" s="44" t="n"/>
      <c r="D22" s="44" t="n"/>
      <c r="E22" s="44" t="n"/>
      <c r="F22" s="44" t="n"/>
      <c r="G22" s="44" t="n"/>
      <c r="H22" s="44" t="n"/>
      <c r="I22" s="44" t="n"/>
      <c r="J22" s="44" t="n"/>
      <c r="K22" s="44" t="n"/>
      <c r="L22" s="46">
        <f>IF((COUNT(E22)+COUNT(F22)+COUNT(G22)+COUNT(H22)+COUNT(I22)+COUNT(J22)+COUNT(K22))=0,"",IFERROR(E22/5*0.3,0)+IFERROR(F22/5*0.2,0)+IFERROR(G22/5*0.15,0)+IFERROR(H22/5*0.15,0)+IFERROR(I22/5*0.1,0)+IFERROR(J22/5*0.05,0)+IFERROR(K22/5*0.05,0))</f>
        <v/>
      </c>
      <c r="M22" s="25">
        <f>IF(L22="","",IF(L22&gt;=0.85,"Meets/Exceeds",IF(L22&gt;=0.7,"Developing","Needs Improv.")))</f>
        <v/>
      </c>
      <c r="N22" s="83" t="n"/>
      <c r="O22" s="25" t="n"/>
      <c r="P22" s="25" t="n"/>
    </row>
    <row r="23">
      <c r="A23" s="44" t="n"/>
      <c r="B23" s="44" t="n"/>
      <c r="C23" s="44" t="n"/>
      <c r="D23" s="44" t="n"/>
      <c r="E23" s="44" t="n"/>
      <c r="F23" s="44" t="n"/>
      <c r="G23" s="44" t="n"/>
      <c r="H23" s="44" t="n"/>
      <c r="I23" s="44" t="n"/>
      <c r="J23" s="44" t="n"/>
      <c r="K23" s="44" t="n"/>
      <c r="L23" s="45">
        <f>IF((COUNT(E23)+COUNT(F23)+COUNT(G23)+COUNT(H23)+COUNT(I23)+COUNT(J23)+COUNT(K23))=0,"",IFERROR(E23/5*0.3,0)+IFERROR(F23/5*0.2,0)+IFERROR(G23/5*0.15,0)+IFERROR(H23/5*0.15,0)+IFERROR(I23/5*0.1,0)+IFERROR(J23/5*0.05,0)+IFERROR(K23/5*0.05,0))</f>
        <v/>
      </c>
      <c r="M23" s="20">
        <f>IF(L23="","",IF(L23&gt;=0.85,"Meets/Exceeds",IF(L23&gt;=0.7,"Developing","Needs Improv.")))</f>
        <v/>
      </c>
      <c r="N23" s="81" t="n"/>
      <c r="O23" s="20" t="n"/>
      <c r="P23" s="20" t="n"/>
    </row>
    <row r="24">
      <c r="A24" s="44" t="n"/>
      <c r="B24" s="44" t="n"/>
      <c r="C24" s="44" t="n"/>
      <c r="D24" s="44" t="n"/>
      <c r="E24" s="44" t="n"/>
      <c r="F24" s="44" t="n"/>
      <c r="G24" s="44" t="n"/>
      <c r="H24" s="44" t="n"/>
      <c r="I24" s="44" t="n"/>
      <c r="J24" s="44" t="n"/>
      <c r="K24" s="44" t="n"/>
      <c r="L24" s="46">
        <f>IF((COUNT(E24)+COUNT(F24)+COUNT(G24)+COUNT(H24)+COUNT(I24)+COUNT(J24)+COUNT(K24))=0,"",IFERROR(E24/5*0.3,0)+IFERROR(F24/5*0.2,0)+IFERROR(G24/5*0.15,0)+IFERROR(H24/5*0.15,0)+IFERROR(I24/5*0.1,0)+IFERROR(J24/5*0.05,0)+IFERROR(K24/5*0.05,0))</f>
        <v/>
      </c>
      <c r="M24" s="25">
        <f>IF(L24="","",IF(L24&gt;=0.85,"Meets/Exceeds",IF(L24&gt;=0.7,"Developing","Needs Improv.")))</f>
        <v/>
      </c>
      <c r="N24" s="83" t="n"/>
      <c r="O24" s="25" t="n"/>
      <c r="P24" s="25" t="n"/>
    </row>
    <row r="25">
      <c r="A25" s="44" t="n"/>
      <c r="B25" s="44" t="n"/>
      <c r="C25" s="44" t="n"/>
      <c r="D25" s="44" t="n"/>
      <c r="E25" s="44" t="n"/>
      <c r="F25" s="44" t="n"/>
      <c r="G25" s="44" t="n"/>
      <c r="H25" s="44" t="n"/>
      <c r="I25" s="44" t="n"/>
      <c r="J25" s="44" t="n"/>
      <c r="K25" s="44" t="n"/>
      <c r="L25" s="45">
        <f>IF((COUNT(E25)+COUNT(F25)+COUNT(G25)+COUNT(H25)+COUNT(I25)+COUNT(J25)+COUNT(K25))=0,"",IFERROR(E25/5*0.3,0)+IFERROR(F25/5*0.2,0)+IFERROR(G25/5*0.15,0)+IFERROR(H25/5*0.15,0)+IFERROR(I25/5*0.1,0)+IFERROR(J25/5*0.05,0)+IFERROR(K25/5*0.05,0))</f>
        <v/>
      </c>
      <c r="M25" s="20">
        <f>IF(L25="","",IF(L25&gt;=0.85,"Meets/Exceeds",IF(L25&gt;=0.7,"Developing","Needs Improv.")))</f>
        <v/>
      </c>
      <c r="N25" s="81" t="n"/>
      <c r="O25" s="20" t="n"/>
      <c r="P25" s="20" t="n"/>
    </row>
    <row r="26">
      <c r="A26" s="44" t="n"/>
      <c r="B26" s="44" t="n"/>
      <c r="C26" s="44" t="n"/>
      <c r="D26" s="44" t="n"/>
      <c r="E26" s="44" t="n"/>
      <c r="F26" s="44" t="n"/>
      <c r="G26" s="44" t="n"/>
      <c r="H26" s="44" t="n"/>
      <c r="I26" s="44" t="n"/>
      <c r="J26" s="44" t="n"/>
      <c r="K26" s="44" t="n"/>
      <c r="L26" s="46">
        <f>IF((COUNT(E26)+COUNT(F26)+COUNT(G26)+COUNT(H26)+COUNT(I26)+COUNT(J26)+COUNT(K26))=0,"",IFERROR(E26/5*0.3,0)+IFERROR(F26/5*0.2,0)+IFERROR(G26/5*0.15,0)+IFERROR(H26/5*0.15,0)+IFERROR(I26/5*0.1,0)+IFERROR(J26/5*0.05,0)+IFERROR(K26/5*0.05,0))</f>
        <v/>
      </c>
      <c r="M26" s="25">
        <f>IF(L26="","",IF(L26&gt;=0.85,"Meets/Exceeds",IF(L26&gt;=0.7,"Developing","Needs Improv.")))</f>
        <v/>
      </c>
      <c r="N26" s="83" t="n"/>
      <c r="O26" s="25" t="n"/>
      <c r="P26" s="25" t="n"/>
    </row>
    <row r="27">
      <c r="A27" s="44" t="n"/>
      <c r="B27" s="44" t="n"/>
      <c r="C27" s="44" t="n"/>
      <c r="D27" s="44" t="n"/>
      <c r="E27" s="44" t="n"/>
      <c r="F27" s="44" t="n"/>
      <c r="G27" s="44" t="n"/>
      <c r="H27" s="44" t="n"/>
      <c r="I27" s="44" t="n"/>
      <c r="J27" s="44" t="n"/>
      <c r="K27" s="44" t="n"/>
      <c r="L27" s="45">
        <f>IF((COUNT(E27)+COUNT(F27)+COUNT(G27)+COUNT(H27)+COUNT(I27)+COUNT(J27)+COUNT(K27))=0,"",IFERROR(E27/5*0.3,0)+IFERROR(F27/5*0.2,0)+IFERROR(G27/5*0.15,0)+IFERROR(H27/5*0.15,0)+IFERROR(I27/5*0.1,0)+IFERROR(J27/5*0.05,0)+IFERROR(K27/5*0.05,0))</f>
        <v/>
      </c>
      <c r="M27" s="20">
        <f>IF(L27="","",IF(L27&gt;=0.85,"Meets/Exceeds",IF(L27&gt;=0.7,"Developing","Needs Improv.")))</f>
        <v/>
      </c>
      <c r="N27" s="81" t="n"/>
      <c r="O27" s="20" t="n"/>
      <c r="P27" s="20" t="n"/>
    </row>
    <row r="28">
      <c r="A28" s="44" t="n"/>
      <c r="B28" s="44" t="n"/>
      <c r="C28" s="44" t="n"/>
      <c r="D28" s="44" t="n"/>
      <c r="E28" s="44" t="n"/>
      <c r="F28" s="44" t="n"/>
      <c r="G28" s="44" t="n"/>
      <c r="H28" s="44" t="n"/>
      <c r="I28" s="44" t="n"/>
      <c r="J28" s="44" t="n"/>
      <c r="K28" s="44" t="n"/>
      <c r="L28" s="46">
        <f>IF((COUNT(E28)+COUNT(F28)+COUNT(G28)+COUNT(H28)+COUNT(I28)+COUNT(J28)+COUNT(K28))=0,"",IFERROR(E28/5*0.3,0)+IFERROR(F28/5*0.2,0)+IFERROR(G28/5*0.15,0)+IFERROR(H28/5*0.15,0)+IFERROR(I28/5*0.1,0)+IFERROR(J28/5*0.05,0)+IFERROR(K28/5*0.05,0))</f>
        <v/>
      </c>
      <c r="M28" s="25">
        <f>IF(L28="","",IF(L28&gt;=0.85,"Meets/Exceeds",IF(L28&gt;=0.7,"Developing","Needs Improv.")))</f>
        <v/>
      </c>
      <c r="N28" s="83" t="n"/>
      <c r="O28" s="25" t="n"/>
      <c r="P28" s="25" t="n"/>
    </row>
    <row r="29">
      <c r="A29" s="44" t="n"/>
      <c r="B29" s="44" t="n"/>
      <c r="C29" s="44" t="n"/>
      <c r="D29" s="44" t="n"/>
      <c r="E29" s="44" t="n"/>
      <c r="F29" s="44" t="n"/>
      <c r="G29" s="44" t="n"/>
      <c r="H29" s="44" t="n"/>
      <c r="I29" s="44" t="n"/>
      <c r="J29" s="44" t="n"/>
      <c r="K29" s="44" t="n"/>
      <c r="L29" s="45">
        <f>IF((COUNT(E29)+COUNT(F29)+COUNT(G29)+COUNT(H29)+COUNT(I29)+COUNT(J29)+COUNT(K29))=0,"",IFERROR(E29/5*0.3,0)+IFERROR(F29/5*0.2,0)+IFERROR(G29/5*0.15,0)+IFERROR(H29/5*0.15,0)+IFERROR(I29/5*0.1,0)+IFERROR(J29/5*0.05,0)+IFERROR(K29/5*0.05,0))</f>
        <v/>
      </c>
      <c r="M29" s="20">
        <f>IF(L29="","",IF(L29&gt;=0.85,"Meets/Exceeds",IF(L29&gt;=0.7,"Developing","Needs Improv.")))</f>
        <v/>
      </c>
      <c r="N29" s="81" t="n"/>
      <c r="O29" s="20" t="n"/>
      <c r="P29" s="20" t="n"/>
    </row>
    <row r="30">
      <c r="A30" s="44" t="n"/>
      <c r="B30" s="44" t="n"/>
      <c r="C30" s="44" t="n"/>
      <c r="D30" s="44" t="n"/>
      <c r="E30" s="44" t="n"/>
      <c r="F30" s="44" t="n"/>
      <c r="G30" s="44" t="n"/>
      <c r="H30" s="44" t="n"/>
      <c r="I30" s="44" t="n"/>
      <c r="J30" s="44" t="n"/>
      <c r="K30" s="44" t="n"/>
      <c r="L30" s="46">
        <f>IF((COUNT(E30)+COUNT(F30)+COUNT(G30)+COUNT(H30)+COUNT(I30)+COUNT(J30)+COUNT(K30))=0,"",IFERROR(E30/5*0.3,0)+IFERROR(F30/5*0.2,0)+IFERROR(G30/5*0.15,0)+IFERROR(H30/5*0.15,0)+IFERROR(I30/5*0.1,0)+IFERROR(J30/5*0.05,0)+IFERROR(K30/5*0.05,0))</f>
        <v/>
      </c>
      <c r="M30" s="25">
        <f>IF(L30="","",IF(L30&gt;=0.85,"Meets/Exceeds",IF(L30&gt;=0.7,"Developing","Needs Improv.")))</f>
        <v/>
      </c>
      <c r="N30" s="83" t="n"/>
      <c r="O30" s="25" t="n"/>
      <c r="P30" s="25" t="n"/>
    </row>
    <row r="31">
      <c r="A31" s="44" t="n"/>
      <c r="B31" s="44" t="n"/>
      <c r="C31" s="44" t="n"/>
      <c r="D31" s="44" t="n"/>
      <c r="E31" s="44" t="n"/>
      <c r="F31" s="44" t="n"/>
      <c r="G31" s="44" t="n"/>
      <c r="H31" s="44" t="n"/>
      <c r="I31" s="44" t="n"/>
      <c r="J31" s="44" t="n"/>
      <c r="K31" s="44" t="n"/>
      <c r="L31" s="45">
        <f>IF((COUNT(E31)+COUNT(F31)+COUNT(G31)+COUNT(H31)+COUNT(I31)+COUNT(J31)+COUNT(K31))=0,"",IFERROR(E31/5*0.3,0)+IFERROR(F31/5*0.2,0)+IFERROR(G31/5*0.15,0)+IFERROR(H31/5*0.15,0)+IFERROR(I31/5*0.1,0)+IFERROR(J31/5*0.05,0)+IFERROR(K31/5*0.05,0))</f>
        <v/>
      </c>
      <c r="M31" s="20">
        <f>IF(L31="","",IF(L31&gt;=0.85,"Meets/Exceeds",IF(L31&gt;=0.7,"Developing","Needs Improv.")))</f>
        <v/>
      </c>
      <c r="N31" s="81" t="n"/>
      <c r="O31" s="20" t="n"/>
      <c r="P31" s="20" t="n"/>
    </row>
    <row r="32">
      <c r="A32" s="44" t="n"/>
      <c r="B32" s="44" t="n"/>
      <c r="C32" s="44" t="n"/>
      <c r="D32" s="44" t="n"/>
      <c r="E32" s="44" t="n"/>
      <c r="F32" s="44" t="n"/>
      <c r="G32" s="44" t="n"/>
      <c r="H32" s="44" t="n"/>
      <c r="I32" s="44" t="n"/>
      <c r="J32" s="44" t="n"/>
      <c r="K32" s="44" t="n"/>
      <c r="L32" s="46">
        <f>IF((COUNT(E32)+COUNT(F32)+COUNT(G32)+COUNT(H32)+COUNT(I32)+COUNT(J32)+COUNT(K32))=0,"",IFERROR(E32/5*0.3,0)+IFERROR(F32/5*0.2,0)+IFERROR(G32/5*0.15,0)+IFERROR(H32/5*0.15,0)+IFERROR(I32/5*0.1,0)+IFERROR(J32/5*0.05,0)+IFERROR(K32/5*0.05,0))</f>
        <v/>
      </c>
      <c r="M32" s="25">
        <f>IF(L32="","",IF(L32&gt;=0.85,"Meets/Exceeds",IF(L32&gt;=0.7,"Developing","Needs Improv.")))</f>
        <v/>
      </c>
      <c r="N32" s="83" t="n"/>
      <c r="O32" s="25" t="n"/>
      <c r="P32" s="25" t="n"/>
    </row>
    <row r="33">
      <c r="A33" s="44" t="n"/>
      <c r="B33" s="44" t="n"/>
      <c r="C33" s="44" t="n"/>
      <c r="D33" s="44" t="n"/>
      <c r="E33" s="44" t="n"/>
      <c r="F33" s="44" t="n"/>
      <c r="G33" s="44" t="n"/>
      <c r="H33" s="44" t="n"/>
      <c r="I33" s="44" t="n"/>
      <c r="J33" s="44" t="n"/>
      <c r="K33" s="44" t="n"/>
      <c r="L33" s="45">
        <f>IF((COUNT(E33)+COUNT(F33)+COUNT(G33)+COUNT(H33)+COUNT(I33)+COUNT(J33)+COUNT(K33))=0,"",IFERROR(E33/5*0.3,0)+IFERROR(F33/5*0.2,0)+IFERROR(G33/5*0.15,0)+IFERROR(H33/5*0.15,0)+IFERROR(I33/5*0.1,0)+IFERROR(J33/5*0.05,0)+IFERROR(K33/5*0.05,0))</f>
        <v/>
      </c>
      <c r="M33" s="20">
        <f>IF(L33="","",IF(L33&gt;=0.85,"Meets/Exceeds",IF(L33&gt;=0.7,"Developing","Needs Improv.")))</f>
        <v/>
      </c>
      <c r="N33" s="81" t="n"/>
      <c r="O33" s="20" t="n"/>
      <c r="P33" s="20" t="n"/>
    </row>
    <row r="34">
      <c r="A34" s="44" t="n"/>
      <c r="B34" s="44" t="n"/>
      <c r="C34" s="44" t="n"/>
      <c r="D34" s="44" t="n"/>
      <c r="E34" s="44" t="n"/>
      <c r="F34" s="44" t="n"/>
      <c r="G34" s="44" t="n"/>
      <c r="H34" s="44" t="n"/>
      <c r="I34" s="44" t="n"/>
      <c r="J34" s="44" t="n"/>
      <c r="K34" s="44" t="n"/>
      <c r="L34" s="46">
        <f>IF((COUNT(E34)+COUNT(F34)+COUNT(G34)+COUNT(H34)+COUNT(I34)+COUNT(J34)+COUNT(K34))=0,"",IFERROR(E34/5*0.3,0)+IFERROR(F34/5*0.2,0)+IFERROR(G34/5*0.15,0)+IFERROR(H34/5*0.15,0)+IFERROR(I34/5*0.1,0)+IFERROR(J34/5*0.05,0)+IFERROR(K34/5*0.05,0))</f>
        <v/>
      </c>
      <c r="M34" s="25">
        <f>IF(L34="","",IF(L34&gt;=0.85,"Meets/Exceeds",IF(L34&gt;=0.7,"Developing","Needs Improv.")))</f>
        <v/>
      </c>
      <c r="N34" s="83" t="n"/>
      <c r="O34" s="25" t="n"/>
      <c r="P34" s="25" t="n"/>
    </row>
    <row r="35">
      <c r="A35" s="44" t="n"/>
      <c r="B35" s="44" t="n"/>
      <c r="C35" s="44" t="n"/>
      <c r="D35" s="44" t="n"/>
      <c r="E35" s="44" t="n"/>
      <c r="F35" s="44" t="n"/>
      <c r="G35" s="44" t="n"/>
      <c r="H35" s="44" t="n"/>
      <c r="I35" s="44" t="n"/>
      <c r="J35" s="44" t="n"/>
      <c r="K35" s="44" t="n"/>
      <c r="L35" s="45">
        <f>IF((COUNT(E35)+COUNT(F35)+COUNT(G35)+COUNT(H35)+COUNT(I35)+COUNT(J35)+COUNT(K35))=0,"",IFERROR(E35/5*0.3,0)+IFERROR(F35/5*0.2,0)+IFERROR(G35/5*0.15,0)+IFERROR(H35/5*0.15,0)+IFERROR(I35/5*0.1,0)+IFERROR(J35/5*0.05,0)+IFERROR(K35/5*0.05,0))</f>
        <v/>
      </c>
      <c r="M35" s="20">
        <f>IF(L35="","",IF(L35&gt;=0.85,"Meets/Exceeds",IF(L35&gt;=0.7,"Developing","Needs Improv.")))</f>
        <v/>
      </c>
      <c r="N35" s="81" t="n"/>
      <c r="O35" s="20" t="n"/>
      <c r="P35" s="20" t="n"/>
    </row>
    <row r="36">
      <c r="A36" s="44" t="n"/>
      <c r="B36" s="44" t="n"/>
      <c r="C36" s="44" t="n"/>
      <c r="D36" s="44" t="n"/>
      <c r="E36" s="44" t="n"/>
      <c r="F36" s="44" t="n"/>
      <c r="G36" s="44" t="n"/>
      <c r="H36" s="44" t="n"/>
      <c r="I36" s="44" t="n"/>
      <c r="J36" s="44" t="n"/>
      <c r="K36" s="44" t="n"/>
      <c r="L36" s="46">
        <f>IF((COUNT(E36)+COUNT(F36)+COUNT(G36)+COUNT(H36)+COUNT(I36)+COUNT(J36)+COUNT(K36))=0,"",IFERROR(E36/5*0.3,0)+IFERROR(F36/5*0.2,0)+IFERROR(G36/5*0.15,0)+IFERROR(H36/5*0.15,0)+IFERROR(I36/5*0.1,0)+IFERROR(J36/5*0.05,0)+IFERROR(K36/5*0.05,0))</f>
        <v/>
      </c>
      <c r="M36" s="25">
        <f>IF(L36="","",IF(L36&gt;=0.85,"Meets/Exceeds",IF(L36&gt;=0.7,"Developing","Needs Improv.")))</f>
        <v/>
      </c>
      <c r="N36" s="83" t="n"/>
      <c r="O36" s="25" t="n"/>
      <c r="P36" s="25" t="n"/>
    </row>
    <row r="37">
      <c r="A37" s="44" t="n"/>
      <c r="B37" s="44" t="n"/>
      <c r="C37" s="44" t="n"/>
      <c r="D37" s="44" t="n"/>
      <c r="E37" s="44" t="n"/>
      <c r="F37" s="44" t="n"/>
      <c r="G37" s="44" t="n"/>
      <c r="H37" s="44" t="n"/>
      <c r="I37" s="44" t="n"/>
      <c r="J37" s="44" t="n"/>
      <c r="K37" s="44" t="n"/>
      <c r="L37" s="45">
        <f>IF((COUNT(E37)+COUNT(F37)+COUNT(G37)+COUNT(H37)+COUNT(I37)+COUNT(J37)+COUNT(K37))=0,"",IFERROR(E37/5*0.3,0)+IFERROR(F37/5*0.2,0)+IFERROR(G37/5*0.15,0)+IFERROR(H37/5*0.15,0)+IFERROR(I37/5*0.1,0)+IFERROR(J37/5*0.05,0)+IFERROR(K37/5*0.05,0))</f>
        <v/>
      </c>
      <c r="M37" s="20">
        <f>IF(L37="","",IF(L37&gt;=0.85,"Meets/Exceeds",IF(L37&gt;=0.7,"Developing","Needs Improv.")))</f>
        <v/>
      </c>
      <c r="N37" s="81" t="n"/>
      <c r="O37" s="20" t="n"/>
      <c r="P37" s="20" t="n"/>
    </row>
    <row r="38">
      <c r="A38" s="44" t="n"/>
      <c r="B38" s="44" t="n"/>
      <c r="C38" s="44" t="n"/>
      <c r="D38" s="44" t="n"/>
      <c r="E38" s="44" t="n"/>
      <c r="F38" s="44" t="n"/>
      <c r="G38" s="44" t="n"/>
      <c r="H38" s="44" t="n"/>
      <c r="I38" s="44" t="n"/>
      <c r="J38" s="44" t="n"/>
      <c r="K38" s="44" t="n"/>
      <c r="L38" s="46">
        <f>IF((COUNT(E38)+COUNT(F38)+COUNT(G38)+COUNT(H38)+COUNT(I38)+COUNT(J38)+COUNT(K38))=0,"",IFERROR(E38/5*0.3,0)+IFERROR(F38/5*0.2,0)+IFERROR(G38/5*0.15,0)+IFERROR(H38/5*0.15,0)+IFERROR(I38/5*0.1,0)+IFERROR(J38/5*0.05,0)+IFERROR(K38/5*0.05,0))</f>
        <v/>
      </c>
      <c r="M38" s="25">
        <f>IF(L38="","",IF(L38&gt;=0.85,"Meets/Exceeds",IF(L38&gt;=0.7,"Developing","Needs Improv.")))</f>
        <v/>
      </c>
      <c r="N38" s="83" t="n"/>
      <c r="O38" s="25" t="n"/>
      <c r="P38" s="25" t="n"/>
    </row>
    <row r="39">
      <c r="A39" s="44" t="n"/>
      <c r="B39" s="44" t="n"/>
      <c r="C39" s="44" t="n"/>
      <c r="D39" s="44" t="n"/>
      <c r="E39" s="44" t="n"/>
      <c r="F39" s="44" t="n"/>
      <c r="G39" s="44" t="n"/>
      <c r="H39" s="44" t="n"/>
      <c r="I39" s="44" t="n"/>
      <c r="J39" s="44" t="n"/>
      <c r="K39" s="44" t="n"/>
      <c r="L39" s="45">
        <f>IF((COUNT(E39)+COUNT(F39)+COUNT(G39)+COUNT(H39)+COUNT(I39)+COUNT(J39)+COUNT(K39))=0,"",IFERROR(E39/5*0.3,0)+IFERROR(F39/5*0.2,0)+IFERROR(G39/5*0.15,0)+IFERROR(H39/5*0.15,0)+IFERROR(I39/5*0.1,0)+IFERROR(J39/5*0.05,0)+IFERROR(K39/5*0.05,0))</f>
        <v/>
      </c>
      <c r="M39" s="20">
        <f>IF(L39="","",IF(L39&gt;=0.85,"Meets/Exceeds",IF(L39&gt;=0.7,"Developing","Needs Improv.")))</f>
        <v/>
      </c>
      <c r="N39" s="81" t="n"/>
      <c r="O39" s="20" t="n"/>
      <c r="P39" s="20" t="n"/>
    </row>
    <row r="40">
      <c r="A40" s="44" t="n"/>
      <c r="B40" s="44" t="n"/>
      <c r="C40" s="44" t="n"/>
      <c r="D40" s="44" t="n"/>
      <c r="E40" s="44" t="n"/>
      <c r="F40" s="44" t="n"/>
      <c r="G40" s="44" t="n"/>
      <c r="H40" s="44" t="n"/>
      <c r="I40" s="44" t="n"/>
      <c r="J40" s="44" t="n"/>
      <c r="K40" s="44" t="n"/>
      <c r="L40" s="46">
        <f>IF((COUNT(E40)+COUNT(F40)+COUNT(G40)+COUNT(H40)+COUNT(I40)+COUNT(J40)+COUNT(K40))=0,"",IFERROR(E40/5*0.3,0)+IFERROR(F40/5*0.2,0)+IFERROR(G40/5*0.15,0)+IFERROR(H40/5*0.15,0)+IFERROR(I40/5*0.1,0)+IFERROR(J40/5*0.05,0)+IFERROR(K40/5*0.05,0))</f>
        <v/>
      </c>
      <c r="M40" s="25">
        <f>IF(L40="","",IF(L40&gt;=0.85,"Meets/Exceeds",IF(L40&gt;=0.7,"Developing","Needs Improv.")))</f>
        <v/>
      </c>
      <c r="N40" s="83" t="n"/>
      <c r="O40" s="25" t="n"/>
      <c r="P40" s="25" t="n"/>
    </row>
    <row r="41">
      <c r="A41" s="44" t="n"/>
      <c r="B41" s="44" t="n"/>
      <c r="C41" s="44" t="n"/>
      <c r="D41" s="44" t="n"/>
      <c r="E41" s="44" t="n"/>
      <c r="F41" s="44" t="n"/>
      <c r="G41" s="44" t="n"/>
      <c r="H41" s="44" t="n"/>
      <c r="I41" s="44" t="n"/>
      <c r="J41" s="44" t="n"/>
      <c r="K41" s="44" t="n"/>
      <c r="L41" s="45">
        <f>IF((COUNT(E41)+COUNT(F41)+COUNT(G41)+COUNT(H41)+COUNT(I41)+COUNT(J41)+COUNT(K41))=0,"",IFERROR(E41/5*0.3,0)+IFERROR(F41/5*0.2,0)+IFERROR(G41/5*0.15,0)+IFERROR(H41/5*0.15,0)+IFERROR(I41/5*0.1,0)+IFERROR(J41/5*0.05,0)+IFERROR(K41/5*0.05,0))</f>
        <v/>
      </c>
      <c r="M41" s="20">
        <f>IF(L41="","",IF(L41&gt;=0.85,"Meets/Exceeds",IF(L41&gt;=0.7,"Developing","Needs Improv.")))</f>
        <v/>
      </c>
      <c r="N41" s="81" t="n"/>
      <c r="O41" s="20" t="n"/>
      <c r="P41" s="20" t="n"/>
    </row>
    <row r="42">
      <c r="A42" s="44" t="n"/>
      <c r="B42" s="44" t="n"/>
      <c r="C42" s="44" t="n"/>
      <c r="D42" s="44" t="n"/>
      <c r="E42" s="44" t="n"/>
      <c r="F42" s="44" t="n"/>
      <c r="G42" s="44" t="n"/>
      <c r="H42" s="44" t="n"/>
      <c r="I42" s="44" t="n"/>
      <c r="J42" s="44" t="n"/>
      <c r="K42" s="44" t="n"/>
      <c r="L42" s="46">
        <f>IF((COUNT(E42)+COUNT(F42)+COUNT(G42)+COUNT(H42)+COUNT(I42)+COUNT(J42)+COUNT(K42))=0,"",IFERROR(E42/5*0.3,0)+IFERROR(F42/5*0.2,0)+IFERROR(G42/5*0.15,0)+IFERROR(H42/5*0.15,0)+IFERROR(I42/5*0.1,0)+IFERROR(J42/5*0.05,0)+IFERROR(K42/5*0.05,0))</f>
        <v/>
      </c>
      <c r="M42" s="25">
        <f>IF(L42="","",IF(L42&gt;=0.85,"Meets/Exceeds",IF(L42&gt;=0.7,"Developing","Needs Improv.")))</f>
        <v/>
      </c>
      <c r="N42" s="83" t="n"/>
      <c r="O42" s="25" t="n"/>
      <c r="P42" s="25" t="n"/>
    </row>
    <row r="43">
      <c r="A43" s="44" t="n"/>
      <c r="B43" s="44" t="n"/>
      <c r="C43" s="44" t="n"/>
      <c r="D43" s="44" t="n"/>
      <c r="E43" s="44" t="n"/>
      <c r="F43" s="44" t="n"/>
      <c r="G43" s="44" t="n"/>
      <c r="H43" s="44" t="n"/>
      <c r="I43" s="44" t="n"/>
      <c r="J43" s="44" t="n"/>
      <c r="K43" s="44" t="n"/>
      <c r="L43" s="45">
        <f>IF((COUNT(E43)+COUNT(F43)+COUNT(G43)+COUNT(H43)+COUNT(I43)+COUNT(J43)+COUNT(K43))=0,"",IFERROR(E43/5*0.3,0)+IFERROR(F43/5*0.2,0)+IFERROR(G43/5*0.15,0)+IFERROR(H43/5*0.15,0)+IFERROR(I43/5*0.1,0)+IFERROR(J43/5*0.05,0)+IFERROR(K43/5*0.05,0))</f>
        <v/>
      </c>
      <c r="M43" s="20">
        <f>IF(L43="","",IF(L43&gt;=0.85,"Meets/Exceeds",IF(L43&gt;=0.7,"Developing","Needs Improv.")))</f>
        <v/>
      </c>
      <c r="N43" s="81" t="n"/>
      <c r="O43" s="20" t="n"/>
      <c r="P43" s="20" t="n"/>
    </row>
    <row r="44">
      <c r="A44" s="44" t="n"/>
      <c r="B44" s="44" t="n"/>
      <c r="C44" s="44" t="n"/>
      <c r="D44" s="44" t="n"/>
      <c r="E44" s="44" t="n"/>
      <c r="F44" s="44" t="n"/>
      <c r="G44" s="44" t="n"/>
      <c r="H44" s="44" t="n"/>
      <c r="I44" s="44" t="n"/>
      <c r="J44" s="44" t="n"/>
      <c r="K44" s="44" t="n"/>
      <c r="L44" s="46">
        <f>IF((COUNT(E44)+COUNT(F44)+COUNT(G44)+COUNT(H44)+COUNT(I44)+COUNT(J44)+COUNT(K44))=0,"",IFERROR(E44/5*0.3,0)+IFERROR(F44/5*0.2,0)+IFERROR(G44/5*0.15,0)+IFERROR(H44/5*0.15,0)+IFERROR(I44/5*0.1,0)+IFERROR(J44/5*0.05,0)+IFERROR(K44/5*0.05,0))</f>
        <v/>
      </c>
      <c r="M44" s="25">
        <f>IF(L44="","",IF(L44&gt;=0.85,"Meets/Exceeds",IF(L44&gt;=0.7,"Developing","Needs Improv.")))</f>
        <v/>
      </c>
      <c r="N44" s="83" t="n"/>
      <c r="O44" s="25" t="n"/>
      <c r="P44" s="25" t="n"/>
    </row>
    <row r="45">
      <c r="A45" s="44" t="n"/>
      <c r="B45" s="44" t="n"/>
      <c r="C45" s="44" t="n"/>
      <c r="D45" s="44" t="n"/>
      <c r="E45" s="44" t="n"/>
      <c r="F45" s="44" t="n"/>
      <c r="G45" s="44" t="n"/>
      <c r="H45" s="44" t="n"/>
      <c r="I45" s="44" t="n"/>
      <c r="J45" s="44" t="n"/>
      <c r="K45" s="44" t="n"/>
      <c r="L45" s="45">
        <f>IF((COUNT(E45)+COUNT(F45)+COUNT(G45)+COUNT(H45)+COUNT(I45)+COUNT(J45)+COUNT(K45))=0,"",IFERROR(E45/5*0.3,0)+IFERROR(F45/5*0.2,0)+IFERROR(G45/5*0.15,0)+IFERROR(H45/5*0.15,0)+IFERROR(I45/5*0.1,0)+IFERROR(J45/5*0.05,0)+IFERROR(K45/5*0.05,0))</f>
        <v/>
      </c>
      <c r="M45" s="20">
        <f>IF(L45="","",IF(L45&gt;=0.85,"Meets/Exceeds",IF(L45&gt;=0.7,"Developing","Needs Improv.")))</f>
        <v/>
      </c>
      <c r="N45" s="81" t="n"/>
      <c r="O45" s="20" t="n"/>
      <c r="P45" s="20" t="n"/>
    </row>
    <row r="46">
      <c r="A46" s="44" t="n"/>
      <c r="B46" s="44" t="n"/>
      <c r="C46" s="44" t="n"/>
      <c r="D46" s="44" t="n"/>
      <c r="E46" s="44" t="n"/>
      <c r="F46" s="44" t="n"/>
      <c r="G46" s="44" t="n"/>
      <c r="H46" s="44" t="n"/>
      <c r="I46" s="44" t="n"/>
      <c r="J46" s="44" t="n"/>
      <c r="K46" s="44" t="n"/>
      <c r="L46" s="46">
        <f>IF((COUNT(E46)+COUNT(F46)+COUNT(G46)+COUNT(H46)+COUNT(I46)+COUNT(J46)+COUNT(K46))=0,"",IFERROR(E46/5*0.3,0)+IFERROR(F46/5*0.2,0)+IFERROR(G46/5*0.15,0)+IFERROR(H46/5*0.15,0)+IFERROR(I46/5*0.1,0)+IFERROR(J46/5*0.05,0)+IFERROR(K46/5*0.05,0))</f>
        <v/>
      </c>
      <c r="M46" s="25">
        <f>IF(L46="","",IF(L46&gt;=0.85,"Meets/Exceeds",IF(L46&gt;=0.7,"Developing","Needs Improv.")))</f>
        <v/>
      </c>
      <c r="N46" s="83" t="n"/>
      <c r="O46" s="25" t="n"/>
      <c r="P46" s="25" t="n"/>
    </row>
    <row r="47">
      <c r="A47" s="44" t="n"/>
      <c r="B47" s="44" t="n"/>
      <c r="C47" s="44" t="n"/>
      <c r="D47" s="44" t="n"/>
      <c r="E47" s="44" t="n"/>
      <c r="F47" s="44" t="n"/>
      <c r="G47" s="44" t="n"/>
      <c r="H47" s="44" t="n"/>
      <c r="I47" s="44" t="n"/>
      <c r="J47" s="44" t="n"/>
      <c r="K47" s="44" t="n"/>
      <c r="L47" s="45">
        <f>IF((COUNT(E47)+COUNT(F47)+COUNT(G47)+COUNT(H47)+COUNT(I47)+COUNT(J47)+COUNT(K47))=0,"",IFERROR(E47/5*0.3,0)+IFERROR(F47/5*0.2,0)+IFERROR(G47/5*0.15,0)+IFERROR(H47/5*0.15,0)+IFERROR(I47/5*0.1,0)+IFERROR(J47/5*0.05,0)+IFERROR(K47/5*0.05,0))</f>
        <v/>
      </c>
      <c r="M47" s="20">
        <f>IF(L47="","",IF(L47&gt;=0.85,"Meets/Exceeds",IF(L47&gt;=0.7,"Developing","Needs Improv.")))</f>
        <v/>
      </c>
      <c r="N47" s="81" t="n"/>
      <c r="O47" s="20" t="n"/>
      <c r="P47" s="20" t="n"/>
    </row>
    <row r="48">
      <c r="A48" s="44" t="n"/>
      <c r="B48" s="44" t="n"/>
      <c r="C48" s="44" t="n"/>
      <c r="D48" s="44" t="n"/>
      <c r="E48" s="44" t="n"/>
      <c r="F48" s="44" t="n"/>
      <c r="G48" s="44" t="n"/>
      <c r="H48" s="44" t="n"/>
      <c r="I48" s="44" t="n"/>
      <c r="J48" s="44" t="n"/>
      <c r="K48" s="44" t="n"/>
      <c r="L48" s="46">
        <f>IF((COUNT(E48)+COUNT(F48)+COUNT(G48)+COUNT(H48)+COUNT(I48)+COUNT(J48)+COUNT(K48))=0,"",IFERROR(E48/5*0.3,0)+IFERROR(F48/5*0.2,0)+IFERROR(G48/5*0.15,0)+IFERROR(H48/5*0.15,0)+IFERROR(I48/5*0.1,0)+IFERROR(J48/5*0.05,0)+IFERROR(K48/5*0.05,0))</f>
        <v/>
      </c>
      <c r="M48" s="25">
        <f>IF(L48="","",IF(L48&gt;=0.85,"Meets/Exceeds",IF(L48&gt;=0.7,"Developing","Needs Improv.")))</f>
        <v/>
      </c>
      <c r="N48" s="83" t="n"/>
      <c r="O48" s="25" t="n"/>
      <c r="P48" s="25" t="n"/>
    </row>
    <row r="49">
      <c r="A49" s="44" t="n"/>
      <c r="B49" s="44" t="n"/>
      <c r="C49" s="44" t="n"/>
      <c r="D49" s="44" t="n"/>
      <c r="E49" s="44" t="n"/>
      <c r="F49" s="44" t="n"/>
      <c r="G49" s="44" t="n"/>
      <c r="H49" s="44" t="n"/>
      <c r="I49" s="44" t="n"/>
      <c r="J49" s="44" t="n"/>
      <c r="K49" s="44" t="n"/>
      <c r="L49" s="45">
        <f>IF((COUNT(E49)+COUNT(F49)+COUNT(G49)+COUNT(H49)+COUNT(I49)+COUNT(J49)+COUNT(K49))=0,"",IFERROR(E49/5*0.3,0)+IFERROR(F49/5*0.2,0)+IFERROR(G49/5*0.15,0)+IFERROR(H49/5*0.15,0)+IFERROR(I49/5*0.1,0)+IFERROR(J49/5*0.05,0)+IFERROR(K49/5*0.05,0))</f>
        <v/>
      </c>
      <c r="M49" s="20">
        <f>IF(L49="","",IF(L49&gt;=0.85,"Meets/Exceeds",IF(L49&gt;=0.7,"Developing","Needs Improv.")))</f>
        <v/>
      </c>
      <c r="N49" s="81" t="n"/>
      <c r="O49" s="20" t="n"/>
      <c r="P49" s="20" t="n"/>
    </row>
    <row r="51" ht="15.5" customHeight="1">
      <c r="A51" s="96" t="inlineStr">
        <is>
          <t>TEAM AVERAGE</t>
        </is>
      </c>
      <c r="B51" s="90" t="n"/>
      <c r="C51" s="90" t="n"/>
      <c r="D51" s="74" t="n"/>
      <c r="E51" s="47">
        <f>IFERROR(AVERAGE(E5:E49),"")</f>
        <v/>
      </c>
      <c r="F51" s="47">
        <f>IFERROR(AVERAGE(F5:F49),"")</f>
        <v/>
      </c>
      <c r="G51" s="47">
        <f>IFERROR(AVERAGE(G5:G49),"")</f>
        <v/>
      </c>
      <c r="H51" s="47">
        <f>IFERROR(AVERAGE(H5:H49),"")</f>
        <v/>
      </c>
      <c r="I51" s="47">
        <f>IFERROR(AVERAGE(I5:I49),"")</f>
        <v/>
      </c>
      <c r="J51" s="47">
        <f>IFERROR(AVERAGE(J5:J49),"")</f>
        <v/>
      </c>
      <c r="K51" s="47">
        <f>IFERROR(AVERAGE(K5:K49),"")</f>
        <v/>
      </c>
      <c r="L51" s="48">
        <f>IFERROR(AVERAGE(L5:L49),"")</f>
        <v/>
      </c>
      <c r="M51" s="27" t="n"/>
      <c r="N51" s="49" t="inlineStr">
        <is>
          <t>Average of logged touches</t>
        </is>
      </c>
    </row>
    <row r="53" ht="22" customHeight="1">
      <c r="A53" s="115" t="inlineStr">
        <is>
          <t>TEAM / JOURNEY SCORES — MULTI-TOUCH CASES</t>
        </is>
      </c>
      <c r="B53" s="90" t="n"/>
      <c r="C53" s="90" t="n"/>
      <c r="D53" s="90" t="n"/>
      <c r="E53" s="90" t="n"/>
      <c r="F53" s="90" t="n"/>
      <c r="G53" s="90" t="n"/>
      <c r="H53" s="90" t="n"/>
      <c r="I53" s="90" t="n"/>
      <c r="J53" s="90" t="n"/>
      <c r="K53" s="90" t="n"/>
      <c r="L53" s="90" t="n"/>
      <c r="M53" s="90" t="n"/>
      <c r="N53" s="90" t="n"/>
      <c r="O53" s="90" t="n"/>
      <c r="P53" s="74" t="n"/>
    </row>
    <row r="54" ht="32" customHeight="1">
      <c r="A54" s="117" t="inlineStr">
        <is>
          <t>Team Score = 50% × average touch weighted score  +  30% × (Journey Outcome ÷ 5)  +  20% × (Continuity &amp; Handoffs ÷ 5).  Outcome and Continuity are evaluator-judged 0-5 — anchors on the Multi-Touch Guide sheet. The Team Score rates the CHAIN; it feeds team coaching and recognition, never individual discipline.</t>
        </is>
      </c>
      <c r="B54" s="90" t="n"/>
      <c r="C54" s="90" t="n"/>
      <c r="D54" s="90" t="n"/>
      <c r="E54" s="90" t="n"/>
      <c r="F54" s="90" t="n"/>
      <c r="G54" s="90" t="n"/>
      <c r="H54" s="90" t="n"/>
      <c r="I54" s="90" t="n"/>
      <c r="J54" s="90" t="n"/>
      <c r="K54" s="90" t="n"/>
      <c r="L54" s="90" t="n"/>
      <c r="M54" s="90" t="n"/>
      <c r="N54" s="90" t="n"/>
      <c r="O54" s="90" t="n"/>
      <c r="P54" s="74" t="n"/>
    </row>
    <row r="55" ht="26" customHeight="1">
      <c r="A55" s="119" t="inlineStr">
        <is>
          <t>Journey / Case ID(s)</t>
        </is>
      </c>
      <c r="B55" s="74" t="n"/>
      <c r="C55" s="119" t="inlineStr">
        <is>
          <t>Touches</t>
        </is>
      </c>
      <c r="D55" s="43" t="inlineStr">
        <is>
          <t>Avg Touch %</t>
        </is>
      </c>
      <c r="E55" s="43" t="inlineStr">
        <is>
          <t>Outcome (0-5)</t>
        </is>
      </c>
      <c r="F55" s="43" t="inlineStr">
        <is>
          <t>Continuity (0-5)</t>
        </is>
      </c>
      <c r="G55" s="43" t="inlineStr">
        <is>
          <t>TEAM SCORE</t>
        </is>
      </c>
      <c r="H55" s="119" t="inlineStr">
        <is>
          <t>Band</t>
        </is>
      </c>
      <c r="I55" s="80" t="inlineStr">
        <is>
          <t>Journey notes (where the chain broke / recovered)</t>
        </is>
      </c>
      <c r="J55" s="90" t="n"/>
      <c r="K55" s="90" t="n"/>
      <c r="L55" s="90" t="n"/>
      <c r="M55" s="90" t="n"/>
      <c r="N55" s="74" t="n"/>
    </row>
    <row r="56" ht="48" customHeight="1">
      <c r="A56" s="116" t="n"/>
      <c r="B56" s="71" t="n"/>
      <c r="C56" s="25">
        <f>IF(A56="","",COUNTIF(B5:B49,A56))</f>
        <v/>
      </c>
      <c r="D56" s="24">
        <f>IF(A56="","",IFERROR(AVERAGEIF(B5:B49,A56,L5:L49),""))</f>
        <v/>
      </c>
      <c r="E56" s="9" t="n"/>
      <c r="F56" s="9" t="n"/>
      <c r="G56" s="51">
        <f>IF(OR(A56="",D56="",E56="",F56=""),"",0.5*D56+0.3*(E56/5)+0.2*(F56/5))</f>
        <v/>
      </c>
      <c r="H56" s="25">
        <f>IF(G56="","",IF(G56&gt;=0.85,"Meets/Exceeds",IF(G56&gt;=0.7,"Developing","Needs Improvement")))</f>
        <v/>
      </c>
      <c r="I56" s="83" t="n"/>
      <c r="J56" s="82" t="n"/>
      <c r="K56" s="82" t="n"/>
      <c r="L56" s="82" t="n"/>
      <c r="M56" s="82" t="n"/>
      <c r="N56" s="71" t="n"/>
    </row>
    <row r="57" ht="28" customHeight="1">
      <c r="A57" s="88" t="n"/>
      <c r="B57" s="71" t="n"/>
      <c r="C57" s="25">
        <f>IF(A57="","",COUNTIF(B5:B49,A57))</f>
        <v/>
      </c>
      <c r="D57" s="24">
        <f>IF(A57="","",IFERROR(AVERAGEIF(B5:B49,A57,L5:L49),""))</f>
        <v/>
      </c>
      <c r="E57" s="9" t="n"/>
      <c r="F57" s="9" t="n"/>
      <c r="G57" s="51">
        <f>IF(OR(A57="",D57="",E57="",F57=""),"",0.5*D57+0.3*(E57/5)+0.2*(F57/5))</f>
        <v/>
      </c>
      <c r="H57" s="25">
        <f>IF(G57="","",IF(G57&gt;=0.85,"Meets/Exceeds",IF(G57&gt;=0.7,"Developing","Needs Improv.")))</f>
        <v/>
      </c>
      <c r="I57" s="86" t="n"/>
      <c r="J57" s="82" t="n"/>
      <c r="K57" s="82" t="n"/>
      <c r="L57" s="82" t="n"/>
      <c r="M57" s="82" t="n"/>
      <c r="N57" s="71" t="n"/>
    </row>
    <row r="58" ht="28" customHeight="1">
      <c r="A58" s="88" t="n"/>
      <c r="B58" s="71" t="n"/>
      <c r="C58" s="20">
        <f>IF(A58="","",COUNTIF(B5:B49,A58))</f>
        <v/>
      </c>
      <c r="D58" s="19">
        <f>IF(A58="","",IFERROR(AVERAGEIF(B5:B49,A58,L5:L49),""))</f>
        <v/>
      </c>
      <c r="E58" s="9" t="n"/>
      <c r="F58" s="9" t="n"/>
      <c r="G58" s="52">
        <f>IF(OR(A58="",D58="",E58="",F58=""),"",0.5*D58+0.3*(E58/5)+0.2*(F58/5))</f>
        <v/>
      </c>
      <c r="H58" s="20">
        <f>IF(G58="","",IF(G58&gt;=0.85,"Meets/Exceeds",IF(G58&gt;=0.7,"Developing","Needs Improv.")))</f>
        <v/>
      </c>
      <c r="I58" s="86" t="n"/>
      <c r="J58" s="82" t="n"/>
      <c r="K58" s="82" t="n"/>
      <c r="L58" s="82" t="n"/>
      <c r="M58" s="82" t="n"/>
      <c r="N58" s="71" t="n"/>
    </row>
    <row r="59" ht="28" customHeight="1">
      <c r="A59" s="88" t="n"/>
      <c r="B59" s="71" t="n"/>
      <c r="C59" s="25">
        <f>IF(A59="","",COUNTIF(B5:B49,A59))</f>
        <v/>
      </c>
      <c r="D59" s="24">
        <f>IF(A59="","",IFERROR(AVERAGEIF(B5:B49,A59,L5:L49),""))</f>
        <v/>
      </c>
      <c r="E59" s="9" t="n"/>
      <c r="F59" s="9" t="n"/>
      <c r="G59" s="51">
        <f>IF(OR(A59="",D59="",E59="",F59=""),"",0.5*D59+0.3*(E59/5)+0.2*(F59/5))</f>
        <v/>
      </c>
      <c r="H59" s="25">
        <f>IF(G59="","",IF(G59&gt;=0.85,"Meets/Exceeds",IF(G59&gt;=0.7,"Developing","Needs Improv.")))</f>
        <v/>
      </c>
      <c r="I59" s="86" t="n"/>
      <c r="J59" s="82" t="n"/>
      <c r="K59" s="82" t="n"/>
      <c r="L59" s="82" t="n"/>
      <c r="M59" s="82" t="n"/>
      <c r="N59" s="71" t="n"/>
    </row>
    <row r="60" ht="28" customHeight="1">
      <c r="A60" s="85" t="inlineStr">
        <is>
          <t>Template rows: type a Case ID in the first column — Touches and Avg Touch % auto-fill from the log above, then judge Outcome and Continuity (0-5). For journeys spanning multiple Case IDs (like the pre-loaded one), enter the Avg Touch % formula over the journey's row range manually.</t>
        </is>
      </c>
      <c r="B60" s="82" t="n"/>
      <c r="C60" s="82" t="n"/>
      <c r="D60" s="82" t="n"/>
      <c r="E60" s="82" t="n"/>
      <c r="F60" s="82" t="n"/>
      <c r="G60" s="82" t="n"/>
      <c r="H60" s="82" t="n"/>
      <c r="I60" s="82" t="n"/>
      <c r="J60" s="82" t="n"/>
      <c r="K60" s="82" t="n"/>
      <c r="L60" s="82" t="n"/>
      <c r="M60" s="82" t="n"/>
      <c r="N60" s="71" t="n"/>
    </row>
  </sheetData>
  <mergeCells count="17">
    <mergeCell ref="I57:N57"/>
    <mergeCell ref="A59:B59"/>
    <mergeCell ref="I55:N55"/>
    <mergeCell ref="I59:N59"/>
    <mergeCell ref="A1:P1"/>
    <mergeCell ref="A57:B57"/>
    <mergeCell ref="A54:P54"/>
    <mergeCell ref="A53:P53"/>
    <mergeCell ref="A60:N60"/>
    <mergeCell ref="I56:N56"/>
    <mergeCell ref="A3:P3"/>
    <mergeCell ref="A51:D51"/>
    <mergeCell ref="A56:B56"/>
    <mergeCell ref="I58:N58"/>
    <mergeCell ref="A58:B58"/>
    <mergeCell ref="A55:B55"/>
    <mergeCell ref="A2:P2"/>
  </mergeCells>
  <conditionalFormatting sqref="A3">
    <cfRule type="cellIs" priority="13" operator="greaterThanOrEqual" dxfId="22">
      <formula>$G$56&gt;=0.85</formula>
    </cfRule>
    <cfRule type="expression" priority="14" dxfId="21">
      <formula>$G$56&gt;=0.85</formula>
    </cfRule>
    <cfRule type="expression" priority="15" dxfId="20">
      <formula>AND($G$56&gt;=0.7,$G$56&lt;0.85)</formula>
    </cfRule>
    <cfRule type="expression" priority="16" dxfId="19">
      <formula>$G$56&lt;0.7</formula>
    </cfRule>
  </conditionalFormatting>
  <conditionalFormatting sqref="G56:G59">
    <cfRule type="cellIs" priority="7" operator="greaterThanOrEqual" dxfId="2">
      <formula>0.85</formula>
    </cfRule>
    <cfRule type="cellIs" priority="8" operator="between" dxfId="1">
      <formula>0.7</formula>
      <formula>0.8499</formula>
    </cfRule>
    <cfRule type="cellIs" priority="9" operator="lessThan" dxfId="0">
      <formula>0.7</formula>
    </cfRule>
  </conditionalFormatting>
  <conditionalFormatting sqref="H56:H59">
    <cfRule type="cellIs" priority="10" operator="equal" dxfId="9">
      <formula>"Meets/Exceeds"</formula>
    </cfRule>
    <cfRule type="cellIs" priority="11" operator="equal" dxfId="8">
      <formula>"Developing"</formula>
    </cfRule>
    <cfRule type="cellIs" priority="12" operator="equal" dxfId="7">
      <formula>"Needs Improv."</formula>
    </cfRule>
  </conditionalFormatting>
  <conditionalFormatting sqref="L5:L49">
    <cfRule type="cellIs" priority="1" operator="greaterThanOrEqual" dxfId="2">
      <formula>0.85</formula>
    </cfRule>
    <cfRule type="cellIs" priority="2" operator="between" dxfId="1">
      <formula>0.7</formula>
      <formula>0.8499</formula>
    </cfRule>
    <cfRule type="cellIs" priority="3" operator="lessThan" dxfId="0">
      <formula>0.7</formula>
    </cfRule>
  </conditionalFormatting>
  <conditionalFormatting sqref="M5:M49">
    <cfRule type="cellIs" priority="4" operator="equal" dxfId="9">
      <formula>"Meets/Exceeds"</formula>
    </cfRule>
    <cfRule type="cellIs" priority="5" operator="equal" dxfId="8">
      <formula>"Developing"</formula>
    </cfRule>
    <cfRule type="cellIs" priority="6" operator="equal" dxfId="7">
      <formula>"Needs Improv."</formula>
    </cfRule>
  </conditionalFormatting>
  <conditionalFormatting sqref="O5:O49">
    <cfRule type="cellIs" priority="17" operator="equal" dxfId="2">
      <formula>"Resolver"</formula>
    </cfRule>
    <cfRule type="cellIs" priority="18" operator="equal" dxfId="2">
      <formula>"Progress Builder"</formula>
    </cfRule>
    <cfRule type="cellIs" priority="19" operator="equal" dxfId="4">
      <formula>"Maintainer"</formula>
    </cfRule>
    <cfRule type="cellIs" priority="20" operator="equal" dxfId="0">
      <formula>"Regression Contributor"</formula>
    </cfRule>
  </conditionalFormatting>
  <conditionalFormatting sqref="P5:P49">
    <cfRule type="cellIs" priority="21" operator="greaterThanOrEqual" dxfId="2">
      <formula>4</formula>
    </cfRule>
    <cfRule type="cellIs" priority="22" operator="between" dxfId="1">
      <formula>2</formula>
      <formula>3</formula>
    </cfRule>
    <cfRule type="cellIs" priority="23" operator="lessThanOrEqual" dxfId="0">
      <formula>1</formula>
    </cfRule>
  </conditionalFormatting>
  <dataValidations count="4">
    <dataValidation sqref="E5:K5 E6:K6 E7:K7 E8:K8 E9:K9 E10:K10 E11:K11 E12:K12 E13:K13 E14:K14 E15:K15 E16:K16 E17:K17 E18:K18 E19:K19 E20:K20 E21:K21 E22:K22 E23:K23 E24:K24 E25:K25 E26:K26 E27:K27 E28:K28 E29:K29 E30:K30 E31:K31 E32:K32 E33:K33 E34:K34 E35:K35 E36:K36 E37:K37 E38:K38 E39:K39 E40:K40 E41:K41 E42:K42 E43:K43 E44:K44 E45:K45 E46:K46 E47:K47 E48:K48 E49:K49" showDropDown="0" showInputMessage="0" showErrorMessage="1" allowBlank="1" errorTitle="Invalid score" error="Enter 0 to 5." type="whole">
      <formula1>0</formula1>
      <formula2>5</formula2>
    </dataValidation>
    <dataValidation sqref="E56:F56 E57:F57 E58:F58 E59:F59" showDropDown="0" showInputMessage="0" showErrorMessage="1" allowBlank="1" errorTitle="Invalid score" error="Enter 0 to 5 (anchors on Multi-Touch Guide)." type="whole">
      <formula1>0</formula1>
      <formula2>5</formula2>
    </dataValidation>
    <dataValidation sqref="O5:O49" showDropDown="0" showInputMessage="0" showErrorMessage="1" allowBlank="1" errorTitle="Invalid type" error="Pick Resolver, Progress Builder, Maintainer, Breaker, or N/A." type="list">
      <formula1>"Resolver,Progress Builder,Maintainer,Regression Contributor,N/A"</formula1>
    </dataValidation>
    <dataValidation sqref="P5:P16 P18:P49" showDropDown="0" showInputMessage="0" showErrorMessage="1" allowBlank="1" errorTitle="Invalid score" error="Enter 0 to 5, or leave blank / type N/A for a final touch with no further handoff." type="whole">
      <formula1>0</formula1>
      <formula2>5</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4.5"/>
  <cols>
    <col width="34" customWidth="1" min="1" max="8"/>
  </cols>
  <sheetData>
    <row r="1">
      <c r="A1" t="inlineStr">
        <is>
          <t>Audit / Review Type</t>
        </is>
      </c>
      <c r="B1" t="inlineStr">
        <is>
          <t>Contact iteration</t>
        </is>
      </c>
      <c r="C1" t="inlineStr">
        <is>
          <t>Resolution status (detailed)</t>
        </is>
      </c>
      <c r="D1" t="inlineStr">
        <is>
          <t>Root-cause domain</t>
        </is>
      </c>
      <c r="E1" t="inlineStr">
        <is>
          <t>Process driver</t>
        </is>
      </c>
      <c r="F1" t="inlineStr">
        <is>
          <t>Product driver</t>
        </is>
      </c>
      <c r="G1" t="inlineStr">
        <is>
          <t>System / tooling driver</t>
        </is>
      </c>
      <c r="J1" t="inlineStr">
        <is>
          <t>Dropdown option source for the Scoring Form (Section 8 + Outcome). Unhide to edit options.</t>
        </is>
      </c>
    </row>
    <row r="2">
      <c r="A2" t="inlineStr">
        <is>
          <t>Random Call</t>
        </is>
      </c>
      <c r="B2" t="inlineStr">
        <is>
          <t>1st about the concern</t>
        </is>
      </c>
      <c r="C2" t="inlineStr">
        <is>
          <t>Resolved</t>
        </is>
      </c>
      <c r="D2" t="inlineStr">
        <is>
          <t>None</t>
        </is>
      </c>
      <c r="E2" t="inlineStr">
        <is>
          <t>None</t>
        </is>
      </c>
      <c r="F2" t="inlineStr">
        <is>
          <t>None</t>
        </is>
      </c>
      <c r="G2" t="inlineStr">
        <is>
          <t>None</t>
        </is>
      </c>
    </row>
    <row r="3">
      <c r="A3" t="inlineStr">
        <is>
          <t>Scheduled / Side-by-side</t>
        </is>
      </c>
      <c r="B3" t="inlineStr">
        <is>
          <t>2nd about the concern</t>
        </is>
      </c>
      <c r="C3" t="inlineStr">
        <is>
          <t>Unresolved (properly isolated)</t>
        </is>
      </c>
      <c r="D3" t="inlineStr">
        <is>
          <t>People</t>
        </is>
      </c>
      <c r="E3" t="inlineStr">
        <is>
          <t>Troubleshooting – Instructions</t>
        </is>
      </c>
      <c r="F3" t="inlineStr">
        <is>
          <t>Performance – Specific IRC</t>
        </is>
      </c>
      <c r="G3" t="inlineStr">
        <is>
          <t>Public – Website</t>
        </is>
      </c>
    </row>
    <row r="4">
      <c r="A4" t="inlineStr">
        <is>
          <t>Calibration</t>
        </is>
      </c>
      <c r="B4" t="inlineStr">
        <is>
          <t>3rd about the concern</t>
        </is>
      </c>
      <c r="C4" t="inlineStr">
        <is>
          <t>Unresolved (with missing steps)</t>
        </is>
      </c>
      <c r="D4" t="inlineStr">
        <is>
          <t>Process</t>
        </is>
      </c>
      <c r="E4" t="inlineStr">
        <is>
          <t>Troubleshooting – Timeline</t>
        </is>
      </c>
      <c r="F4" t="inlineStr">
        <is>
          <t>Performance – Difficult to Install</t>
        </is>
      </c>
      <c r="G4" t="inlineStr">
        <is>
          <t>Public – App/Cloud</t>
        </is>
      </c>
    </row>
    <row r="5">
      <c r="A5" t="inlineStr">
        <is>
          <t>Complaint</t>
        </is>
      </c>
      <c r="B5" t="inlineStr">
        <is>
          <t>More than 3x about the concern</t>
        </is>
      </c>
      <c r="C5" t="inlineStr">
        <is>
          <t>Unresolved (wrong troubleshooting path)</t>
        </is>
      </c>
      <c r="D5" t="inlineStr">
        <is>
          <t>Product</t>
        </is>
      </c>
      <c r="E5" t="inlineStr">
        <is>
          <t>RMA – Logistics</t>
        </is>
      </c>
      <c r="F5" t="inlineStr">
        <is>
          <t>Performance – Defective Device</t>
        </is>
      </c>
      <c r="G5" t="inlineStr">
        <is>
          <t>Public – IVR</t>
        </is>
      </c>
    </row>
    <row r="6">
      <c r="A6" t="inlineStr">
        <is>
          <t>Investigation</t>
        </is>
      </c>
      <c r="C6" t="inlineStr">
        <is>
          <t>Unresolved (declined sales pitch — valid)</t>
        </is>
      </c>
      <c r="D6" t="inlineStr">
        <is>
          <t>System</t>
        </is>
      </c>
      <c r="E6" t="inlineStr">
        <is>
          <t>RMA – Timeline</t>
        </is>
      </c>
      <c r="F6" t="inlineStr">
        <is>
          <t>Performance – Poor Performance</t>
        </is>
      </c>
      <c r="G6" t="inlineStr">
        <is>
          <t>Internal – Salesforce/CRM</t>
        </is>
      </c>
    </row>
    <row r="7">
      <c r="A7" t="inlineStr">
        <is>
          <t>CSAT</t>
        </is>
      </c>
      <c r="C7" t="inlineStr">
        <is>
          <t>Unresolved (declined sales pitch — invalid)</t>
        </is>
      </c>
      <c r="E7" t="inlineStr">
        <is>
          <t>RMA – Terms &amp; Conditions</t>
        </is>
      </c>
      <c r="F7" t="inlineStr">
        <is>
          <t>Design – Aesthetics</t>
        </is>
      </c>
      <c r="G7" t="inlineStr">
        <is>
          <t>Internal – CSC</t>
        </is>
      </c>
    </row>
    <row r="8">
      <c r="A8" t="inlineStr">
        <is>
          <t>DSAT</t>
        </is>
      </c>
      <c r="C8" t="inlineStr">
        <is>
          <t>Unresolved (disconnected / line release)</t>
        </is>
      </c>
      <c r="E8" t="inlineStr">
        <is>
          <t>Refund – Logistics</t>
        </is>
      </c>
      <c r="F8" t="inlineStr">
        <is>
          <t>Design – Compatibility</t>
        </is>
      </c>
      <c r="G8" t="inlineStr">
        <is>
          <t>Internal – Oracle</t>
        </is>
      </c>
    </row>
    <row r="9">
      <c r="A9" t="inlineStr">
        <is>
          <t>FCR</t>
        </is>
      </c>
      <c r="E9" t="inlineStr">
        <is>
          <t>Refund – Timeline</t>
        </is>
      </c>
      <c r="F9" t="inlineStr">
        <is>
          <t>Beyond Product Support Scope</t>
        </is>
      </c>
      <c r="G9" t="inlineStr">
        <is>
          <t>Internal – Agent Portal</t>
        </is>
      </c>
    </row>
    <row r="10">
      <c r="A10" t="inlineStr">
        <is>
          <t>Spot Check</t>
        </is>
      </c>
      <c r="E10" t="inlineStr">
        <is>
          <t>Refund – Terms &amp; Conditions</t>
        </is>
      </c>
      <c r="G10" t="inlineStr">
        <is>
          <t>Internal – SN Look-up</t>
        </is>
      </c>
    </row>
    <row r="11">
      <c r="A11" t="inlineStr">
        <is>
          <t>ARR</t>
        </is>
      </c>
      <c r="E11" t="inlineStr">
        <is>
          <t>Follow-through – Callback</t>
        </is>
      </c>
    </row>
    <row r="12">
      <c r="A12" t="inlineStr">
        <is>
          <t>Bounceback Spot Check</t>
        </is>
      </c>
      <c r="E12" t="inlineStr">
        <is>
          <t>Follow-through – Timeline</t>
        </is>
      </c>
    </row>
    <row r="13">
      <c r="A13" t="inlineStr">
        <is>
          <t>Ghost / Disconnected Contact</t>
        </is>
      </c>
      <c r="E13" t="inlineStr">
        <is>
          <t>Sales – Limited Warranty</t>
        </is>
      </c>
    </row>
    <row r="14">
      <c r="A14" t="inlineStr">
        <is>
          <t>Misdirected Contact</t>
        </is>
      </c>
      <c r="E14" t="inlineStr">
        <is>
          <t>Sales – Charging Process</t>
        </is>
      </c>
    </row>
    <row r="15">
      <c r="A15" t="inlineStr">
        <is>
          <t>Service Offering Spot Check</t>
        </is>
      </c>
      <c r="E15" t="inlineStr">
        <is>
          <t>Beyond Support Scope</t>
        </is>
      </c>
    </row>
    <row r="16">
      <c r="A16" t="inlineStr">
        <is>
          <t>Refunds Spot Check</t>
        </is>
      </c>
    </row>
    <row r="17">
      <c r="A17" t="inlineStr">
        <is>
          <t>Newbie Spot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2026-06-10T01:33:30Z</dcterms:created>
  <dcterms:modified xmlns:dcterms="http://purl.org/dc/terms/" xmlns:xsi="http://www.w3.org/2001/XMLSchema-instance" xsi:type="dcterms:W3CDTF">2026-06-17T05:16:27Z</dcterms:modified>
  <cp:lastModifiedBy>Edmar Padayhag</cp:lastModifiedBy>
</cp:coreProperties>
</file>

<file path=docProps/custom.xml><?xml version="1.0" encoding="utf-8"?>
<Properties xmlns="http://schemas.openxmlformats.org/officeDocument/2006/custom-properties">
  <property name="MSIP_Label_defa4170-0d19-0005-0004-bc88714345d2_Enabled" fmtid="{D5CDD505-2E9C-101B-9397-08002B2CF9AE}" pid="2">
    <vt:lpwstr xmlns:vt="http://schemas.openxmlformats.org/officeDocument/2006/docPropsVTypes">true</vt:lpwstr>
  </property>
  <property name="MSIP_Label_defa4170-0d19-0005-0004-bc88714345d2_SetDate" fmtid="{D5CDD505-2E9C-101B-9397-08002B2CF9AE}" pid="3">
    <vt:lpwstr xmlns:vt="http://schemas.openxmlformats.org/officeDocument/2006/docPropsVTypes">2026-06-16T02:18:33Z</vt:lpwstr>
  </property>
  <property name="MSIP_Label_defa4170-0d19-0005-0004-bc88714345d2_Method" fmtid="{D5CDD505-2E9C-101B-9397-08002B2CF9AE}" pid="4">
    <vt:lpwstr xmlns:vt="http://schemas.openxmlformats.org/officeDocument/2006/docPropsVTypes">Standard</vt:lpwstr>
  </property>
  <property name="MSIP_Label_defa4170-0d19-0005-0004-bc88714345d2_Name" fmtid="{D5CDD505-2E9C-101B-9397-08002B2CF9AE}" pid="5">
    <vt:lpwstr xmlns:vt="http://schemas.openxmlformats.org/officeDocument/2006/docPropsVTypes">defa4170-0d19-0005-0004-bc88714345d2</vt:lpwstr>
  </property>
  <property name="MSIP_Label_defa4170-0d19-0005-0004-bc88714345d2_SiteId" fmtid="{D5CDD505-2E9C-101B-9397-08002B2CF9AE}" pid="6">
    <vt:lpwstr xmlns:vt="http://schemas.openxmlformats.org/officeDocument/2006/docPropsVTypes">ffc6db12-5428-4caf-b237-b8735eda8c6e</vt:lpwstr>
  </property>
  <property name="MSIP_Label_defa4170-0d19-0005-0004-bc88714345d2_ActionId" fmtid="{D5CDD505-2E9C-101B-9397-08002B2CF9AE}" pid="7">
    <vt:lpwstr xmlns:vt="http://schemas.openxmlformats.org/officeDocument/2006/docPropsVTypes">196d2114-528f-41fd-b642-ef853cc98903</vt:lpwstr>
  </property>
  <property name="MSIP_Label_defa4170-0d19-0005-0004-bc88714345d2_ContentBits" fmtid="{D5CDD505-2E9C-101B-9397-08002B2CF9AE}" pid="8">
    <vt:lpwstr xmlns:vt="http://schemas.openxmlformats.org/officeDocument/2006/docPropsVTypes">0</vt:lpwstr>
  </property>
  <property name="MSIP_Label_defa4170-0d19-0005-0004-bc88714345d2_Tag" fmtid="{D5CDD505-2E9C-101B-9397-08002B2CF9AE}" pid="9">
    <vt:lpwstr xmlns:vt="http://schemas.openxmlformats.org/officeDocument/2006/docPropsVTypes">10, 3, 0, 1</vt:lpwstr>
  </property>
</Properties>
</file>