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21">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inlineStr">
        <is>
          <t>Score reflects the cumulative effect of this touch within the 8-month journey: the Nov 24, 2025 hardware/RMA determination remains undelivered, and the case culminates here in executive-level escalation with no path forward offered.</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inlineStr">
        <is>
          <t>Individual diagnostic steps (signal/backhaul check, swap-test proposal) were sound, but the unvalidated reversal of a prior CAT-level conclusion undermines technical credibility.</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 appropriate language, as needed, and confirmed customer understanding</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inlineStr">
        <is>
          <t>The core communication failure is the unacknowledged expectation gap: the customer's RMA expectation from Nov 24 was never reconciled with the renewed troubleshooting requests.</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Commitments made were followed through, and a clear path forward was created for the customer.</t>
        </is>
      </c>
      <c r="C74" s="105" t="n"/>
      <c r="D74" s="147" t="n"/>
      <c r="E74" s="126" t="n"/>
      <c r="F74" s="122" t="n"/>
    </row>
    <row r="75" ht="28" customHeight="1" s="175">
      <c r="B75" s="76" t="n"/>
      <c r="C75" s="105" t="n"/>
      <c r="D75" s="147" t="n"/>
      <c r="E75" s="126" t="n"/>
      <c r="F75" s="122" t="n"/>
    </row>
    <row r="76" ht="28" customHeight="1" s="175">
      <c r="B76" s="106" t="inlineStr">
        <is>
          <t>Clearly set customer expectations for next steps and realistic timelines</t>
        </is>
      </c>
      <c r="C76" s="105" t="n"/>
      <c r="D76" s="143" t="n"/>
      <c r="E76" s="126" t="n"/>
      <c r="F76" s="122" t="n"/>
    </row>
    <row r="77" ht="28" customHeight="1" s="175">
      <c r="B77" s="76" t="inlineStr">
        <is>
          <t>Completed required disconnect follow-up and met callback commitments within the agreed window</t>
        </is>
      </c>
      <c r="C77" s="105" t="n"/>
      <c r="D77" s="147" t="n"/>
      <c r="E77" s="126" t="n"/>
      <c r="F77" s="122" t="n"/>
    </row>
    <row r="78" ht="28" customHeight="1" s="175">
      <c r="B78" s="137" t="inlineStr">
        <is>
          <t>⚠ Automatic deductions: no documented follow-up after disconnect; unclear next steps; passing responsibility without context; failure to complete promised actions; missed or late callbacks without proactive renegotiation.</t>
        </is>
      </c>
      <c r="C78" s="126" t="n"/>
      <c r="D78" s="126" t="n"/>
      <c r="E78" s="126" t="n"/>
      <c r="F78" s="122" t="n"/>
    </row>
    <row r="79" ht="28" customHeight="1" s="175">
      <c r="B79" s="107" t="inlineStr">
        <is>
          <t>Auto score (0–5) from indicator ratings — applies unless overridden</t>
        </is>
      </c>
      <c r="C79" s="108">
        <f>IF((COUNTIF(C73:C77,"Met")+COUNTIF(C73:C77,"Partial")+COUNTIF(C73:C77,"Missed"))=0,"",ROUND((COUNTIF(C73:C77,"Met")*5+COUNTIF(C73:C77,"Partial")*2.5)/(COUNTIF(C73:C77,"Met")+COUNTIF(C73:C77,"Partial")+COUNTIF(C73:C77,"Missed")),0))</f>
        <v/>
      </c>
      <c r="D79" s="146" t="n"/>
      <c r="E79" s="126" t="n"/>
      <c r="F79" s="122" t="n"/>
    </row>
    <row r="80" ht="24" customHeight="1" s="175">
      <c r="B80" s="79" t="inlineStr">
        <is>
          <t>FINAL SCORE — leave blank to use the auto score; type 0–5 to override</t>
        </is>
      </c>
      <c r="C80" s="109" t="n"/>
      <c r="D80" s="161">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126" t="n"/>
      <c r="F80" s="122" t="n"/>
    </row>
    <row r="81" ht="36" customHeight="1" s="175">
      <c r="B81" s="79" t="inlineStr">
        <is>
          <t>The escalation itself was a positive ownership step, but follow-through collapsed: the customer's direct questions and the SLA commitment were both left unmet, requiring PMO intervention.</t>
        </is>
      </c>
      <c r="C81" s="145" t="n"/>
      <c r="D81" s="126" t="n"/>
      <c r="E81" s="126" t="n"/>
      <c r="F81" s="122" t="n"/>
    </row>
    <row r="82" ht="18" customHeight="1" s="175">
      <c r="B82" s="118" t="inlineStr">
        <is>
          <t>5. ESCALATION JUDGMENT</t>
        </is>
      </c>
      <c r="C82" s="119" t="n"/>
      <c r="D82" s="119" t="n"/>
      <c r="E82" s="120" t="n"/>
      <c r="F82" s="6" t="inlineStr">
        <is>
          <t>Weight: 10%</t>
        </is>
      </c>
    </row>
    <row r="83" ht="28" customHeight="1" s="175">
      <c r="B83" s="148" t="inlineStr">
        <is>
          <t>Objective: Determine whether escalation decisions were appropriate — including UPWARD escalations the customer requested (management, complaint, legal). Mark all N.A. if no escalation was involved and none was warranted.</t>
        </is>
      </c>
      <c r="C83" s="126" t="n"/>
      <c r="D83" s="126" t="n"/>
      <c r="E83" s="126" t="n"/>
      <c r="F83" s="122" t="n"/>
    </row>
    <row r="84" ht="18" customHeight="1" s="175">
      <c r="B84" s="75" t="inlineStr">
        <is>
          <t>Behavioral Indicator</t>
        </is>
      </c>
      <c r="C84" s="104" t="inlineStr">
        <is>
          <t>Assessment</t>
        </is>
      </c>
      <c r="D84" s="152" t="inlineStr">
        <is>
          <t>Evidence / Observation (quote or timestamp where possible)</t>
        </is>
      </c>
      <c r="E84" s="126" t="n"/>
      <c r="F84" s="122" t="n"/>
    </row>
    <row r="85" ht="28" customHeight="1" s="175">
      <c r="B85" s="76" t="inlineStr">
        <is>
          <t>Completed reasonable troubleshooting before escalating</t>
        </is>
      </c>
      <c r="C85" s="105" t="n"/>
      <c r="D85" s="147" t="n"/>
      <c r="E85" s="126" t="n"/>
      <c r="F85" s="122" t="n"/>
    </row>
    <row r="86" ht="28" customHeight="1" s="175">
      <c r="B86" s="106" t="inlineStr">
        <is>
          <t>Identified a valid reason to escalate</t>
        </is>
      </c>
      <c r="C86" s="105" t="n"/>
      <c r="D86" s="143" t="n"/>
      <c r="E86" s="126" t="n"/>
      <c r="F86" s="122" t="n"/>
    </row>
    <row r="87" ht="28" customHeight="1" s="175">
      <c r="B87" s="76" t="inlineStr">
        <is>
          <t>Provided complete escalation details using the correct escalation path</t>
        </is>
      </c>
      <c r="C87" s="105" t="n"/>
      <c r="D87" s="147" t="n"/>
      <c r="E87" s="126" t="n"/>
      <c r="F87" s="122" t="n"/>
    </row>
    <row r="88" ht="28" customHeight="1" s="175">
      <c r="B88" s="76" t="inlineStr">
        <is>
          <t>Clearly explained why escalation was necessary and what would happen next.</t>
        </is>
      </c>
      <c r="C88" s="105" t="n"/>
      <c r="D88" s="147" t="n"/>
      <c r="E88" s="126" t="n"/>
      <c r="F88" s="122" t="n"/>
    </row>
    <row r="89" ht="28" customHeight="1" s="175">
      <c r="B89" s="137" t="inlineStr">
        <is>
          <t>⚠ Low score: premature, avoidable, poorly documented, used as a substitute for troubleshooting — or a warranted escalation (incl. a customer's management request) that was NOT made.</t>
        </is>
      </c>
      <c r="C89" s="126" t="n"/>
      <c r="D89" s="126" t="n"/>
      <c r="E89" s="126" t="n"/>
      <c r="F89" s="122" t="n"/>
    </row>
    <row r="90" ht="28" customHeight="1" s="175">
      <c r="B90" s="107" t="inlineStr">
        <is>
          <t>Auto score (0–5) from indicator ratings — applies unless overridden</t>
        </is>
      </c>
      <c r="C90" s="108">
        <f>IF((COUNTIF(C85:C88,"Met")+COUNTIF(C85:C88,"Partial")+COUNTIF(C85:C88,"Missed"))=0,"",ROUND((COUNTIF(C85:C88,"Met")*5+COUNTIF(C85:C88,"Partial")*2.5)/(COUNTIF(C85:C88,"Met")+COUNTIF(C85:C88,"Partial")+COUNTIF(C85:C88,"Missed")),0))</f>
        <v/>
      </c>
      <c r="D90" s="146" t="n"/>
      <c r="E90" s="126" t="n"/>
      <c r="F90" s="122" t="n"/>
    </row>
    <row r="91" ht="24" customHeight="1" s="175">
      <c r="B91" s="79" t="inlineStr">
        <is>
          <t>FINAL SCORE — leave blank to use the auto score; type 0–5 to override</t>
        </is>
      </c>
      <c r="C91" s="109" t="n"/>
      <c r="D91" s="161">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126" t="n"/>
      <c r="F91" s="122" t="n"/>
    </row>
    <row r="92" ht="36" customHeight="1" s="175">
      <c r="B92" s="79" t="inlineStr">
        <is>
          <t>The escalation decision and routing were correct; the SLA management and handoff completeness after escalation were not.</t>
        </is>
      </c>
      <c r="C92" s="145" t="n"/>
      <c r="D92" s="126" t="n"/>
      <c r="E92" s="126" t="n"/>
      <c r="F92" s="122" t="n"/>
    </row>
    <row r="93" ht="20" customHeight="1" s="175">
      <c r="B93" s="118" t="inlineStr">
        <is>
          <t>ESCALATION FOLLOW-UP   ·   Complete only if an escalation was submitted</t>
        </is>
      </c>
      <c r="C93" s="119" t="n"/>
      <c r="D93" s="119" t="n"/>
      <c r="E93" s="119" t="n"/>
      <c r="F93" s="120" t="n"/>
    </row>
    <row r="94" ht="20" customHeight="1" s="175">
      <c r="B94" s="155" t="inlineStr">
        <is>
          <t>What did the receiving agent / Level 2 do to resolve or advance this case?</t>
        </is>
      </c>
      <c r="C94" s="156" t="n"/>
      <c r="D94" s="77" t="n"/>
      <c r="F94" s="6" t="n"/>
    </row>
    <row r="95" ht="45" customHeight="1" s="175">
      <c r="B95" s="157" t="n"/>
      <c r="C95" s="158" t="n"/>
      <c r="D95" s="78" t="n"/>
    </row>
    <row r="96" ht="18" customHeight="1" s="175">
      <c r="B96" s="118" t="inlineStr">
        <is>
          <t>L1 learning points from this escalation outcome</t>
        </is>
      </c>
      <c r="C96" s="119" t="n"/>
      <c r="D96" s="119" t="n"/>
      <c r="E96" s="119" t="n"/>
      <c r="F96" s="120" t="n"/>
    </row>
    <row r="97" ht="28" customHeight="1" s="175">
      <c r="B97" s="79" t="inlineStr">
        <is>
          <t>1.</t>
        </is>
      </c>
      <c r="C97" s="166" t="n"/>
      <c r="D97" s="126" t="n"/>
      <c r="E97" s="126" t="n"/>
      <c r="F97" s="122" t="n"/>
    </row>
    <row r="98" ht="28" customHeight="1" s="175">
      <c r="B98" s="79" t="inlineStr">
        <is>
          <t>2.</t>
        </is>
      </c>
      <c r="C98" s="166" t="n"/>
      <c r="D98" s="126" t="n"/>
      <c r="E98" s="126" t="n"/>
      <c r="F98" s="122" t="n"/>
    </row>
    <row r="99" ht="28" customHeight="1" s="175">
      <c r="B99" s="79" t="inlineStr">
        <is>
          <t>3.</t>
        </is>
      </c>
      <c r="C99" s="166" t="n"/>
      <c r="D99" s="126" t="n"/>
      <c r="E99" s="126" t="n"/>
      <c r="F99" s="122" t="n"/>
    </row>
    <row r="100" ht="18" customHeight="1" s="175">
      <c r="B100" s="118" t="inlineStr">
        <is>
          <t>6. CUSTOMER EXPERIENCE</t>
        </is>
      </c>
      <c r="C100" s="119" t="n"/>
      <c r="D100" s="119" t="n"/>
      <c r="E100" s="120" t="n"/>
      <c r="F100" s="6" t="inlineStr">
        <is>
          <t>Weight: 5%</t>
        </is>
      </c>
    </row>
    <row r="101" ht="28" customHeight="1" s="175">
      <c r="B101" s="148" t="inlineStr">
        <is>
          <t>Objective: Measure the overall customer experience delivered during the interaction.</t>
        </is>
      </c>
      <c r="C101" s="126" t="n"/>
      <c r="D101" s="126" t="n"/>
      <c r="E101" s="126" t="n"/>
      <c r="F101" s="122" t="n"/>
    </row>
    <row r="102" ht="28" customHeight="1" s="175">
      <c r="B102" s="75" t="inlineStr">
        <is>
          <t>Behavioral Indicator</t>
        </is>
      </c>
      <c r="C102" s="104" t="inlineStr">
        <is>
          <t>Assessment</t>
        </is>
      </c>
      <c r="D102" s="152" t="inlineStr">
        <is>
          <t>Evidence / Observation (quote or timestamp where possible)</t>
        </is>
      </c>
      <c r="E102" s="126" t="n"/>
      <c r="F102" s="122" t="n"/>
    </row>
    <row r="103" ht="28" customHeight="1" s="175">
      <c r="B103" s="76" t="inlineStr">
        <is>
          <t>Demonstrated empathy including for repeat-contact fatigue</t>
        </is>
      </c>
      <c r="C103" s="105" t="n"/>
      <c r="D103" s="147" t="n"/>
      <c r="E103" s="126" t="n"/>
      <c r="F103" s="122" t="n"/>
    </row>
    <row r="104" ht="28" customHeight="1" s="175">
      <c r="B104" s="106" t="inlineStr">
        <is>
          <t>Stayed professional throughout and maintained patience, even under pressure</t>
        </is>
      </c>
      <c r="C104" s="105" t="n"/>
      <c r="D104" s="143" t="n"/>
      <c r="E104" s="126" t="n"/>
      <c r="F104" s="122" t="n"/>
    </row>
    <row r="105" ht="28" customHeight="1" s="175">
      <c r="B105" s="76" t="inlineStr">
        <is>
          <t>Agent matched the customer's tone, pace, level, and energy</t>
        </is>
      </c>
      <c r="C105" s="105" t="n"/>
      <c r="D105" s="147" t="n"/>
      <c r="E105" s="126" t="n"/>
      <c r="F105" s="122" t="n"/>
    </row>
    <row r="106" ht="28" customHeight="1" s="175">
      <c r="B106" s="76" t="inlineStr">
        <is>
          <t>Minimized customer effort</t>
        </is>
      </c>
      <c r="C106" s="105" t="n"/>
      <c r="D106" s="147" t="n"/>
      <c r="E106" s="126" t="n"/>
      <c r="F106" s="122" t="n"/>
    </row>
    <row r="107" ht="28" customHeight="1" s="175">
      <c r="B107" s="106" t="inlineStr">
        <is>
          <t>Maintained customer understanding and engagement</t>
        </is>
      </c>
      <c r="C107" s="105" t="n"/>
      <c r="D107" s="143" t="n"/>
      <c r="E107" s="126" t="n"/>
      <c r="F107" s="122" t="n"/>
    </row>
    <row r="108" ht="28" customHeight="1" s="175">
      <c r="B108" s="137" t="inlineStr">
        <is>
          <t>⚠ Negative indicators: dismissive responses; robotic interactions; frustration escalation caused by agent behavior; marathon sessions pushed onto vulnerable customers without offering to pause and resume.</t>
        </is>
      </c>
      <c r="C108" s="126" t="n"/>
      <c r="D108" s="126" t="n"/>
      <c r="E108" s="126" t="n"/>
      <c r="F108" s="122" t="n"/>
    </row>
    <row r="109" ht="28" customHeight="1" s="175">
      <c r="B109" s="107" t="inlineStr">
        <is>
          <t>Auto score (0–5) from indicator ratings — applies unless overridden</t>
        </is>
      </c>
      <c r="C109" s="108">
        <f>IF((COUNTIF(C103:C107,"Met")+COUNTIF(C103:C107,"Partial")+COUNTIF(C103:C107,"Missed"))=0,"",ROUND((COUNTIF(C103:C107,"Met")*5+COUNTIF(C103:C107,"Partial")*2.5)/(COUNTIF(C103:C107,"Met")+COUNTIF(C103:C107,"Partial")+COUNTIF(C103:C107,"Missed")),0))</f>
        <v/>
      </c>
      <c r="D109" s="146" t="n"/>
      <c r="E109" s="126" t="n"/>
      <c r="F109" s="122" t="n"/>
    </row>
    <row r="110" ht="24" customHeight="1" s="175">
      <c r="B110" s="79" t="inlineStr">
        <is>
          <t>FINAL SCORE — leave blank to use the auto score; type 0–5 to override</t>
        </is>
      </c>
      <c r="C110" s="109" t="n"/>
      <c r="D110" s="161">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126" t="n"/>
      <c r="F110" s="122" t="n"/>
    </row>
    <row r="111" ht="36" customHeight="1" s="175">
      <c r="B111" s="79" t="inlineStr">
        <is>
          <t>Professionalism was maintained, but the customer's confidence and engagement collapsed by the end of this touch.</t>
        </is>
      </c>
      <c r="C111" s="145" t="n"/>
      <c r="D111" s="126" t="n"/>
      <c r="E111" s="126" t="n"/>
      <c r="F111" s="122" t="n"/>
    </row>
    <row r="112" ht="18" customHeight="1" s="175">
      <c r="B112" s="118" t="inlineStr">
        <is>
          <t>7. DOCUMENTATION &amp; NOTES</t>
        </is>
      </c>
      <c r="C112" s="119" t="n"/>
      <c r="D112" s="119" t="n"/>
      <c r="E112" s="120" t="n"/>
      <c r="F112" s="6" t="inlineStr">
        <is>
          <t>Weight: 5%</t>
        </is>
      </c>
    </row>
    <row r="113" ht="28" customHeight="1" s="175">
      <c r="B113" s="148" t="inlineStr">
        <is>
          <t>Objective: Ensure future agents can quickly understand the case. Purpose is continuity, not compliance.</t>
        </is>
      </c>
      <c r="C113" s="126" t="n"/>
      <c r="D113" s="126" t="n"/>
      <c r="E113" s="126" t="n"/>
      <c r="F113" s="122" t="n"/>
    </row>
    <row r="114" ht="36" customHeight="1" s="175">
      <c r="B114" s="75" t="inlineStr">
        <is>
          <t>Behavioral Indicator</t>
        </is>
      </c>
      <c r="C114" s="104" t="inlineStr">
        <is>
          <t>Assessment</t>
        </is>
      </c>
      <c r="D114" s="152" t="inlineStr">
        <is>
          <t>Evidence / Observation (quote or timestamp where possible)</t>
        </is>
      </c>
      <c r="E114" s="126" t="n"/>
      <c r="F114" s="122" t="n"/>
    </row>
    <row r="115" ht="28" customHeight="1" s="175">
      <c r="B115" s="76" t="inlineStr">
        <is>
          <t>Recorded customer issue summary</t>
        </is>
      </c>
      <c r="C115" s="105" t="n"/>
      <c r="D115" s="147" t="n"/>
      <c r="E115" s="126" t="n"/>
      <c r="F115" s="122" t="n"/>
    </row>
    <row r="116" ht="28" customHeight="1" s="175">
      <c r="B116" s="106" t="inlineStr">
        <is>
          <t>Documented troubleshooting steps</t>
        </is>
      </c>
      <c r="C116" s="105" t="n"/>
      <c r="D116" s="143" t="n"/>
      <c r="E116" s="126" t="n"/>
      <c r="F116" s="122" t="n"/>
    </row>
    <row r="117" ht="28" customHeight="1" s="175">
      <c r="B117" s="76" t="inlineStr">
        <is>
          <t>Noted key findings</t>
        </is>
      </c>
      <c r="C117" s="105" t="n"/>
      <c r="D117" s="147" t="n"/>
      <c r="E117" s="126" t="n"/>
      <c r="F117" s="122" t="n"/>
    </row>
    <row r="118" ht="28" customHeight="1" s="175">
      <c r="B118" s="106" t="inlineStr">
        <is>
          <t>Captured agent reasoning - escalation justification, offline recommendations provided by colleagues and other support POCs especially if no private notes applicable to step/action.</t>
        </is>
      </c>
      <c r="C118" s="105" t="n"/>
      <c r="D118" s="143" t="n"/>
      <c r="E118" s="126" t="n"/>
      <c r="F118" s="122" t="n"/>
    </row>
    <row r="119" ht="28" customHeight="1" s="175">
      <c r="B119" s="106" t="inlineStr">
        <is>
          <t>Documented next steps and follow-ups</t>
        </is>
      </c>
      <c r="C119" s="105" t="n"/>
      <c r="D119" s="143" t="n"/>
      <c r="E119" s="126" t="n"/>
      <c r="F119" s="122" t="n"/>
    </row>
    <row r="120" ht="28" customHeight="1" s="175">
      <c r="B120" s="76" t="inlineStr">
        <is>
          <t>Updated ticket status accurately</t>
        </is>
      </c>
      <c r="C120" s="105" t="n"/>
      <c r="D120" s="147" t="n"/>
      <c r="E120" s="126" t="n"/>
      <c r="F120" s="122" t="n"/>
    </row>
    <row r="121" ht="28" customHeight="1" s="175">
      <c r="B121" s="137" t="inlineStr">
        <is>
          <t>⚠ Documentation supports outcomes but should not outweigh troubleshooting quality, communication, or ownership. Notes must carry the FULL history — including pre-ticket contacts — so no agent treats a long-running case as new.</t>
        </is>
      </c>
      <c r="C121" s="126" t="n"/>
      <c r="D121" s="126" t="n"/>
      <c r="E121" s="126" t="n"/>
      <c r="F121" s="122" t="n"/>
    </row>
    <row r="122" ht="52" customHeight="1" s="175">
      <c r="B122" s="107" t="inlineStr">
        <is>
          <t>Auto score (0–5) from indicator ratings — applies unless overridden</t>
        </is>
      </c>
      <c r="C122" s="108">
        <f>IF((COUNTIF(C115:C120,"Met")+COUNTIF(C115:C120,"Partial")+COUNTIF(C115:C120,"Missed"))=0,"",ROUND((COUNTIF(C115:C120,"Met")*5+COUNTIF(C115:C120,"Partial")*2.5)/(COUNTIF(C115:C120,"Met")+COUNTIF(C115:C120,"Partial")+COUNTIF(C115:C120,"Missed")),0))</f>
        <v/>
      </c>
      <c r="D122" s="146" t="n"/>
      <c r="E122" s="126" t="n"/>
      <c r="F122" s="122" t="n"/>
    </row>
    <row r="123" ht="24" customHeight="1" s="175">
      <c r="B123" s="79" t="inlineStr">
        <is>
          <t>FINAL SCORE — leave blank to use the auto score; type 0–5 to override</t>
        </is>
      </c>
      <c r="C123" s="109" t="n"/>
      <c r="D123" s="161">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126" t="n"/>
      <c r="F123" s="122" t="n"/>
    </row>
    <row r="124" ht="36" customHeight="1" s="175">
      <c r="B124" s="79" t="inlineStr">
        <is>
          <t>Escalation steps are documented, but the case record does not carry the full history forward, and ticket status does not reflect reality.</t>
        </is>
      </c>
      <c r="C124" s="145" t="n"/>
      <c r="D124" s="126" t="n"/>
      <c r="E124" s="126" t="n"/>
      <c r="F124" s="122" t="n"/>
    </row>
    <row r="125" ht="30" customHeight="1" s="175">
      <c r="B125" s="118" t="inlineStr">
        <is>
          <t>4 · RESOLUTION OUTCOME</t>
        </is>
      </c>
      <c r="C125" s="119" t="n"/>
      <c r="D125" s="119" t="n"/>
      <c r="E125" s="119" t="n"/>
      <c r="F125" s="120" t="n"/>
    </row>
    <row r="126" ht="28" customHeight="1" s="175">
      <c r="B126" s="75" t="inlineStr">
        <is>
          <t>Outcome classification</t>
        </is>
      </c>
      <c r="C126" s="170" t="n"/>
      <c r="D126" s="126" t="n"/>
      <c r="E126" s="126" t="n"/>
      <c r="F126" s="122" t="n"/>
    </row>
    <row r="127" ht="52" customHeight="1" s="175">
      <c r="B127" s="84" t="inlineStr">
        <is>
          <t>Primary positive outcome achieved</t>
        </is>
      </c>
      <c r="C127" s="149" t="n"/>
      <c r="D127" s="126" t="n"/>
      <c r="E127" s="126" t="n"/>
      <c r="F127" s="122" t="n"/>
    </row>
    <row r="128" ht="52" customHeight="1" s="175">
      <c r="B128" s="75" t="inlineStr">
        <is>
          <t>Justification</t>
        </is>
      </c>
      <c r="C128" s="145" t="n"/>
      <c r="D128" s="126" t="n"/>
      <c r="E128" s="126" t="n"/>
      <c r="F128" s="122" t="n"/>
    </row>
    <row r="129" ht="26" customHeight="1" s="175">
      <c r="B129" s="118" t="inlineStr">
        <is>
          <t>5 · DISCONNECTED CALL FOLLOW-UP</t>
        </is>
      </c>
      <c r="C129" s="119" t="n"/>
      <c r="D129" s="119" t="n"/>
      <c r="E129" s="119" t="n"/>
      <c r="F129" s="120" t="n"/>
    </row>
    <row r="130" ht="30" customHeight="1" s="175">
      <c r="B130" s="84" t="inlineStr">
        <is>
          <t>Did the interaction disconnect before completion?</t>
        </is>
      </c>
      <c r="C130" s="105" t="inlineStr">
        <is>
          <t>No</t>
        </is>
      </c>
      <c r="D130" s="137" t="inlineStr">
        <is>
          <t>If Yes, at least one documented follow-up action is required.</t>
        </is>
      </c>
      <c r="E130" s="126" t="n"/>
      <c r="F130" s="122" t="n"/>
    </row>
    <row r="131" ht="30" customHeight="1" s="175">
      <c r="A131" s="80" t="n"/>
      <c r="B131" s="75" t="inlineStr">
        <is>
          <t>Follow-up action taken</t>
        </is>
      </c>
      <c r="C131" s="149" t="inlineStr">
        <is>
          <t>N.A. — no disconnect</t>
        </is>
      </c>
      <c r="D131" s="122" t="n"/>
      <c r="E131" s="150">
        <f>IF(AND(C130="Yes",OR(C131="None",C131="N.A. — no disconnect")),"⚠ MISSED OWNERSHIP OPPORTUNITY — flag in Customer Ownership and Critical Failures","OK")</f>
        <v/>
      </c>
      <c r="F131" s="122" t="n"/>
      <c r="G131" s="80" t="n"/>
    </row>
    <row r="132" ht="22" customHeight="1" s="175">
      <c r="A132" s="80" t="n"/>
      <c r="B132" s="169" t="inlineStr">
        <is>
          <t>COACHING FLAGS   ·   Auto-populated from Partial and Missed ratings   ·   Each flagged item requires a coaching or review action</t>
        </is>
      </c>
      <c r="C132" s="126" t="n"/>
      <c r="D132" s="126" t="n"/>
      <c r="E132" s="126" t="n"/>
      <c r="F132" s="122" t="n"/>
      <c r="G132" s="80" t="n"/>
    </row>
    <row r="133" ht="18" customHeight="1" s="175">
      <c r="A133" s="80" t="n"/>
      <c r="B133" s="154" t="inlineStr">
        <is>
          <t>Flag Condition</t>
        </is>
      </c>
      <c r="C133" s="154" t="inlineStr">
        <is>
          <t>Rating</t>
        </is>
      </c>
      <c r="D133" s="154" t="inlineStr">
        <is>
          <t>Coaching Focus / Required Action</t>
        </is>
      </c>
      <c r="E133" s="126" t="n"/>
      <c r="F133" s="122" t="n"/>
      <c r="G133" s="80" t="n"/>
    </row>
    <row r="134" ht="28" customHeight="1" s="175">
      <c r="A134" s="80" t="n"/>
      <c r="B134" s="82" t="inlineStr">
        <is>
          <t>Technical accuracy failure</t>
        </is>
      </c>
      <c r="C134" s="83">
        <f>IF(OR(C51="Partial",C51="Missed"),C51,"")</f>
        <v/>
      </c>
      <c r="D134" s="165" t="inlineStr">
        <is>
          <t>Review for incorrect guidance, product misrepresentation, or unsupported root-cause conclusions</t>
        </is>
      </c>
      <c r="E134" s="126" t="n"/>
      <c r="F134" s="122" t="n"/>
      <c r="G134" s="80" t="n"/>
    </row>
    <row r="135" ht="28" customHeight="1" s="175">
      <c r="A135" s="80" t="n"/>
      <c r="B135" s="82" t="inlineStr">
        <is>
          <t>No follow-up after disconnected call</t>
        </is>
      </c>
      <c r="C135" s="83">
        <f>IF(OR(C77="Partial",C77="Missed"),C77,"")</f>
        <v/>
      </c>
      <c r="D135" s="165" t="inlineStr">
        <is>
          <t>Mandatory callback attempt required; document outcome in case notes</t>
        </is>
      </c>
      <c r="E135" s="126" t="n"/>
      <c r="F135" s="122" t="n"/>
      <c r="G135" s="80" t="n"/>
    </row>
    <row r="136" ht="28" customHeight="1" s="175">
      <c r="A136" s="80" t="n"/>
      <c r="B136" s="82" t="inlineStr">
        <is>
          <t>Commitments not fulfilled / clear path forward missing</t>
        </is>
      </c>
      <c r="C136" s="83">
        <f>IF(OR(C74="Partial",C74="Missed"),C74,"")</f>
        <v/>
      </c>
      <c r="D136" s="165" t="inlineStr">
        <is>
          <t>Review what was promised; confirm the customer was left with actionable next steps</t>
        </is>
      </c>
      <c r="E136" s="126" t="n"/>
      <c r="F136" s="122" t="n"/>
      <c r="G136" s="80" t="n"/>
    </row>
    <row r="137" ht="28" customHeight="1" s="175">
      <c r="A137" s="80" t="n"/>
      <c r="B137" s="82" t="inlineStr">
        <is>
          <t>Customer abandoned without a path forward</t>
        </is>
      </c>
      <c r="C137" s="83">
        <f>IF(OR(C39="Partial",C39="Missed"),C39,"")</f>
        <v/>
      </c>
      <c r="D137" s="165" t="inlineStr">
        <is>
          <t>Review whether the customer had any defined next step at close; address in coaching session</t>
        </is>
      </c>
      <c r="E137" s="126" t="n"/>
      <c r="F137" s="122" t="n"/>
      <c r="G137" s="80" t="n"/>
    </row>
    <row r="138" ht="28" customHeight="1" s="175">
      <c r="A138" s="80" t="n"/>
      <c r="B138" s="82" t="inlineStr">
        <is>
          <t>Escalated without completing reasonable troubleshooting</t>
        </is>
      </c>
      <c r="C138" s="83">
        <f>IF(OR(C85="Partial",C85="Missed"),C85,"")</f>
        <v/>
      </c>
      <c r="D138" s="165" t="inlineStr">
        <is>
          <t>Review L1 steps completed before escalation; identify gaps and add to troubleshooting playbook</t>
        </is>
      </c>
      <c r="E138" s="126" t="n"/>
      <c r="F138" s="122" t="n"/>
      <c r="G138" s="80" t="n"/>
    </row>
    <row r="139" ht="28" customHeight="1" s="175">
      <c r="A139" s="80" t="n"/>
      <c r="B139" s="82" t="inlineStr">
        <is>
          <t>Escalation criteria not met / complaint or legal-risk not escalated</t>
        </is>
      </c>
      <c r="C139" s="83">
        <f>IF(OR(C86="Partial",C86="Missed"),C86,"")</f>
        <v/>
      </c>
      <c r="D139" s="165" t="inlineStr">
        <is>
          <t>Review whether a valid escalation trigger existed; coach on recognising escalation criteria</t>
        </is>
      </c>
      <c r="E139" s="126" t="n"/>
      <c r="F139" s="122" t="n"/>
      <c r="G139" s="80" t="n"/>
    </row>
    <row r="140" ht="28" customHeight="1" s="175">
      <c r="A140" s="80" t="n"/>
      <c r="B140" s="82" t="inlineStr">
        <is>
          <t>Professionalism concern</t>
        </is>
      </c>
      <c r="C140" s="83">
        <f>IF(OR(C104="Partial",C104="Missed"),C104,"")</f>
        <v/>
      </c>
      <c r="D140" s="165" t="inlineStr">
        <is>
          <t>Mandatory review; assess tone, conduct, and whether a policy violation occurred</t>
        </is>
      </c>
      <c r="E140" s="126" t="n"/>
      <c r="F140" s="122" t="n"/>
      <c r="G140" s="80" t="n"/>
    </row>
    <row r="141" ht="28" customHeight="1" s="175">
      <c r="A141" s="80" t="n"/>
      <c r="B141" s="82" t="inlineStr">
        <is>
          <t>Ticket status inaccurate / premature closure</t>
        </is>
      </c>
      <c r="C141" s="83">
        <f>IF(OR(C120="Partial",C120="Missed"),C120,"")</f>
        <v/>
      </c>
      <c r="D141" s="165" t="inlineStr">
        <is>
          <t>Review ticket state at close; verify status accurately reflected the case outcome</t>
        </is>
      </c>
      <c r="E141" s="126" t="n"/>
      <c r="F141" s="122" t="n"/>
      <c r="G141" s="80" t="n"/>
    </row>
    <row r="142" ht="22" customHeight="1" s="175">
      <c r="A142" s="80" t="n"/>
      <c r="B142" s="162" t="inlineStr">
        <is>
          <t>⚠  Survey / CSAT manipulation has no matching behavioral indicator and cannot be auto-detected — flag manually in §8 Coaching &amp; Feedback if suspected.</t>
        </is>
      </c>
      <c r="C142" s="126" t="n"/>
      <c r="D142" s="126" t="n"/>
      <c r="E142" s="126" t="n"/>
      <c r="F142" s="122" t="n"/>
      <c r="G142" s="80" t="n"/>
    </row>
    <row r="143" ht="22" customHeight="1" s="175">
      <c r="A143" s="80" t="n"/>
      <c r="B143" s="159">
        <f>IF(COUNTIF(C134:C141,"Partial")+COUNTIF(C134:C141,"Missed")=0,"✓  No coaching flags triggered — all key indicators met",COUNTIF(C134:C141,"Partial")+COUNTIF(C134:C141,"Missed")&amp;" coaching flag(s) triggered — review and coaching action required")</f>
        <v/>
      </c>
      <c r="C143" s="126" t="n"/>
      <c r="D143" s="126" t="n"/>
      <c r="E143" s="126" t="n"/>
      <c r="F143" s="122" t="n"/>
      <c r="G143" s="80" t="n"/>
    </row>
    <row r="144" ht="65" customHeight="1" s="175">
      <c r="A144" s="80" t="n"/>
      <c r="B144" s="163">
        <f>IF(COUNTIF(C134:C141,"Partial")+COUNTIF(C134:C141,"Missed")=0,"All key indicators met — no coaching action required",_xludf.TEXTJOIN(CHAR(10),TRUE,IF(C134&lt;&gt;"","⚑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26" t="n"/>
      <c r="D144" s="126" t="n"/>
      <c r="E144" s="126" t="n"/>
      <c r="F144" s="122" t="n"/>
      <c r="G144" s="80" t="n"/>
    </row>
    <row r="145" ht="6" customHeight="1" s="175">
      <c r="A145" s="80" t="n"/>
      <c r="B145" s="167" t="n"/>
      <c r="C145" s="119" t="n"/>
      <c r="D145" s="119" t="n"/>
      <c r="E145" s="119" t="n"/>
      <c r="F145" s="120" t="n"/>
      <c r="G145" s="80" t="n"/>
    </row>
    <row r="146" ht="22" customHeight="1" s="175">
      <c r="B146" s="127" t="inlineStr">
        <is>
          <t>7 · AUTO-ZERO   (from the 360 Form — any trigger forces the Quality Score to 0%)</t>
        </is>
      </c>
      <c r="C146" s="119" t="n"/>
      <c r="D146" s="119" t="n"/>
      <c r="E146" s="119" t="n"/>
      <c r="F146" s="120" t="n"/>
    </row>
    <row r="147" ht="30" customHeight="1" s="175">
      <c r="B147" s="137" t="inlineStr">
        <is>
          <t>A gate marked 'No', any A–K item marked 'Yes' forces the weighted Quality Score (§3) to 0%. Category scores still show for coaching.</t>
        </is>
      </c>
      <c r="C147" s="126" t="n"/>
      <c r="D147" s="126" t="n"/>
      <c r="E147" s="126" t="n"/>
      <c r="F147" s="122" t="n"/>
    </row>
    <row r="148" ht="30" customHeight="1" s="175">
      <c r="B148" s="118" t="inlineStr">
        <is>
          <t>Compliance gate  (mark Yes if adhered)</t>
        </is>
      </c>
      <c r="C148" s="190" t="inlineStr">
        <is>
          <t>Adherent?</t>
        </is>
      </c>
      <c r="D148" s="118" t="inlineStr">
        <is>
          <t>Notes / Evidence</t>
        </is>
      </c>
      <c r="E148" s="119" t="n"/>
      <c r="F148" s="120" t="n"/>
    </row>
    <row r="149" ht="26" customHeight="1" s="175">
      <c r="B149" s="76" t="inlineStr">
        <is>
          <t>Adherence to Callback Hours</t>
        </is>
      </c>
      <c r="C149" s="105" t="inlineStr">
        <is>
          <t>Yes</t>
        </is>
      </c>
      <c r="D149" s="147" t="n"/>
      <c r="E149" s="126" t="n"/>
      <c r="F149" s="122" t="n"/>
    </row>
    <row r="150" ht="26" customHeight="1" s="175">
      <c r="B150" s="76" t="inlineStr">
        <is>
          <t>Adherence to PCI &amp; Information Security Standards</t>
        </is>
      </c>
      <c r="C150" s="105" t="inlineStr">
        <is>
          <t>Yes</t>
        </is>
      </c>
      <c r="D150" s="147" t="n"/>
      <c r="E150" s="126" t="n"/>
      <c r="F150" s="122" t="n"/>
    </row>
    <row r="151" ht="26" customHeight="1" s="175">
      <c r="B151" s="76" t="inlineStr">
        <is>
          <t>Sales</t>
        </is>
      </c>
      <c r="C151" s="105" t="inlineStr">
        <is>
          <t>Yes</t>
        </is>
      </c>
      <c r="D151" s="147" t="n"/>
      <c r="E151" s="126" t="n"/>
      <c r="F151" s="122" t="n"/>
    </row>
    <row r="152" ht="32" customHeight="1" s="175">
      <c r="B152" s="118" t="inlineStr">
        <is>
          <t>AUTO-ZERO list — A to K  (mark Yes if it occurred)</t>
        </is>
      </c>
      <c r="C152" s="190" t="inlineStr">
        <is>
          <t>Occurred?</t>
        </is>
      </c>
      <c r="D152" s="118" t="inlineStr">
        <is>
          <t>Notes / Evidence</t>
        </is>
      </c>
      <c r="E152" s="119" t="n"/>
      <c r="F152" s="120" t="n"/>
    </row>
    <row r="153" ht="26" customHeight="1" s="175">
      <c r="B153" s="76" t="inlineStr">
        <is>
          <t>A.  Call / Session Abandonment</t>
        </is>
      </c>
      <c r="C153" s="105" t="inlineStr">
        <is>
          <t>No</t>
        </is>
      </c>
      <c r="D153" s="147" t="n"/>
      <c r="E153" s="126" t="n"/>
      <c r="F153" s="122" t="n"/>
    </row>
    <row r="154" ht="26" customHeight="1" s="175">
      <c r="B154" s="76" t="inlineStr">
        <is>
          <t>B.  Call / Session Avoidance / Evasion</t>
        </is>
      </c>
      <c r="C154" s="105" t="inlineStr">
        <is>
          <t>No</t>
        </is>
      </c>
      <c r="D154" s="147" t="n"/>
      <c r="E154" s="126" t="n"/>
      <c r="F154" s="122" t="n"/>
    </row>
    <row r="155" ht="26" customHeight="1" s="175">
      <c r="B155" s="76" t="inlineStr">
        <is>
          <t>C.  Discourtesy</t>
        </is>
      </c>
      <c r="C155" s="105" t="inlineStr">
        <is>
          <t>No</t>
        </is>
      </c>
      <c r="D155" s="147" t="n"/>
      <c r="E155" s="126" t="n"/>
      <c r="F155" s="122" t="n"/>
    </row>
    <row r="156" ht="26" customHeight="1" s="175">
      <c r="B156" s="76" t="inlineStr">
        <is>
          <t>D.  Escalation</t>
        </is>
      </c>
      <c r="C156" s="105" t="inlineStr">
        <is>
          <t>No</t>
        </is>
      </c>
      <c r="D156" s="147" t="n"/>
      <c r="E156" s="126" t="n"/>
      <c r="F156" s="122" t="n"/>
    </row>
    <row r="157" ht="26" customHeight="1" s="175">
      <c r="B157" s="76" t="inlineStr">
        <is>
          <t>E.  Failure to ask for the email address</t>
        </is>
      </c>
      <c r="C157" s="105" t="inlineStr">
        <is>
          <t>No</t>
        </is>
      </c>
      <c r="D157" s="147" t="n"/>
      <c r="E157" s="126" t="n"/>
      <c r="F157" s="122" t="n"/>
    </row>
    <row r="158" ht="26" customHeight="1" s="175">
      <c r="B158" s="76" t="inlineStr">
        <is>
          <t>F.  Fraud</t>
        </is>
      </c>
      <c r="C158" s="105" t="inlineStr">
        <is>
          <t>No</t>
        </is>
      </c>
      <c r="D158" s="147" t="n"/>
      <c r="E158" s="126" t="n"/>
      <c r="F158" s="122" t="n"/>
    </row>
    <row r="159" ht="26" customHeight="1" s="175">
      <c r="B159" s="76" t="inlineStr">
        <is>
          <t>G.  Hard-selling</t>
        </is>
      </c>
      <c r="C159" s="105" t="inlineStr">
        <is>
          <t>No</t>
        </is>
      </c>
      <c r="D159" s="147" t="n"/>
      <c r="E159" s="126" t="n"/>
      <c r="F159" s="122" t="n"/>
    </row>
    <row r="160" ht="26" customHeight="1" s="175">
      <c r="B160" s="76" t="inlineStr">
        <is>
          <t>H.  Line Release</t>
        </is>
      </c>
      <c r="C160" s="105" t="inlineStr">
        <is>
          <t>No</t>
        </is>
      </c>
      <c r="D160" s="147" t="n"/>
      <c r="E160" s="126" t="n"/>
      <c r="F160" s="122" t="n"/>
    </row>
    <row r="161" ht="26" customHeight="1" s="175">
      <c r="B161" s="76" t="inlineStr">
        <is>
          <t>I.  Non-Adherence to Callback Hours</t>
        </is>
      </c>
      <c r="C161" s="105" t="inlineStr">
        <is>
          <t>No</t>
        </is>
      </c>
      <c r="D161" s="147" t="n"/>
      <c r="E161" s="126" t="n"/>
      <c r="F161" s="122" t="n"/>
    </row>
    <row r="162" ht="26" customHeight="1" s="175">
      <c r="B162" s="76" t="inlineStr">
        <is>
          <t>J.  Non-Adherence to PCI and Information Security Standards</t>
        </is>
      </c>
      <c r="C162" s="105" t="inlineStr">
        <is>
          <t>No</t>
        </is>
      </c>
      <c r="D162" s="147" t="n"/>
      <c r="E162" s="126" t="n"/>
      <c r="F162" s="122" t="n"/>
    </row>
    <row r="163" ht="26" customHeight="1" s="175">
      <c r="B163" s="76" t="inlineStr">
        <is>
          <t>K.  Non-First Call Resolution</t>
        </is>
      </c>
      <c r="C163" s="105" t="inlineStr">
        <is>
          <t>No</t>
        </is>
      </c>
      <c r="D163" s="147" t="n"/>
      <c r="E163" s="126" t="n"/>
      <c r="F163" s="122" t="n"/>
    </row>
    <row r="164" ht="24" customHeight="1" s="175">
      <c r="B164" s="127" t="inlineStr">
        <is>
          <t>AUTO-ZERO TRIGGERED?</t>
        </is>
      </c>
      <c r="C164" s="160">
        <f>IF(OR(C149="No",C150="No",C151="No",COUNTIF(C153:C163,"Yes")&gt;0),"YES — Quality Score forced to 0%","No")</f>
        <v/>
      </c>
      <c r="D164" s="119" t="n"/>
      <c r="E164" s="119" t="n"/>
      <c r="F164" s="120" t="n"/>
    </row>
    <row r="165" ht="20" customHeight="1" s="175">
      <c r="B165" s="168" t="inlineStr">
        <is>
          <t>8 · COACHING &amp; FEEDBACK   (every review answers the three QA questions below)</t>
        </is>
      </c>
      <c r="C165" s="119" t="n"/>
      <c r="D165" s="119" t="n"/>
      <c r="E165" s="119" t="n"/>
      <c r="F165" s="120" t="n"/>
    </row>
    <row r="166" ht="30" customHeight="1" s="175">
      <c r="B166" s="153" t="inlineStr">
        <is>
          <t>Q1 · Did we help the customer as effectively as we reasonably could?</t>
        </is>
      </c>
      <c r="C166" s="119" t="n"/>
      <c r="D166" s="119" t="n"/>
      <c r="E166" s="119" t="n"/>
      <c r="F166" s="120" t="n"/>
    </row>
    <row r="167" ht="58" customHeight="1" s="175">
      <c r="B167" s="145" t="n"/>
      <c r="C167" s="126" t="n"/>
      <c r="D167" s="126" t="n"/>
      <c r="E167" s="126" t="n"/>
      <c r="F167" s="122" t="n"/>
    </row>
    <row r="168" ht="30" customHeight="1" s="175">
      <c r="B168" s="153" t="inlineStr">
        <is>
          <t>Q2 · Did the agent demonstrate strong technical and communication behavior?</t>
        </is>
      </c>
      <c r="C168" s="119" t="n"/>
      <c r="D168" s="119" t="n"/>
      <c r="E168" s="119" t="n"/>
      <c r="F168" s="120" t="n"/>
    </row>
    <row r="169" ht="24" customHeight="1" s="175">
      <c r="B169" s="144" t="inlineStr">
        <is>
          <t>What went well — behaviors to repeat</t>
        </is>
      </c>
      <c r="C169" s="126" t="n"/>
      <c r="D169" s="126" t="n"/>
      <c r="E169" s="126" t="n"/>
      <c r="F169" s="122" t="n"/>
    </row>
    <row r="170" ht="32" customHeight="1" s="175">
      <c r="B170" s="104" t="inlineStr">
        <is>
          <t>1.</t>
        </is>
      </c>
      <c r="C170" s="145" t="n"/>
      <c r="D170" s="126" t="n"/>
      <c r="E170" s="126" t="n"/>
      <c r="F170" s="122" t="n"/>
    </row>
    <row r="171" ht="32" customHeight="1" s="175">
      <c r="B171" s="104" t="inlineStr">
        <is>
          <t>2.</t>
        </is>
      </c>
      <c r="C171" s="145" t="n"/>
      <c r="D171" s="126" t="n"/>
      <c r="E171" s="126" t="n"/>
      <c r="F171" s="122" t="n"/>
    </row>
    <row r="172" ht="32" customHeight="1" s="175">
      <c r="B172" s="104" t="inlineStr">
        <is>
          <t>3.</t>
        </is>
      </c>
      <c r="C172" s="145" t="n"/>
      <c r="D172" s="126" t="n"/>
      <c r="E172" s="126" t="n"/>
      <c r="F172" s="122" t="n"/>
    </row>
    <row r="173" ht="24" customHeight="1" s="175">
      <c r="B173" s="144" t="inlineStr">
        <is>
          <t>Improvement opportunities — behaviors to improve</t>
        </is>
      </c>
      <c r="C173" s="126" t="n"/>
      <c r="D173" s="126" t="n"/>
      <c r="E173" s="126" t="n"/>
      <c r="F173" s="122" t="n"/>
    </row>
    <row r="174" ht="32" customHeight="1" s="175">
      <c r="B174" s="104" t="inlineStr">
        <is>
          <t>1.</t>
        </is>
      </c>
      <c r="C174" s="145" t="n"/>
      <c r="D174" s="126" t="n"/>
      <c r="E174" s="126" t="n"/>
      <c r="F174" s="122" t="n"/>
    </row>
    <row r="175" ht="32" customHeight="1" s="175">
      <c r="B175" s="104" t="inlineStr">
        <is>
          <t>2.</t>
        </is>
      </c>
      <c r="C175" s="145" t="n"/>
      <c r="D175" s="126" t="n"/>
      <c r="E175" s="126" t="n"/>
      <c r="F175" s="122" t="n"/>
    </row>
    <row r="176" ht="32" customHeight="1" s="175">
      <c r="B176" s="104" t="inlineStr">
        <is>
          <t>3.</t>
        </is>
      </c>
      <c r="C176" s="145" t="n"/>
      <c r="D176" s="126" t="n"/>
      <c r="E176" s="126" t="n"/>
      <c r="F176" s="122" t="n"/>
    </row>
    <row r="177" ht="24" customHeight="1" s="175">
      <c r="B177" s="144" t="inlineStr">
        <is>
          <t>Coaching recommendation — specific actions the agent should apply going forward</t>
        </is>
      </c>
      <c r="C177" s="126" t="n"/>
      <c r="D177" s="126" t="n"/>
      <c r="E177" s="126" t="n"/>
      <c r="F177" s="122" t="n"/>
    </row>
    <row r="178" ht="58" customHeight="1" s="175">
      <c r="B178" s="145" t="n"/>
      <c r="C178" s="126" t="n"/>
      <c r="D178" s="126" t="n"/>
      <c r="E178" s="126" t="n"/>
      <c r="F178" s="122" t="n"/>
    </row>
    <row r="179" ht="20" customHeight="1" s="175">
      <c r="B179" s="144" t="inlineStr">
        <is>
          <t>NEXT SESSION FOCUS   ·   Specific behaviors to practice before the next review</t>
        </is>
      </c>
      <c r="C179" s="126" t="n"/>
      <c r="D179" s="126" t="n"/>
      <c r="E179" s="126" t="n"/>
      <c r="F179" s="122" t="n"/>
    </row>
    <row r="180" ht="28" customHeight="1" s="175">
      <c r="B180" s="88" t="inlineStr">
        <is>
          <t>1.</t>
        </is>
      </c>
      <c r="C180" s="145" t="n"/>
      <c r="D180" s="126" t="n"/>
      <c r="E180" s="126" t="n"/>
      <c r="F180" s="122" t="n"/>
    </row>
    <row r="181" ht="28" customHeight="1" s="175">
      <c r="B181" s="88" t="inlineStr">
        <is>
          <t>2.</t>
        </is>
      </c>
      <c r="C181" s="145" t="n"/>
      <c r="D181" s="126" t="n"/>
      <c r="E181" s="126" t="n"/>
      <c r="F181" s="122" t="n"/>
    </row>
    <row r="182" ht="28" customHeight="1" s="175">
      <c r="B182" s="88" t="inlineStr">
        <is>
          <t>3.</t>
        </is>
      </c>
      <c r="C182" s="166" t="n"/>
      <c r="D182" s="126" t="n"/>
      <c r="E182" s="126" t="n"/>
      <c r="F182" s="122" t="n"/>
    </row>
    <row r="183" ht="32" customHeight="1" s="175">
      <c r="B183" s="153" t="inlineStr">
        <is>
          <t>Q3 · What does this interaction tell us about training, process, or knowledge gaps across the team?</t>
        </is>
      </c>
      <c r="C183" s="119" t="n"/>
      <c r="D183" s="119" t="n"/>
      <c r="E183" s="119" t="n"/>
      <c r="F183" s="120" t="n"/>
    </row>
    <row r="184" ht="24" customHeight="1" s="175">
      <c r="B184" s="144" t="inlineStr">
        <is>
          <t>Organizational insights — training / process / KB / chatbot / tooling / product / contact-driver gaps</t>
        </is>
      </c>
      <c r="C184" s="126" t="n"/>
      <c r="D184" s="126" t="n"/>
      <c r="E184" s="126" t="n"/>
      <c r="F184" s="122" t="n"/>
    </row>
    <row r="185" ht="58" customHeight="1" s="175">
      <c r="B185" s="145" t="n"/>
      <c r="C185" s="126" t="n"/>
      <c r="D185" s="126" t="n"/>
      <c r="E185" s="126" t="n"/>
      <c r="F185" s="122" t="n"/>
    </row>
    <row r="186" ht="24" customHeight="1" s="175">
      <c r="B186" s="144" t="inlineStr">
        <is>
          <t>Multi-touch / journey notes — handoff quality, continuity, where the chain strengthened or broke</t>
        </is>
      </c>
      <c r="C186" s="126" t="n"/>
      <c r="D186" s="126" t="n"/>
      <c r="E186" s="126" t="n"/>
      <c r="F186" s="122" t="n"/>
    </row>
    <row r="187" ht="58" customHeight="1" s="175">
      <c r="B187" s="145" t="n"/>
      <c r="C187" s="126" t="n"/>
      <c r="D187" s="126" t="n"/>
      <c r="E187" s="126" t="n"/>
      <c r="F187" s="122" t="n"/>
    </row>
    <row r="188" ht="24" customHeight="1" s="175">
      <c r="B188" s="144" t="inlineStr">
        <is>
          <t>Final QA assessment — overall customer outcome, support quality, and coaching value</t>
        </is>
      </c>
      <c r="C188" s="126" t="n"/>
      <c r="D188" s="126" t="n"/>
      <c r="E188" s="126" t="n"/>
      <c r="F188" s="122" t="n"/>
    </row>
    <row r="189" ht="58" customHeight="1" s="175">
      <c r="B189" s="145" t="n"/>
      <c r="C189" s="126" t="n"/>
      <c r="D189" s="126" t="n"/>
      <c r="E189" s="126" t="n"/>
      <c r="F189" s="122" t="n"/>
    </row>
    <row r="190" ht="24" customHeight="1" s="175"/>
    <row r="191" ht="58" customHeight="1" s="175"/>
    <row r="192" ht="20" customHeight="1" s="175"/>
    <row r="193" ht="30" customHeight="1" s="175"/>
    <row r="194" ht="58" customHeight="1" s="175"/>
    <row r="195" ht="30" customHeight="1" s="175"/>
    <row r="196" ht="24" customHeight="1" s="175"/>
    <row r="197" ht="32" customHeight="1" s="175"/>
    <row r="198" ht="32" customHeight="1" s="175"/>
    <row r="199" ht="32" customHeight="1" s="175"/>
    <row r="200" ht="24" customHeight="1" s="175"/>
    <row r="201" ht="32" customHeight="1" s="175"/>
    <row r="202" ht="32" customHeight="1" s="175"/>
    <row r="203" ht="32" customHeight="1" s="175"/>
    <row r="204" ht="24" customHeight="1" s="175"/>
    <row r="205" ht="58" customHeight="1" s="175"/>
    <row r="206" ht="20" customHeight="1" s="175"/>
    <row r="207" ht="28" customHeight="1" s="175"/>
    <row r="208" ht="28" customHeight="1" s="175"/>
    <row r="209" ht="28" customHeight="1" s="175"/>
    <row r="210" ht="32" customHeight="1" s="175"/>
    <row r="211" ht="24" customHeight="1" s="175"/>
    <row r="212" ht="58" customHeight="1" s="175"/>
    <row r="213" ht="24" customHeight="1" s="175"/>
    <row r="214" ht="58" customHeight="1" s="175"/>
    <row r="215" ht="24" customHeight="1" s="175"/>
    <row r="216" ht="58" customHeight="1" s="175"/>
    <row r="217" ht="58" customHeight="1" s="175"/>
    <row r="218" ht="24" customHeight="1" s="175"/>
    <row r="219" ht="58" customHeight="1" s="175"/>
    <row r="220" ht="24" customHeight="1" s="175"/>
    <row r="221" ht="58" customHeight="1" s="175"/>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B2:F2"/>
    <mergeCell ref="D102:F102"/>
    <mergeCell ref="D37:F37"/>
    <mergeCell ref="B100:E100"/>
    <mergeCell ref="D152:F152"/>
    <mergeCell ref="D39:F39"/>
    <mergeCell ref="B179:F179"/>
    <mergeCell ref="B166:F166"/>
    <mergeCell ref="D133:F133"/>
    <mergeCell ref="C172:F172"/>
    <mergeCell ref="B94:C95"/>
    <mergeCell ref="B34:F34"/>
    <mergeCell ref="C171:F171"/>
    <mergeCell ref="B186:F186"/>
    <mergeCell ref="B108:F108"/>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C20:F20"/>
    <mergeCell ref="D123:F123"/>
    <mergeCell ref="D148:F148"/>
    <mergeCell ref="D35:F35"/>
    <mergeCell ref="D59:F59"/>
    <mergeCell ref="D115:F115"/>
    <mergeCell ref="D138:F138"/>
    <mergeCell ref="B183:F183"/>
    <mergeCell ref="C127:F127"/>
    <mergeCell ref="C176:F176"/>
    <mergeCell ref="E7:F7"/>
    <mergeCell ref="D84:F84"/>
    <mergeCell ref="D140:F140"/>
    <mergeCell ref="B44:E44"/>
    <mergeCell ref="D155:F155"/>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B40:F40"/>
    <mergeCell ref="C55:F55"/>
    <mergeCell ref="C99:F99"/>
    <mergeCell ref="D63:F63"/>
    <mergeCell ref="C180:F180"/>
    <mergeCell ref="D90:F90"/>
    <mergeCell ref="B177:F177"/>
    <mergeCell ref="B89:F89"/>
    <mergeCell ref="D65:F65"/>
    <mergeCell ref="B82:E82"/>
    <mergeCell ref="B169:F169"/>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4:C141">
    <cfRule type="cellIs" priority="55" operator="equal" dxfId="101">
      <formula>"Missed"</formula>
    </cfRule>
    <cfRule type="cellIs" priority="54" operator="equal" dxfId="100">
      <formula>"Partial"</formula>
    </cfRule>
  </conditionalFormatting>
  <conditionalFormatting sqref="C142:C152">
    <cfRule type="cellIs" priority="51" operator="equal" dxfId="0">
      <formula>"Yes"</formula>
    </cfRule>
  </conditionalFormatting>
  <conditionalFormatting sqref="C153">
    <cfRule type="expression" priority="52" dxfId="0">
      <formula>ISNUMBER(SEARCH("YES",C152))</formula>
    </cfRule>
    <cfRule type="expression" priority="53" dxfId="2">
      <formula>NOT(ISNUMBER(SEARCH("YES",C152)))</formula>
    </cfRule>
  </conditionalFormatting>
  <conditionalFormatting sqref="E129">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8">
    <cfRule type="expression" priority="50" dxfId="2">
      <formula>E137="OK"</formula>
    </cfRule>
    <cfRule type="expression" priority="49" dxfId="0">
      <formula>E137&lt;&gt;"OK"</formula>
    </cfRule>
  </conditionalFormatting>
  <conditionalFormatting sqref="F122:F128">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2026-06-18T07:23:50Z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