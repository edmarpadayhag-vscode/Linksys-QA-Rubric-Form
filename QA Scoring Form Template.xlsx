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12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9"/>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IF(C127="",C126,C127)</f>
        <v/>
      </c>
      <c r="E31" s="24">
        <f>IF(D31="","",(D31/5)*C31)</f>
        <v/>
      </c>
      <c r="F31" s="25">
        <f>IF(D31="","",IF(D31&gt;=4,"Strong",IF(D31=3,"Developing","Needs Focus")))</f>
        <v/>
      </c>
    </row>
    <row r="32" ht="28" customHeight="1">
      <c r="B32" s="16" t="inlineStr">
        <is>
          <t>Documentation &amp; Notes</t>
        </is>
      </c>
      <c r="C32" s="17" t="n">
        <v>0.05</v>
      </c>
      <c r="D32" s="18">
        <f>IF(C142="",C141,C142)</f>
        <v/>
      </c>
      <c r="E32" s="19">
        <f>IF(D32="","",(D32/5)*C32)</f>
        <v/>
      </c>
      <c r="F32" s="20">
        <f>IF(D32="","",IF(D32&gt;=4,"Strong",IF(D32=3,"Developing","Needs Focus")))</f>
        <v/>
      </c>
    </row>
    <row r="33" ht="24" customHeight="1">
      <c r="B33" s="96" t="inlineStr">
        <is>
          <t>WEIGHTED TOTAL SCORE</t>
        </is>
      </c>
      <c r="C33" s="26">
        <f>SUM(C26:C32)</f>
        <v/>
      </c>
      <c r="D33" s="27" t="n"/>
      <c r="E33" s="28">
        <f>IF(OR(C178="No",C179="No",C180="No",COUNTIF(C182:C192,"Yes")&gt;0,COUNTIF(C157:C172,"Yes")&gt;0),0,SUM(E26:E32))</f>
        <v/>
      </c>
      <c r="F33" s="29">
        <f>IF(E33="","",IF(OR(C178="No",C179="No",C180="No",COUNTIF(C182:C192,"Yes")&gt;0,COUNTIF(C157:C172,"Yes")&gt;0),"AUTO-ZERO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Issue resolved, or the strongest available outcome was achieved (RMA, valid escalation, limitation explained, education)</t>
        </is>
      </c>
      <c r="C39" s="9" t="n"/>
      <c r="D39" s="81" t="n"/>
      <c r="E39" s="82" t="n"/>
      <c r="F39" s="71" t="n"/>
    </row>
    <row r="40" ht="28" customHeight="1">
      <c r="B40" s="83" t="inlineStr">
        <is>
          <t>Reasonable troubleshooting was completed before any conclusion was reached</t>
        </is>
      </c>
      <c r="C40" s="9" t="n"/>
      <c r="D40" s="83" t="n"/>
      <c r="E40" s="82" t="n"/>
      <c r="F40" s="71" t="n"/>
    </row>
    <row r="41" ht="28" customHeight="1">
      <c r="B41" s="81" t="inlineStr">
        <is>
          <t>Clear, actionable next steps were provided to the customer</t>
        </is>
      </c>
      <c r="C41" s="9" t="n"/>
      <c r="D41" s="81" t="n"/>
      <c r="E41" s="82" t="n"/>
      <c r="F41" s="71" t="n"/>
    </row>
    <row r="42" ht="28" customHeight="1">
      <c r="B42" s="83" t="inlineStr">
        <is>
          <t>Resolution path was appropriate for the situation and warranty status</t>
        </is>
      </c>
      <c r="C42" s="9" t="n"/>
      <c r="D42" s="83" t="n"/>
      <c r="E42" s="82" t="n"/>
      <c r="F42" s="71" t="n"/>
    </row>
    <row r="43" ht="28" customHeight="1">
      <c r="B43" s="81" t="inlineStr">
        <is>
          <t>Customer was moved meaningfully closer to a solution</t>
        </is>
      </c>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Symptoms were identified correctly</t>
        </is>
      </c>
      <c r="C52" s="9" t="n"/>
      <c r="D52" s="81" t="n"/>
      <c r="E52" s="82" t="n"/>
      <c r="F52" s="71" t="n"/>
    </row>
    <row r="53" ht="28" customHeight="1">
      <c r="B53" s="83" t="inlineStr">
        <is>
          <t>Relevant diagnostic questions were asked</t>
        </is>
      </c>
      <c r="C53" s="9" t="n"/>
      <c r="D53" s="83" t="n"/>
      <c r="E53" s="82" t="n"/>
      <c r="F53" s="71" t="n"/>
    </row>
    <row r="54" ht="28" customHeight="1">
      <c r="B54" s="81" t="inlineStr">
        <is>
          <t>Logical troubleshooting methodology was followed</t>
        </is>
      </c>
      <c r="C54" s="9" t="n"/>
      <c r="D54" s="81" t="n"/>
      <c r="E54" s="82" t="n"/>
      <c r="F54" s="71" t="n"/>
    </row>
    <row r="55" ht="28" customHeight="1">
      <c r="B55" s="83" t="inlineStr">
        <is>
          <t>Available tools were used appropriately</t>
        </is>
      </c>
      <c r="C55" s="9" t="n"/>
      <c r="D55" s="83" t="n"/>
      <c r="E55" s="82" t="n"/>
      <c r="F55" s="71" t="n"/>
    </row>
    <row r="56" ht="28" customHeight="1">
      <c r="B56" s="81" t="inlineStr">
        <is>
          <t>Information provided was technically accurate</t>
        </is>
      </c>
      <c r="C56" s="9" t="n"/>
      <c r="D56" s="81" t="n"/>
      <c r="E56" s="82" t="n"/>
      <c r="F56" s="71" t="n"/>
    </row>
    <row r="57" ht="28" customHeight="1">
      <c r="B57" s="83" t="inlineStr">
        <is>
          <t>Assumptions were validated; no unsupported conclusions</t>
        </is>
      </c>
      <c r="C57" s="9" t="n"/>
      <c r="D57" s="83" t="n"/>
      <c r="E57" s="82" t="n"/>
      <c r="F57" s="71" t="n"/>
    </row>
    <row r="58" ht="28" customHeight="1">
      <c r="B58" s="81" t="inlineStr">
        <is>
          <t>Root cause (or likely cause) was identified when possible</t>
        </is>
      </c>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control of the troubleshooting flow</t>
        </is>
      </c>
      <c r="C68" s="9" t="n"/>
      <c r="D68" s="83" t="n"/>
      <c r="E68" s="82" t="n"/>
      <c r="F68" s="71" t="n"/>
    </row>
    <row r="69" ht="28" customHeight="1">
      <c r="B69" s="81" t="inlineStr">
        <is>
          <t>Actions were explained in understandable, jargon-free language</t>
        </is>
      </c>
      <c r="C69" s="9" t="n"/>
      <c r="D69" s="81" t="n"/>
      <c r="E69" s="82" t="n"/>
      <c r="F69" s="71" t="n"/>
    </row>
    <row r="70" ht="28" customHeight="1">
      <c r="B70" s="83" t="inlineStr">
        <is>
          <t>Questions were purposeful (no repetitive questioning)</t>
        </is>
      </c>
      <c r="C70" s="9" t="n"/>
      <c r="D70" s="83" t="n"/>
      <c r="E70" s="82" t="n"/>
      <c r="F70" s="71" t="n"/>
    </row>
    <row r="71" ht="28" customHeight="1">
      <c r="B71" s="81" t="inlineStr">
        <is>
          <t>Customer understanding was confirmed at key points</t>
        </is>
      </c>
      <c r="C71" s="9" t="n"/>
      <c r="D71" s="81" t="n"/>
      <c r="E71" s="82" t="n"/>
      <c r="F71" s="71" t="n"/>
    </row>
    <row r="72" ht="28" customHeight="1">
      <c r="B72" s="83" t="inlineStr">
        <is>
          <t>Clear transitions between troubleshooting steps; effective time management</t>
        </is>
      </c>
      <c r="C72" s="9" t="n"/>
      <c r="D72" s="83" t="n"/>
      <c r="E72" s="82" t="n"/>
      <c r="F72" s="71" t="n"/>
    </row>
    <row r="73" ht="28" customHeight="1">
      <c r="B73" s="81" t="inlineStr">
        <is>
          <t>Difficult moments were managed professionally</t>
        </is>
      </c>
      <c r="C73" s="9" t="n"/>
      <c r="D73" s="81" t="n"/>
      <c r="E73" s="82" t="n"/>
      <c r="F73" s="71" t="n"/>
    </row>
    <row r="74" ht="28" customHeight="1">
      <c r="B74" s="83" t="inlineStr">
        <is>
          <t>Communication adapted to the customer's accessibility needs (hearing, vision, age)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Agent demonstrated accountability for the customer's outcome</t>
        </is>
      </c>
      <c r="C83" s="9" t="n"/>
      <c r="D83" s="81" t="n"/>
      <c r="E83" s="82" t="n"/>
      <c r="F83" s="71" t="n"/>
    </row>
    <row r="84" ht="28" customHeight="1">
      <c r="B84" s="83" t="inlineStr">
        <is>
          <t>Unnecessary transfers were avoided</t>
        </is>
      </c>
      <c r="C84" s="9" t="n"/>
      <c r="D84" s="83" t="n"/>
      <c r="E84" s="82" t="n"/>
      <c r="F84" s="71" t="n"/>
    </row>
    <row r="85" ht="28" customHeight="1">
      <c r="B85" s="81" t="inlineStr">
        <is>
          <t>Commitments made during the interaction were followed through</t>
        </is>
      </c>
      <c r="C85" s="9" t="n"/>
      <c r="D85" s="81" t="n"/>
      <c r="E85" s="82" t="n"/>
      <c r="F85" s="71" t="n"/>
    </row>
    <row r="86" ht="28" customHeight="1">
      <c r="B86" s="83" t="inlineStr">
        <is>
          <t>A clear path forward was created for the customer</t>
        </is>
      </c>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Disconnect follow-up completed (callback / email / note) — mark N.A. if no disconnect</t>
        </is>
      </c>
      <c r="C89" s="9" t="n"/>
      <c r="D89" s="81" t="n"/>
      <c r="E89" s="82" t="n"/>
      <c r="F89" s="71" t="n"/>
    </row>
    <row r="90" ht="28" customHeight="1">
      <c r="B90" s="83" t="inlineStr">
        <is>
          <t>Callback commitments were met within the agreed window (or proactively renegotiated before it lapsed)</t>
        </is>
      </c>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Reasonable troubleshooting was completed before escalating</t>
        </is>
      </c>
      <c r="C99" s="9" t="n"/>
      <c r="D99" s="81" t="n"/>
      <c r="E99" s="82" t="n"/>
      <c r="F99" s="71" t="n"/>
    </row>
    <row r="100" ht="28" customHeight="1">
      <c r="B100" s="83" t="inlineStr">
        <is>
          <t>Legitimate escalation criteria were identified (incl. complaint / management / legal-risk triggers)</t>
        </is>
      </c>
      <c r="C100" s="9" t="n"/>
      <c r="D100" s="83" t="n"/>
      <c r="E100" s="82" t="n"/>
      <c r="F100" s="71" t="n"/>
    </row>
    <row r="101" ht="28" customHeight="1">
      <c r="B101" s="81" t="inlineStr">
        <is>
          <t>Escalation contained complete, useful details (logs, findings, steps tried)</t>
        </is>
      </c>
      <c r="C101" s="9" t="n"/>
      <c r="D101" s="81" t="n"/>
      <c r="E101" s="82" t="n"/>
      <c r="F101" s="71" t="n"/>
    </row>
    <row r="102" ht="28" customHeight="1">
      <c r="B102" s="83" t="inlineStr">
        <is>
          <t>Correct escalation path was chosen</t>
        </is>
      </c>
      <c r="C102" s="9" t="n"/>
      <c r="D102" s="83" t="n"/>
      <c r="E102" s="82" t="n"/>
      <c r="F102" s="71" t="n"/>
    </row>
    <row r="103" ht="28" customHeight="1">
      <c r="B103" s="81" t="inlineStr">
        <is>
          <t>Customer expectations about the escalation were set appropriately</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ht="20" customHeight="1">
      <c r="B108" s="80" t="inlineStr">
        <is>
          <t>ESCALATION FOLLOW-UP   ·   Complete only if an escalation was submitted</t>
        </is>
      </c>
      <c r="C108" s="90" t="n"/>
      <c r="D108" s="90" t="n"/>
      <c r="E108" s="90" t="n"/>
      <c r="F108" s="74" t="n"/>
    </row>
    <row r="109" ht="20" customHeight="1">
      <c r="B109" s="13" t="inlineStr">
        <is>
          <t>What did the receiving agent / Level 2 do to resolve or advance this case?</t>
        </is>
      </c>
      <c r="C109" s="123" t="n"/>
      <c r="F109" s="6" t="n"/>
    </row>
    <row r="110" ht="45" customHeight="1">
      <c r="B110" s="124" t="n"/>
      <c r="C110" s="125" t="n"/>
    </row>
    <row r="111" ht="18" customHeight="1">
      <c r="B111" s="80" t="inlineStr">
        <is>
          <t>L1 learning points from this escalation outcome</t>
        </is>
      </c>
      <c r="C111" s="90" t="n"/>
      <c r="D111" s="90" t="n"/>
      <c r="E111" s="90" t="n"/>
      <c r="F111" s="74" t="n"/>
    </row>
    <row r="112" ht="28" customHeight="1">
      <c r="B112" s="13" t="inlineStr">
        <is>
          <t>1.</t>
        </is>
      </c>
      <c r="C112" s="9" t="n"/>
      <c r="D112" s="82" t="n"/>
      <c r="E112" s="82" t="n"/>
      <c r="F112" s="71" t="n"/>
    </row>
    <row r="113" ht="28" customHeight="1">
      <c r="B113" s="13" t="inlineStr">
        <is>
          <t>2.</t>
        </is>
      </c>
      <c r="C113" s="9" t="n"/>
      <c r="D113" s="82" t="n"/>
      <c r="E113" s="82" t="n"/>
      <c r="F113" s="71" t="n"/>
    </row>
    <row r="114" ht="28" customHeight="1">
      <c r="B114" s="13" t="inlineStr">
        <is>
          <t>3.</t>
        </is>
      </c>
      <c r="C114" s="9" t="n"/>
      <c r="D114" s="82" t="n"/>
      <c r="E114" s="82" t="n"/>
      <c r="F114" s="71" t="n"/>
    </row>
    <row r="115" ht="28" customHeight="1">
      <c r="B115" s="83" t="n"/>
      <c r="C115" s="9" t="n"/>
      <c r="D115" s="83" t="n"/>
    </row>
    <row r="116" ht="18" customHeight="1">
      <c r="B116" s="80" t="inlineStr">
        <is>
          <t>6. CUSTOMER EXPERIENCE</t>
        </is>
      </c>
      <c r="C116" s="90" t="n"/>
      <c r="D116" s="90" t="n"/>
      <c r="E116" s="74" t="n"/>
      <c r="F116" s="6" t="inlineStr">
        <is>
          <t>Weight: 5%</t>
        </is>
      </c>
    </row>
    <row r="117" ht="28" customHeight="1">
      <c r="B117" s="121" t="inlineStr">
        <is>
          <t>Objective: Measure the overall customer experience delivered during the interaction.</t>
        </is>
      </c>
      <c r="C117" s="82" t="n"/>
      <c r="D117" s="82" t="n"/>
      <c r="E117" s="82" t="n"/>
      <c r="F117" s="71" t="n"/>
    </row>
    <row r="118" ht="28" customHeight="1">
      <c r="B118" s="94" t="inlineStr">
        <is>
          <t>Behavioral Indicator</t>
        </is>
      </c>
      <c r="C118" s="7" t="inlineStr">
        <is>
          <t>Assessment</t>
        </is>
      </c>
      <c r="D118" s="94" t="inlineStr">
        <is>
          <t>Evidence / Observation (quote or timestamp where possible)</t>
        </is>
      </c>
      <c r="E118" s="82" t="n"/>
      <c r="F118" s="71" t="n"/>
    </row>
    <row r="119" ht="28" customHeight="1">
      <c r="B119" s="81" t="inlineStr">
        <is>
          <t>Empathy was demonstrated (incl. acknowledging cumulative effort and fatigue on repeat contacts)</t>
        </is>
      </c>
      <c r="C119" s="9" t="n"/>
      <c r="D119" s="81" t="n"/>
      <c r="E119" s="82" t="n"/>
      <c r="F119" s="71" t="n"/>
    </row>
    <row r="120" ht="28" customHeight="1">
      <c r="B120" s="83" t="inlineStr">
        <is>
          <t>Professionalism was maintained throughout</t>
        </is>
      </c>
      <c r="C120" s="9" t="n"/>
      <c r="D120" s="83" t="n"/>
      <c r="E120" s="82" t="n"/>
      <c r="F120" s="71" t="n"/>
    </row>
    <row r="121" ht="28" customHeight="1">
      <c r="B121" s="81" t="inlineStr">
        <is>
          <t>Communication style was adapted to the customer</t>
        </is>
      </c>
      <c r="C121" s="9" t="n"/>
      <c r="D121" s="81" t="n"/>
      <c r="E121" s="82" t="n"/>
      <c r="F121" s="71" t="n"/>
    </row>
    <row r="122" ht="28" customHeight="1">
      <c r="B122" s="83" t="inlineStr">
        <is>
          <t>Patience was maintained, even under pressure</t>
        </is>
      </c>
      <c r="C122" s="9" t="n"/>
      <c r="D122" s="83" t="n"/>
      <c r="E122" s="82" t="n"/>
      <c r="F122" s="71" t="n"/>
    </row>
    <row r="123" ht="28" customHeight="1">
      <c r="B123" s="81" t="inlineStr">
        <is>
          <t>Customer effort was reduced where possible</t>
        </is>
      </c>
      <c r="C123" s="9" t="n"/>
      <c r="D123" s="81" t="n"/>
      <c r="E123" s="82" t="n"/>
      <c r="F123" s="71" t="n"/>
    </row>
    <row r="124" ht="28" customHeight="1">
      <c r="B124" s="83" t="inlineStr">
        <is>
          <t>Customer felt heard, understood next steps, and remained engaged</t>
        </is>
      </c>
      <c r="C124" s="9" t="n"/>
      <c r="D124" s="83" t="n"/>
      <c r="E124" s="82" t="n"/>
      <c r="F124" s="71" t="n"/>
    </row>
    <row r="125" ht="28" customHeight="1">
      <c r="B125" s="85" t="inlineStr">
        <is>
          <t>⚠ Negative indicators: dismissive responses; robotic interactions; frustration escalation caused by agent behavior; marathon sessions pushed onto vulnerable customers without offering to pause and resume.</t>
        </is>
      </c>
      <c r="C125" s="82" t="n"/>
      <c r="D125" s="82" t="n"/>
      <c r="E125" s="82" t="n"/>
      <c r="F125" s="71" t="n"/>
    </row>
    <row r="126" ht="28" customHeight="1">
      <c r="B126" s="11" t="inlineStr">
        <is>
          <t>Auto score (0–5) from indicator ratings — applies unless overridden</t>
        </is>
      </c>
      <c r="C126" s="122">
        <f>IF((COUNTIF(C119:C124,"Met")+COUNTIF(C119:C124,"Partial")+COUNTIF(C119:C124,"Missed"))=0,"",ROUND((COUNTIF(C119:C124,"Met")*5+COUNTIF(C119:C124,"Partial")*2.5)/(COUNTIF(C119:C124,"Met")+COUNTIF(C119:C124,"Partial")+COUNTIF(C119:C124,"Missed")),0))</f>
        <v/>
      </c>
      <c r="D126" s="92" t="n"/>
      <c r="E126" s="82" t="n"/>
      <c r="F126" s="71" t="n"/>
    </row>
    <row r="127" ht="24" customHeight="1">
      <c r="B127" s="13" t="inlineStr">
        <is>
          <t>FINAL SCORE — leave blank to use the auto score; type 0–5 to override</t>
        </is>
      </c>
      <c r="C127" s="14" t="n"/>
      <c r="D127" s="84">
        <f>IF(IF(C127="",C126,C127)="","← rate the indicators above (auto-scores), or type an override",CHOOSE(IF(C127="",C126,C127)+1,"Agent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7" s="82" t="n"/>
      <c r="F127" s="71" t="n"/>
    </row>
    <row r="128" ht="36" customHeight="1">
      <c r="B128" s="13" t="inlineStr">
        <is>
          <t>Professionalism was maintained, but the customer's confidence and engagement collapsed by the end of this touch.</t>
        </is>
      </c>
      <c r="C128" s="86" t="n"/>
      <c r="D128" s="82" t="n"/>
      <c r="E128" s="82" t="n"/>
      <c r="F128" s="71" t="n"/>
    </row>
    <row r="129" ht="28" customHeight="1">
      <c r="B129" s="85" t="n"/>
      <c r="C129" s="9" t="n"/>
      <c r="D129" s="83" t="n"/>
    </row>
    <row r="130" ht="18" customHeight="1">
      <c r="B130" s="80" t="inlineStr">
        <is>
          <t>7. DOCUMENTATION &amp; NOTES</t>
        </is>
      </c>
      <c r="C130" s="90" t="n"/>
      <c r="D130" s="90" t="n"/>
      <c r="E130" s="74" t="n"/>
      <c r="F130" s="6" t="inlineStr">
        <is>
          <t>Weight: 5%</t>
        </is>
      </c>
    </row>
    <row r="131" ht="28" customHeight="1">
      <c r="B131" s="121" t="inlineStr">
        <is>
          <t>Objective: Ensure future agents can quickly understand the case. Purpose is continuity, not compliance.</t>
        </is>
      </c>
      <c r="C131" s="82" t="n"/>
      <c r="D131" s="82" t="n"/>
      <c r="E131" s="82" t="n"/>
      <c r="F131" s="71" t="n"/>
    </row>
    <row r="132" ht="36" customHeight="1">
      <c r="B132" s="94" t="inlineStr">
        <is>
          <t>Behavioral Indicator</t>
        </is>
      </c>
      <c r="C132" s="7" t="inlineStr">
        <is>
          <t>Assessment</t>
        </is>
      </c>
      <c r="D132" s="94" t="inlineStr">
        <is>
          <t>Evidence / Observation (quote or timestamp where possible)</t>
        </is>
      </c>
      <c r="E132" s="82" t="n"/>
      <c r="F132" s="71" t="n"/>
    </row>
    <row r="133" ht="28" customHeight="1">
      <c r="B133" s="81" t="inlineStr">
        <is>
          <t>Customer issue summary recorded</t>
        </is>
      </c>
      <c r="C133" s="9" t="n"/>
      <c r="D133" s="81" t="n"/>
      <c r="E133" s="82" t="n"/>
      <c r="F133" s="71" t="n"/>
    </row>
    <row r="134" ht="28" customHeight="1">
      <c r="B134" s="83" t="inlineStr">
        <is>
          <t>Troubleshooting performed is documented</t>
        </is>
      </c>
      <c r="C134" s="9" t="n"/>
      <c r="D134" s="83" t="n"/>
      <c r="E134" s="82" t="n"/>
      <c r="F134" s="71" t="n"/>
    </row>
    <row r="135" ht="28" customHeight="1">
      <c r="B135" s="81" t="inlineStr">
        <is>
          <t>Key findings / discoveries noted</t>
        </is>
      </c>
      <c r="C135" s="9" t="n"/>
      <c r="D135" s="81" t="n"/>
      <c r="E135" s="82" t="n"/>
      <c r="F135" s="71" t="n"/>
    </row>
    <row r="136" ht="28" customHeight="1">
      <c r="B136" s="83" t="inlineStr">
        <is>
          <t>Agent reasoning is captured</t>
        </is>
      </c>
      <c r="C136" s="9" t="n"/>
      <c r="D136" s="83" t="n"/>
      <c r="E136" s="82" t="n"/>
      <c r="F136" s="71" t="n"/>
    </row>
    <row r="137" ht="28" customHeight="1">
      <c r="B137" s="81" t="inlineStr">
        <is>
          <t>Escalation justification included — mark N.A. if no escalation</t>
        </is>
      </c>
      <c r="C137" s="9" t="n"/>
      <c r="D137" s="81" t="n"/>
      <c r="E137" s="82" t="n"/>
      <c r="F137" s="71" t="n"/>
    </row>
    <row r="138" ht="28" customHeight="1">
      <c r="B138" s="83" t="inlineStr">
        <is>
          <t>Next steps and follow-up actions listed (incl. callback records)</t>
        </is>
      </c>
      <c r="C138" s="9" t="n"/>
      <c r="D138" s="83" t="n"/>
      <c r="E138" s="82" t="n"/>
      <c r="F138" s="71" t="n"/>
    </row>
    <row r="139" ht="28" customHeight="1">
      <c r="B139" s="81" t="inlineStr">
        <is>
          <t>Ticket status accurately reflects case state (no premature RESOLVED; closure reason documented)</t>
        </is>
      </c>
      <c r="C139" s="9" t="n"/>
      <c r="D139" s="81" t="n"/>
      <c r="E139" s="82" t="n"/>
      <c r="F139" s="71" t="n"/>
    </row>
    <row r="140" ht="28" customHeight="1">
      <c r="B140" s="85" t="inlineStr">
        <is>
          <t>⚠ Documentation supports outcomes but should not outweigh troubleshooting quality, communication, or ownership. Notes must carry the FULL history — including pre-ticket contacts — so no agent treats a long-running case as new.</t>
        </is>
      </c>
      <c r="C140" s="82" t="n"/>
      <c r="D140" s="82" t="n"/>
      <c r="E140" s="82" t="n"/>
      <c r="F140" s="71" t="n"/>
    </row>
    <row r="141" ht="52" customHeight="1">
      <c r="B141" s="11" t="inlineStr">
        <is>
          <t>Auto score (0–5) from indicator ratings — applies unless overridden</t>
        </is>
      </c>
      <c r="C141" s="122">
        <f>IF((COUNTIF(C133:C139,"Met")+COUNTIF(C133:C139,"Partial")+COUNTIF(C133:C139,"Missed"))=0,"",ROUND((COUNTIF(C133:C139,"Met")*5+COUNTIF(C133:C139,"Partial")*2.5)/(COUNTIF(C133:C139,"Met")+COUNTIF(C133:C139,"Partial")+COUNTIF(C133:C139,"Missed")),0))</f>
        <v/>
      </c>
      <c r="D141" s="92" t="n"/>
      <c r="E141" s="82" t="n"/>
      <c r="F141" s="71" t="n"/>
    </row>
    <row r="142" ht="24" customHeight="1">
      <c r="B142" s="13" t="inlineStr">
        <is>
          <t>FINAL SCORE — leave blank to use the auto score; type 0–5 to override</t>
        </is>
      </c>
      <c r="C142" s="14" t="n"/>
      <c r="D142" s="84">
        <f>IF(IF(C142="",C141,C142)="","← rate the indicators above (auto-scores), or type an override",CHOOSE(IF(C142="",C141,C142)+1,"Agent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42" s="82" t="n"/>
      <c r="F142" s="71" t="n"/>
    </row>
    <row r="143" ht="36" customHeight="1">
      <c r="B143" s="13" t="inlineStr">
        <is>
          <t>Escalation steps are documented, but the case record does not carry the full history forward, and ticket status does not reflect reality.</t>
        </is>
      </c>
      <c r="C143" s="86" t="n"/>
      <c r="D143" s="82" t="n"/>
      <c r="E143" s="82" t="n"/>
      <c r="F143" s="71" t="n"/>
    </row>
    <row r="144">
      <c r="B144" s="80" t="n"/>
    </row>
    <row r="145" ht="30" customHeight="1">
      <c r="B145" s="80" t="n"/>
      <c r="C145" s="9" t="n"/>
      <c r="D145" s="85" t="n"/>
    </row>
    <row r="146" ht="30" customHeight="1">
      <c r="B146" s="80" t="inlineStr">
        <is>
          <t>4 · RESOLUTION OUTCOME</t>
        </is>
      </c>
      <c r="C146" s="90" t="n"/>
      <c r="D146" s="90" t="n"/>
      <c r="E146" s="90" t="n"/>
      <c r="F146" s="74" t="n"/>
    </row>
    <row r="147">
      <c r="B147" s="94" t="inlineStr">
        <is>
          <t>Outcome classification</t>
        </is>
      </c>
      <c r="C147" s="97" t="n"/>
      <c r="D147" s="82" t="n"/>
      <c r="E147" s="82" t="n"/>
      <c r="F147" s="71" t="n"/>
    </row>
    <row r="148" ht="52" customHeight="1">
      <c r="B148" s="87" t="inlineStr">
        <is>
          <t>Primary positive outcome achieved</t>
        </is>
      </c>
      <c r="C148" s="88" t="n"/>
      <c r="D148" s="82" t="n"/>
      <c r="E148" s="82" t="n"/>
      <c r="F148" s="71" t="n"/>
    </row>
    <row r="149" ht="52" customHeight="1">
      <c r="B149" s="94" t="inlineStr">
        <is>
          <t>Justification</t>
        </is>
      </c>
      <c r="C149" s="86" t="n"/>
      <c r="D149" s="82" t="n"/>
      <c r="E149" s="82" t="n"/>
      <c r="F149" s="71" t="n"/>
    </row>
    <row r="150" ht="26" customHeight="1">
      <c r="B150" s="80" t="n"/>
      <c r="C150" s="9" t="n"/>
      <c r="D150" s="81" t="n"/>
    </row>
    <row r="151" ht="26" customHeight="1">
      <c r="B151" s="80" t="inlineStr">
        <is>
          <t>5 · DISCONNECTED CALL FOLLOW-UP</t>
        </is>
      </c>
      <c r="C151" s="90" t="n"/>
      <c r="D151" s="90" t="n"/>
      <c r="E151" s="90" t="n"/>
      <c r="F151" s="74" t="n"/>
    </row>
    <row r="152" ht="30" customHeight="1">
      <c r="B152" s="87" t="inlineStr">
        <is>
          <t>Did the interaction disconnect before completion?</t>
        </is>
      </c>
      <c r="C152" s="9" t="inlineStr">
        <is>
          <t>No</t>
        </is>
      </c>
      <c r="D152" s="85" t="inlineStr">
        <is>
          <t>If Yes, at least one documented follow-up action is required.</t>
        </is>
      </c>
      <c r="E152" s="82" t="n"/>
      <c r="F152" s="71" t="n"/>
    </row>
    <row r="153" ht="30" customHeight="1">
      <c r="B153" s="94" t="inlineStr">
        <is>
          <t>Follow-up action taken</t>
        </is>
      </c>
      <c r="C153" s="88" t="inlineStr">
        <is>
          <t>N.A. — no disconnect</t>
        </is>
      </c>
      <c r="D153" s="71" t="n"/>
      <c r="E153" s="79">
        <f>IF(AND(C152="Yes",OR(C153="None",C153="N.A. — no disconnect")),"⚠ MISSED OWNERSHIP OPPORTUNITY — flag in Customer Ownership and Critical Failures","OK")</f>
        <v/>
      </c>
      <c r="F153" s="71" t="n"/>
    </row>
    <row r="154" ht="26" customHeight="1">
      <c r="B154" s="98" t="n"/>
      <c r="C154" s="9" t="n"/>
      <c r="D154" s="81" t="n"/>
    </row>
    <row r="155" ht="26" customHeight="1">
      <c r="B155" s="98" t="inlineStr">
        <is>
          <t>6 · CRITICAL FAILURE CONDITIONS  (any 'Yes' triggers automatic review / coaching / QA failure regardless of score)</t>
        </is>
      </c>
      <c r="C155" s="90" t="n"/>
      <c r="D155" s="90" t="n"/>
      <c r="E155" s="90" t="n"/>
      <c r="F155" s="74" t="n"/>
    </row>
    <row r="156" ht="26" customHeight="1">
      <c r="B156" s="80" t="inlineStr">
        <is>
          <t>Condition</t>
        </is>
      </c>
      <c r="C156" s="119" t="inlineStr">
        <is>
          <t>Present?</t>
        </is>
      </c>
      <c r="D156" s="80" t="inlineStr">
        <is>
          <t>Notes / Evidence</t>
        </is>
      </c>
      <c r="E156" s="90" t="n"/>
      <c r="F156" s="74" t="n"/>
    </row>
    <row r="157" ht="26" customHeight="1">
      <c r="B157" s="81" t="inlineStr">
        <is>
          <t>Harmful or incorrect troubleshooting provided</t>
        </is>
      </c>
      <c r="C157" s="9" t="inlineStr">
        <is>
          <t>No</t>
        </is>
      </c>
      <c r="D157" s="81" t="n"/>
      <c r="E157" s="82" t="n"/>
      <c r="F157" s="71" t="n"/>
    </row>
    <row r="158" ht="26" customHeight="1">
      <c r="B158" s="83" t="inlineStr">
        <is>
          <t>Misrepresented product capabilities</t>
        </is>
      </c>
      <c r="C158" s="9" t="inlineStr">
        <is>
          <t>No</t>
        </is>
      </c>
      <c r="D158" s="83" t="n"/>
      <c r="E158" s="82" t="n"/>
      <c r="F158" s="71" t="n"/>
    </row>
    <row r="159" ht="26" customHeight="1">
      <c r="B159" s="81" t="inlineStr">
        <is>
          <t>Unsupported root-cause claims (e.g., ISP/customer blame w/o evidence)</t>
        </is>
      </c>
      <c r="C159" s="9" t="inlineStr">
        <is>
          <t>No</t>
        </is>
      </c>
      <c r="D159" s="81" t="n"/>
      <c r="E159" s="82" t="n"/>
      <c r="F159" s="71" t="n"/>
    </row>
    <row r="160" ht="26" customHeight="1">
      <c r="B160" s="83" t="inlineStr">
        <is>
          <t>No follow-up after disconnected call</t>
        </is>
      </c>
      <c r="C160" s="9" t="inlineStr">
        <is>
          <t>No</t>
        </is>
      </c>
      <c r="D160" s="83" t="n"/>
      <c r="E160" s="82" t="n"/>
      <c r="F160" s="71" t="n"/>
    </row>
    <row r="161" ht="26" customHeight="1">
      <c r="B161" s="81" t="inlineStr">
        <is>
          <t>Failed to complete a promised action (incl. missed agreed callback window)</t>
        </is>
      </c>
      <c r="C161" s="9" t="inlineStr">
        <is>
          <t>No</t>
        </is>
      </c>
      <c r="D161" s="81" t="n"/>
      <c r="E161" s="82" t="n"/>
      <c r="F161" s="71" t="n"/>
    </row>
    <row r="162" ht="26" customHeight="1">
      <c r="B162" s="83" t="inlineStr">
        <is>
          <t>Abandoned customer without a path forward</t>
        </is>
      </c>
      <c r="C162" s="9" t="inlineStr">
        <is>
          <t>No</t>
        </is>
      </c>
      <c r="D162" s="83" t="n"/>
      <c r="E162" s="82" t="n"/>
      <c r="F162" s="71" t="n"/>
    </row>
    <row r="163" ht="26" customHeight="1">
      <c r="B163" s="81" t="inlineStr">
        <is>
          <t>Escalated without reasonable troubleshooting / to avoid ownership</t>
        </is>
      </c>
      <c r="C163" s="9" t="inlineStr">
        <is>
          <t>No</t>
        </is>
      </c>
      <c r="D163" s="81" t="n"/>
      <c r="E163" s="82" t="n"/>
      <c r="F163" s="71" t="n"/>
    </row>
    <row r="164" ht="26" customHeight="1">
      <c r="B164" s="83" t="inlineStr">
        <is>
          <t>Unprofessional, rude, or dismissive conduct / policy violation</t>
        </is>
      </c>
      <c r="C164" s="9" t="inlineStr">
        <is>
          <t>No</t>
        </is>
      </c>
      <c r="D164" s="83" t="n"/>
      <c r="E164" s="82" t="n"/>
      <c r="F164" s="71" t="n"/>
    </row>
    <row r="165" ht="26" customHeight="1">
      <c r="B165" s="81" t="inlineStr">
        <is>
          <t>Compliance / security violation (e.g., payment card data spoken or stored in plaintext — PCI DSS)</t>
        </is>
      </c>
      <c r="C165" s="9" t="inlineStr">
        <is>
          <t>No</t>
        </is>
      </c>
      <c r="D165" s="81" t="n"/>
      <c r="E165" s="82" t="n"/>
      <c r="F165" s="71" t="n"/>
    </row>
    <row r="166" ht="26" customHeight="1">
      <c r="B166" s="83" t="inlineStr">
        <is>
          <t>Case marked Resolved while issue known to be unresolved (premature closure / no closure reason)</t>
        </is>
      </c>
      <c r="C166" s="9" t="inlineStr">
        <is>
          <t>No</t>
        </is>
      </c>
      <c r="D166" s="83" t="n"/>
      <c r="E166" s="82" t="n"/>
      <c r="F166" s="71" t="n"/>
    </row>
    <row r="167" ht="26" customHeight="1">
      <c r="B167" s="81" t="inlineStr">
        <is>
          <t>Customer complaint, management-contact, or legal-risk request not escalated</t>
        </is>
      </c>
      <c r="C167" s="9" t="inlineStr">
        <is>
          <t>No</t>
        </is>
      </c>
      <c r="D167" s="81" t="n"/>
      <c r="E167" s="82" t="n"/>
      <c r="F167" s="71" t="n"/>
    </row>
    <row r="168" ht="26" customHeight="1">
      <c r="B168" s="81" t="inlineStr">
        <is>
          <t>Line release — agent ended a live, unresolved contact</t>
        </is>
      </c>
      <c r="C168" s="9" t="inlineStr">
        <is>
          <t>No</t>
        </is>
      </c>
      <c r="D168" s="81" t="n"/>
      <c r="E168" s="82" t="n"/>
      <c r="F168" s="71" t="n"/>
    </row>
    <row r="169" ht="26" customHeight="1">
      <c r="B169" s="81" t="inlineStr">
        <is>
          <t>Call / session avoidance or evasion</t>
        </is>
      </c>
      <c r="C169" s="9" t="inlineStr">
        <is>
          <t>No</t>
        </is>
      </c>
      <c r="D169" s="81" t="n"/>
      <c r="E169" s="82" t="n"/>
      <c r="F169" s="71" t="n"/>
    </row>
    <row r="170" ht="26" customHeight="1">
      <c r="B170" s="81" t="inlineStr">
        <is>
          <t>Survey / CSAT manipulation</t>
        </is>
      </c>
      <c r="C170" s="9" t="inlineStr">
        <is>
          <t>No</t>
        </is>
      </c>
      <c r="D170" s="81" t="n"/>
      <c r="E170" s="82" t="n"/>
      <c r="F170" s="71" t="n"/>
    </row>
    <row r="171" ht="26" customHeight="1">
      <c r="B171" s="81" t="inlineStr">
        <is>
          <t>Hard-selling or other sales-related irregularity</t>
        </is>
      </c>
      <c r="C171" s="9" t="inlineStr">
        <is>
          <t>No</t>
        </is>
      </c>
      <c r="D171" s="81" t="n"/>
      <c r="E171" s="82" t="n"/>
      <c r="F171" s="71" t="n"/>
    </row>
    <row r="172" ht="26" customHeight="1">
      <c r="B172" s="81" t="inlineStr">
        <is>
          <t>Unofficial email used, or failed to capture customer email</t>
        </is>
      </c>
      <c r="C172" s="9" t="inlineStr">
        <is>
          <t>No</t>
        </is>
      </c>
      <c r="D172" s="81" t="n"/>
      <c r="E172" s="82" t="n"/>
      <c r="F172" s="71" t="n"/>
    </row>
    <row r="173" ht="26" customHeight="1">
      <c r="B173" s="98" t="inlineStr">
        <is>
          <t>CRITICAL FAILURE FLAGGED?</t>
        </is>
      </c>
      <c r="C173" s="93">
        <f>IF(COUNTIF(C157:C172,"Yes")&gt;0,"YES — "&amp;COUNTIF(C157:C172,"Yes")&amp;" condition(s) flagged — automatic review required regardless of weighted score","No critical failures")</f>
        <v/>
      </c>
      <c r="D173" s="90" t="n"/>
      <c r="E173" s="90" t="n"/>
      <c r="F173" s="74" t="n"/>
    </row>
    <row r="174" ht="20" customHeight="1">
      <c r="B174" s="96" t="n"/>
      <c r="C174" s="119" t="n"/>
      <c r="D174" s="80" t="n"/>
    </row>
    <row r="175" ht="22" customHeight="1">
      <c r="B175" s="98" t="inlineStr">
        <is>
          <t>7 · AUTO-ZERO   (from the 360 Form — any trigger forces the Quality Score to 0%)</t>
        </is>
      </c>
      <c r="C175" s="90" t="n"/>
      <c r="D175" s="90" t="n"/>
      <c r="E175" s="90" t="n"/>
      <c r="F175" s="74" t="n"/>
    </row>
    <row r="176" ht="30" customHeight="1">
      <c r="B176" s="85" t="inlineStr">
        <is>
          <t>A gate marked 'No', any A–K item marked 'Yes', or any §6 critical-failure condition forces the weighted Quality Score (§3) to 0%. Category scores still show for coaching.</t>
        </is>
      </c>
      <c r="C176" s="82" t="n"/>
      <c r="D176" s="82" t="n"/>
      <c r="E176" s="82" t="n"/>
      <c r="F176" s="71" t="n"/>
    </row>
    <row r="177" ht="30" customHeight="1">
      <c r="B177" s="80" t="inlineStr">
        <is>
          <t>Compliance gate  (mark Yes if adhered)</t>
        </is>
      </c>
      <c r="C177" s="119" t="inlineStr">
        <is>
          <t>Adherent?</t>
        </is>
      </c>
      <c r="D177" s="80" t="inlineStr">
        <is>
          <t>Notes / Evidence</t>
        </is>
      </c>
      <c r="E177" s="90" t="n"/>
      <c r="F177" s="74" t="n"/>
    </row>
    <row r="178" ht="26" customHeight="1">
      <c r="B178" s="81" t="inlineStr">
        <is>
          <t>Adherence to Callback Hours</t>
        </is>
      </c>
      <c r="C178" s="9" t="inlineStr">
        <is>
          <t>Yes</t>
        </is>
      </c>
      <c r="D178" s="81" t="n"/>
      <c r="E178" s="82" t="n"/>
      <c r="F178" s="71" t="n"/>
    </row>
    <row r="179" ht="26" customHeight="1">
      <c r="B179" s="81" t="inlineStr">
        <is>
          <t>Adherence to PCI &amp; Information Security Standards</t>
        </is>
      </c>
      <c r="C179" s="9" t="inlineStr">
        <is>
          <t>Yes</t>
        </is>
      </c>
      <c r="D179" s="81" t="n"/>
      <c r="E179" s="82" t="n"/>
      <c r="F179" s="71" t="n"/>
    </row>
    <row r="180" ht="26" customHeight="1">
      <c r="B180" s="81" t="inlineStr">
        <is>
          <t>Sales</t>
        </is>
      </c>
      <c r="C180" s="9" t="inlineStr">
        <is>
          <t>Yes</t>
        </is>
      </c>
      <c r="D180" s="81" t="n"/>
      <c r="E180" s="82" t="n"/>
      <c r="F180" s="71" t="n"/>
    </row>
    <row r="181" ht="32" customHeight="1">
      <c r="B181" s="80" t="inlineStr">
        <is>
          <t>AUTO-ZERO list — A to K  (mark Yes if it occurred)</t>
        </is>
      </c>
      <c r="C181" s="119" t="inlineStr">
        <is>
          <t>Occurred?</t>
        </is>
      </c>
      <c r="D181" s="80" t="inlineStr">
        <is>
          <t>Notes / Evidence</t>
        </is>
      </c>
      <c r="E181" s="90" t="n"/>
      <c r="F181" s="74" t="n"/>
    </row>
    <row r="182" ht="26" customHeight="1">
      <c r="B182" s="81" t="inlineStr">
        <is>
          <t>A.  Call / Session Abandonment</t>
        </is>
      </c>
      <c r="C182" s="9" t="inlineStr">
        <is>
          <t>No</t>
        </is>
      </c>
      <c r="D182" s="81" t="n"/>
      <c r="E182" s="82" t="n"/>
      <c r="F182" s="71" t="n"/>
    </row>
    <row r="183" ht="26" customHeight="1">
      <c r="B183" s="81" t="inlineStr">
        <is>
          <t>B.  Call / Session Avoidance / Evasion</t>
        </is>
      </c>
      <c r="C183" s="9" t="inlineStr">
        <is>
          <t>No</t>
        </is>
      </c>
      <c r="D183" s="81" t="n"/>
      <c r="E183" s="82" t="n"/>
      <c r="F183" s="71" t="n"/>
    </row>
    <row r="184" ht="26" customHeight="1">
      <c r="B184" s="81" t="inlineStr">
        <is>
          <t>C.  Discourtesy</t>
        </is>
      </c>
      <c r="C184" s="9" t="inlineStr">
        <is>
          <t>No</t>
        </is>
      </c>
      <c r="D184" s="81" t="n"/>
      <c r="E184" s="82" t="n"/>
      <c r="F184" s="71" t="n"/>
    </row>
    <row r="185" ht="26" customHeight="1">
      <c r="B185" s="81" t="inlineStr">
        <is>
          <t>D.  Escalation</t>
        </is>
      </c>
      <c r="C185" s="9" t="inlineStr">
        <is>
          <t>No</t>
        </is>
      </c>
      <c r="D185" s="81" t="n"/>
      <c r="E185" s="82" t="n"/>
      <c r="F185" s="71" t="n"/>
    </row>
    <row r="186" ht="26" customHeight="1">
      <c r="B186" s="81" t="inlineStr">
        <is>
          <t>E.  Failure to ask for the email address</t>
        </is>
      </c>
      <c r="C186" s="9" t="inlineStr">
        <is>
          <t>No</t>
        </is>
      </c>
      <c r="D186" s="81" t="n"/>
      <c r="E186" s="82" t="n"/>
      <c r="F186" s="71" t="n"/>
    </row>
    <row r="187" ht="26" customHeight="1">
      <c r="B187" s="81" t="inlineStr">
        <is>
          <t>F.  Fraud</t>
        </is>
      </c>
      <c r="C187" s="9" t="inlineStr">
        <is>
          <t>No</t>
        </is>
      </c>
      <c r="D187" s="81" t="n"/>
      <c r="E187" s="82" t="n"/>
      <c r="F187" s="71" t="n"/>
    </row>
    <row r="188" ht="26" customHeight="1">
      <c r="B188" s="81" t="inlineStr">
        <is>
          <t>G.  Hard-selling</t>
        </is>
      </c>
      <c r="C188" s="9" t="inlineStr">
        <is>
          <t>No</t>
        </is>
      </c>
      <c r="D188" s="81" t="n"/>
      <c r="E188" s="82" t="n"/>
      <c r="F188" s="71" t="n"/>
    </row>
    <row r="189" ht="26" customHeight="1">
      <c r="B189" s="81" t="inlineStr">
        <is>
          <t>H.  Line Release</t>
        </is>
      </c>
      <c r="C189" s="9" t="inlineStr">
        <is>
          <t>No</t>
        </is>
      </c>
      <c r="D189" s="81" t="n"/>
      <c r="E189" s="82" t="n"/>
      <c r="F189" s="71" t="n"/>
    </row>
    <row r="190" ht="26" customHeight="1">
      <c r="B190" s="81" t="inlineStr">
        <is>
          <t>I.  Non-Adherence to Callback Hours</t>
        </is>
      </c>
      <c r="C190" s="9" t="inlineStr">
        <is>
          <t>No</t>
        </is>
      </c>
      <c r="D190" s="81" t="n"/>
      <c r="E190" s="82" t="n"/>
      <c r="F190" s="71" t="n"/>
    </row>
    <row r="191" ht="26" customHeight="1">
      <c r="B191" s="81" t="inlineStr">
        <is>
          <t>J.  Non-Adherence to PCI and Information Security Standards</t>
        </is>
      </c>
      <c r="C191" s="9" t="inlineStr">
        <is>
          <t>No</t>
        </is>
      </c>
      <c r="D191" s="81" t="n"/>
      <c r="E191" s="82" t="n"/>
      <c r="F191" s="71" t="n"/>
    </row>
    <row r="192" ht="26" customHeight="1">
      <c r="B192" s="81" t="inlineStr">
        <is>
          <t>K.  Non-First Call Resolution</t>
        </is>
      </c>
      <c r="C192" s="9" t="inlineStr">
        <is>
          <t>No</t>
        </is>
      </c>
      <c r="D192" s="81" t="n"/>
      <c r="E192" s="82" t="n"/>
      <c r="F192" s="71" t="n"/>
    </row>
    <row r="193" ht="24" customHeight="1">
      <c r="B193" s="98" t="inlineStr">
        <is>
          <t>AUTO-ZERO TRIGGERED?</t>
        </is>
      </c>
      <c r="C193" s="93">
        <f>IF(OR(C178="No",C179="No",C180="No",COUNTIF(C182:C192,"Yes")&gt;0,COUNTIF(C157:C172,"Yes")&gt;0),"YES — Quality Score forced to 0%","No")</f>
        <v/>
      </c>
      <c r="D193" s="90" t="n"/>
      <c r="E193" s="90" t="n"/>
      <c r="F193" s="74" t="n"/>
    </row>
    <row r="194" ht="58" customHeight="1">
      <c r="B194" s="86" t="n"/>
      <c r="C194" s="86" t="n"/>
    </row>
    <row r="195" ht="20" customHeight="1">
      <c r="B195" s="96" t="inlineStr">
        <is>
          <t>8 · COACHING &amp; FEEDBACK   (every review answers the three QA questions below)</t>
        </is>
      </c>
      <c r="C195" s="90" t="n"/>
      <c r="D195" s="90" t="n"/>
      <c r="E195" s="90" t="n"/>
      <c r="F195" s="74" t="n"/>
    </row>
    <row r="196" ht="30" customHeight="1">
      <c r="B196" s="91" t="inlineStr">
        <is>
          <t>Q1 · Did we help the customer as effectively as we reasonably could?</t>
        </is>
      </c>
      <c r="C196" s="90" t="n"/>
      <c r="D196" s="90" t="n"/>
      <c r="E196" s="90" t="n"/>
      <c r="F196" s="74" t="n"/>
    </row>
    <row r="197" ht="58" customHeight="1">
      <c r="B197" s="86" t="n"/>
      <c r="C197" s="82" t="n"/>
      <c r="D197" s="82" t="n"/>
      <c r="E197" s="82" t="n"/>
      <c r="F197" s="71" t="n"/>
    </row>
    <row r="198" ht="30" customHeight="1">
      <c r="B198" s="91" t="inlineStr">
        <is>
          <t>Q2 · Did the agent demonstrate strong technical and communication behavior?</t>
        </is>
      </c>
      <c r="C198" s="90" t="n"/>
      <c r="D198" s="90" t="n"/>
      <c r="E198" s="90" t="n"/>
      <c r="F198" s="74" t="n"/>
    </row>
    <row r="199" ht="24" customHeight="1">
      <c r="B199" s="87" t="inlineStr">
        <is>
          <t>What went well — behaviors to repeat</t>
        </is>
      </c>
      <c r="C199" s="82" t="n"/>
      <c r="D199" s="82" t="n"/>
      <c r="E199" s="82" t="n"/>
      <c r="F199" s="71" t="n"/>
    </row>
    <row r="200" ht="32" customHeight="1">
      <c r="B200" s="7" t="inlineStr">
        <is>
          <t>1.</t>
        </is>
      </c>
      <c r="C200" s="86" t="n"/>
      <c r="D200" s="82" t="n"/>
      <c r="E200" s="82" t="n"/>
      <c r="F200" s="71" t="n"/>
    </row>
    <row r="201" ht="32" customHeight="1">
      <c r="B201" s="7" t="inlineStr">
        <is>
          <t>2.</t>
        </is>
      </c>
      <c r="C201" s="86" t="n"/>
      <c r="D201" s="82" t="n"/>
      <c r="E201" s="82" t="n"/>
      <c r="F201" s="71" t="n"/>
    </row>
    <row r="202" ht="32" customHeight="1">
      <c r="B202" s="7" t="inlineStr">
        <is>
          <t>3.</t>
        </is>
      </c>
      <c r="C202" s="86" t="n"/>
      <c r="D202" s="82" t="n"/>
      <c r="E202" s="82" t="n"/>
      <c r="F202" s="71" t="n"/>
    </row>
    <row r="203" ht="24" customHeight="1">
      <c r="B203" s="87" t="inlineStr">
        <is>
          <t>Improvement opportunities — behaviors to improve</t>
        </is>
      </c>
      <c r="C203" s="82" t="n"/>
      <c r="D203" s="82" t="n"/>
      <c r="E203" s="82" t="n"/>
      <c r="F203" s="71" t="n"/>
    </row>
    <row r="204" ht="32" customHeight="1">
      <c r="B204" s="7" t="inlineStr">
        <is>
          <t>1.</t>
        </is>
      </c>
      <c r="C204" s="86" t="n"/>
      <c r="D204" s="82" t="n"/>
      <c r="E204" s="82" t="n"/>
      <c r="F204" s="71" t="n"/>
    </row>
    <row r="205" ht="32" customHeight="1">
      <c r="B205" s="7" t="inlineStr">
        <is>
          <t>2.</t>
        </is>
      </c>
      <c r="C205" s="86" t="n"/>
      <c r="D205" s="82" t="n"/>
      <c r="E205" s="82" t="n"/>
      <c r="F205" s="71" t="n"/>
    </row>
    <row r="206" ht="32" customHeight="1">
      <c r="B206" s="7" t="inlineStr">
        <is>
          <t>3.</t>
        </is>
      </c>
      <c r="C206" s="86" t="n"/>
      <c r="D206" s="82" t="n"/>
      <c r="E206" s="82" t="n"/>
      <c r="F206" s="71" t="n"/>
    </row>
    <row r="207" ht="24" customHeight="1">
      <c r="B207" s="87" t="inlineStr">
        <is>
          <t>Coaching recommendation — specific actions the agent should apply going forward</t>
        </is>
      </c>
      <c r="C207" s="82" t="n"/>
      <c r="D207" s="82" t="n"/>
      <c r="E207" s="82" t="n"/>
      <c r="F207" s="71" t="n"/>
    </row>
    <row r="208" ht="58" customHeight="1">
      <c r="B208" s="86" t="n"/>
      <c r="C208" s="82" t="n"/>
      <c r="D208" s="82" t="n"/>
      <c r="E208" s="82" t="n"/>
      <c r="F208" s="71" t="n"/>
    </row>
    <row r="209" ht="20" customHeight="1">
      <c r="B209" s="87" t="inlineStr">
        <is>
          <t>NEXT SESSION FOCUS   ·   Specific behaviors to practice before the next review</t>
        </is>
      </c>
      <c r="C209" s="82" t="n"/>
      <c r="D209" s="82" t="n"/>
      <c r="E209" s="82" t="n"/>
      <c r="F209" s="71" t="n"/>
    </row>
    <row r="210" ht="28" customHeight="1">
      <c r="B210" s="86" t="inlineStr">
        <is>
          <t>1.</t>
        </is>
      </c>
    </row>
    <row r="211" ht="28" customHeight="1">
      <c r="B211" s="86" t="inlineStr">
        <is>
          <t>2.</t>
        </is>
      </c>
    </row>
    <row r="212" ht="28" customHeight="1">
      <c r="B212" s="86" t="inlineStr">
        <is>
          <t>3.</t>
        </is>
      </c>
    </row>
    <row r="213" ht="32" customHeight="1">
      <c r="B213" s="91" t="inlineStr">
        <is>
          <t>Q3 · What does this interaction tell us about training, process, or knowledge gaps across the team?</t>
        </is>
      </c>
      <c r="C213" s="90" t="n"/>
      <c r="D213" s="90" t="n"/>
      <c r="E213" s="90" t="n"/>
      <c r="F213" s="74" t="n"/>
    </row>
    <row r="214" ht="24" customHeight="1">
      <c r="B214" s="87" t="inlineStr">
        <is>
          <t>Organizational insights — training / process / KB / chatbot / tooling / product / contact-driver gaps</t>
        </is>
      </c>
      <c r="C214" s="82" t="n"/>
      <c r="D214" s="82" t="n"/>
      <c r="E214" s="82" t="n"/>
      <c r="F214" s="71" t="n"/>
    </row>
    <row r="215" ht="58" customHeight="1">
      <c r="B215" s="86" t="n"/>
      <c r="C215" s="82" t="n"/>
      <c r="D215" s="82" t="n"/>
      <c r="E215" s="82" t="n"/>
      <c r="F215" s="71" t="n"/>
    </row>
    <row r="216" ht="24" customHeight="1">
      <c r="B216" s="87" t="inlineStr">
        <is>
          <t>Multi-touch / journey notes — handoff quality, continuity, where the chain strengthened or broke</t>
        </is>
      </c>
      <c r="C216" s="82" t="n"/>
      <c r="D216" s="82" t="n"/>
      <c r="E216" s="82" t="n"/>
      <c r="F216" s="71" t="n"/>
    </row>
    <row r="217" ht="58" customHeight="1">
      <c r="B217" s="86" t="n"/>
      <c r="C217" s="82" t="n"/>
      <c r="D217" s="82" t="n"/>
      <c r="E217" s="82" t="n"/>
      <c r="F217" s="71" t="n"/>
    </row>
    <row r="218" ht="24" customHeight="1">
      <c r="B218" s="87" t="inlineStr">
        <is>
          <t>Final QA assessment — overall customer outcome, support quality, and coaching value</t>
        </is>
      </c>
      <c r="C218" s="82" t="n"/>
      <c r="D218" s="82" t="n"/>
      <c r="E218" s="82" t="n"/>
      <c r="F218" s="71" t="n"/>
    </row>
    <row r="219" ht="58" customHeight="1">
      <c r="B219" s="86" t="n"/>
      <c r="C219" s="82" t="n"/>
      <c r="D219" s="82" t="n"/>
      <c r="E219" s="82" t="n"/>
      <c r="F219" s="71" t="n"/>
    </row>
  </sheetData>
  <mergeCells count="195">
    <mergeCell ref="D189:F189"/>
    <mergeCell ref="D76:F76"/>
    <mergeCell ref="B81:F81"/>
    <mergeCell ref="B209:F209"/>
    <mergeCell ref="D179:F179"/>
    <mergeCell ref="D66:F66"/>
    <mergeCell ref="D53:F53"/>
    <mergeCell ref="D166:F166"/>
    <mergeCell ref="B131:F131"/>
    <mergeCell ref="B214:F214"/>
    <mergeCell ref="B36:E36"/>
    <mergeCell ref="E8:F8"/>
    <mergeCell ref="C13:F13"/>
    <mergeCell ref="D181:F181"/>
    <mergeCell ref="C78:F78"/>
    <mergeCell ref="E153:F153"/>
    <mergeCell ref="B2:F2"/>
    <mergeCell ref="D102:F102"/>
    <mergeCell ref="B195:F195"/>
    <mergeCell ref="D168:F168"/>
    <mergeCell ref="C210:F210"/>
    <mergeCell ref="D165:F165"/>
    <mergeCell ref="C62:F62"/>
    <mergeCell ref="D92:F92"/>
    <mergeCell ref="D152:F152"/>
    <mergeCell ref="D39:F39"/>
    <mergeCell ref="C107:F107"/>
    <mergeCell ref="B44:F44"/>
    <mergeCell ref="D133:F133"/>
    <mergeCell ref="D142:F142"/>
    <mergeCell ref="B37:F37"/>
    <mergeCell ref="B108:F108"/>
    <mergeCell ref="D191:F191"/>
    <mergeCell ref="C212:F212"/>
    <mergeCell ref="C173:F173"/>
    <mergeCell ref="D119:F119"/>
    <mergeCell ref="D190:F190"/>
    <mergeCell ref="D159:F159"/>
    <mergeCell ref="B15:F15"/>
    <mergeCell ref="D186:F186"/>
    <mergeCell ref="B213:F213"/>
    <mergeCell ref="D183:F183"/>
    <mergeCell ref="D105:F105"/>
    <mergeCell ref="D170:F170"/>
    <mergeCell ref="D57:F57"/>
    <mergeCell ref="E12:F12"/>
    <mergeCell ref="D185:F185"/>
    <mergeCell ref="D120:F120"/>
    <mergeCell ref="B49:E49"/>
    <mergeCell ref="B125:F125"/>
    <mergeCell ref="D41:F41"/>
    <mergeCell ref="D163:F163"/>
    <mergeCell ref="C149:F149"/>
    <mergeCell ref="B199:F199"/>
    <mergeCell ref="B64:E64"/>
    <mergeCell ref="E5:F5"/>
    <mergeCell ref="B208:F208"/>
    <mergeCell ref="C19:F19"/>
    <mergeCell ref="D162:F162"/>
    <mergeCell ref="D156:F156"/>
    <mergeCell ref="D171:F171"/>
    <mergeCell ref="D43:F43"/>
    <mergeCell ref="B219:F219"/>
    <mergeCell ref="B176:F176"/>
    <mergeCell ref="D106:F106"/>
    <mergeCell ref="D137:F137"/>
    <mergeCell ref="B111:F111"/>
    <mergeCell ref="D93:F93"/>
    <mergeCell ref="D74:F74"/>
    <mergeCell ref="D68:F68"/>
    <mergeCell ref="D83:F83"/>
    <mergeCell ref="C14:F14"/>
    <mergeCell ref="B175:F175"/>
    <mergeCell ref="D188:F188"/>
    <mergeCell ref="D55:F55"/>
    <mergeCell ref="D157:F157"/>
    <mergeCell ref="D67:F67"/>
    <mergeCell ref="C200:F200"/>
    <mergeCell ref="D132:F132"/>
    <mergeCell ref="D85:F85"/>
    <mergeCell ref="D54:F54"/>
    <mergeCell ref="B130:E130"/>
    <mergeCell ref="C147:F147"/>
    <mergeCell ref="B146:F146"/>
    <mergeCell ref="B217:F217"/>
    <mergeCell ref="D60:F60"/>
    <mergeCell ref="D182:F182"/>
    <mergeCell ref="D100:F100"/>
    <mergeCell ref="D69:F69"/>
    <mergeCell ref="B109:C110"/>
    <mergeCell ref="C202:F202"/>
    <mergeCell ref="C211:F211"/>
    <mergeCell ref="E16:F16"/>
    <mergeCell ref="D158:F158"/>
    <mergeCell ref="C201:F201"/>
    <mergeCell ref="D40:F40"/>
    <mergeCell ref="D46:F46"/>
    <mergeCell ref="B116:E116"/>
    <mergeCell ref="B207:F207"/>
    <mergeCell ref="C148:F148"/>
    <mergeCell ref="B198:F198"/>
    <mergeCell ref="B216:F216"/>
    <mergeCell ref="D86:F86"/>
    <mergeCell ref="B4:F4"/>
    <mergeCell ref="D160:F160"/>
    <mergeCell ref="B75:F75"/>
    <mergeCell ref="B218:F218"/>
    <mergeCell ref="D136:F136"/>
    <mergeCell ref="B59:F59"/>
    <mergeCell ref="B215:F215"/>
    <mergeCell ref="B80:E80"/>
    <mergeCell ref="D87:F87"/>
    <mergeCell ref="B21:F21"/>
    <mergeCell ref="C18:F18"/>
    <mergeCell ref="D122:F122"/>
    <mergeCell ref="D184:F184"/>
    <mergeCell ref="D71:F71"/>
    <mergeCell ref="D58:F58"/>
    <mergeCell ref="B1:F1"/>
    <mergeCell ref="D121:F121"/>
    <mergeCell ref="D177:F177"/>
    <mergeCell ref="D192:F192"/>
    <mergeCell ref="D73:F73"/>
    <mergeCell ref="D82:F82"/>
    <mergeCell ref="D51:F51"/>
    <mergeCell ref="D42:F42"/>
    <mergeCell ref="D164:F164"/>
    <mergeCell ref="C128:F128"/>
    <mergeCell ref="E6:F6"/>
    <mergeCell ref="C113:F113"/>
    <mergeCell ref="D123:F123"/>
    <mergeCell ref="C20:F20"/>
    <mergeCell ref="C143:F143"/>
    <mergeCell ref="C112:F112"/>
    <mergeCell ref="C205:F205"/>
    <mergeCell ref="C94:F94"/>
    <mergeCell ref="C47:F47"/>
    <mergeCell ref="D138:F138"/>
    <mergeCell ref="D178:F178"/>
    <mergeCell ref="D172:F172"/>
    <mergeCell ref="D187:F187"/>
    <mergeCell ref="D99:F99"/>
    <mergeCell ref="B65:F65"/>
    <mergeCell ref="C193:F193"/>
    <mergeCell ref="C114:F114"/>
    <mergeCell ref="E7:F7"/>
    <mergeCell ref="D84:F84"/>
    <mergeCell ref="D45:F45"/>
    <mergeCell ref="D101:F101"/>
    <mergeCell ref="D124:F124"/>
    <mergeCell ref="B50:F50"/>
    <mergeCell ref="B203:F203"/>
    <mergeCell ref="D77:F77"/>
    <mergeCell ref="B91:F91"/>
    <mergeCell ref="D61:F61"/>
    <mergeCell ref="D126:F126"/>
    <mergeCell ref="D141:F141"/>
    <mergeCell ref="D70:F70"/>
    <mergeCell ref="D135:F135"/>
    <mergeCell ref="B140:F140"/>
    <mergeCell ref="B155:F155"/>
    <mergeCell ref="B22:F22"/>
    <mergeCell ref="E17:F17"/>
    <mergeCell ref="B97:F97"/>
    <mergeCell ref="D134:F134"/>
    <mergeCell ref="D72:F72"/>
    <mergeCell ref="D103:F103"/>
    <mergeCell ref="B117:F117"/>
    <mergeCell ref="E10:F10"/>
    <mergeCell ref="D180:F180"/>
    <mergeCell ref="B151:F151"/>
    <mergeCell ref="D118:F118"/>
    <mergeCell ref="D56:F56"/>
    <mergeCell ref="D127:F127"/>
    <mergeCell ref="D167:F167"/>
    <mergeCell ref="C204:F204"/>
    <mergeCell ref="D161:F161"/>
    <mergeCell ref="E9:F9"/>
    <mergeCell ref="D38:F38"/>
    <mergeCell ref="D89:F89"/>
    <mergeCell ref="D98:F98"/>
    <mergeCell ref="D169:F169"/>
    <mergeCell ref="C206:F206"/>
    <mergeCell ref="B196:F196"/>
    <mergeCell ref="B96:E96"/>
    <mergeCell ref="B35:F35"/>
    <mergeCell ref="E11:F11"/>
    <mergeCell ref="D88:F88"/>
    <mergeCell ref="C153:D153"/>
    <mergeCell ref="D90:F90"/>
    <mergeCell ref="B24:F24"/>
    <mergeCell ref="B104:F104"/>
    <mergeCell ref="D139:F139"/>
    <mergeCell ref="D52:F52"/>
    <mergeCell ref="B197:F197"/>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42 C43 C52 C53 C54 C55 C56 C57 C58 C67 C68 C69 C70 C71 C72 C73 C74 C83 C84 C85 C86 C87 C88 C89 C90 C99 C100 C101 C102 C103 C119 C120 C121 C122 C123 C124 C133 C134 C135 C136 C137 C138 C139" showDropDown="0" showInputMessage="0" showErrorMessage="0" allowBlank="1" type="list">
      <formula1>"Met,Partial,Missed,N.A."</formula1>
    </dataValidation>
    <dataValidation sqref="C46 C61 C77 C93 C106 C127 C142" showDropDown="0" showInputMessage="0" showErrorMessage="0" allowBlank="1" type="whole">
      <formula1>0</formula1>
    </dataValidation>
    <dataValidation sqref="C152 C157:C172 C182:C19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7" showDropDown="0" showInputMessage="0" showErrorMessage="0" allowBlank="1" type="list">
      <formula1>"Successful Resolution,Partial Resolution,Appropriate Escalation,Ownership Gap,Unresolved"</formula1>
    </dataValidation>
    <dataValidation sqref="C148"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53" showDropDown="0" showInputMessage="0" showErrorMessage="0" allowBlank="1" type="list">
      <formula1>"Callback attempt,Follow-up email,Private note documenting actions,Documented why follow-up not possible,None,N.A. — no disconnect"</formula1>
    </dataValidation>
    <dataValidation sqref="C178:C18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2026-06-16T05:40:17Z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