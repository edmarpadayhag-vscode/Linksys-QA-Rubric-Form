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49">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25">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8">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cellXfs>
  <cellStyles count="1">
    <cellStyle name="Normal" xfId="0" builtinId="0"/>
  </cellStyles>
  <dxfs count="144">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9"/>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f>
        <v/>
      </c>
      <c r="F24" s="94">
        <f>IF(D24="","",IF(D24&gt;=4,"Strong",IF(D24=3,"Developing","Needs Focus")))</f>
        <v/>
      </c>
    </row>
    <row r="25" ht="28" customHeight="1" s="175">
      <c r="B25" s="95" t="inlineStr">
        <is>
          <t>Technical Accuracy</t>
        </is>
      </c>
      <c r="C25" s="96" t="n">
        <v>0.2</v>
      </c>
      <c r="D25" s="97">
        <f>IF(C54="",C53,C54)</f>
        <v/>
      </c>
      <c r="E25" s="98">
        <f>IF(D25="","",(D25/5)*C25)</f>
        <v/>
      </c>
      <c r="F25" s="99">
        <f>IF(D25="","",IF(D25&gt;=4,"Strong",IF(D25=3,"Developing","Needs Focus")))</f>
        <v/>
      </c>
    </row>
    <row r="26" ht="28" customHeight="1" s="175">
      <c r="B26" s="90" t="inlineStr">
        <is>
          <t>Communication &amp; Call Control</t>
        </is>
      </c>
      <c r="C26" s="91" t="n">
        <v>0.15</v>
      </c>
      <c r="D26" s="92">
        <f>IF(C68="",C67,C68)</f>
        <v/>
      </c>
      <c r="E26" s="93">
        <f>IF(D26="","",(D26/5)*C26)</f>
        <v/>
      </c>
      <c r="F26" s="94">
        <f>IF(D26="","",IF(D26&gt;=4,"Strong",IF(D26=3,"Developing","Needs Focus")))</f>
        <v/>
      </c>
    </row>
    <row r="27" ht="28" customHeight="1" s="175">
      <c r="B27" s="95" t="inlineStr">
        <is>
          <t>Customer Ownership</t>
        </is>
      </c>
      <c r="C27" s="96" t="n">
        <v>0.15</v>
      </c>
      <c r="D27" s="97">
        <f>IF(C80="",C79,C80)</f>
        <v/>
      </c>
      <c r="E27" s="98">
        <f>IF(D27="","",(D27/5)*C27)</f>
        <v/>
      </c>
      <c r="F27" s="99">
        <f>IF(D27="","",IF(D27&gt;=4,"Strong",IF(D27=3,"Developing","Needs Focus")))</f>
        <v/>
      </c>
    </row>
    <row r="28" ht="28" customHeight="1" s="175">
      <c r="B28" s="90" t="inlineStr">
        <is>
          <t>Escalation Judgment</t>
        </is>
      </c>
      <c r="C28" s="91" t="n">
        <v>0.1</v>
      </c>
      <c r="D28" s="92">
        <f>IF(C91="",C90,C91)</f>
        <v/>
      </c>
      <c r="E28" s="93">
        <f>IF(D28="","",(D28/5)*C28)</f>
        <v/>
      </c>
      <c r="F28" s="94">
        <f>IF(D28="","",IF(D28&gt;=4,"Strong",IF(D28=3,"Developing","Needs Focus")))</f>
        <v/>
      </c>
    </row>
    <row r="29" ht="28" customHeight="1" s="175">
      <c r="B29" s="95" t="inlineStr">
        <is>
          <t>Customer Experience</t>
        </is>
      </c>
      <c r="C29" s="96" t="n">
        <v>0.05</v>
      </c>
      <c r="D29" s="97">
        <f>IF(C110="",C109,C110)</f>
        <v/>
      </c>
      <c r="E29" s="98">
        <f>IF(D29="","",(D29/5)*C29)</f>
        <v/>
      </c>
      <c r="F29" s="99">
        <f>IF(D29="","",IF(D29&gt;=4,"Strong",IF(D29=3,"Developing","Needs Focus")))</f>
        <v/>
      </c>
    </row>
    <row r="30" ht="28" customHeight="1" s="175">
      <c r="B30" s="90" t="inlineStr">
        <is>
          <t>Documentation &amp; Notes</t>
        </is>
      </c>
      <c r="C30" s="91" t="n">
        <v>0.05</v>
      </c>
      <c r="D30" s="92">
        <f>IF(C123="",C122,C123)</f>
        <v/>
      </c>
      <c r="E30" s="93">
        <f>IF(D30="","",(D30/5)*C30)</f>
        <v/>
      </c>
      <c r="F30" s="94">
        <f>IF(D30="","",IF(D30&gt;=4,"Strong",IF(D30=3,"Developing","Needs Focus")))</f>
        <v/>
      </c>
    </row>
    <row r="31" ht="24" customHeight="1" s="175">
      <c r="B31" s="168" t="inlineStr">
        <is>
          <t>WEIGHTED TOTAL SCORE</t>
        </is>
      </c>
      <c r="C31" s="100">
        <f>SUM(C24:C30)</f>
        <v/>
      </c>
      <c r="D31" s="101" t="n"/>
      <c r="E31" s="102">
        <f>IF(OR(C149="No",C150="No",C151="No",COUNTIF(C153:C163,"Yes")&gt;0),0,SUM(E24:E30))</f>
        <v/>
      </c>
      <c r="F31" s="103">
        <f>IF(E31="","",IF(OR(C149="No",C150="No",C151="No",COUNTIF(C153:C163,"Yes")&gt;0),"AUTO-ZERO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79" t="inlineStr">
        <is>
          <t>Score reflects the cumulative effect of this touch within the 8-month journey: the Nov 24, 2025 hardware/RMA determination remains undelivered, and the case culminates here in executive-level escalation with no path forward offered.</t>
        </is>
      </c>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79" t="inlineStr">
        <is>
          <t>Individual diagnostic steps (signal/backhaul check, swap-test proposal) were sound, but the unvalidated reversal of a prior CAT-level conclusion undermines technical credibility.</t>
        </is>
      </c>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 appropriate language, as needed, and confirmed customer understanding</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79" t="inlineStr">
        <is>
          <t>The core communication failure is the unacknowledged expectation gap: the customer's RMA expectation from Nov 24 was never reconciled with the renewed troubleshooting requests.</t>
        </is>
      </c>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Commitments made were followed through, and a clear path forward was created for the customer.</t>
        </is>
      </c>
      <c r="C74" s="105" t="n"/>
      <c r="D74" s="147" t="n"/>
      <c r="E74" s="126" t="n"/>
      <c r="F74" s="122" t="n"/>
    </row>
    <row r="75" ht="28" customHeight="1" s="175">
      <c r="B75" s="76" t="n"/>
      <c r="C75" s="105" t="n"/>
      <c r="D75" s="147" t="n"/>
      <c r="E75" s="126" t="n"/>
      <c r="F75" s="122" t="n"/>
    </row>
    <row r="76" ht="28" customHeight="1" s="175">
      <c r="B76" s="106" t="inlineStr">
        <is>
          <t>Clearly set customer expectations for next steps and realistic timelines</t>
        </is>
      </c>
      <c r="C76" s="105" t="n"/>
      <c r="D76" s="143" t="n"/>
      <c r="E76" s="126" t="n"/>
      <c r="F76" s="122" t="n"/>
    </row>
    <row r="77" ht="28" customHeight="1" s="175">
      <c r="B77" s="76" t="inlineStr">
        <is>
          <t>Completed required disconnect follow-up and met callback commitments within the agreed window</t>
        </is>
      </c>
      <c r="C77" s="105" t="n"/>
      <c r="D77" s="147" t="n"/>
      <c r="E77" s="126" t="n"/>
      <c r="F77" s="122" t="n"/>
    </row>
    <row r="78" ht="28" customHeight="1" s="175">
      <c r="B78" s="137" t="inlineStr">
        <is>
          <t>⚠ Automatic deductions: no documented follow-up after disconnect; unclear next steps; passing responsibility without context; failure to complete promised actions; missed or late callbacks without proactive renegotiation.</t>
        </is>
      </c>
      <c r="C78" s="126" t="n"/>
      <c r="D78" s="126" t="n"/>
      <c r="E78" s="126" t="n"/>
      <c r="F78" s="122" t="n"/>
    </row>
    <row r="79" ht="28" customHeight="1" s="175">
      <c r="B79" s="107" t="inlineStr">
        <is>
          <t>Auto score (0–5) from indicator ratings — applies unless overridden</t>
        </is>
      </c>
      <c r="C79" s="108">
        <f>IF((COUNTIF(C73:C77,"Met")+COUNTIF(C73:C77,"Partial")+COUNTIF(C73:C77,"Missed"))=0,"",ROUND((COUNTIF(C73:C77,"Met")*5+COUNTIF(C73:C77,"Partial")*2.5)/(COUNTIF(C73:C77,"Met")+COUNTIF(C73:C77,"Partial")+COUNTIF(C73:C77,"Missed")),0))</f>
        <v/>
      </c>
      <c r="D79" s="146" t="n"/>
      <c r="E79" s="126" t="n"/>
      <c r="F79" s="122" t="n"/>
    </row>
    <row r="80" ht="24" customHeight="1" s="175">
      <c r="B80" s="79" t="inlineStr">
        <is>
          <t>FINAL SCORE — leave blank to use the auto score; type 0–5 to override</t>
        </is>
      </c>
      <c r="C80" s="109" t="n"/>
      <c r="D80" s="161">
        <f>IF(IF(C80="",C79,C80)="","← rate the indicators above (auto-scores), or type an override",CHOOSE(IF(C80="",C79,C80)+1,"Agent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0" s="126" t="n"/>
      <c r="F80" s="122" t="n"/>
    </row>
    <row r="81" ht="36" customHeight="1" s="175">
      <c r="B81" s="79" t="inlineStr">
        <is>
          <t>The escalation itself was a positive ownership step, but follow-through collapsed: the customer's direct questions and the SLA commitment were both left unmet, requiring PMO intervention.</t>
        </is>
      </c>
      <c r="C81" s="145" t="n"/>
      <c r="D81" s="126" t="n"/>
      <c r="E81" s="126" t="n"/>
      <c r="F81" s="122" t="n"/>
    </row>
    <row r="82" ht="18" customHeight="1" s="175">
      <c r="B82" s="118" t="inlineStr">
        <is>
          <t>5. ESCALATION JUDGMENT</t>
        </is>
      </c>
      <c r="C82" s="119" t="n"/>
      <c r="D82" s="119" t="n"/>
      <c r="E82" s="120" t="n"/>
      <c r="F82" s="6" t="inlineStr">
        <is>
          <t>Weight: 10%</t>
        </is>
      </c>
    </row>
    <row r="83" ht="28" customHeight="1" s="175">
      <c r="B83" s="148" t="inlineStr">
        <is>
          <t>Objective: Determine whether escalation decisions were appropriate — including UPWARD escalations the customer requested (management, complaint, legal). Mark all N.A. if no escalation was involved and none was warranted.</t>
        </is>
      </c>
      <c r="C83" s="126" t="n"/>
      <c r="D83" s="126" t="n"/>
      <c r="E83" s="126" t="n"/>
      <c r="F83" s="122" t="n"/>
    </row>
    <row r="84" ht="18" customHeight="1" s="175">
      <c r="B84" s="75" t="inlineStr">
        <is>
          <t>Behavioral Indicator</t>
        </is>
      </c>
      <c r="C84" s="104" t="inlineStr">
        <is>
          <t>Assessment</t>
        </is>
      </c>
      <c r="D84" s="152" t="inlineStr">
        <is>
          <t>Evidence / Observation (quote or timestamp where possible)</t>
        </is>
      </c>
      <c r="E84" s="126" t="n"/>
      <c r="F84" s="122" t="n"/>
    </row>
    <row r="85" ht="28" customHeight="1" s="175">
      <c r="B85" s="76" t="inlineStr">
        <is>
          <t>Completed reasonable troubleshooting before escalating</t>
        </is>
      </c>
      <c r="C85" s="105" t="n"/>
      <c r="D85" s="147" t="n"/>
      <c r="E85" s="126" t="n"/>
      <c r="F85" s="122" t="n"/>
    </row>
    <row r="86" ht="28" customHeight="1" s="175">
      <c r="B86" s="106" t="inlineStr">
        <is>
          <t>Identified a valid reason to escalate</t>
        </is>
      </c>
      <c r="C86" s="105" t="n"/>
      <c r="D86" s="143" t="n"/>
      <c r="E86" s="126" t="n"/>
      <c r="F86" s="122" t="n"/>
    </row>
    <row r="87" ht="28" customHeight="1" s="175">
      <c r="B87" s="76" t="inlineStr">
        <is>
          <t>Provided complete escalation details using the correct escalation path</t>
        </is>
      </c>
      <c r="C87" s="105" t="n"/>
      <c r="D87" s="147" t="n"/>
      <c r="E87" s="126" t="n"/>
      <c r="F87" s="122" t="n"/>
    </row>
    <row r="88" ht="28" customHeight="1" s="175">
      <c r="B88" s="76" t="inlineStr">
        <is>
          <t>Clearly explained why escalation was necessary and what would happen next.</t>
        </is>
      </c>
      <c r="C88" s="105" t="n"/>
      <c r="D88" s="147" t="n"/>
      <c r="E88" s="126" t="n"/>
      <c r="F88" s="122" t="n"/>
    </row>
    <row r="89" ht="28" customHeight="1" s="175">
      <c r="B89" s="137" t="inlineStr">
        <is>
          <t>⚠ Low score: premature, avoidable, poorly documented, used as a substitute for troubleshooting — or a warranted escalation (incl. a customer's management request) that was NOT made.</t>
        </is>
      </c>
      <c r="C89" s="126" t="n"/>
      <c r="D89" s="126" t="n"/>
      <c r="E89" s="126" t="n"/>
      <c r="F89" s="122" t="n"/>
    </row>
    <row r="90" ht="28" customHeight="1" s="175">
      <c r="B90" s="107" t="inlineStr">
        <is>
          <t>Auto score (0–5) from indicator ratings — applies unless overridden</t>
        </is>
      </c>
      <c r="C90" s="108">
        <f>IF((COUNTIF(C85:C88,"Met")+COUNTIF(C85:C88,"Partial")+COUNTIF(C85:C88,"Missed"))=0,"",ROUND((COUNTIF(C85:C88,"Met")*5+COUNTIF(C85:C88,"Partial")*2.5)/(COUNTIF(C85:C88,"Met")+COUNTIF(C85:C88,"Partial")+COUNTIF(C85:C88,"Missed")),0))</f>
        <v/>
      </c>
      <c r="D90" s="146" t="n"/>
      <c r="E90" s="126" t="n"/>
      <c r="F90" s="122" t="n"/>
    </row>
    <row r="91" ht="24" customHeight="1" s="175">
      <c r="B91" s="79" t="inlineStr">
        <is>
          <t>FINAL SCORE — leave blank to use the auto score; type 0–5 to override</t>
        </is>
      </c>
      <c r="C91" s="109" t="n"/>
      <c r="D91" s="161">
        <f>IF(IF(C91="",C90,C91)="","← rate the indicators above (auto-scores), or type an override",CHOOSE(IF(C91="",C90,C91)+1,"Agent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1" s="126" t="n"/>
      <c r="F91" s="122" t="n"/>
    </row>
    <row r="92" ht="36" customHeight="1" s="175">
      <c r="B92" s="79" t="inlineStr">
        <is>
          <t>The escalation decision and routing were correct; the SLA management and handoff completeness after escalation were not.</t>
        </is>
      </c>
      <c r="C92" s="145" t="n"/>
      <c r="D92" s="126" t="n"/>
      <c r="E92" s="126" t="n"/>
      <c r="F92" s="122" t="n"/>
    </row>
    <row r="93" ht="20" customHeight="1" s="175">
      <c r="B93" s="118" t="inlineStr">
        <is>
          <t>ESCALATION FOLLOW-UP   ·   Complete only if an escalation was submitted</t>
        </is>
      </c>
      <c r="C93" s="119" t="n"/>
      <c r="D93" s="119" t="n"/>
      <c r="E93" s="119" t="n"/>
      <c r="F93" s="120" t="n"/>
    </row>
    <row r="94" ht="20" customHeight="1" s="175">
      <c r="B94" s="155" t="inlineStr">
        <is>
          <t>What did the receiving agent / Level 2 do to resolve or advance this case?</t>
        </is>
      </c>
      <c r="C94" s="156" t="n"/>
      <c r="D94" s="77" t="n"/>
      <c r="F94" s="6" t="n"/>
    </row>
    <row r="95" ht="45" customHeight="1" s="175">
      <c r="B95" s="157" t="n"/>
      <c r="C95" s="158" t="n"/>
      <c r="D95" s="78" t="n"/>
    </row>
    <row r="96" ht="18" customHeight="1" s="175">
      <c r="B96" s="118" t="inlineStr">
        <is>
          <t>L1 learning points from this escalation outcome</t>
        </is>
      </c>
      <c r="C96" s="119" t="n"/>
      <c r="D96" s="119" t="n"/>
      <c r="E96" s="119" t="n"/>
      <c r="F96" s="120" t="n"/>
    </row>
    <row r="97" ht="28" customHeight="1" s="175">
      <c r="B97" s="79" t="inlineStr">
        <is>
          <t>1.</t>
        </is>
      </c>
      <c r="C97" s="166" t="n"/>
      <c r="D97" s="126" t="n"/>
      <c r="E97" s="126" t="n"/>
      <c r="F97" s="122" t="n"/>
    </row>
    <row r="98" ht="28" customHeight="1" s="175">
      <c r="B98" s="79" t="inlineStr">
        <is>
          <t>2.</t>
        </is>
      </c>
      <c r="C98" s="166" t="n"/>
      <c r="D98" s="126" t="n"/>
      <c r="E98" s="126" t="n"/>
      <c r="F98" s="122" t="n"/>
    </row>
    <row r="99" ht="28" customHeight="1" s="175">
      <c r="B99" s="79" t="inlineStr">
        <is>
          <t>3.</t>
        </is>
      </c>
      <c r="C99" s="166" t="n"/>
      <c r="D99" s="126" t="n"/>
      <c r="E99" s="126" t="n"/>
      <c r="F99" s="122" t="n"/>
    </row>
    <row r="100" ht="18" customHeight="1" s="175">
      <c r="B100" s="118" t="inlineStr">
        <is>
          <t>6. CUSTOMER EXPERIENCE</t>
        </is>
      </c>
      <c r="C100" s="119" t="n"/>
      <c r="D100" s="119" t="n"/>
      <c r="E100" s="120" t="n"/>
      <c r="F100" s="6" t="inlineStr">
        <is>
          <t>Weight: 5%</t>
        </is>
      </c>
    </row>
    <row r="101" ht="28" customHeight="1" s="175">
      <c r="B101" s="148" t="inlineStr">
        <is>
          <t>Objective: Measure the overall customer experience delivered during the interaction.</t>
        </is>
      </c>
      <c r="C101" s="126" t="n"/>
      <c r="D101" s="126" t="n"/>
      <c r="E101" s="126" t="n"/>
      <c r="F101" s="122" t="n"/>
    </row>
    <row r="102" ht="28" customHeight="1" s="175">
      <c r="B102" s="75" t="inlineStr">
        <is>
          <t>Behavioral Indicator</t>
        </is>
      </c>
      <c r="C102" s="104" t="inlineStr">
        <is>
          <t>Assessment</t>
        </is>
      </c>
      <c r="D102" s="152" t="inlineStr">
        <is>
          <t>Evidence / Observation (quote or timestamp where possible)</t>
        </is>
      </c>
      <c r="E102" s="126" t="n"/>
      <c r="F102" s="122" t="n"/>
    </row>
    <row r="103" ht="28" customHeight="1" s="175">
      <c r="B103" s="76" t="inlineStr">
        <is>
          <t>Demonstrated empathy including for repeat-contact fatigue</t>
        </is>
      </c>
      <c r="C103" s="105" t="n"/>
      <c r="D103" s="147" t="n"/>
      <c r="E103" s="126" t="n"/>
      <c r="F103" s="122" t="n"/>
    </row>
    <row r="104" ht="28" customHeight="1" s="175">
      <c r="B104" s="106" t="inlineStr">
        <is>
          <t>Stayed professional throughout and maintained patience, even under pressure</t>
        </is>
      </c>
      <c r="C104" s="105" t="n"/>
      <c r="D104" s="143" t="n"/>
      <c r="E104" s="126" t="n"/>
      <c r="F104" s="122" t="n"/>
    </row>
    <row r="105" ht="28" customHeight="1" s="175">
      <c r="B105" s="76" t="inlineStr">
        <is>
          <t>Agent matched the customer's tone, pace, level, and energy</t>
        </is>
      </c>
      <c r="C105" s="105" t="n"/>
      <c r="D105" s="147" t="n"/>
      <c r="E105" s="126" t="n"/>
      <c r="F105" s="122" t="n"/>
    </row>
    <row r="106" ht="28" customHeight="1" s="175">
      <c r="B106" s="76" t="inlineStr">
        <is>
          <t>Minimized customer effort</t>
        </is>
      </c>
      <c r="C106" s="105" t="n"/>
      <c r="D106" s="147" t="n"/>
      <c r="E106" s="126" t="n"/>
      <c r="F106" s="122" t="n"/>
    </row>
    <row r="107" ht="28" customHeight="1" s="175">
      <c r="B107" s="106" t="inlineStr">
        <is>
          <t>Maintained customer understanding and engagement</t>
        </is>
      </c>
      <c r="C107" s="105" t="n"/>
      <c r="D107" s="143" t="n"/>
      <c r="E107" s="126" t="n"/>
      <c r="F107" s="122" t="n"/>
    </row>
    <row r="108" ht="28" customHeight="1" s="175">
      <c r="B108" s="137" t="inlineStr">
        <is>
          <t>⚠ Negative indicators: dismissive responses; robotic interactions; frustration escalation caused by agent behavior; marathon sessions pushed onto vulnerable customers without offering to pause and resume.</t>
        </is>
      </c>
      <c r="C108" s="126" t="n"/>
      <c r="D108" s="126" t="n"/>
      <c r="E108" s="126" t="n"/>
      <c r="F108" s="122" t="n"/>
    </row>
    <row r="109" ht="28" customHeight="1" s="175">
      <c r="B109" s="107" t="inlineStr">
        <is>
          <t>Auto score (0–5) from indicator ratings — applies unless overridden</t>
        </is>
      </c>
      <c r="C109" s="108">
        <f>IF((COUNTIF(C103:C107,"Met")+COUNTIF(C103:C107,"Partial")+COUNTIF(C103:C107,"Missed"))=0,"",ROUND((COUNTIF(C103:C107,"Met")*5+COUNTIF(C103:C107,"Partial")*2.5)/(COUNTIF(C103:C107,"Met")+COUNTIF(C103:C107,"Partial")+COUNTIF(C103:C107,"Missed")),0))</f>
        <v/>
      </c>
      <c r="D109" s="146" t="n"/>
      <c r="E109" s="126" t="n"/>
      <c r="F109" s="122" t="n"/>
    </row>
    <row r="110" ht="24" customHeight="1" s="175">
      <c r="B110" s="79" t="inlineStr">
        <is>
          <t>FINAL SCORE — leave blank to use the auto score; type 0–5 to override</t>
        </is>
      </c>
      <c r="C110" s="109" t="n"/>
      <c r="D110" s="161">
        <f>IF(IF(C110="",C109,C110)="","← rate the indicators above (auto-scores), or type an override",CHOOSE(IF(C110="",C109,C110)+1,"Agent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0" s="126" t="n"/>
      <c r="F110" s="122" t="n"/>
    </row>
    <row r="111" ht="36" customHeight="1" s="175">
      <c r="B111" s="79" t="inlineStr">
        <is>
          <t>Professionalism was maintained, but the customer's confidence and engagement collapsed by the end of this touch.</t>
        </is>
      </c>
      <c r="C111" s="145" t="n"/>
      <c r="D111" s="126" t="n"/>
      <c r="E111" s="126" t="n"/>
      <c r="F111" s="122" t="n"/>
    </row>
    <row r="112" ht="18" customHeight="1" s="175">
      <c r="B112" s="118" t="inlineStr">
        <is>
          <t>7. DOCUMENTATION &amp; NOTES</t>
        </is>
      </c>
      <c r="C112" s="119" t="n"/>
      <c r="D112" s="119" t="n"/>
      <c r="E112" s="120" t="n"/>
      <c r="F112" s="6" t="inlineStr">
        <is>
          <t>Weight: 5%</t>
        </is>
      </c>
    </row>
    <row r="113" ht="28" customHeight="1" s="175">
      <c r="B113" s="148" t="inlineStr">
        <is>
          <t>Objective: Ensure future agents can quickly understand the case. Purpose is continuity, not compliance.</t>
        </is>
      </c>
      <c r="C113" s="126" t="n"/>
      <c r="D113" s="126" t="n"/>
      <c r="E113" s="126" t="n"/>
      <c r="F113" s="122" t="n"/>
    </row>
    <row r="114" ht="36" customHeight="1" s="175">
      <c r="B114" s="75" t="inlineStr">
        <is>
          <t>Behavioral Indicator</t>
        </is>
      </c>
      <c r="C114" s="104" t="inlineStr">
        <is>
          <t>Assessment</t>
        </is>
      </c>
      <c r="D114" s="152" t="inlineStr">
        <is>
          <t>Evidence / Observation (quote or timestamp where possible)</t>
        </is>
      </c>
      <c r="E114" s="126" t="n"/>
      <c r="F114" s="122" t="n"/>
    </row>
    <row r="115" ht="28" customHeight="1" s="175">
      <c r="B115" s="76" t="inlineStr">
        <is>
          <t>Recorded customer issue summary</t>
        </is>
      </c>
      <c r="C115" s="105" t="n"/>
      <c r="D115" s="147" t="n"/>
      <c r="E115" s="126" t="n"/>
      <c r="F115" s="122" t="n"/>
    </row>
    <row r="116" ht="28" customHeight="1" s="175">
      <c r="B116" s="106" t="inlineStr">
        <is>
          <t>Documented troubleshooting steps</t>
        </is>
      </c>
      <c r="C116" s="105" t="n"/>
      <c r="D116" s="143" t="n"/>
      <c r="E116" s="126" t="n"/>
      <c r="F116" s="122" t="n"/>
    </row>
    <row r="117" ht="28" customHeight="1" s="175">
      <c r="B117" s="76" t="inlineStr">
        <is>
          <t>Noted key findings</t>
        </is>
      </c>
      <c r="C117" s="105" t="n"/>
      <c r="D117" s="147" t="n"/>
      <c r="E117" s="126" t="n"/>
      <c r="F117" s="122" t="n"/>
    </row>
    <row r="118" ht="28" customHeight="1" s="175">
      <c r="B118" s="106" t="inlineStr">
        <is>
          <t>Captured agent reasoning - escalation justification, offline recommendations provided by colleagues and other support POCs especially if no private notes applicable to step/action.</t>
        </is>
      </c>
      <c r="C118" s="105" t="n"/>
      <c r="D118" s="143" t="n"/>
      <c r="E118" s="126" t="n"/>
      <c r="F118" s="122" t="n"/>
    </row>
    <row r="119" ht="28" customHeight="1" s="175">
      <c r="B119" s="106" t="inlineStr">
        <is>
          <t>Documented next steps and follow-ups</t>
        </is>
      </c>
      <c r="C119" s="105" t="n"/>
      <c r="D119" s="143" t="n"/>
      <c r="E119" s="126" t="n"/>
      <c r="F119" s="122" t="n"/>
    </row>
    <row r="120" ht="28" customHeight="1" s="175">
      <c r="B120" s="76" t="inlineStr">
        <is>
          <t>Updated ticket status accurately</t>
        </is>
      </c>
      <c r="C120" s="105" t="n"/>
      <c r="D120" s="147" t="n"/>
      <c r="E120" s="126" t="n"/>
      <c r="F120" s="122" t="n"/>
    </row>
    <row r="121" ht="28" customHeight="1" s="175">
      <c r="B121" s="137" t="inlineStr">
        <is>
          <t>⚠ Documentation supports outcomes but should not outweigh troubleshooting quality, communication, or ownership. Notes must carry the FULL history — including pre-ticket contacts — so no agent treats a long-running case as new.</t>
        </is>
      </c>
      <c r="C121" s="126" t="n"/>
      <c r="D121" s="126" t="n"/>
      <c r="E121" s="126" t="n"/>
      <c r="F121" s="122" t="n"/>
    </row>
    <row r="122" ht="52" customHeight="1" s="175">
      <c r="B122" s="107" t="inlineStr">
        <is>
          <t>Auto score (0–5) from indicator ratings — applies unless overridden</t>
        </is>
      </c>
      <c r="C122" s="108">
        <f>IF((COUNTIF(C115:C120,"Met")+COUNTIF(C115:C120,"Partial")+COUNTIF(C115:C120,"Missed"))=0,"",ROUND((COUNTIF(C115:C120,"Met")*5+COUNTIF(C115:C120,"Partial")*2.5)/(COUNTIF(C115:C120,"Met")+COUNTIF(C115:C120,"Partial")+COUNTIF(C115:C120,"Missed")),0))</f>
        <v/>
      </c>
      <c r="D122" s="146" t="n"/>
      <c r="E122" s="126" t="n"/>
      <c r="F122" s="122" t="n"/>
    </row>
    <row r="123" ht="24" customHeight="1" s="175">
      <c r="B123" s="79" t="inlineStr">
        <is>
          <t>FINAL SCORE — leave blank to use the auto score; type 0–5 to override</t>
        </is>
      </c>
      <c r="C123" s="109" t="n"/>
      <c r="D123" s="161">
        <f>IF(IF(C123="",C122,C123)="","← rate the indicators above (auto-scores), or type an override",CHOOSE(IF(C123="",C122,C123)+1,"Agent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3" s="126" t="n"/>
      <c r="F123" s="122" t="n"/>
    </row>
    <row r="124" ht="36" customHeight="1" s="175">
      <c r="B124" s="79" t="inlineStr">
        <is>
          <t>Escalation steps are documented, but the case record does not carry the full history forward, and ticket status does not reflect reality.</t>
        </is>
      </c>
      <c r="C124" s="145" t="n"/>
      <c r="D124" s="126" t="n"/>
      <c r="E124" s="126" t="n"/>
      <c r="F124" s="122" t="n"/>
    </row>
    <row r="125" ht="30" customHeight="1" s="175">
      <c r="B125" s="118" t="inlineStr">
        <is>
          <t>4 · RESOLUTION OUTCOME</t>
        </is>
      </c>
      <c r="C125" s="119" t="n"/>
      <c r="D125" s="119" t="n"/>
      <c r="E125" s="119" t="n"/>
      <c r="F125" s="120" t="n"/>
    </row>
    <row r="126" ht="28" customHeight="1" s="175">
      <c r="B126" s="75" t="inlineStr">
        <is>
          <t>Outcome classification</t>
        </is>
      </c>
      <c r="C126" s="170" t="n"/>
      <c r="D126" s="126" t="n"/>
      <c r="E126" s="126" t="n"/>
      <c r="F126" s="122" t="n"/>
    </row>
    <row r="127" ht="52" customHeight="1" s="175">
      <c r="B127" s="84" t="inlineStr">
        <is>
          <t>Primary positive outcome achieved</t>
        </is>
      </c>
      <c r="C127" s="149" t="n"/>
      <c r="D127" s="126" t="n"/>
      <c r="E127" s="126" t="n"/>
      <c r="F127" s="122" t="n"/>
    </row>
    <row r="128" ht="52" customHeight="1" s="175">
      <c r="B128" s="75" t="inlineStr">
        <is>
          <t>Justification</t>
        </is>
      </c>
      <c r="C128" s="145" t="n"/>
      <c r="D128" s="126" t="n"/>
      <c r="E128" s="126" t="n"/>
      <c r="F128" s="122" t="n"/>
    </row>
    <row r="129" ht="26" customHeight="1" s="175">
      <c r="B129" s="118" t="inlineStr">
        <is>
          <t>5 · DISCONNECTED CALL FOLLOW-UP</t>
        </is>
      </c>
      <c r="C129" s="119" t="n"/>
      <c r="D129" s="119" t="n"/>
      <c r="E129" s="119" t="n"/>
      <c r="F129" s="120" t="n"/>
    </row>
    <row r="130" ht="30" customHeight="1" s="175">
      <c r="B130" s="84" t="inlineStr">
        <is>
          <t>Did the interaction disconnect before completion?</t>
        </is>
      </c>
      <c r="C130" s="105" t="inlineStr">
        <is>
          <t>No</t>
        </is>
      </c>
      <c r="D130" s="137" t="inlineStr">
        <is>
          <t>If Yes, at least one documented follow-up action is required.</t>
        </is>
      </c>
      <c r="E130" s="126" t="n"/>
      <c r="F130" s="122" t="n"/>
    </row>
    <row r="131" ht="30" customHeight="1" s="175">
      <c r="A131" s="80" t="n"/>
      <c r="B131" s="75" t="inlineStr">
        <is>
          <t>Follow-up action taken</t>
        </is>
      </c>
      <c r="C131" s="149" t="inlineStr">
        <is>
          <t>N.A. — no disconnect</t>
        </is>
      </c>
      <c r="D131" s="122" t="n"/>
      <c r="E131" s="150">
        <f>IF(AND(C130="Yes",OR(C131="None",C131="N.A. — no disconnect")),"⚠ MISSED OWNERSHIP OPPORTUNITY — flag in Customer Ownership and Critical Failures","OK")</f>
        <v/>
      </c>
      <c r="F131" s="122" t="n"/>
      <c r="G131" s="80" t="n"/>
    </row>
    <row r="132" ht="22" customHeight="1" s="175">
      <c r="A132" s="80" t="n"/>
      <c r="B132" s="169" t="inlineStr">
        <is>
          <t>COACHING FLAGS   ·   Auto-populated from Partial and Missed ratings   ·   Each flagged item requires a coaching or review action</t>
        </is>
      </c>
      <c r="C132" s="126" t="n"/>
      <c r="D132" s="126" t="n"/>
      <c r="E132" s="126" t="n"/>
      <c r="F132" s="122" t="n"/>
      <c r="G132" s="80" t="n"/>
    </row>
    <row r="133" ht="18" customHeight="1" s="175">
      <c r="A133" s="80" t="n"/>
      <c r="B133" s="154" t="inlineStr">
        <is>
          <t>Flag Condition</t>
        </is>
      </c>
      <c r="C133" s="154" t="inlineStr">
        <is>
          <t>Rating</t>
        </is>
      </c>
      <c r="D133" s="154" t="inlineStr">
        <is>
          <t>Coaching Focus / Required Action</t>
        </is>
      </c>
      <c r="E133" s="126" t="n"/>
      <c r="F133" s="122" t="n"/>
      <c r="G133" s="80" t="n"/>
    </row>
    <row r="134" ht="28" customHeight="1" s="175">
      <c r="A134" s="80" t="n"/>
      <c r="B134" s="82" t="inlineStr">
        <is>
          <t>Technical accuracy failure</t>
        </is>
      </c>
      <c r="C134" s="83">
        <f>IF(OR(C51="Partial",C51="Missed"),C51,"")</f>
        <v/>
      </c>
      <c r="D134" s="165" t="inlineStr">
        <is>
          <t>Review for incorrect guidance, product misrepresentation, or unsupported root-cause conclusions</t>
        </is>
      </c>
      <c r="E134" s="126" t="n"/>
      <c r="F134" s="122" t="n"/>
      <c r="G134" s="80" t="n"/>
    </row>
    <row r="135" ht="28" customHeight="1" s="175">
      <c r="A135" s="80" t="n"/>
      <c r="B135" s="82" t="inlineStr">
        <is>
          <t>No follow-up after disconnected call</t>
        </is>
      </c>
      <c r="C135" s="83">
        <f>IF(OR(C77="Partial",C77="Missed"),C77,"")</f>
        <v/>
      </c>
      <c r="D135" s="165" t="inlineStr">
        <is>
          <t>Mandatory callback attempt required; document outcome in case notes</t>
        </is>
      </c>
      <c r="E135" s="126" t="n"/>
      <c r="F135" s="122" t="n"/>
      <c r="G135" s="80" t="n"/>
    </row>
    <row r="136" ht="28" customHeight="1" s="175">
      <c r="A136" s="80" t="n"/>
      <c r="B136" s="82" t="inlineStr">
        <is>
          <t>Commitments not fulfilled / clear path forward missing</t>
        </is>
      </c>
      <c r="C136" s="83">
        <f>IF(OR(C74="Partial",C74="Missed"),C74,"")</f>
        <v/>
      </c>
      <c r="D136" s="165" t="inlineStr">
        <is>
          <t>Review what was promised; confirm the customer was left with actionable next steps</t>
        </is>
      </c>
      <c r="E136" s="126" t="n"/>
      <c r="F136" s="122" t="n"/>
      <c r="G136" s="80" t="n"/>
    </row>
    <row r="137" ht="28" customHeight="1" s="175">
      <c r="A137" s="80" t="n"/>
      <c r="B137" s="82" t="inlineStr">
        <is>
          <t>Customer abandoned without a path forward</t>
        </is>
      </c>
      <c r="C137" s="83">
        <f>IF(OR(C39="Partial",C39="Missed"),C39,"")</f>
        <v/>
      </c>
      <c r="D137" s="165" t="inlineStr">
        <is>
          <t>Review whether the customer had any defined next step at close; address in coaching session</t>
        </is>
      </c>
      <c r="E137" s="126" t="n"/>
      <c r="F137" s="122" t="n"/>
      <c r="G137" s="80" t="n"/>
    </row>
    <row r="138" ht="28" customHeight="1" s="175">
      <c r="A138" s="80" t="n"/>
      <c r="B138" s="82" t="inlineStr">
        <is>
          <t>Escalated without completing reasonable troubleshooting</t>
        </is>
      </c>
      <c r="C138" s="83">
        <f>IF(OR(C85="Partial",C85="Missed"),C85,"")</f>
        <v/>
      </c>
      <c r="D138" s="165" t="inlineStr">
        <is>
          <t>Review L1 steps completed before escalation; identify gaps and add to troubleshooting playbook</t>
        </is>
      </c>
      <c r="E138" s="126" t="n"/>
      <c r="F138" s="122" t="n"/>
      <c r="G138" s="80" t="n"/>
    </row>
    <row r="139" ht="28" customHeight="1" s="175">
      <c r="A139" s="80" t="n"/>
      <c r="B139" s="82" t="inlineStr">
        <is>
          <t>Escalation criteria not met / complaint or legal-risk not escalated</t>
        </is>
      </c>
      <c r="C139" s="83">
        <f>IF(OR(C86="Partial",C86="Missed"),C86,"")</f>
        <v/>
      </c>
      <c r="D139" s="165" t="inlineStr">
        <is>
          <t>Review whether a valid escalation trigger existed; coach on recognising escalation criteria</t>
        </is>
      </c>
      <c r="E139" s="126" t="n"/>
      <c r="F139" s="122" t="n"/>
      <c r="G139" s="80" t="n"/>
    </row>
    <row r="140" ht="28" customHeight="1" s="175">
      <c r="A140" s="80" t="n"/>
      <c r="B140" s="82" t="inlineStr">
        <is>
          <t>Professionalism concern</t>
        </is>
      </c>
      <c r="C140" s="83">
        <f>IF(OR(C104="Partial",C104="Missed"),C104,"")</f>
        <v/>
      </c>
      <c r="D140" s="165" t="inlineStr">
        <is>
          <t>Mandatory review; assess tone, conduct, and whether a policy violation occurred</t>
        </is>
      </c>
      <c r="E140" s="126" t="n"/>
      <c r="F140" s="122" t="n"/>
      <c r="G140" s="80" t="n"/>
    </row>
    <row r="141" ht="28" customHeight="1" s="175">
      <c r="A141" s="80" t="n"/>
      <c r="B141" s="82" t="inlineStr">
        <is>
          <t>Ticket status inaccurate / premature closure</t>
        </is>
      </c>
      <c r="C141" s="83">
        <f>IF(OR(C120="Partial",C120="Missed"),C120,"")</f>
        <v/>
      </c>
      <c r="D141" s="165" t="inlineStr">
        <is>
          <t>Review ticket state at close; verify status accurately reflected the case outcome</t>
        </is>
      </c>
      <c r="E141" s="126" t="n"/>
      <c r="F141" s="122" t="n"/>
      <c r="G141" s="80" t="n"/>
    </row>
    <row r="142" ht="22" customHeight="1" s="175">
      <c r="A142" s="80" t="n"/>
      <c r="B142" s="162" t="inlineStr">
        <is>
          <t>⚠  Survey / CSAT manipulation has no matching behavioral indicator and cannot be auto-detected — flag manually in §8 Coaching &amp; Feedback if suspected.</t>
        </is>
      </c>
      <c r="C142" s="126" t="n"/>
      <c r="D142" s="126" t="n"/>
      <c r="E142" s="126" t="n"/>
      <c r="F142" s="122" t="n"/>
      <c r="G142" s="80" t="n"/>
    </row>
    <row r="143" ht="22" customHeight="1" s="175">
      <c r="A143" s="80" t="n"/>
      <c r="B143" s="159">
        <f>IF(COUNTIF(C134:C141,"Partial")+COUNTIF(C134:C141,"Missed")=0,"✓  No coaching flags triggered — all key indicators met",COUNTIF(C134:C141,"Partial")+COUNTIF(C134:C141,"Missed")&amp;" coaching flag(s) triggered — review and coaching action required")</f>
        <v/>
      </c>
      <c r="C143" s="126" t="n"/>
      <c r="D143" s="126" t="n"/>
      <c r="E143" s="126" t="n"/>
      <c r="F143" s="122" t="n"/>
      <c r="G143" s="80" t="n"/>
    </row>
    <row r="144" ht="65" customHeight="1" s="175">
      <c r="A144" s="80" t="n"/>
      <c r="B144" s="163">
        <f>IF(COUNTIF(C134:C141,"Partial")+COUNTIF(C134:C141,"Missed")=0,"All key indicators met — no coaching action required",_xludf.TEXTJOIN(CHAR(10),TRUE,IF(C134&lt;&gt;"","⚑ "&amp;B134&amp;" ["&amp;C134&amp;"]",""),IF(C135&lt;&gt;"","⚑ "&amp;B135&amp;" ["&amp;C135&amp;"]",""),IF(C136&lt;&gt;"","⚑ "&amp;B136&amp;" ["&amp;C136&amp;"]",""),IF(C137&lt;&gt;"","⚑ "&amp;B137&amp;" ["&amp;C137&amp;"]",""),IF(C138&lt;&gt;"","⚑ "&amp;B138&amp;" ["&amp;C138&amp;"]",""),IF(C139&lt;&gt;"","⚑ "&amp;B139&amp;" ["&amp;C139&amp;"]",""),IF(C140&lt;&gt;"","⚑ "&amp;B140&amp;" ["&amp;C140&amp;"]",""),IF(C141&lt;&gt;"","⚑ "&amp;B141&amp;" ["&amp;C141&amp;"]","")))</f>
        <v/>
      </c>
      <c r="C144" s="126" t="n"/>
      <c r="D144" s="126" t="n"/>
      <c r="E144" s="126" t="n"/>
      <c r="F144" s="122" t="n"/>
      <c r="G144" s="80" t="n"/>
    </row>
    <row r="145" ht="6" customHeight="1" s="175">
      <c r="A145" s="80" t="n"/>
      <c r="B145" s="167" t="n"/>
      <c r="C145" s="119" t="n"/>
      <c r="D145" s="119" t="n"/>
      <c r="E145" s="119" t="n"/>
      <c r="F145" s="120" t="n"/>
      <c r="G145" s="80" t="n"/>
    </row>
    <row r="146" ht="22" customHeight="1" s="175">
      <c r="B146" s="127" t="inlineStr">
        <is>
          <t>7 · AUTO-ZERO   (from the 360 Form — any trigger forces the Quality Score to 0%)</t>
        </is>
      </c>
      <c r="C146" s="119" t="n"/>
      <c r="D146" s="119" t="n"/>
      <c r="E146" s="119" t="n"/>
      <c r="F146" s="120" t="n"/>
    </row>
    <row r="147" ht="30" customHeight="1" s="175">
      <c r="B147" s="137" t="inlineStr">
        <is>
          <t>A gate marked 'No', any A–K item marked 'Yes' forces the weighted Quality Score (§3) to 0%. Category scores still show for coaching.</t>
        </is>
      </c>
      <c r="C147" s="126" t="n"/>
      <c r="D147" s="126" t="n"/>
      <c r="E147" s="126" t="n"/>
      <c r="F147" s="122" t="n"/>
    </row>
    <row r="148" ht="30" customHeight="1" s="175">
      <c r="B148" s="118" t="inlineStr">
        <is>
          <t>Compliance gate  (mark Yes if adhered)</t>
        </is>
      </c>
      <c r="C148" s="190" t="inlineStr">
        <is>
          <t>Adherent?</t>
        </is>
      </c>
      <c r="D148" s="118" t="inlineStr">
        <is>
          <t>Notes / Evidence</t>
        </is>
      </c>
      <c r="E148" s="119" t="n"/>
      <c r="F148" s="120" t="n"/>
    </row>
    <row r="149" ht="26" customHeight="1" s="175">
      <c r="B149" s="76" t="inlineStr">
        <is>
          <t>Adherence to Callback Hours</t>
        </is>
      </c>
      <c r="C149" s="105" t="inlineStr">
        <is>
          <t>Yes</t>
        </is>
      </c>
      <c r="D149" s="147" t="n"/>
      <c r="E149" s="126" t="n"/>
      <c r="F149" s="122" t="n"/>
    </row>
    <row r="150" ht="26" customHeight="1" s="175">
      <c r="B150" s="76" t="inlineStr">
        <is>
          <t>Adherence to PCI &amp; Information Security Standards</t>
        </is>
      </c>
      <c r="C150" s="105" t="inlineStr">
        <is>
          <t>Yes</t>
        </is>
      </c>
      <c r="D150" s="147" t="n"/>
      <c r="E150" s="126" t="n"/>
      <c r="F150" s="122" t="n"/>
    </row>
    <row r="151" ht="26" customHeight="1" s="175">
      <c r="B151" s="76" t="inlineStr">
        <is>
          <t>Sales</t>
        </is>
      </c>
      <c r="C151" s="105" t="inlineStr">
        <is>
          <t>Yes</t>
        </is>
      </c>
      <c r="D151" s="147" t="n"/>
      <c r="E151" s="126" t="n"/>
      <c r="F151" s="122" t="n"/>
    </row>
    <row r="152" ht="32" customHeight="1" s="175">
      <c r="B152" s="118" t="inlineStr">
        <is>
          <t>AUTO-ZERO list — A to K  (mark Yes if it occurred)</t>
        </is>
      </c>
      <c r="C152" s="190" t="inlineStr">
        <is>
          <t>Occurred?</t>
        </is>
      </c>
      <c r="D152" s="118" t="inlineStr">
        <is>
          <t>Notes / Evidence</t>
        </is>
      </c>
      <c r="E152" s="119" t="n"/>
      <c r="F152" s="120" t="n"/>
    </row>
    <row r="153" ht="26" customHeight="1" s="175">
      <c r="B153" s="76" t="inlineStr">
        <is>
          <t>A.  Call / Session Abandonment</t>
        </is>
      </c>
      <c r="C153" s="105" t="inlineStr">
        <is>
          <t>No</t>
        </is>
      </c>
      <c r="D153" s="147" t="n"/>
      <c r="E153" s="126" t="n"/>
      <c r="F153" s="122" t="n"/>
    </row>
    <row r="154" ht="26" customHeight="1" s="175">
      <c r="B154" s="76" t="inlineStr">
        <is>
          <t>B.  Call / Session Avoidance / Evasion</t>
        </is>
      </c>
      <c r="C154" s="105" t="inlineStr">
        <is>
          <t>No</t>
        </is>
      </c>
      <c r="D154" s="147" t="n"/>
      <c r="E154" s="126" t="n"/>
      <c r="F154" s="122" t="n"/>
    </row>
    <row r="155" ht="26" customHeight="1" s="175">
      <c r="B155" s="76" t="inlineStr">
        <is>
          <t>C.  Discourtesy</t>
        </is>
      </c>
      <c r="C155" s="105" t="inlineStr">
        <is>
          <t>No</t>
        </is>
      </c>
      <c r="D155" s="147" t="n"/>
      <c r="E155" s="126" t="n"/>
      <c r="F155" s="122" t="n"/>
    </row>
    <row r="156" ht="26" customHeight="1" s="175">
      <c r="B156" s="76" t="inlineStr">
        <is>
          <t>D.  Escalation</t>
        </is>
      </c>
      <c r="C156" s="105" t="inlineStr">
        <is>
          <t>No</t>
        </is>
      </c>
      <c r="D156" s="147" t="n"/>
      <c r="E156" s="126" t="n"/>
      <c r="F156" s="122" t="n"/>
    </row>
    <row r="157" ht="26" customHeight="1" s="175">
      <c r="B157" s="76" t="inlineStr">
        <is>
          <t>E.  Failure to ask for the email address</t>
        </is>
      </c>
      <c r="C157" s="105" t="inlineStr">
        <is>
          <t>No</t>
        </is>
      </c>
      <c r="D157" s="147" t="n"/>
      <c r="E157" s="126" t="n"/>
      <c r="F157" s="122" t="n"/>
    </row>
    <row r="158" ht="26" customHeight="1" s="175">
      <c r="B158" s="76" t="inlineStr">
        <is>
          <t>F.  Fraud</t>
        </is>
      </c>
      <c r="C158" s="105" t="inlineStr">
        <is>
          <t>No</t>
        </is>
      </c>
      <c r="D158" s="147" t="n"/>
      <c r="E158" s="126" t="n"/>
      <c r="F158" s="122" t="n"/>
    </row>
    <row r="159" ht="26" customHeight="1" s="175">
      <c r="B159" s="76" t="inlineStr">
        <is>
          <t>G.  Hard-selling</t>
        </is>
      </c>
      <c r="C159" s="105" t="inlineStr">
        <is>
          <t>No</t>
        </is>
      </c>
      <c r="D159" s="147" t="n"/>
      <c r="E159" s="126" t="n"/>
      <c r="F159" s="122" t="n"/>
    </row>
    <row r="160" ht="26" customHeight="1" s="175">
      <c r="B160" s="76" t="inlineStr">
        <is>
          <t>H.  Line Release</t>
        </is>
      </c>
      <c r="C160" s="105" t="inlineStr">
        <is>
          <t>No</t>
        </is>
      </c>
      <c r="D160" s="147" t="n"/>
      <c r="E160" s="126" t="n"/>
      <c r="F160" s="122" t="n"/>
    </row>
    <row r="161" ht="26" customHeight="1" s="175">
      <c r="B161" s="76" t="inlineStr">
        <is>
          <t>I.  Non-Adherence to Callback Hours</t>
        </is>
      </c>
      <c r="C161" s="105" t="inlineStr">
        <is>
          <t>No</t>
        </is>
      </c>
      <c r="D161" s="147" t="n"/>
      <c r="E161" s="126" t="n"/>
      <c r="F161" s="122" t="n"/>
    </row>
    <row r="162" ht="26" customHeight="1" s="175">
      <c r="B162" s="76" t="inlineStr">
        <is>
          <t>J.  Non-Adherence to PCI and Information Security Standards</t>
        </is>
      </c>
      <c r="C162" s="105" t="inlineStr">
        <is>
          <t>No</t>
        </is>
      </c>
      <c r="D162" s="147" t="n"/>
      <c r="E162" s="126" t="n"/>
      <c r="F162" s="122" t="n"/>
    </row>
    <row r="163" ht="26" customHeight="1" s="175">
      <c r="B163" s="76" t="inlineStr">
        <is>
          <t>K.  Non-First Call Resolution</t>
        </is>
      </c>
      <c r="C163" s="105" t="inlineStr">
        <is>
          <t>No</t>
        </is>
      </c>
      <c r="D163" s="147" t="n"/>
      <c r="E163" s="126" t="n"/>
      <c r="F163" s="122" t="n"/>
    </row>
    <row r="164" ht="24" customHeight="1" s="175">
      <c r="B164" s="127" t="inlineStr">
        <is>
          <t>AUTO-ZERO TRIGGERED?</t>
        </is>
      </c>
      <c r="C164" s="160">
        <f>IF(OR(C149="No",C150="No",C151="No",COUNTIF(C153:C163,"Yes")&gt;0),"YES — Quality Score forced to 0%","No")</f>
        <v/>
      </c>
      <c r="D164" s="119" t="n"/>
      <c r="E164" s="119" t="n"/>
      <c r="F164" s="120" t="n"/>
    </row>
    <row r="165" ht="20" customHeight="1" s="175">
      <c r="B165" s="168" t="inlineStr">
        <is>
          <t>8 · COACHING &amp; FEEDBACK   (every review answers the three QA questions below)</t>
        </is>
      </c>
      <c r="C165" s="119" t="n"/>
      <c r="D165" s="119" t="n"/>
      <c r="E165" s="119" t="n"/>
      <c r="F165" s="120" t="n"/>
    </row>
    <row r="166" ht="30" customHeight="1" s="175">
      <c r="B166" s="153" t="inlineStr">
        <is>
          <t>Q1 · Did we help the customer as effectively as we reasonably could?</t>
        </is>
      </c>
      <c r="C166" s="119" t="n"/>
      <c r="D166" s="119" t="n"/>
      <c r="E166" s="119" t="n"/>
      <c r="F166" s="120" t="n"/>
    </row>
    <row r="167" ht="58" customHeight="1" s="175">
      <c r="B167" s="145" t="n"/>
      <c r="C167" s="126" t="n"/>
      <c r="D167" s="126" t="n"/>
      <c r="E167" s="126" t="n"/>
      <c r="F167" s="122" t="n"/>
    </row>
    <row r="168" ht="30" customHeight="1" s="175">
      <c r="B168" s="153" t="inlineStr">
        <is>
          <t>Q2 · Did the agent demonstrate strong technical and communication behavior?</t>
        </is>
      </c>
      <c r="C168" s="119" t="n"/>
      <c r="D168" s="119" t="n"/>
      <c r="E168" s="119" t="n"/>
      <c r="F168" s="120" t="n"/>
    </row>
    <row r="169" ht="24" customHeight="1" s="175">
      <c r="B169" s="144" t="inlineStr">
        <is>
          <t>What went well — behaviors to repeat</t>
        </is>
      </c>
      <c r="C169" s="126" t="n"/>
      <c r="D169" s="126" t="n"/>
      <c r="E169" s="126" t="n"/>
      <c r="F169" s="122" t="n"/>
    </row>
    <row r="170" ht="32" customHeight="1" s="175">
      <c r="B170" s="104" t="inlineStr">
        <is>
          <t>1.</t>
        </is>
      </c>
      <c r="C170" s="145" t="n"/>
      <c r="D170" s="126" t="n"/>
      <c r="E170" s="126" t="n"/>
      <c r="F170" s="122" t="n"/>
    </row>
    <row r="171" ht="32" customHeight="1" s="175">
      <c r="B171" s="104" t="inlineStr">
        <is>
          <t>2.</t>
        </is>
      </c>
      <c r="C171" s="145" t="n"/>
      <c r="D171" s="126" t="n"/>
      <c r="E171" s="126" t="n"/>
      <c r="F171" s="122" t="n"/>
    </row>
    <row r="172" ht="32" customHeight="1" s="175">
      <c r="B172" s="104" t="inlineStr">
        <is>
          <t>3.</t>
        </is>
      </c>
      <c r="C172" s="145" t="n"/>
      <c r="D172" s="126" t="n"/>
      <c r="E172" s="126" t="n"/>
      <c r="F172" s="122" t="n"/>
    </row>
    <row r="173" ht="24" customHeight="1" s="175">
      <c r="B173" s="144" t="inlineStr">
        <is>
          <t>Improvement opportunities — behaviors to improve</t>
        </is>
      </c>
      <c r="C173" s="126" t="n"/>
      <c r="D173" s="126" t="n"/>
      <c r="E173" s="126" t="n"/>
      <c r="F173" s="122" t="n"/>
    </row>
    <row r="174" ht="32" customHeight="1" s="175">
      <c r="B174" s="104" t="inlineStr">
        <is>
          <t>1.</t>
        </is>
      </c>
      <c r="C174" s="145" t="n"/>
      <c r="D174" s="126" t="n"/>
      <c r="E174" s="126" t="n"/>
      <c r="F174" s="122" t="n"/>
    </row>
    <row r="175" ht="32" customHeight="1" s="175">
      <c r="B175" s="104" t="inlineStr">
        <is>
          <t>2.</t>
        </is>
      </c>
      <c r="C175" s="145" t="n"/>
      <c r="D175" s="126" t="n"/>
      <c r="E175" s="126" t="n"/>
      <c r="F175" s="122" t="n"/>
    </row>
    <row r="176" ht="32" customHeight="1" s="175">
      <c r="B176" s="104" t="inlineStr">
        <is>
          <t>3.</t>
        </is>
      </c>
      <c r="C176" s="145" t="n"/>
      <c r="D176" s="126" t="n"/>
      <c r="E176" s="126" t="n"/>
      <c r="F176" s="122" t="n"/>
    </row>
    <row r="177" ht="24" customHeight="1" s="175">
      <c r="B177" s="144" t="inlineStr">
        <is>
          <t>Coaching recommendation — specific actions the agent should apply going forward</t>
        </is>
      </c>
      <c r="C177" s="126" t="n"/>
      <c r="D177" s="126" t="n"/>
      <c r="E177" s="126" t="n"/>
      <c r="F177" s="122" t="n"/>
    </row>
    <row r="178" ht="58" customHeight="1" s="175">
      <c r="B178" s="145" t="n"/>
      <c r="C178" s="126" t="n"/>
      <c r="D178" s="126" t="n"/>
      <c r="E178" s="126" t="n"/>
      <c r="F178" s="122" t="n"/>
    </row>
    <row r="179" ht="20" customHeight="1" s="175">
      <c r="B179" s="144" t="inlineStr">
        <is>
          <t>NEXT SESSION FOCUS   ·   Specific behaviors to practice before the next review</t>
        </is>
      </c>
      <c r="C179" s="126" t="n"/>
      <c r="D179" s="126" t="n"/>
      <c r="E179" s="126" t="n"/>
      <c r="F179" s="122" t="n"/>
    </row>
    <row r="180" ht="28" customHeight="1" s="175">
      <c r="B180" s="88" t="inlineStr">
        <is>
          <t>1.</t>
        </is>
      </c>
      <c r="C180" s="145" t="n"/>
      <c r="D180" s="126" t="n"/>
      <c r="E180" s="126" t="n"/>
      <c r="F180" s="122" t="n"/>
    </row>
    <row r="181" ht="28" customHeight="1" s="175">
      <c r="B181" s="88" t="inlineStr">
        <is>
          <t>2.</t>
        </is>
      </c>
      <c r="C181" s="145" t="n"/>
      <c r="D181" s="126" t="n"/>
      <c r="E181" s="126" t="n"/>
      <c r="F181" s="122" t="n"/>
    </row>
    <row r="182" ht="28" customHeight="1" s="175">
      <c r="B182" s="88" t="inlineStr">
        <is>
          <t>3.</t>
        </is>
      </c>
      <c r="C182" s="166" t="n"/>
      <c r="D182" s="126" t="n"/>
      <c r="E182" s="126" t="n"/>
      <c r="F182" s="122" t="n"/>
    </row>
    <row r="183" ht="32" customHeight="1" s="175">
      <c r="B183" s="153" t="inlineStr">
        <is>
          <t>Q3 · What does this interaction tell us about training, process, or knowledge gaps across the team?</t>
        </is>
      </c>
      <c r="C183" s="119" t="n"/>
      <c r="D183" s="119" t="n"/>
      <c r="E183" s="119" t="n"/>
      <c r="F183" s="120" t="n"/>
    </row>
    <row r="184" ht="24" customHeight="1" s="175">
      <c r="B184" s="144" t="inlineStr">
        <is>
          <t>Organizational insights — training / process / KB / chatbot / tooling / product / contact-driver gaps</t>
        </is>
      </c>
      <c r="C184" s="126" t="n"/>
      <c r="D184" s="126" t="n"/>
      <c r="E184" s="126" t="n"/>
      <c r="F184" s="122" t="n"/>
    </row>
    <row r="185" ht="58" customHeight="1" s="175">
      <c r="B185" s="145" t="n"/>
      <c r="C185" s="126" t="n"/>
      <c r="D185" s="126" t="n"/>
      <c r="E185" s="126" t="n"/>
      <c r="F185" s="122" t="n"/>
    </row>
    <row r="186" ht="24" customHeight="1" s="175">
      <c r="B186" s="144" t="inlineStr">
        <is>
          <t>Multi-touch / journey notes — handoff quality, continuity, where the chain strengthened or broke</t>
        </is>
      </c>
      <c r="C186" s="126" t="n"/>
      <c r="D186" s="126" t="n"/>
      <c r="E186" s="126" t="n"/>
      <c r="F186" s="122" t="n"/>
    </row>
    <row r="187" ht="58" customHeight="1" s="175">
      <c r="B187" s="145" t="n"/>
      <c r="C187" s="126" t="n"/>
      <c r="D187" s="126" t="n"/>
      <c r="E187" s="126" t="n"/>
      <c r="F187" s="122" t="n"/>
    </row>
    <row r="188" ht="24" customHeight="1" s="175">
      <c r="B188" s="144" t="inlineStr">
        <is>
          <t>Final QA assessment — overall customer outcome, support quality, and coaching value</t>
        </is>
      </c>
      <c r="C188" s="126" t="n"/>
      <c r="D188" s="126" t="n"/>
      <c r="E188" s="126" t="n"/>
      <c r="F188" s="122" t="n"/>
    </row>
    <row r="189" ht="58" customHeight="1" s="175">
      <c r="B189" s="145" t="n"/>
      <c r="C189" s="126" t="n"/>
      <c r="D189" s="126" t="n"/>
      <c r="E189" s="126" t="n"/>
      <c r="F189" s="122" t="n"/>
    </row>
    <row r="190" ht="24" customHeight="1" s="175"/>
    <row r="191" ht="58" customHeight="1" s="175"/>
    <row r="192" ht="20" customHeight="1" s="175"/>
    <row r="193" ht="30" customHeight="1" s="175"/>
    <row r="194" ht="58" customHeight="1" s="175"/>
    <row r="195" ht="30" customHeight="1" s="175"/>
    <row r="196" ht="24" customHeight="1" s="175"/>
    <row r="197" ht="32" customHeight="1" s="175"/>
    <row r="198" ht="32" customHeight="1" s="175"/>
    <row r="199" ht="32" customHeight="1" s="175"/>
    <row r="200" ht="24" customHeight="1" s="175"/>
    <row r="201" ht="32" customHeight="1" s="175"/>
    <row r="202" ht="32" customHeight="1" s="175"/>
    <row r="203" ht="32" customHeight="1" s="175"/>
    <row r="204" ht="24" customHeight="1" s="175"/>
    <row r="205" ht="58" customHeight="1" s="175"/>
    <row r="206" ht="20" customHeight="1" s="175"/>
    <row r="207" ht="28" customHeight="1" s="175"/>
    <row r="208" ht="28" customHeight="1" s="175"/>
    <row r="209" ht="28" customHeight="1" s="175"/>
    <row r="210" ht="32" customHeight="1" s="175"/>
    <row r="211" ht="24" customHeight="1" s="175"/>
    <row r="212" ht="58" customHeight="1" s="175"/>
    <row r="213" ht="24" customHeight="1" s="175"/>
    <row r="214" ht="58" customHeight="1" s="175"/>
    <row r="215" ht="24" customHeight="1" s="175"/>
    <row r="216" ht="58" customHeight="1" s="175"/>
    <row r="217" ht="58" customHeight="1" s="175"/>
    <row r="218" ht="24" customHeight="1" s="175"/>
    <row r="219" ht="58" customHeight="1" s="175"/>
    <row r="220" ht="24" customHeight="1" s="175"/>
    <row r="221" ht="58" customHeight="1" s="175"/>
  </sheetData>
  <mergeCells count="178">
    <mergeCell ref="B129:F129"/>
    <mergeCell ref="D76:F76"/>
    <mergeCell ref="D116:F116"/>
    <mergeCell ref="B3:F3"/>
    <mergeCell ref="B184:F184"/>
    <mergeCell ref="C81:F81"/>
    <mergeCell ref="D53:F53"/>
    <mergeCell ref="D75:F75"/>
    <mergeCell ref="B71:F71"/>
    <mergeCell ref="D47:F47"/>
    <mergeCell ref="E8:F8"/>
    <mergeCell ref="B52:F52"/>
    <mergeCell ref="C13:F13"/>
    <mergeCell ref="E131:F131"/>
    <mergeCell ref="B2:F2"/>
    <mergeCell ref="D102:F102"/>
    <mergeCell ref="D37:F37"/>
    <mergeCell ref="B100:E100"/>
    <mergeCell ref="D152:F152"/>
    <mergeCell ref="D39:F39"/>
    <mergeCell ref="B179:F179"/>
    <mergeCell ref="B166:F166"/>
    <mergeCell ref="D133:F133"/>
    <mergeCell ref="C172:F172"/>
    <mergeCell ref="B94:C95"/>
    <mergeCell ref="B34:F34"/>
    <mergeCell ref="C171:F171"/>
    <mergeCell ref="B186:F186"/>
    <mergeCell ref="B108:F108"/>
    <mergeCell ref="B168:F168"/>
    <mergeCell ref="B143:F143"/>
    <mergeCell ref="C164:F164"/>
    <mergeCell ref="D119:F119"/>
    <mergeCell ref="D159:F159"/>
    <mergeCell ref="B15:F15"/>
    <mergeCell ref="D80:F80"/>
    <mergeCell ref="C43:F43"/>
    <mergeCell ref="B142:F142"/>
    <mergeCell ref="B112:E112"/>
    <mergeCell ref="D105:F105"/>
    <mergeCell ref="B144:F144"/>
    <mergeCell ref="E12:F12"/>
    <mergeCell ref="D120:F120"/>
    <mergeCell ref="D41:F41"/>
    <mergeCell ref="B125:F125"/>
    <mergeCell ref="D154:F154"/>
    <mergeCell ref="B185:F185"/>
    <mergeCell ref="D163:F163"/>
    <mergeCell ref="D107:F107"/>
    <mergeCell ref="B33:E33"/>
    <mergeCell ref="B121:F121"/>
    <mergeCell ref="D91:F91"/>
    <mergeCell ref="C19:F19"/>
    <mergeCell ref="D162:F162"/>
    <mergeCell ref="B96:F96"/>
    <mergeCell ref="D156:F156"/>
    <mergeCell ref="B167:F167"/>
    <mergeCell ref="C111:F111"/>
    <mergeCell ref="E4:F4"/>
    <mergeCell ref="D137:F137"/>
    <mergeCell ref="D106:F106"/>
    <mergeCell ref="C69:F69"/>
    <mergeCell ref="C92:F92"/>
    <mergeCell ref="C175:F175"/>
    <mergeCell ref="D74:F74"/>
    <mergeCell ref="D130:F130"/>
    <mergeCell ref="D68:F68"/>
    <mergeCell ref="D117:F117"/>
    <mergeCell ref="B57:F57"/>
    <mergeCell ref="C14:F14"/>
    <mergeCell ref="D157:F157"/>
    <mergeCell ref="C98:F98"/>
    <mergeCell ref="D67:F67"/>
    <mergeCell ref="D110:F110"/>
    <mergeCell ref="D85:F85"/>
    <mergeCell ref="D54:F54"/>
    <mergeCell ref="B146:F146"/>
    <mergeCell ref="D60:F60"/>
    <mergeCell ref="D109:F109"/>
    <mergeCell ref="B187:F187"/>
    <mergeCell ref="B83:F83"/>
    <mergeCell ref="C124:F124"/>
    <mergeCell ref="E16:F16"/>
    <mergeCell ref="D46:F46"/>
    <mergeCell ref="D158:F158"/>
    <mergeCell ref="B189:F189"/>
    <mergeCell ref="B45:F45"/>
    <mergeCell ref="D86:F86"/>
    <mergeCell ref="B173:F173"/>
    <mergeCell ref="B188:F188"/>
    <mergeCell ref="D104:F104"/>
    <mergeCell ref="D160:F160"/>
    <mergeCell ref="C181:F181"/>
    <mergeCell ref="D136:F136"/>
    <mergeCell ref="D150:F150"/>
    <mergeCell ref="C174:F174"/>
    <mergeCell ref="D87:F87"/>
    <mergeCell ref="B21:F21"/>
    <mergeCell ref="C18:F18"/>
    <mergeCell ref="D122:F122"/>
    <mergeCell ref="D58:F58"/>
    <mergeCell ref="B145:F145"/>
    <mergeCell ref="B1:F1"/>
    <mergeCell ref="D73:F73"/>
    <mergeCell ref="D42:F42"/>
    <mergeCell ref="D51:F51"/>
    <mergeCell ref="B56:E56"/>
    <mergeCell ref="E6:F6"/>
    <mergeCell ref="C128:F128"/>
    <mergeCell ref="B147:F147"/>
    <mergeCell ref="C97:F97"/>
    <mergeCell ref="B178:F178"/>
    <mergeCell ref="C20:F20"/>
    <mergeCell ref="D123:F123"/>
    <mergeCell ref="D148:F148"/>
    <mergeCell ref="D35:F35"/>
    <mergeCell ref="D59:F59"/>
    <mergeCell ref="D115:F115"/>
    <mergeCell ref="D138:F138"/>
    <mergeCell ref="B183:F183"/>
    <mergeCell ref="C127:F127"/>
    <mergeCell ref="C176:F176"/>
    <mergeCell ref="E7:F7"/>
    <mergeCell ref="D84:F84"/>
    <mergeCell ref="D140:F140"/>
    <mergeCell ref="B44:E44"/>
    <mergeCell ref="D155:F155"/>
    <mergeCell ref="D36:F36"/>
    <mergeCell ref="D149:F149"/>
    <mergeCell ref="C131:D131"/>
    <mergeCell ref="D77:F77"/>
    <mergeCell ref="B113:F113"/>
    <mergeCell ref="D151:F151"/>
    <mergeCell ref="D61:F61"/>
    <mergeCell ref="B165:F165"/>
    <mergeCell ref="D141:F141"/>
    <mergeCell ref="B66:F66"/>
    <mergeCell ref="D135:F135"/>
    <mergeCell ref="D48:F48"/>
    <mergeCell ref="B22:F22"/>
    <mergeCell ref="B93:F93"/>
    <mergeCell ref="E17:F17"/>
    <mergeCell ref="C170:F170"/>
    <mergeCell ref="D103:F103"/>
    <mergeCell ref="D72:F72"/>
    <mergeCell ref="D134:F134"/>
    <mergeCell ref="E10:F10"/>
    <mergeCell ref="D62:F62"/>
    <mergeCell ref="D118:F118"/>
    <mergeCell ref="D161:F161"/>
    <mergeCell ref="B132:F132"/>
    <mergeCell ref="B101:F101"/>
    <mergeCell ref="D114:F114"/>
    <mergeCell ref="E9:F9"/>
    <mergeCell ref="D64:F64"/>
    <mergeCell ref="D38:F38"/>
    <mergeCell ref="C126:F126"/>
    <mergeCell ref="B78:F78"/>
    <mergeCell ref="D79:F79"/>
    <mergeCell ref="B70:E70"/>
    <mergeCell ref="E11:F11"/>
    <mergeCell ref="D88:F88"/>
    <mergeCell ref="D153:F153"/>
    <mergeCell ref="B40:F40"/>
    <mergeCell ref="C55:F55"/>
    <mergeCell ref="C99:F99"/>
    <mergeCell ref="D63:F63"/>
    <mergeCell ref="C180:F180"/>
    <mergeCell ref="D90:F90"/>
    <mergeCell ref="B177:F177"/>
    <mergeCell ref="B89:F89"/>
    <mergeCell ref="D65:F65"/>
    <mergeCell ref="B82:E82"/>
    <mergeCell ref="B169:F169"/>
    <mergeCell ref="D139:F139"/>
    <mergeCell ref="C182:F182"/>
    <mergeCell ref="B32:F32"/>
    <mergeCell ref="D49:F49"/>
  </mergeCells>
  <conditionalFormatting sqref="C21:C25">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8">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4:C40">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3">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9:C56">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9">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5:C72">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5">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1:C85">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8">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4:C99">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2">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8:C114">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7">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34:C141">
    <cfRule type="cellIs" priority="55" operator="equal" dxfId="101">
      <formula>"Missed"</formula>
    </cfRule>
    <cfRule type="cellIs" priority="54" operator="equal" dxfId="100">
      <formula>"Partial"</formula>
    </cfRule>
  </conditionalFormatting>
  <conditionalFormatting sqref="C142:C152">
    <cfRule type="cellIs" priority="51" operator="equal" dxfId="0">
      <formula>"Yes"</formula>
    </cfRule>
  </conditionalFormatting>
  <conditionalFormatting sqref="C153">
    <cfRule type="expression" priority="52" dxfId="0">
      <formula>ISNUMBER(SEARCH("YES",C152))</formula>
    </cfRule>
    <cfRule type="expression" priority="53" dxfId="2">
      <formula>NOT(ISNUMBER(SEARCH("YES",C152)))</formula>
    </cfRule>
  </conditionalFormatting>
  <conditionalFormatting sqref="E129">
    <cfRule type="cellIs" priority="44" operator="between" dxfId="29">
      <formula>0.7</formula>
      <formula>0.8499</formula>
    </cfRule>
    <cfRule type="cellIs" priority="45" operator="lessThan" dxfId="28">
      <formula>0.7</formula>
    </cfRule>
    <cfRule type="cellIs" priority="43" operator="greaterThanOrEqual" dxfId="30">
      <formula>0.85</formula>
    </cfRule>
  </conditionalFormatting>
  <conditionalFormatting sqref="E138">
    <cfRule type="expression" priority="50" dxfId="2">
      <formula>E137="OK"</formula>
    </cfRule>
    <cfRule type="expression" priority="49" dxfId="0">
      <formula>E137&lt;&gt;"OK"</formula>
    </cfRule>
  </conditionalFormatting>
  <conditionalFormatting sqref="F122:F128">
    <cfRule type="cellIs" priority="46" operator="equal" dxfId="9">
      <formula>"Strong"</formula>
    </cfRule>
    <cfRule type="cellIs" priority="47" operator="equal" dxfId="8">
      <formula>"Developing"</formula>
    </cfRule>
    <cfRule type="cellIs" priority="48" operator="equal" dxfId="7">
      <formula>"Needs Focus"</formula>
    </cfRule>
  </conditionalFormatting>
  <dataValidations count="12">
    <dataValidation sqref="C36 C37 C38 C39 C47 C48 C49 C50 C51 C59 C60 C61 C62 C63 C64 C65 C73 C74 C76 C77 C85 C86 C87 C88 C103 C104 C105 C106 C107 C115 C116 C117 C118 C119 C120" showDropDown="0" showInputMessage="0" showErrorMessage="0" allowBlank="1" type="list">
      <formula1>"Met,Partial,Missed,N.A."</formula1>
    </dataValidation>
    <dataValidation sqref="C42 C54 C68 C80 C91 C110 C123" showDropDown="0" showInputMessage="0" showErrorMessage="0" allowBlank="1" type="whole">
      <formula1>0</formula1>
    </dataValidation>
    <dataValidation sqref="C130 C153:C163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6" showDropDown="0" showInputMessage="0" showErrorMessage="0" allowBlank="1" type="list">
      <formula1>"Successful Resolution,Partial Resolution,Appropriate Escalation,Ownership Gap,Unresolved"</formula1>
    </dataValidation>
    <dataValidation sqref="C127"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1" showDropDown="0" showInputMessage="0" showErrorMessage="0" allowBlank="1" type="list">
      <formula1>"Callback attempt,Follow-up email,Private note documenting actions,Documented why follow-up not possible,None,N.A. — no disconnect"</formula1>
    </dataValidation>
    <dataValidation sqref="C149:C151"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 appropriate language, as needed, and confirmed customer understanding</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Commitments made were followed through, and a clear path forward was created for the customer.</t>
        </is>
      </c>
      <c r="C72" s="63" t="inlineStr">
        <is>
          <t>Met</t>
        </is>
      </c>
      <c r="D72" s="64" t="inlineStr">
        <is>
          <t>Every commitment made during the interaction was executed within the call or documented with a specific owner and timeline. Customer left with a defined, actionable next step.</t>
        </is>
      </c>
      <c r="E72" s="65" t="inlineStr">
        <is>
          <t>Agent committed to submitting the escalation before end of day, told the customer what L2 would do and when to expect contact, and updated the ticket accordingly before closing. → Met.</t>
        </is>
      </c>
    </row>
    <row r="73" ht="72" customHeight="1" s="175">
      <c r="A73" s="172" t="n"/>
      <c r="B73" s="172" t="n"/>
      <c r="C73" s="66" t="inlineStr">
        <is>
          <t>Partial</t>
        </is>
      </c>
      <c r="D73" s="67" t="inlineStr">
        <is>
          <t>Path forward was defined but vague — no specifics on who, when, or what. Or a commitment was made verbally but not documented in the case.</t>
        </is>
      </c>
      <c r="E73" s="68" t="inlineStr">
        <is>
          <t>Agent told the customer 'someone will follow up with you' but did not specify the team, timeline, or the nature of the follow-up. → Partial.</t>
        </is>
      </c>
    </row>
    <row r="74" ht="72" customHeight="1" s="175">
      <c r="A74" s="172" t="n"/>
      <c r="B74" s="172" t="n"/>
      <c r="C74" s="69" t="inlineStr">
        <is>
          <t>Missed</t>
        </is>
      </c>
      <c r="D74" s="70" t="inlineStr">
        <is>
          <t>Agent made a commitment that was not kept and not documented. Customer ends the interaction with no defined next step.</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Not applicable. A path forward is always relevant.</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v>12345678</v>
      </c>
      <c r="C5" s="39" t="inlineStr">
        <is>
          <t>Agent 1</t>
        </is>
      </c>
      <c r="D5" s="39" t="n">
        <v>1</v>
      </c>
      <c r="E5" s="39" t="n">
        <v>3</v>
      </c>
      <c r="F5" s="39" t="n">
        <v>5</v>
      </c>
      <c r="G5" s="39" t="n">
        <v>5</v>
      </c>
      <c r="H5" s="39" t="n">
        <v>4</v>
      </c>
      <c r="I5" s="39" t="n">
        <v>3</v>
      </c>
      <c r="J5" s="39" t="n">
        <v>5</v>
      </c>
      <c r="K5" s="39" t="n">
        <v>5</v>
      </c>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inlineStr">
        <is>
          <t>Level 1</t>
        </is>
      </c>
    </row>
    <row r="6" ht="40" customHeight="1" s="175">
      <c r="A6" s="39" t="n"/>
      <c r="B6" s="39" t="n">
        <v>12345678</v>
      </c>
      <c r="C6" s="39" t="inlineStr">
        <is>
          <t>Agent 2</t>
        </is>
      </c>
      <c r="D6" s="39" t="n">
        <v>2</v>
      </c>
      <c r="E6" s="39" t="n">
        <v>4</v>
      </c>
      <c r="F6" s="39" t="n">
        <v>4</v>
      </c>
      <c r="G6" s="39" t="n">
        <v>3</v>
      </c>
      <c r="H6" s="39" t="n">
        <v>3</v>
      </c>
      <c r="I6" s="39" t="n">
        <v>2</v>
      </c>
      <c r="J6" s="39" t="n">
        <v>5</v>
      </c>
      <c r="K6" s="39" t="n">
        <v>4</v>
      </c>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inlineStr">
        <is>
          <t>Level 1</t>
        </is>
      </c>
    </row>
    <row r="7" ht="40" customHeight="1" s="175">
      <c r="A7" s="39" t="n"/>
      <c r="B7" s="39" t="n">
        <v>12345678</v>
      </c>
      <c r="C7" s="39" t="inlineStr">
        <is>
          <t>Agent 3</t>
        </is>
      </c>
      <c r="D7" s="39" t="n">
        <v>3</v>
      </c>
      <c r="E7" s="39" t="n">
        <v>5</v>
      </c>
      <c r="F7" s="39" t="n">
        <v>5</v>
      </c>
      <c r="G7" s="39" t="n">
        <v>5</v>
      </c>
      <c r="H7" s="39" t="n">
        <v>5</v>
      </c>
      <c r="I7" s="39" t="n">
        <v>5</v>
      </c>
      <c r="J7" s="39" t="n">
        <v>3</v>
      </c>
      <c r="K7" s="39" t="n">
        <v>4</v>
      </c>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inlineStr">
        <is>
          <t>Level 1</t>
        </is>
      </c>
    </row>
    <row r="8" ht="40" customHeight="1" s="175">
      <c r="A8" s="39" t="n"/>
      <c r="B8" s="39" t="n">
        <v>12345678</v>
      </c>
      <c r="C8" s="39" t="inlineStr">
        <is>
          <t>Agent 4</t>
        </is>
      </c>
      <c r="D8" s="39" t="n">
        <v>2</v>
      </c>
      <c r="E8" s="39" t="n">
        <v>2</v>
      </c>
      <c r="F8" s="39" t="n">
        <v>2</v>
      </c>
      <c r="G8" s="39" t="n">
        <v>2</v>
      </c>
      <c r="H8" s="39" t="n">
        <v>2</v>
      </c>
      <c r="I8" s="39" t="n">
        <v>3</v>
      </c>
      <c r="J8" s="39" t="n">
        <v>3</v>
      </c>
      <c r="K8" s="39" t="n">
        <v>3</v>
      </c>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inlineStr">
        <is>
          <t>Level 2</t>
        </is>
      </c>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Outcome (0-5)</t>
        </is>
      </c>
      <c r="F55" s="38" t="inlineStr">
        <is>
          <t>Continuity (0-5)</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v>12345678</v>
      </c>
      <c r="B56" s="122" t="n"/>
      <c r="C56" s="25">
        <f>IF(A56="","",COUNTIF(B5:B49,A56))</f>
        <v/>
      </c>
      <c r="D56" s="24">
        <f>IF(A56="","",IFERROR(AVERAGEIF(B5:B49,A56,L5:L49),""))</f>
        <v/>
      </c>
      <c r="E56" s="9" t="n">
        <v>5</v>
      </c>
      <c r="F56" s="9" t="n">
        <v>5</v>
      </c>
      <c r="G56" s="116">
        <f>IF(OR(A56="",D56="",E56="",F56=""),"",IFERROR(IF(AND(COUNTIFS($B$5:$B$49,A56,$Q$5:$Q$49,"Level 1")&gt;0,COUNTIFS($B$5:$B$49,A56,$Q$5:$Q$49,"Level 2")&gt;0),0.2*IFERROR(AVERAGEIFS($L$5:$L$49,$B$5:$B$49,A56,$Q$5:$Q$49,"Level 1"),0)+0.3*IFERROR(AVERAGEIFS($L$5:$L$49,$B$5:$B$49,A56,$Q$5:$Q$49,"Level 2"),0),0.5*D56)+0.3*(E56/5)+0.2*(F56/5),""))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2"),0),0.5*D57)+0.3*(E57/5)+0.2*(F57/5),""))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2"),0),0.5*D58)+0.3*(E58/5)+0.2*(F58/5),""))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2"),0),0.5*D59)+0.3*(E59/5)+0.2*(F59/5),""))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4:P54"/>
    <mergeCell ref="A56:B56"/>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Out of range" error="Enter a whole number between 0 and 5." promptTitle="Journey Outcome (0–5)" prompt="5 = Resolved &amp; confirmed  4 = Strong path: RMA / escalation / limitation explained  3 = Partial — next step exists but issue open  2 = Minimal progress  1 = No meaningful progress  0 = Worsened or contradictory guidance" type="whole" operator="between">
      <formula1>0</formula1>
      <formula2>5</formula2>
    </dataValidation>
    <dataValidation sqref="F56:F59" showDropDown="0" showInputMessage="1" showErrorMessage="1" allowBlank="1" errorTitle="Out of range" error="Enter a whole number between 0 and 5." promptTitle="Continuity of Support (0–5)" prompt="5 = Full context, no repeated questions, statuses always truthful  4 = Minor gaps, no customer impact  3 = Customer re-explained parts of issue  2 = Significant context loss across touches  1 = Near-zero continuity  0 = Contradictory guidance or breakdown" type="whole" operator="between">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row>
    <row r="7">
      <c r="A7" t="inlineStr">
        <is>
          <t>CSAT</t>
        </is>
      </c>
      <c r="C7" t="inlineStr">
        <is>
          <t>Unresolved (declined sales pitch — invalid)</t>
        </is>
      </c>
      <c r="E7" t="inlineStr">
        <is>
          <t>RMA – Terms &amp; Conditions</t>
        </is>
      </c>
      <c r="F7" t="inlineStr">
        <is>
          <t>Design – Aesthetics</t>
        </is>
      </c>
      <c r="G7" t="inlineStr">
        <is>
          <t>Internal – CSC</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2026-06-18T06:45:23Z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