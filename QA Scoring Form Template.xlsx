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ABDF4DBC-7218-4471-99B4-ABB0E799034A}" xr6:coauthVersionLast="47" xr6:coauthVersionMax="47" xr10:uidLastSave="{00000000-0000-0000-0000-000000000000}"/>
  <bookViews>
    <workbookView xWindow="9600" yWindow="4020" windowWidth="9600" windowHeight="5450" firstSheet="8" activeTab="8"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QA Cheat Sheet" sheetId="12" r:id="rId8"/>
    <sheet name="Job Aid Templates" sheetId="13" r:id="rId9"/>
    <sheet name="Team Scoring" sheetId="8" r:id="rId10"/>
    <sheet name="Example (Filled)" sheetId="9" r:id="rId11"/>
    <sheet name="Case Tracker" sheetId="10" r:id="rId12"/>
    <sheet name="Lists" sheetId="11" state="hidden"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8" i="9" l="1"/>
  <c r="C96" i="9"/>
  <c r="C77" i="9"/>
  <c r="C54" i="9"/>
  <c r="C43" i="9"/>
  <c r="C105" i="3"/>
  <c r="D106" i="3" s="1"/>
  <c r="C95" i="3"/>
  <c r="D96" i="3" s="1"/>
  <c r="C78" i="3"/>
  <c r="D79" i="3" s="1"/>
  <c r="C59" i="3"/>
  <c r="C50" i="3"/>
  <c r="D51" i="3" s="1"/>
  <c r="C66" i="9"/>
  <c r="C31" i="9"/>
  <c r="C141" i="9"/>
  <c r="C140" i="9"/>
  <c r="C139" i="9"/>
  <c r="C138" i="9"/>
  <c r="C137" i="9"/>
  <c r="C136" i="9"/>
  <c r="C135" i="9"/>
  <c r="C134" i="9"/>
  <c r="B127" i="3"/>
  <c r="C124" i="3"/>
  <c r="C123" i="3"/>
  <c r="C122" i="3"/>
  <c r="C121" i="3"/>
  <c r="C120" i="3"/>
  <c r="C119" i="3"/>
  <c r="C118" i="3"/>
  <c r="C117" i="3"/>
  <c r="P59" i="10"/>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E130" i="9"/>
  <c r="D121" i="9"/>
  <c r="F121" i="9" s="1"/>
  <c r="D120" i="9"/>
  <c r="F120" i="9" s="1"/>
  <c r="D119" i="9"/>
  <c r="F119" i="9" s="1"/>
  <c r="D118" i="9"/>
  <c r="E118" i="9" s="1"/>
  <c r="D117" i="9"/>
  <c r="F117" i="9" s="1"/>
  <c r="D116" i="9"/>
  <c r="F116" i="9" s="1"/>
  <c r="D115" i="9"/>
  <c r="E115" i="9" s="1"/>
  <c r="D109" i="9"/>
  <c r="D97" i="9"/>
  <c r="D78" i="9"/>
  <c r="D67" i="9"/>
  <c r="D55" i="9"/>
  <c r="D44" i="9"/>
  <c r="D32"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47" i="3"/>
  <c r="E114" i="3"/>
  <c r="C69" i="3"/>
  <c r="D27" i="3" s="1"/>
  <c r="D26" i="3"/>
  <c r="C40" i="3"/>
  <c r="D41" i="3" s="1"/>
  <c r="F115" i="9" l="1"/>
  <c r="E116" i="9"/>
  <c r="E119" i="9"/>
  <c r="E120" i="9"/>
  <c r="D25" i="3"/>
  <c r="E25" i="3" s="1"/>
  <c r="D28" i="3"/>
  <c r="E28" i="3" s="1"/>
  <c r="D29" i="3"/>
  <c r="E29" i="3" s="1"/>
  <c r="D30" i="3"/>
  <c r="E30" i="3" s="1"/>
  <c r="F26" i="3"/>
  <c r="E26" i="3"/>
  <c r="C26" i="3"/>
  <c r="C27" i="3"/>
  <c r="F27" i="3"/>
  <c r="E27" i="3"/>
  <c r="D60" i="3"/>
  <c r="E117" i="9"/>
  <c r="F118" i="9"/>
  <c r="D24" i="3"/>
  <c r="D70" i="3"/>
  <c r="E121" i="9"/>
  <c r="G56" i="10"/>
  <c r="B126" i="3"/>
  <c r="F25" i="3" l="1"/>
  <c r="E122" i="9"/>
  <c r="F122" i="9" s="1"/>
  <c r="C25" i="3"/>
  <c r="C28" i="3"/>
  <c r="F28" i="3"/>
  <c r="F29" i="3"/>
  <c r="C29" i="3"/>
  <c r="F30" i="3"/>
  <c r="C30" i="3"/>
  <c r="B6" i="8"/>
  <c r="H56" i="10"/>
  <c r="C6" i="8" s="1"/>
  <c r="F24" i="3"/>
  <c r="E24" i="3"/>
  <c r="E31" i="3"/>
  <c r="F31" i="3" s="1"/>
  <c r="C24" i="3"/>
  <c r="C31"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<sst xmlns="http://schemas.openxmlformats.org/spreadsheetml/2006/main" count="1563" uniqueCount="1055">
  <si>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</si>
  <si>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</si>
  <si>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</si>
  <si>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</si>
  <si>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</si>
  <si>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</si>
  <si>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</si>
  <si>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</si>
  <si>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</si>
  <si>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</si>
  <si>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</si>
  <si>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</si>
  <si>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</si>
  <si>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</si>
  <si>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</si>
  <si>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</si>
  <si>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</si>
  <si>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</si>
  <si>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</si>
  <si>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</si>
  <si>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</si>
  <si>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</si>
  <si>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</si>
  <si>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</si>
  <si>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</si>
  <si>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</si>
  <si>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</si>
  <si>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</si>
  <si>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</si>
  <si>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</si>
  <si>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</si>
  <si>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</si>
  <si>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</si>
  <si>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</si>
  <si>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</si>
  <si>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</si>
  <si>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</si>
  <si>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</si>
  <si>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</si>
  <si>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</si>
  <si>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</si>
  <si>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</si>
  <si>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</si>
  <si>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</si>
  <si>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</si>
  <si>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</si>
  <si>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</si>
  <si>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</si>
  <si>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</si>
  <si>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</si>
  <si>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</si>
  <si>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</si>
  <si>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</si>
  <si>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</si>
  <si>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</si>
  <si>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</si>
  <si>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</si>
  <si>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</si>
  <si>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</si>
  <si>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</si>
  <si>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</si>
  <si>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</si>
  <si>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</si>
  <si>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</si>
  <si>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</si>
  <si>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</si>
  <si>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</si>
  <si>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</si>
  <si>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</si>
  <si>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</si>
  <si>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</si>
  <si>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</si>
  <si>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</si>
  <si>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</si>
  <si>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</si>
  <si>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</si>
  <si>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</si>
  <si>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</si>
  <si>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</si>
  <si>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</si>
  <si>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</si>
  <si>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</si>
  <si>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</si>
  <si>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</si>
  <si>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</si>
  <si>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</si>
  <si>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</si>
  <si>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</si>
  <si>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</si>
  <si>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</si>
  <si>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</si>
  <si>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</si>
  <si>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</si>
  <si>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</si>
  <si>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</si>
  <si>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</si>
  <si>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</si>
  <si>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</si>
  <si>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</si>
  <si>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</si>
  <si>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</si>
  <si>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</si>
  <si>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</si>
  <si>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</si>
  <si>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</si>
  <si>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</si>
  <si>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</si>
  <si>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</si>
  <si>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</si>
  <si>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</si>
  <si>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</si>
  <si>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</si>
  <si>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</si>
  <si>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</si>
  <si>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</si>
  <si>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</si>
  <si>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</si>
  <si>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</si>
  <si>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</si>
  <si>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</si>
  <si>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</si>
  <si>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</si>
  <si>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</si>
  <si>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</si>
  <si>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</si>
  <si>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</si>
  <si>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</si>
  <si>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</si>
  <si>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</si>
  <si>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</si>
  <si>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</si>
  <si>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</si>
  <si>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</si>
  <si>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</si>
  <si>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</si>
  <si>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</si>
  <si>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</si>
  <si>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</si>
  <si>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</si>
  <si>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</si>
  <si>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</si>
  <si>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</si>
  <si>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</si>
  <si>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</si>
  <si>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</si>
  <si>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</si>
  <si>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</si>
  <si>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</si>
  <si>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</si>
  <si>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</si>
  <si>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</si>
  <si>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</si>
  <si>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</si>
  <si>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</si>
  <si>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</si>
  <si>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</si>
  <si>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</si>
  <si>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</si>
  <si>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</si>
  <si>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</si>
  <si>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</si>
  <si>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</si>
  <si>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</si>
  <si>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</si>
  <si>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</si>
  <si>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</si>
  <si>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</si>
  <si>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</si>
  <si>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</si>
  <si>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</si>
  <si>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</si>
  <si>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</si>
  <si>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</si>
  <si>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</si>
  <si>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</si>
  <si>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</si>
  <si>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</si>
  <si>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</si>
  <si>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</si>
  <si>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</si>
  <si>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</si>
  <si>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</si>
  <si>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</si>
  <si>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</si>
  <si>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</si>
  <si>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</si>
  <si>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</si>
  <si>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</si>
  <si>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</si>
  <si>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</si>
  <si>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</si>
  <si>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</si>
  <si>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</si>
  <si>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</si>
  <si>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</si>
  <si>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</si>
  <si>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</si>
  <si>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</si>
  <si>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</si>
  <si>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</si>
  <si>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</si>
  <si>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</si>
  <si>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</si>
  <si>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</si>
  <si>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</si>
  <si>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</si>
  <si>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</si>
  <si>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</si>
  <si>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</si>
  <si>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</si>
  <si>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</si>
  <si>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</si>
  <si>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</si>
  <si>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</si>
  <si>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</si>
  <si>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</si>
  <si>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</si>
  <si>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</si>
  <si>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</si>
  <si>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</si>
  <si>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</si>
  <si>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</si>
  <si>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</si>
  <si>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</si>
  <si>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</si>
  <si>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</si>
  <si>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</si>
  <si>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</si>
  <si>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</si>
  <si>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</si>
  <si>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</si>
  <si>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</si>
  <si>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</si>
  <si>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</si>
  <si>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</si>
  <si>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</si>
  <si>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</si>
  <si>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</si>
  <si>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</si>
  <si>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</si>
  <si>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</si>
  <si>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</si>
  <si>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</si>
  <si>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</si>
  <si>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</si>
  <si>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</si>
  <si>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</si>
  <si>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</si>
  <si>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</si>
  <si>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</si>
  <si>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</si>
  <si>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</si>
  <si>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</si>
  <si>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</si>
  <si>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</si>
  <si>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</si>
  <si>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</si>
  <si>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</si>
  <si>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</si>
  <si>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</si>
  <si>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what was promised; confirm the customer was left with actionable next steps</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</si>
  <si>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</si>
  <si>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</si>
  <si>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</si>
  <si>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</si>
  <si>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</si>
  <si>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</si>
  <si>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</si>
  <si>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</si>
  <si>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</si>
  <si>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</si>
  <si>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</si>
  <si>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</si>
  <si>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</si>
  <si>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</si>
  <si>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</si>
  <si>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</si>
  <si>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</si>
  <si>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</si>
  <si>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</si>
  <si>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</si>
  <si>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</si>
  <si>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</si>
  <si>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</si>
  <si>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</si>
  <si>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</si>
  <si>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</si>
  <si>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</si>
  <si>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</si>
  <si>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</si>
  <si>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</si>
  <si>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</si>
  <si>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</si>
  <si>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</si>
  <si>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</si>
  <si>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</si>
  <si>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</si>
  <si>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</si>
  <si>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</si>
  <si>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</si>
  <si>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</si>
  <si>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</si>
  <si>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</si>
  <si>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</si>
  <si>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</si>
  <si>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</si>
  <si>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Wt 2  —  Core</t>
  </si>
  <si>
    <t>Measures the quality of the agent's diagnostic reasoning and technical guidance. Resolution is impossible without it — correct troubleshooting is the mechanism through which resolution is achieved.</t>
  </si>
  <si>
    <t>Measures how effectively the agent managed the interaction. Technically correct guidance fails if the customer cannot understand it, follow it, or trust the agent delivering it.</t>
  </si>
  <si>
    <t>Measures whether the agent took genuine responsibility for the customer's outcome — not just for their own portion of the interaction, but for the continuity of the case across touches.</t>
  </si>
  <si>
    <t>Measures whether escalation decisions — including the decision not to escalate — were appropriate. Both premature escalation and failure to escalate a warranted case are scored failures.</t>
  </si>
  <si>
    <t>Measures the human quality of the interaction. Customer experience is largely a downstream outcome of the four categories above — but professionalism, empathy, and effort-reduction matter independently, especially for vulnerable or long-suffering customers.</t>
  </si>
  <si>
    <t>Measures whether the case record is complete enough for any other agent or QA analyst to understand what happened, what was found, and what should happen next. Documentation supports continuity, not compliance.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</si>
  <si>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</si>
  <si>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</si>
  <si>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</si>
  <si>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</si>
  <si>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</si>
  <si>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</si>
  <si>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Met</t>
  </si>
  <si>
    <t>Partial</t>
  </si>
  <si>
    <t>Missed</t>
  </si>
  <si>
    <t>2 · TECHNICAL ACCURACY</t>
  </si>
  <si>
    <t>Customer immediately requested escalation and declined any diagnostic interaction.</t>
  </si>
  <si>
    <t>3 · COMMUNICATION &amp; CALL CONTROL</t>
  </si>
  <si>
    <t>4 · CUSTOMER OWNERSHIP</t>
  </si>
  <si>
    <t>5 · ESCALATION JUDGMENT</t>
  </si>
  <si>
    <t>6 · CUSTOMER EXPERIENCE</t>
  </si>
  <si>
    <t>7 · DOCUMENTATION &amp; NOTES</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</si>
  <si>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</si>
  <si>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</si>
  <si>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</si>
  <si>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</si>
  <si>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</si>
  <si>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</si>
  <si>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</si>
  <si>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</si>
  <si>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</si>
  <si>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</si>
  <si>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</si>
  <si>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</si>
  <si>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</si>
  <si>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</si>
  <si>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</si>
  <si>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</si>
  <si>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</si>
  <si>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</si>
  <si>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</si>
  <si>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</si>
  <si>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</si>
  <si>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</si>
  <si>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</si>
  <si>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</si>
  <si>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</si>
  <si>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</si>
  <si>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</si>
  <si>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</si>
  <si>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</si>
  <si>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</si>
  <si>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</si>
  <si>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</si>
  <si>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</si>
  <si>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</si>
  <si>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</si>
  <si>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</si>
  <si>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</si>
  <si>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</si>
  <si>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</si>
  <si>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</si>
  <si>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</si>
  <si>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</si>
  <si>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</si>
  <si>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</si>
  <si>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</si>
  <si>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</si>
  <si>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</si>
  <si>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</si>
  <si>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</si>
  <si>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</si>
  <si>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</si>
  <si>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</si>
  <si>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</si>
  <si>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</si>
  <si>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</si>
  <si>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</si>
  <si>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</si>
  <si>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</si>
  <si>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</si>
  <si>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</si>
  <si>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</si>
  <si>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</si>
  <si>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</si>
  <si>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</si>
  <si>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</si>
  <si>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</si>
  <si>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</si>
  <si>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</si>
  <si>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</si>
  <si>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</si>
  <si>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</si>
  <si>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</si>
  <si>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</si>
  <si>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</si>
  <si>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</si>
  <si>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</si>
  <si>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</si>
  <si>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</si>
  <si>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</si>
  <si>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</si>
  <si>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</si>
  <si>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</si>
  <si>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</si>
  <si>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</si>
  <si>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</si>
  <si>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</si>
  <si>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</si>
  <si>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</si>
  <si>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</si>
  <si>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</si>
  <si>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</si>
  <si>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</si>
  <si>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</si>
  <si>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</si>
  <si>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</si>
  <si>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</si>
  <si>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</si>
  <si>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</si>
  <si>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</si>
  <si>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</si>
  <si>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</si>
  <si>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</si>
  <si>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</si>
  <si>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</si>
  <si>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</si>
  <si>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</si>
  <si>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</si>
  <si>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</si>
  <si>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</si>
  <si>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</si>
  <si>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</si>
  <si>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</si>
  <si>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</si>
  <si>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</si>
  <si>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</si>
  <si>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</si>
  <si>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</si>
  <si>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</si>
  <si>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</si>
  <si>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</si>
  <si>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</si>
  <si>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</si>
  <si>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</si>
  <si>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</si>
  <si>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</si>
  <si>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</si>
  <si>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</si>
  <si>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</si>
  <si>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</si>
  <si>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</si>
  <si>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</si>
  <si>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</si>
  <si>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</si>
  <si>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</si>
  <si>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</si>
  <si>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</si>
  <si>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</si>
  <si>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</si>
  <si>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</si>
  <si>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</si>
  <si>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</si>
  <si>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</si>
  <si>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</si>
  <si>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</si>
  <si>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</si>
  <si>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</si>
  <si>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</si>
  <si>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</si>
  <si>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</si>
  <si>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</si>
  <si>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</si>
  <si>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</si>
  <si>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</si>
  <si>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</si>
  <si>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</si>
  <si>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</si>
  <si>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</si>
  <si>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</si>
  <si>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</si>
  <si>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</si>
  <si>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</si>
  <si>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</si>
  <si>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</si>
  <si>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</si>
  <si>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</si>
  <si>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</si>
  <si>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</si>
  <si>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</si>
  <si>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</si>
  <si>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</si>
  <si>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</si>
  <si>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</si>
  <si>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</si>
  <si>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</si>
  <si>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</si>
  <si>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</si>
  <si>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</si>
  <si>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</si>
  <si>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</si>
  <si>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</si>
  <si>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</si>
  <si>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</si>
  <si>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</si>
  <si>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</si>
  <si>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</si>
  <si>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</si>
  <si>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</si>
  <si>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</si>
  <si>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</si>
  <si>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</si>
  <si>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</si>
  <si>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</si>
  <si>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</si>
  <si>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</si>
  <si>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</si>
  <si>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</si>
  <si>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</si>
  <si>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</si>
  <si>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</si>
  <si>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</si>
  <si>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</si>
  <si>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</si>
  <si>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</si>
  <si>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</si>
  <si>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</si>
  <si>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</si>
  <si>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</si>
  <si>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</si>
  <si>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</si>
  <si>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</si>
  <si>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</si>
  <si>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</si>
  <si>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</si>
  <si>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</si>
  <si>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</si>
  <si>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</si>
  <si>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</si>
  <si>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</si>
  <si>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</si>
  <si>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</si>
  <si>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</si>
  <si>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</si>
  <si>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</si>
  <si>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</si>
  <si>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FINAL SCORE — leave blank to use auto score; type 0–5 to override</t>
  </si>
  <si>
    <t>Category comments / coaching notes</t>
  </si>
  <si>
    <t>Real technical progress (internet restored) — judged in inherited context, a genuine recovery. Capped by unconfirmed primary complaint, missed callback, and premature closure.</t>
  </si>
  <si>
    <t>Strongest technical touch of the journey alongside Paolo Ebora's May 4 session. Close the loop on inherited open steps (AT&amp;T SSID) next time.</t>
  </si>
  <si>
    <t>Focused and professional; needs accessibility adaptation and a stronger recap / next-step close (per investigation findings). The missed renegotiation of the callback window is captured in Ownership.</t>
  </si>
  <si>
    <t>Automatic deductions applied. The calendar conflict was visible in advance. The follow-up instinct exists (2 calls, voicemails, 2 emails) — the failure was timing and closure, not absence.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</si>
  <si>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</si>
  <si>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</si>
  <si>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</si>
  <si>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</si>
  <si>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Patience and courtesy present; effort-reduction and fatigue acknowledgment absent. The outcome data (CSAT 1, churn) reflects the full journey, but this touch's choices contributed directly.</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</si>
  <si>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</si>
  <si>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</si>
  <si>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</si>
  <si>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</si>
  <si>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</si>
  <si>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</si>
  <si>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</si>
  <si>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</si>
  <si>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</si>
  <si>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</si>
  <si>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</si>
  <si>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</si>
  <si>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</si>
  <si>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</si>
  <si>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</si>
  <si>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</si>
  <si>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</si>
  <si>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</si>
  <si>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</si>
  <si>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</si>
  <si>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</si>
  <si>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</si>
  <si>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</si>
  <si>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</si>
  <si>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</si>
  <si>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</si>
  <si>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</si>
  <si>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</si>
  <si>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</si>
  <si>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</si>
  <si>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</si>
  <si>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</si>
  <si>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</si>
  <si>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</si>
  <si>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</si>
  <si>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</si>
  <si>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</si>
  <si>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</si>
  <si>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</si>
  <si>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</si>
  <si>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</si>
  <si>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</si>
  <si>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</si>
  <si>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</si>
  <si>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</si>
  <si>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</si>
  <si>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</si>
  <si>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</si>
  <si>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</si>
  <si>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</si>
  <si>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</si>
  <si>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</si>
  <si>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</si>
  <si>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</si>
  <si>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</si>
  <si>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</si>
  <si>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</si>
  <si>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</si>
  <si>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</si>
  <si>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</si>
  <si>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</si>
  <si>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</si>
  <si>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</si>
  <si>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</si>
  <si>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</si>
  <si>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</si>
  <si>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</si>
  <si>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</si>
  <si>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</si>
  <si>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</si>
  <si>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</si>
  <si>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</si>
  <si>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</si>
  <si>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</si>
  <si>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</si>
  <si>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</si>
  <si>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</si>
  <si>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</si>
  <si>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</si>
  <si>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</si>
  <si>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</si>
  <si>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</si>
  <si>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</si>
  <si>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</si>
  <si>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</si>
  <si>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</si>
  <si>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</si>
  <si>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</si>
  <si>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</si>
  <si>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</si>
  <si>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</si>
  <si>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</si>
  <si>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</si>
  <si>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</si>
  <si>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</si>
  <si>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</si>
  <si>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</si>
  <si>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</si>
  <si>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</si>
  <si>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</si>
  <si>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</si>
  <si>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</si>
  <si>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</si>
  <si>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</si>
  <si>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</si>
  <si>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</si>
  <si>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</si>
  <si>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</si>
  <si>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</si>
  <si>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</si>
  <si>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</si>
  <si>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</si>
  <si>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</si>
  <si>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</si>
  <si>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</si>
  <si>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</si>
  <si>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</si>
  <si>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</si>
  <si>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</si>
  <si>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</si>
  <si>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</si>
  <si>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</si>
  <si>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</si>
  <si>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</si>
  <si>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</si>
  <si>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</si>
  <si>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</si>
  <si>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</si>
  <si>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</si>
  <si>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</si>
  <si>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</si>
  <si>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</si>
  <si>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</si>
  <si>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</si>
  <si>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</si>
  <si>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</si>
  <si>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</si>
  <si>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</si>
  <si>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</si>
  <si>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</si>
  <si>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</si>
  <si>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</si>
  <si>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</si>
  <si>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</si>
  <si>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</si>
  <si>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</si>
  <si>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</si>
  <si>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</si>
  <si>
    <t>Indicator Guide / Scoring Guide</t>
  </si>
  <si>
    <t>Aligned the Scoring Guide Met/Partial/Missed definitions and the Indicator Guide failure-mode descriptions to the merged indicator wording, so each merged indicator's detail covers both absorbed behaviors.</t>
  </si>
  <si>
    <t>4b6104a</t>
  </si>
  <si>
    <t>Resolved the issue or achieved the best available outcome for the customer's situation (resolution, RMA, valid escalation, limitation explained, or customer education)</t>
  </si>
  <si>
    <t>Conducted reasonable troubleshooting that meaningfully advanced the customer's path toward resolution before concluding the interaction or relying on self-help / KB resources</t>
  </si>
  <si>
    <t>Selected a resolution path appropriate to the customer's situation, product status, and available support options — including best-effort troubleshooting for out-of-warranty products rather than using warranty status as a reason to stop helping</t>
  </si>
  <si>
    <t>Applied a logical diagnostic process — identified the symptoms, asked relevant diagnostic questions, and determined the root cause (or most likely cause) when possible</t>
  </si>
  <si>
    <t>Used available tools, resources, and evidence effectively to support troubleshooting and decision-making</t>
  </si>
  <si>
    <t>Provided technically accurate information, recommendations, and conclusions supported by available evidence</t>
  </si>
  <si>
    <t>Effectively guided the interaction — set clear expectations, maintained call control and troubleshooting flow, and managed time and transitions, including through difficult moments</t>
  </si>
  <si>
    <t>Communicated appropriately to the customer's knowledge level, communication style, and accessibility needs (hearing, vision, language, age, cognitive), maintaining mutual understanding throughout</t>
  </si>
  <si>
    <t>Demonstrated ownership of the customer's outcome — took appropriate responsibility, avoided unnecessary transfers, and followed through on commitments</t>
  </si>
  <si>
    <t>Established clear next steps and realistic timelines, and completed required follow-up actions — including disconnect and callback commitments within the agreed window</t>
  </si>
  <si>
    <t>Maintained case continuity — used prior contact history and provided sufficient context during handoffs, escalations, or follow-ups so the customer did not have to repeat themselves — mark N.A. if confirmed first contact with no handoff</t>
  </si>
  <si>
    <t>Made an appropriate escalation decision (including the decision not to escalate) based on troubleshooting performed and recognized escalation criteria — including a customer complaint, management request, or legal-risk trigger — mark N.A. if no escalation was involved and none was warranted</t>
  </si>
  <si>
    <t>Executed the escalation effectively — used the correct path, provided complete details and context, and explained the reason and next steps to the customer — mark N.A. if no escalation occurred</t>
  </si>
  <si>
    <t>Demonstrated empathy, professionalism, and patience throughout — including for repeat-contact fatigue and under pressure</t>
  </si>
  <si>
    <t>Adapted to the customer's tone, pace, and emotional state and maintained positive engagement and understanding</t>
  </si>
  <si>
    <t>Reduced customer effort — avoided unnecessary repetition, complexity, delays, or obstacles</t>
  </si>
  <si>
    <t>Documented the customer issue, troubleshooting performed, and key findings sufficiently to understand the case history</t>
  </si>
  <si>
    <t>Captured the reasoning behind key decisions, recommendations, escalations, and actions — including colleague / SME input when no private note applies</t>
  </si>
  <si>
    <t>Recorded clear next steps, follow-up requirements, and an accurate current case status</t>
  </si>
  <si>
    <t>Review for incorrect guidance, product misrepresentation, or unsupported conclusions</t>
  </si>
  <si>
    <t>Missed follow-up / callback commitment</t>
  </si>
  <si>
    <t>Mandatory callback/follow-up required; document the attempt and outcome in case notes</t>
  </si>
  <si>
    <t>Commitments not honored / ownership gap</t>
  </si>
  <si>
    <t>Customer left without meaningful progress or a path forward</t>
  </si>
  <si>
    <t>Review whether the customer was advanced toward resolution and had a defined next step at close</t>
  </si>
  <si>
    <t>Escalation decision inappropriate (premature, or warranted escalation not made)</t>
  </si>
  <si>
    <t>Review troubleshooting completed and escalation triggers — incl. complaint / management / legal; coach on escalation criteria</t>
  </si>
  <si>
    <t>Escalation poorly executed (path, handoff detail, or customer not informed)</t>
  </si>
  <si>
    <t>Review the escalation path, completeness of the handoff, and whether the customer was told what happens next</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</si>
  <si>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t>
  </si>
  <si>
    <t>Customer ends the interaction with the same problem and no path forward. Case marked Resolved when the issue is unresolved. Generic KB article sent with no investigation. Customer told to monitor and call back with no defined expectation or plan.</t>
  </si>
  <si>
    <t>Agent sends a KB link as the primary response before asking a single diagnostic question. Agent attributes the problem to the ISP without checking the connection. Agent escalates after one basic step. Self-help is provided to an OOW customer as the full extent of assistance with no investigation.</t>
  </si>
  <si>
    <t>You cannot fix what you have not understood, and you cannot understand it without a method. Correct symptom identification, targeted diagnostic questions, and a logical sequence are the foundation of every accurate diagnosis — and identifying the root cause (or an evidence-backed likely cause) is what makes a resolution stable and a recurrence predictable. This indicator combines symptom and process quality with root-cause identification, the primary input for escalation documentation and product feedback.</t>
  </si>
  <si>
    <t>Agent does not start a remote session that would have confirmed the issue in minutes. Agent does not review ticket history before asking the customer to re-explain. Agent misinterprets a tool's output, or relies on customer self-reporting for a finding that could have been confirmed directly.</t>
  </si>
  <si>
    <t>Inaccurate technical information extends case life, damages trust, and sometimes causes real harm — wrong firmware steps, incorrect RMA eligibility, or misrepresented capabilities have direct consequences. Unsupported conclusions, particularly ISP blame without evidence, are one of the systemic failure patterns the Reset names explicitly. Every diagnosis, instruction, and claim should be supportable by evidence, testing, or established technical knowledge.</t>
  </si>
  <si>
    <t>Agent tells the customer their router is defective based on a symptom with multiple possible causes. Agent blames the ISP before checking the connection. Agent gives incorrect firmware or compatibility information, or states a conclusion the diagnostic steps never supported.</t>
  </si>
  <si>
    <t>Call control is what lets troubleshooting proceed without derailment — including when the customer is upset, confused, or escalated. Setting expectations at the start, keeping the interaction purposeful, narrating clear transitions between steps, and steadying difficult moments are what allow the diagnostic process to actually complete. This indicator combines expectation-setting, call control, and time and transition management into one measure of how well the agent drove the interaction.</t>
  </si>
  <si>
    <t>Agent starts troubleshooting with no framing and the customer keeps interrupting because they don't know what's happening. The customer controls the direction of the call. Long unexplained silences or abrupt transitions leave the customer asking 'what should I be doing now?'. Agent loses control or abandons troubleshooting when the moment gets difficult.</t>
  </si>
  <si>
    <t>Technically correct guidance is worthless if the customer cannot follow it. Active listening, language matched to the customer's level, confirming understanding at each step, and deliberate adjustments for accessibility needs (slower pace, simpler language, one step at a time, written follow-up) are what turn correct guidance into correct action. Ignoring these needs produces failed steps, customer distress, and interactions that are technically complete but humanly inadequate.</t>
  </si>
  <si>
    <t>Ownership means the agent is responsible for what happens to the customer, not just for their own segment of the call. Deflecting to other teams without attempting to help, transferring to avoid difficulty, or stopping effort the moment a complication arises is not ownership — and every commitment made (a callback, an email, a follow-up action) is a promise whose breach compounds the original failure with a trust failure. Under the Reset, ownership is the core behavior the entire quality model is designed to incentivize.</t>
  </si>
  <si>
    <t>Agent transfers after one attempt because the product is out of warranty, or passes a case to escalation without completing available L1 steps. Agent promises to send instructions or call back and does not, with nothing documented. The agent's response to a difficult case is to find someone else to handle it.</t>
  </si>
  <si>
    <t>Customers who don't know what happens next — who owns the next action, when to expect it, and what it involves — are left in uncertainty that drives repeat contacts. Clear, realistic next steps give the customer a framework for the continuation of their case, and required follow-up (disconnect callbacks, promised return calls) is the minimum response when an interaction ends without resolution or without the customer's consent. Unrealistic timelines are as harmful as vague ones.</t>
  </si>
  <si>
    <t>Call ends with 'we'll look into it' and no specific action or timeline, or an optimistic timeline the process cannot meet. A call disconnects and no callback is made or documented. A callback is promised at a specific window and missed without proactive renegotiation. Customer calls back the same day asking what they're supposed to do.</t>
  </si>
  <si>
    <t>Maintained case continuity — used prior contact history and provided sufficient context during handoffs, escalations, or follow-ups so the customer did not have to repeat themselves (N.A. if confirmed first contact with no handoff)</t>
  </si>
  <si>
    <t>Customers who re-explain their situation on every contact experience the organization as incompetent and indifferent. Reviewing and referencing prior history prevents repeated troubleshooting and signals the case is being managed, not just processed; a high-quality handoff (symptoms, findings, steps taken, current status, specific next action) protects the customer from repetition and respects the receiving agent's time. This indicator combines repeat-contact recognition and handoff quality — each agent's individual contribution to the chain's continuity. Mark N.A. only for a confirmed first contact with no handoff.</t>
  </si>
  <si>
    <t>Agent asks the customer to describe the issue from the beginning without referencing ticket history, or repeats steps already documented. Escalation notes say only 'customer still has issue / needs L2' with no specifics, forcing the receiving agent to re-gather everything and the customer to repeat their history.</t>
  </si>
  <si>
    <t>Made an appropriate escalation decision (including the decision not to escalate) based on troubleshooting performed and recognized escalation criteria — including a customer complaint, management request, or legal-risk trigger (N.A. if no escalation was involved and none was warranted)</t>
  </si>
  <si>
    <t>Agent escalates after one step, or because the customer is frustrated rather than because L1 options are exhausted. Agent escalates an OOW product before any investigation. Conversely, the agent fails to escalate a complaint that includes a legal-risk reference or an explicit request to speak with management.</t>
  </si>
  <si>
    <t>Executed the escalation effectively — used the correct path, provided complete details and context, and explained the reason and next steps to the customer (N.A. if no escalation occurred)</t>
  </si>
  <si>
    <t>An escalation is only as useful as the documentation it carries and the expectations it sets. Complete details — symptoms, product and warranty status, steps taken, findings, reason for escalation, and what specifically is needed — let the next person act immediately instead of re-gathering everything, and a clear explanation to the customer (why, who, when) maintains confidence and prevents a trust gap on the next contact. This indicator scores whether the escalation was a useful, well-communicated handoff or an empty transfer.</t>
  </si>
  <si>
    <t>Escalation notes read only 'customer has no internet, please assist' with no steps, findings, or contact details, or land with the wrong team. The customer is transferred without being told who, why, or when to expect contact — and calls back immediately because they had no expectation of what would happen next.</t>
  </si>
  <si>
    <t>Professionalism is the floor of every interaction, and empathy — particularly acknowledging how much time a customer has already invested — signals the agent sees a person, not a ticket. Repeat contacts carry specific emotional weight: the customer has already tried and failed to get help. An agent who stays composed under pressure and acknowledges that history keeps the customer engaged and cooperative; one who responds to frustration with impatience or dismissiveness makes the situation measurably worse.</t>
  </si>
  <si>
    <t>Agent does not acknowledge that the customer has been dealing with this for weeks across multiple calls. Agent's tone becomes curt, sarcastic, or defensive when the customer expresses frustration. Agent apologizes mechanically without recognizing the customer's situation, or rushes the interaction out of impatience.</t>
  </si>
  <si>
    <t>Customers interact at different speeds, vocabularies, and emotional states. An agent who holds a fixed register regardless of the customer creates a mismatch — too technical for a confused consumer, too slow for an impatient B2B contact — and a customer who has lost the thread cannot follow instructions, report results accurately, or stay engaged. Matching the customer and checking for understanding at key moments keeps the customer an active, informed participant in their own support call.</t>
  </si>
  <si>
    <t>Agent speaks to a non-technical customer in network-engineering vocabulary, or is over-explanatory with a clearly sophisticated customer. Agent's energy ignores the customer's distress or urgency. The customer goes passive or confused mid-troubleshooting and the agent doesn't notice or respond.</t>
  </si>
  <si>
    <t>The issue summary and troubleshooting record are the starting point for every subsequent agent, escalation member, or reviewer. Recording what the customer reported, the steps taken, and the key findings they produced — specific values, states, and discoveries — lets the next agent act immediately instead of starting over, and feeds KB, training, and product feedback. A missing or generic record forces the customer to repeat themselves and wastes the receiving agent's time.</t>
  </si>
  <si>
    <t>Notes contain only 'customer called about internet issue' with no symptom, scope, or environment. After a full session the notes say only 'performed troubleshooting' — specific findings (RSSI values, firmware state, the confirmed fault) are absent, so the next agent must rediscover them.</t>
  </si>
  <si>
    <t>Agent reasoning is the most frequently missing and most frequently needed element of case documentation. When an agent consults a supervisor, receives advice from a colleague, or makes a judgment call — particularly about closure, escalation, or a non-standard path — that context disappears if it isn't noted, leaving the next agent or reviewer with only the decision and not the reasoning. A case closed RESOLVED with no note explaining why is one of the most common documentation failures in multi-touch journeys.</t>
  </si>
  <si>
    <t>A case is marked RESOLVED with no note on what confirmed the resolution. Agent consulted a team lead before escalating but didn't record the guidance. Agent took a non-standard action with no explanation. A reviewer cannot reconstruct the agent's decision-making from the notes alone.</t>
  </si>
  <si>
    <t>Next-step documentation is the bridge between this interaction and the next; ticket status is the operational signal that tells the organization what state the case is in. Recording the owner, action, and timeline of what happens next protects the customer from continuity failures, and an accurate status prevents the most harmful documentation failure — premature closure, marking a case RESOLVED when the issue is known to be unresolved, which misleads everyone who later looks at the case and erases the customer's history of trying to get help.</t>
  </si>
  <si>
    <t>Call ends with an agreed callback but no date, window, or contact preference noted. A case is closed after escalation with no record of what was submitted or when the customer should expect contact. A case is marked RESOLVED when an escalation is pending or the primary complaint is unconfirmed — and L2 deprioritizes it as a result.</t>
  </si>
  <si>
    <t>Resolved the issue or achieved the best available outcome (resolution, RMA, valid escalation, limitation explained, or education)</t>
  </si>
  <si>
    <t>Issue fully resolved and confirmed with the customer, or the strongest available outcome was properly executed — RMA correctly initiated, valid escalation submitted with complete documentation, product limitation accurately explained, or appropriate customer education provided.</t>
  </si>
  <si>
    <t>Customer reported no internet on a Velop node. Agent guided a reset and re-pairing; node showed solid white; customer confirmed internet restored before the agent closed. -&gt; Met.</t>
  </si>
  <si>
    <t>An outcome was pursued but not fully executed or confirmed — RMA initiated but missing a field, escalation submitted with sparse notes, or the issue appeared resolved but the customer never confirmed.</t>
  </si>
  <si>
    <t>Agent guided a factory reset; the node appeared to re-pair, but the agent closed without asking the customer to test internet. -&gt; Partial.</t>
  </si>
  <si>
    <t>Case closed with no meaningful outcome. Generic KB link sent without investigation, escalation used with no prior troubleshooting, or an OOW product dismissed with no attempt to help.</t>
  </si>
  <si>
    <t>Customer called about no internet. Agent immediately sent a KB article without asking any questions, then marked the ticket Resolved. -&gt; Missed.</t>
  </si>
  <si>
    <t>Not applicable — every interaction must produce some documented outcome or attempt.</t>
  </si>
  <si>
    <t>Conducted reasonable troubleshooting that meaningfully advanced the customer's path before concluding or relying on self-help / KB</t>
  </si>
  <si>
    <t>Agent worked through relevant, logically sequenced diagnostic steps appropriate to the product and symptom, and investigated before any KB article or self-help link was offered. Self-help, if used, complemented the investigation rather than replacing it.</t>
  </si>
  <si>
    <t>Customer reported intermittent drops. Agent checked IP conflicts, verified firmware, tested wired vs. wireless, isolated channel congestion, and changed channels — then shared a KB link for reference. -&gt; Met.</t>
  </si>
  <si>
    <t>Some troubleshooting was done but key steps were skipped, or a KB article was leaned on before the investigation was complete.</t>
  </si>
  <si>
    <t>Customer reported no internet. Agent rebooted the router and sent a setup guide without first verifying the modem had a working WAN connection. -&gt; Partial.</t>
  </si>
  <si>
    <t>No meaningful troubleshooting. Agent jumped to a conclusion, blamed the ISP without evidence, escalated after a single step, or sent a generic KB article as the primary response.</t>
  </si>
  <si>
    <t>Customer reported slow speeds. Agent told the customer to contact their ISP and sent a speed-tips article without running any diagnostics. -&gt; Missed.</t>
  </si>
  <si>
    <t>Not applicable — troubleshooting is always possible, or its absence must be documented.</t>
  </si>
  <si>
    <t>Selected an appropriate resolution path for the situation, product status, and support options — incl. best-effort OOW troubleshooting</t>
  </si>
  <si>
    <t>Agent determined warranty/product status correctly and matched the path to the situation: in-warranty hardware fault -&gt; RMA; software/config -&gt; troubleshooting; known limitation -&gt; education; and for out-of-warranty products, best-effort troubleshooting with limitations explained rather than dismissal.</t>
  </si>
  <si>
    <t>A 3-year-old OOW router had a config issue. Agent confirmed OOW status, still troubleshot the configuration fully, fixed it, and explained the product's limitations. -&gt; Met.</t>
  </si>
  <si>
    <t>Path was mostly right but one element was misaligned — offered paid support while in warranty, or gave an OOW customer only a partial best-effort attempt before pointing them elsewhere.</t>
  </si>
  <si>
    <t>In-warranty device with a confirmed fault; agent identified it correctly but offered paid remote support before being corrected. -&gt; Partial.</t>
  </si>
  <si>
    <t>Wrong path taken — RMA for a clearly OOW product without an exception, in-warranty hardware fault closed without replacement, or an OOW customer dismissed with 'out of warranty, can't help' and no troubleshooting.</t>
  </si>
  <si>
    <t>Agent told an OOW customer nothing could be done and ended the call without any investigation. -&gt; Missed.</t>
  </si>
  <si>
    <t>N.A. only when warranty/product status was genuinely impossible to determine despite a reasonable lookup, and the agent documented that limitation.</t>
  </si>
  <si>
    <t>Applied a logical diagnostic process — symptoms, relevant questions, and root cause (or likely cause) when possible</t>
  </si>
  <si>
    <t>Agent identified the specific symptom (not just 'internet issue'), asked targeted diagnostic questions, worked through troubleshooting in a logical sequence, and identified the root cause or an evidence-backed likely cause.</t>
  </si>
  <si>
    <t>Customer said 'internet is down.' Agent asked all-devices-or-one, wired-or-wireless, when-it-started — isolated it to wireless on 2.4 GHz and identified channel congestion as the cause. -&gt; Met.</t>
  </si>
  <si>
    <t>Symptoms partly identified or the sequence was disorganized; or a possible cause was named without narrowing it down or supporting it with evidence.</t>
  </si>
  <si>
    <t>Customer reported 'internet issues.' Agent ran a standard reset without determining whether it was connectivity, speed, or intermittence, and guessed 'probably the firmware' without checking. -&gt; Partial.</t>
  </si>
  <si>
    <t>Agent troubleshot generically without understanding the symptom, asked few relevant questions, worked in no logical order, or stated an unsupported cause (ISP/customer blame) with no diagnostic to justify it.</t>
  </si>
  <si>
    <t>Customer reported slow speeds. Agent assumed a full outage, guided a factory reset, and concluded 'must be your ISP' after one failed ping. -&gt; Missed.</t>
  </si>
  <si>
    <t>Used available tools, resources, and evidence effectively</t>
  </si>
  <si>
    <t>Agent used relevant tools at the right point — remote session, admin dashboard, modem/WAN test, logs, KB — and interpreted the results correctly to support the diagnosis.</t>
  </si>
  <si>
    <t>Agent remotely accessed the admin panel, reviewed the DHCP table and event logs, found a firmware error code, cross-referenced the KB, and pinpointed the fix. -&gt; Met.</t>
  </si>
  <si>
    <t>Agent used some tools but missed relevant ones, used one at the wrong moment, or could not fully interpret the results.</t>
  </si>
  <si>
    <t>Agent ran a speed test but did not check the event logs that would have shown the firmware error causing the issue. -&gt; Partial.</t>
  </si>
  <si>
    <t>Agent did not use available tools the situation required, or relied on the customer's verbal description for something a tool could have confirmed directly.</t>
  </si>
  <si>
    <t>Customer reported frequent node drops; agent only asked them to describe the LEDs rather than using the remote session already available. -&gt; Missed.</t>
  </si>
  <si>
    <t>No tools were available or applicable — an offline issue prevented tool access, or the customer declined remote assistance.</t>
  </si>
  <si>
    <t>Provided technically accurate information, recommendations, and conclusions supported by evidence</t>
  </si>
  <si>
    <t>All technical guidance, specs, and instructions were factually correct and consistent with documentation, and conclusions were validated before being presented.</t>
  </si>
  <si>
    <t>Agent correctly described the reset duration, confirmed the LED sequence per KB, and verified the admin credential before advising. -&gt; Met.</t>
  </si>
  <si>
    <t>Mostly accurate but with one or two minor inaccuracies unlikely to cause serious harm — slightly wrong reset duration or LED description — reflecting a knowledge gap.</t>
  </si>
  <si>
    <t>Agent said the reset was '10 to 15 seconds' (KB specifies 10); the customer held too long and triggered a full factory reset. -&gt; Partial.</t>
  </si>
  <si>
    <t>Materially incorrect information — wrong default password, non-existent LED state, unsupported method — or a conclusion stated without evidence (ISP/customer blame).</t>
  </si>
  <si>
    <t>Agent gave the wrong default admin password; the customer could not access the panel. The correct credential was on the device label. -&gt; Missed.</t>
  </si>
  <si>
    <t>Not applicable — technical accuracy is always required.</t>
  </si>
  <si>
    <t>Effectively guided the interaction — expectations, call control, flow, time and transitions, incl. difficult moments</t>
  </si>
  <si>
    <t>Agent framed the interaction at the start (what, roughly how long, expected outcome), kept the conversation on track, paced it well, narrated clear transitions between steps, and stayed in control through difficult or tense moments.</t>
  </si>
  <si>
    <t>I can see you're having connectivity issues — I'll walk you through a few steps, about 10-15 minutes.' Then redirected a tangent professionally and kept the flow. -&gt; Met.</t>
  </si>
  <si>
    <t>Generally guided the interaction but lost direction at one or two points, set expectations weakly, or had abrupt transitions / unannounced holds that left the customer briefly disoriented.</t>
  </si>
  <si>
    <t>Agent started troubleshooting with only 'I'll help you with that,' then placed the customer on hold twice without warning. -&gt; Partial.</t>
  </si>
  <si>
    <t>No framing and reactive throughout — the customer dominated or drifted, long unexplained silences, or the agent lost control when the customer became difficult.</t>
  </si>
  <si>
    <t>Customer insisted 'just replace it'; agent agreed to an RMA without troubleshooting a setting fixable in minutes, and the call ran long and unstructured. -&gt; Missed.</t>
  </si>
  <si>
    <t>Not applicable — the interaction can always be guided, even briefly.</t>
  </si>
  <si>
    <t>Communicated appropriately to the customer's level, style, and accessibility needs, maintaining mutual understanding</t>
  </si>
  <si>
    <t>Agent actively listened, adapted terminology to the customer's level, confirmed understanding at key steps, and made deliberate accommodations for any accessibility need (slower pace, simpler language, one step at a time, written follow-up).</t>
  </si>
  <si>
    <t>For an elderly, hard-of-hearing customer, the agent slowed down, used plain language ('the small button on the back that says Reset'), emailed numbered steps, and confirmed each step. -&gt; Met.</t>
  </si>
  <si>
    <t>Listened and adapted mostly well, but used unexplained jargon at points, did not consistently confirm understanding, or accommodated one aspect of an accessibility need while overlooking another.</t>
  </si>
  <si>
    <t>Agent simplified vocabulary for a customer with a language barrier but still used 'firmware' and 'SSID' without explanation. -&gt; Partial.</t>
  </si>
  <si>
    <t>Agent talked past the customer — technical language with no adaptation, little evidence of listening, no checks for understanding — or ignored a clear accessibility need.</t>
  </si>
  <si>
    <t>Agent walked a non-technical customer through MAC filtering and DNS settings without checking comprehension; the customer followed incorrectly. -&gt; Missed.</t>
  </si>
  <si>
    <t>Not applicable — communication is always part of the interaction.</t>
  </si>
  <si>
    <t>Demonstrated ownership — took responsibility, avoided unnecessary transfers, and followed through on commitments</t>
  </si>
  <si>
    <t>Agent owned the case from contact to close, made reasonable efforts personally, transferred only for a clear documented reason after appropriate effort, and honored every commitment made (within the call or documented with an owner and timeline).</t>
  </si>
  <si>
    <t>Agent inherited a complex case, re-diagnosed without making the customer repeat everything, escalated only after thorough L1 work, and submitted the promised escalation before end of day as committed. -&gt; Met.</t>
  </si>
  <si>
    <t>Generally owned the case but transferred where more effort was reasonable, or made a commitment that was only partially honored — fulfilled late or not documented.</t>
  </si>
  <si>
    <t>Agent troubleshot for 5 minutes then transferred to L2 citing complexity for a basic config issue, and emailed setup steps but never logged that it was sent. -&gt; Partial.</t>
  </si>
  <si>
    <t>Agent transferred immediately or after minimal effort to avoid difficulty, or broke a commitment with nothing documented — the customer was left waiting on something that never happened.</t>
  </si>
  <si>
    <t>Agent routed a mesh case to L2 with no troubleshooting, and a promised 24-hour callback was never made or noted. -&gt; Missed.</t>
  </si>
  <si>
    <t>Not applicable — ownership is always expected.</t>
  </si>
  <si>
    <t>Established clear next steps and realistic timelines, and completed required follow-up (incl. disconnect/callback commitments)</t>
  </si>
  <si>
    <t>Agent told the customer specifically what happens next — who, when, what to do meanwhile — with realistic timelines, and completed any required follow-up: a disconnect callback within the expected window, or a promised return call on time (or proactively renegotiated before the window lapsed).</t>
  </si>
  <si>
    <t>Your case is with L2; they'll call within 24-48 business hours at the number on file.' Call later dropped; agent called back immediately and resumed. -&gt; Met.</t>
  </si>
  <si>
    <t>Some expectation-setting or follow-up occurred but was incomplete — timeline without an owner, follow-up attempted but not documented, or a callback slightly outside the window without proactive communication.</t>
  </si>
  <si>
    <t>Agent said 'L2 will reach out' with no timeframe, and called back after a disconnect but left no note of the follow-up. -&gt; Partial.</t>
  </si>
  <si>
    <t>Customer received no information about what happens next or an unrealistic timeline; or a disconnect/callback commitment was missed entirely with no follow-up made or documented.</t>
  </si>
  <si>
    <t>Call dropped at a critical point; no callback was made, and the customer called back the next day to a new agent with no record of the prior session. -&gt; Missed.</t>
  </si>
  <si>
    <t>N.A. only when no next step or follow-up was required — the issue was fully resolved and confirmed with nothing pending and no disconnect or callback commitment.</t>
  </si>
  <si>
    <t>Maintained case continuity — prior history and sufficient handoff context so the customer didn't repeat themselves</t>
  </si>
  <si>
    <t>Agent reviewed and referenced prior contact history, did not re-ask what was already answered or repeat documented steps, and — on any handoff or escalation — passed symptoms, findings, steps taken, status, and a specific next action so the receiving agent could continue seamlessly.</t>
  </si>
  <si>
    <t>On touch 3, agent opened by acknowledging prior steps, built on the documented RSSI findings, and escalated with a full handoff note. The customer never re-explained the issue. -&gt; Met.</t>
  </si>
  <si>
    <t>Some continuity but a gap — re-asked something already in the notes, or a handoff that had context but missing specifics the receiving agent needed.</t>
  </si>
  <si>
    <t>Agent re-asked for the model number despite it being in notes but moved on quickly; the handoff note lacked the test results. -&gt; Partial.</t>
  </si>
  <si>
    <t>Agent treated a repeat contact as new — asked the customer to start over, repeated documented steps — or handed off with only 'customer still has issue,' forcing the customer to repeat their history.</t>
  </si>
  <si>
    <t>Agent asked the customer to re-explain everything and re-ran prior troubleshooting; escalation note said only 'needs L2 help.' -&gt; Missed.</t>
  </si>
  <si>
    <t>N.A. only when this is a confirmed first contact with no prior history and no handoff occurred on this touch.</t>
  </si>
  <si>
    <t>Made an appropriate escalation decision (incl. not to escalate) on troubleshooting + recognized criteria (complaint/management/legal)</t>
  </si>
  <si>
    <t>After two contacts and complete L1 work, the node kept failing to re-pair; agent escalated with evidence. A later management-contact request was recognized and escalated same-day. -&gt; Met.</t>
  </si>
  <si>
    <t>A trigger was present but borderline — the issue may have been resolvable at L1 with more effort, or a valid trigger was acted on but the troubleshooting behind it was thin.</t>
  </si>
  <si>
    <t>Agent escalated citing 'customer is frustrated' with no technical criterion articulated, though the issue was near the edge of L1 scope. -&gt; Partial.</t>
  </si>
  <si>
    <t>Escalated with no valid trigger (to avoid a difficult call or after minimal effort), OR failed to escalate a warranted case — most critically, an explicit management request or a legal-risk reference left unactioned.</t>
  </si>
  <si>
    <t>Customer emailed 'I want to talk to your management before I talk to a lawyer'; the agent never treated it as an escalation trigger. -&gt; Missed.</t>
  </si>
  <si>
    <t>N.A. only when no escalation was involved on this touch and none was warranted.</t>
  </si>
  <si>
    <t>Executed the escalation effectively — correct path, complete details/context, and explained reason and next steps</t>
  </si>
  <si>
    <t>The escalation went to the correct team with complete details — symptom, product/warranty status, steps and findings, reason, and what's specifically needed — and the customer was told why, who would handle it, and when to expect contact.</t>
  </si>
  <si>
    <t>Escalation carried full history and a clear ask to Tier 2 Hardware; the customer was told L2 would call in 24-48 hours and would start a replacement if the fault was confirmed. -&gt; Met.</t>
  </si>
  <si>
    <t>Submitted to the right team but missing some useful detail (no results, history, or contact info), or the customer was told about the escalation without a clear reason or timeline.</t>
  </si>
  <si>
    <t>Escalation said 'connectivity issue, troubleshooting performed, escalating'; L2 had to call the customer for context. -&gt; Partial.</t>
  </si>
  <si>
    <t>Critical information missing or wrong team entirely, or the customer was never told they were being escalated (or was told the case was resolved).</t>
  </si>
  <si>
    <t>Escalation read 'escalating per customer request' with no technical detail; the agent marked the ticket Resolved and the customer was confused when L2 called. -&gt; Missed.</t>
  </si>
  <si>
    <t>N.A. only when no escalation occurred on this touch.</t>
  </si>
  <si>
    <t>Demonstrated empathy, professionalism, and patience throughout — incl. repeat-contact fatigue and under pressure</t>
  </si>
  <si>
    <t>Agent acknowledged the customer's frustration or history specifically and sincerely (not a scripted line), explicitly recognized repeated effort on repeat contacts, and stayed composed, courteous, and solution-focused even under pressure.</t>
  </si>
  <si>
    <t>I can see this is your third call — that must be frustrating. I've reviewed your prior contacts so you won't start over.' Agent stayed calm through a long, tense call. -&gt; Met.</t>
  </si>
  <si>
    <t>Empathy was generic or scripted without acknowledging the specific history, or professionalism slipped briefly — a moment of visible impatience or a slightly defensive response.</t>
  </si>
  <si>
    <t>Agent said 'I understand your frustration' and moved on, then later remarked 'I've been very patient with you today' in a tone that implied criticism. -&gt; Partial.</t>
  </si>
  <si>
    <t>Entirely transactional with no acknowledgment of frustration or repeat history, or the agent became impatient, sarcastic, dismissive, or defensive in a way that damaged the interaction.</t>
  </si>
  <si>
    <t>On a fourth call about the same issue, the agent opened with 'Can I have your model number?' and later said 'there's no need to be rude.' -&gt; Missed.</t>
  </si>
  <si>
    <t>Not applicable — professionalism is always required.</t>
  </si>
  <si>
    <t>Adapted to the customer's tone, pace, and emotional state and maintained engagement and understanding</t>
  </si>
  <si>
    <t>Agent naturally matched the customer's communication style — technical with a knowledgeable customer, warm and patient with an anxious one, efficient with someone who wanted speed — and kept the customer an informed, engaged participant, checking comprehension at key moments.</t>
  </si>
  <si>
    <t>A self-identified network engineer got concise, technical, peer-level engagement; the agent confirmed each result and kept them engaged. -&gt; Met.</t>
  </si>
  <si>
    <t>Mostly matched the customer but one dimension was off (too formal, too technical, too slow), or the customer had moments of confusion or disengagement that were only partly addressed.</t>
  </si>
  <si>
    <t>Customer was casual; agent stayed stiff and formal, and when the customer said 'I'm a bit lost' simply repeated the instruction without reframing. -&gt; Partial.</t>
  </si>
  <si>
    <t>One-size-fits-all tone regardless of the customer's cues; the customer was confused or disengaged at multiple points and the agent did not adjust or respond.</t>
  </si>
  <si>
    <t>An anxious elderly customer got fast, jargon-heavy instructions as if to a technical audience and became more confused. -&gt; Missed.</t>
  </si>
  <si>
    <t>Not applicable — adapting to the customer is always relevant.</t>
  </si>
  <si>
    <t>Agent proactively reduced what the customer had to do — used information already on file, handled actions agent-side where possible, and avoided unnecessary repetition, holds, or steps.</t>
  </si>
  <si>
    <t>Agent had the model and serial from the account and only asked the customer to confirm the current symptom, saving several minutes. -&gt; Met.</t>
  </si>
  <si>
    <t>Some effort to reduce friction, but the customer was asked to repeat known information or perform steps that could have been handled more efficiently.</t>
  </si>
  <si>
    <t>Agent asked for the device model already visible in the ticket from the prior contact. -&gt; Partial.</t>
  </si>
  <si>
    <t>Customer had to repeat information multiple times, was sent through unnecessary steps, or hit avoidable friction because the agent did not use available information.</t>
  </si>
  <si>
    <t>On a third contact, the customer was asked to re-explain the issue and repeat all prior troubleshooting. -&gt; Missed.</t>
  </si>
  <si>
    <t>Not applicable — minimizing effort is always relevant.</t>
  </si>
  <si>
    <t>Documented the issue, troubleshooting performed, and key findings</t>
  </si>
  <si>
    <t>Notes clearly describe what the customer reported (symptom, affected devices, scope, onset, prior attempts) AND the troubleshooting steps with the key findings they produced — specific values, states, and discoveries — so the next agent can act without redoing the work.</t>
  </si>
  <si>
    <t>Wireless drops on all 3 nodes since an overnight firmware update; wired unaffected. Verified modem online; DHCP fine; 2.4 GHz weak; changed to channel 6; customer confirmed restored.' -&gt; Met.</t>
  </si>
  <si>
    <t>Issue or steps present but incomplete — a vague summary, missing key steps, or findings described only in general terms.</t>
  </si>
  <si>
    <t>Customer experiencing internet issues. Reset router and reconfigured Wi-Fi settings.' No symptom detail, no per-step outcomes. -&gt; Partial.</t>
  </si>
  <si>
    <t>No issue summary or no troubleshooting record despite a full session — the next agent would have to start over.</t>
  </si>
  <si>
    <t>After a 45-minute call the note reads only 'Troubleshooting performed. Escalated.' -&gt; Missed.</t>
  </si>
  <si>
    <t>N.A. only when the contact was purely informational with no issue or troubleshooting to record.</t>
  </si>
  <si>
    <t>Captured the reasoning behind decisions, recommendations, escalations, and actions (incl. colleague / SME input)</t>
  </si>
  <si>
    <t>Notes explain key decisions — why a path or closure was chosen, what criterion an escalation met, and any colleague or SME consultation that shaped the approach (captured in the case notes when no private note applies).</t>
  </si>
  <si>
    <t>Consulted Team Lead before escalating; TL confirmed the hardware-defect threshold after three failed resets. Escalated to Tier 2 with full history; TL input documented here as no private note was available.' -&gt; Met.</t>
  </si>
  <si>
    <t>Some reasoning captured but key decisions lack explanation — an escalation with no documented rationale, or colleague input followed but not attributed.</t>
  </si>
  <si>
    <t>Agent noted 'escalated per policy' without which criterion was met or who was consulted. -&gt; Partial.</t>
  </si>
  <si>
    <t>Notes contain only actions with no reasoning — a case closed RESOLVED or escalated with no explanation of why. The decision-making cannot be reconstructed.</t>
  </si>
  <si>
    <t>Escalation note: 'Escalating to L2.' No reason, no summary, no colleague reference. -&gt; Missed.</t>
  </si>
  <si>
    <t>N.A. only for a straightforward interaction with no escalation, no consultation, and no ambiguous decisions requiring explanation.</t>
  </si>
  <si>
    <t>Notes specify what happens next (owner, action, timeline, conditions) with callback details where applicable, and the ticket status truthfully reflects the case at close — Resolved only when confirmed resolved, Escalated/Callback/Pending otherwise, with a closure reason.</t>
  </si>
  <si>
    <t>Escalated to L2 Hardware (#67890); customer to be contacted in 24-48 hrs at 555-0100; advised not to reset until L2 makes contact.' Status set to Escalated. -&gt; Met.</t>
  </si>
  <si>
    <t>Next steps in general terms (no owner/timeline) or status mostly accurate but the closure reason is missing or applied late.</t>
  </si>
  <si>
    <t>Escalated. Customer to wait for follow-up.' No team, timeframe, or detail; status correct but bare. -&gt; Partial.</t>
  </si>
  <si>
    <t>No next steps documented, or the status misrepresents the case — marked RESOLVED when escalated or unresolved (premature closure), misleading the next person.</t>
  </si>
  <si>
    <t>Agent submitted an escalation but marked the ticket Resolved because the call ended; L2 received it as Resolved and deprioritized it. -&gt; Missed.</t>
  </si>
  <si>
    <t>Not applicable — current case status must always reflect reality.</t>
  </si>
  <si>
    <t>Internet restored May 18 (482-530 Mbps down); but the primary complaint — streaming stability — was never confirmed; TV still flashing red at session end; case closed RESOLVED May 19 without a documented reason or customer confirmation.</t>
  </si>
  <si>
    <t>Confirmed modem install and isolated the fault away from the ISP to the MX4200 parent node before acting; worked the issue hands-on via ZOHO remote session (480107042) — no generic KB sent in lieu of investigation.</t>
  </si>
  <si>
    <t>Restoration path was correct; the closure path was not — RESOLVED set on a known-unresolved in-warranty case. Product is in-warranty, so the OOW best-effort path does not apply here.</t>
  </si>
  <si>
    <t>Correctly framed the issue as wireless coverage/stability, not internet speed; verified inventory (6x MX4200), modem state, and node placement, and identified the overlap node (16267, -18 dBm). Stability root cause not fully confirmable at this single touch, but the diagnostic process was sound.</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</si>
  <si>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</si>
  <si>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</si>
  <si>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Drove a focused, well-controlled 3h26m session (investigation: 'more focused than earlier contacts'), with clear transitions through the troubleshooting. (The broken callback-window commitment is scored under Ownership.)</t>
  </si>
  <si>
    <t>Hearing-difficulty adaptation cited as an opportunity for this and 3 prior agents; pace and jargon (RSSI/SSID) unchanged despite documented hearing aids and age 80+; customer confirmation of next steps not consistently sought.</t>
  </si>
  <si>
    <t>Claimed the queue, drove the session, and attempted callbacks and emails with no unnecessary transfers — but a missed callback window and premature RESOLVED closure undercut accountability and commitment follow-through.</t>
  </si>
  <si>
    <t>Agreed a 4-5 PM CT callback May 19 — missed; calls placed at 5:42 and 6:06 PM (42-66 min late) without proactive renegotiation despite a calendar conflict visible in advance; post-miss plan required the customer to propose a new time.</t>
  </si>
  <si>
    <t>Touch 13 of 13; inherited and built on Paolo Ebora's RSSI findings and prior notes without re-asking — but closed RESOLVED with no closure note, leaving no usable context for any future touch (5th premature RESOLVED on this ticket).</t>
  </si>
  <si>
    <t>No technical escalation was needed (Eric Marbella is the L2 endpoint); but the May 19 3:33 PM email — 'I would like to talk to your management, before I talk to a lawyer' — is a textbook management/legal-risk trigger that was not recognized as requiring escalation.</t>
  </si>
  <si>
    <t>No management/DSAT escalation was submitted; TC Marc Baynos was consulted only about how to word the reply, not about escalating the complaint; the final email never acknowledged the management request or explained any escalation step.</t>
  </si>
  <si>
    <t>Courteous, calm, and patient across all calls and emails, including a 3h26m session with a frustrated customer. Empathy was present, though it could have acknowledged the customer's effort and fatigue more explicitly (20-30 hrs invested, age 80, hearing aids).</t>
  </si>
  <si>
    <t>Pace and jargon largely unadjusted for the hearing difficulty; RSSI/SSID not explained; no slower delivery or comprehension check, and engagement collapsed (CSAT 1/5; 'worst customer service I have ever had').</t>
  </si>
  <si>
    <t>11 PM finish for an 80-year-old couple, then the customer was expected to propose a new time after the missed callback; survey: 'almost impossible to get a technician who can help.'</t>
  </si>
  <si>
    <t>Issue, modem-replacement context, and 7-week history captured on the claim; session note recorded speeds, 4 child nodes configured, RSSI per node, the overlap node, and the declined sequence reboot.</t>
  </si>
  <si>
    <t>Why RESOLVED was chosen is documented nowhere; the management/legal escalation request was never documented as an escalation item; TC Baynos input was about wording a reply, not captured as an escalation decision.</t>
  </si>
  <si>
    <t>RESOLVED set May 19 on a known-unresolved case — the 5th premature closure on this ticket; the callback agreement was noted but the post-miss plan was vague (final email only asked the customer to 'reply with preferred date/time'). Survey 3 days later confirmed Resolution Rate = No.</t>
  </si>
  <si>
    <t>Auto-score 3.4; overridden to 3 — premature RESOLVED closure caps the technical recovery; the unconfirmed primary complaint reinforces the downward adjustment.</t>
  </si>
  <si>
    <t>Auto-score 1.8; overridden to 1 — automatic deductions: missed callback window without proactive renegotiation + premature RESOLVED on a known-unresolved case (5th closure).</t>
  </si>
  <si>
    <t>Scoring Form / All Sheets / Web Platform</t>
  </si>
  <si>
    <t>Consolidated behavioral indicators from 35 to 19 (adopted the Revised Behavioral Indicators model) across the Scoring Form, Indicator Guide, Scoring Guide, Example (Filled), and web form. Per category: Resolution 6→3, Technical 4→3, Communication 5→2, Ownership 6→3, Escalation 4→2, Customer Experience 5→3, Documentation 5→3. Applied 3 tweaks to preserve Support Organization Reset alignment: kept explicit out-of-warranty best-effort language (Resolution), named complaint / management / legal escalation triggers (Escalation), and added N.A.-applicability guidance for the broad indicators (Scoring Guide). Re-pointed and relabelled the 8 coaching flags to the new indicators (now fire on Partial or Missed); category weights, auto-zero, and the 7-category structure unchanged. Worked Example recomputes to the same 52% (Needs Improvement).</t>
  </si>
  <si>
    <t>3d7c1a3</t>
  </si>
  <si>
    <t>Conclusions without evidence are guesses, and self-help sent without investigation is deflection — the work shifted back to the customer with no diagnostic value added. This indicator combines two behaviors the Support Organization Reset targets most directly: troubleshooting before concluding, and troubleshooting before substituting a KB article for real help. Generic self-help can complement a completed investigation; it cannot replace one. An interaction "meaningfully advances" the customer's path when it eliminates possible causes, gathers diagnostic evidence, narrows the problem scope, or identifies the next valid action — not merely when time was spent.</t>
  </si>
  <si>
    <t>Different situations require different resolution paths, and warranty status sets the resolution ceiling — not the quality of effort. In-warranty hardware faults need an RMA; out-of-warranty products still warrant best-effort troubleshooting, a clear explanation of limitations, and a useful outcome. The previous model treated OOW status as permission to dismiss the customer; the Reset replaces that with a best-effort engagement standard for eligible products. Warranty, policy, and paid-support boundaries set the resolution ceiling — they are not a shortcut to stop helping.</t>
  </si>
  <si>
    <t>Agent initiates an RMA for an OOW product without a policy exception, or closes a confirmed in-warranty hardware fault without initiating replacement. Agent says 'your product is out of warranty, I can't help' without any troubleshooting attempt. Agent dismisses the customer without confirming which product families qualify for OOW troubleshooting. Agent offers a paid support / connect option to an out-of-warranty customer instead of the best-effort troubleshooting the process now requires.</t>
  </si>
  <si>
    <t>Agent misreads the symptom (treats a speed issue as an outage), asks irrelevant or scattershot questions, or jumps between unrelated steps. Agent resolves the surface symptom without investigating why it occurred. Agent states a root cause with no evidence, or stops at one possible cause without ruling out alternatives.</t>
  </si>
  <si>
    <t>Agents have remote sessions, ticket history, diagnostic portals, and internal knowledge systems available. An agent who troubleshoots without them works with less information than they could have and handicaps the diagnostic process. This indicator checks that agents leverage the tools and evidence available rather than relying solely on imprecise verbal descriptions from the customer. Effective use also means drawing on the correct source of truth — approved knowledge, official troubleshooting flows, and prior case evidence — rather than memory or guesswork.</t>
  </si>
  <si>
    <t>Customer performs the wrong step because the instruction was unclear or full of unexplained jargon. Agent never checks understanding before moving on. Agent keeps standard pace and vocabulary with a customer who has a documented hearing difficulty or language barrier, or delivers multiple instructions at once to someone clearly struggling to keep up. Agent rushes the customer or delivers instructions too quickly for them to follow.</t>
  </si>
  <si>
    <t>Escalation must be driven by a legitimate trigger after reasonable L1 work — not by inconvenience, and not avoided when genuinely warranted. Escalation without troubleshooting is queue shuffling that consumes limited L2 capacity; failing to escalate a warranted case is an equal failure. The Reset expanded the recognized triggers beyond technical complexity to include complaint and management-contact requests and legal-risk signals — and failing to recognize an explicit management request or a reference to legal action is a scored failure. "Enough" troubleshooting before escalation means the standard L1 steps for the issue type were completed and documented — a judgment about the work done, not a fixed timer.</t>
  </si>
  <si>
    <t>Customer effort is one of the strongest predictors of satisfaction and loyalty. Every extra contact, repeated explanation, unnecessary hold, missed callback, and vague next step increases effort and erodes confidence. Minimizing effort is the aggregate test of whether the agent avoided the behaviors the Reset names as failures: KB deflection, ISP blame without investigation, premature closure, and missed follow-up. Necessary troubleshooting and required verification are not "customer effort" to be minimized — effort-reduction means removing avoidable friction, never skipping diagnostic steps the issue genuinely requires.</t>
  </si>
  <si>
    <t>Customer must contact support multiple times for the same issue, or re-explain their history across agents. Customer is asked for information already visible in the ticket, sent through unnecessary steps, or left to initiate the next step with no guidance. Customer is placed on unnecessary or unexplained holds. Survey describes the interaction as difficult or exhausting.</t>
  </si>
  <si>
    <t>PRINCIPLES FOR EVALUATORS — how to apply this guide fairly</t>
  </si>
  <si>
    <t>1. Evaluate on the information the agent had at the time. Avoid hindsight bias: do not penalize a reasonable decision because later information proved it wrong.</t>
  </si>
  <si>
    <t>2. Score the behavior, not the outcome alone. An unresolved case can still earn a strong score when the agent did the right things; a resolved case can still reveal coaching gaps.</t>
  </si>
  <si>
    <t>3. Use the Scoring Guide sheet for the Met / Partial / Missed / N.A. definitions and worked example scenarios behind every indicator — it is the companion to this 'why' guide.</t>
  </si>
  <si>
    <t>4. Mark N.A. only where the indicator genuinely does not apply (see each indicator's N.A. note). N.A. items are excluded and their weight is redistributed — never scored as a failure.</t>
  </si>
  <si>
    <t>5. Judge 'reasonable', 'best effort', 'meaningfully advanced', and 'enough troubleshooting' against what a competent agent could reasonably do for that product, issue, and customer — the boundary for each is defined in the rationale above.</t>
  </si>
  <si>
    <t>Escalation (or the decision not to escalate) was driven by a legitimate, recognized trigger after reasonable L1 work: complexity beyond L1, confirmed hardware fault, repeat unresolved issue, a customer complaint or management request, or a legal-risk signal — and routine cases were resolved rather than escalated. "Enough" L1 work means the standard steps for the issue type were completed and documented — not a fixed time threshold.</t>
  </si>
  <si>
    <t>PRINCIPLES FOR EVALUATORS — how to apply these definitions fairly</t>
  </si>
  <si>
    <t>1. Evaluate on the information the agent had at the time — avoid hindsight bias. A reasonable decision is not a failure just because later information proved it wrong.</t>
  </si>
  <si>
    <t>2. Score the behavior, not the outcome alone. An unresolved case can score well when the agent did the right things; a resolved case can still show coaching gaps.</t>
  </si>
  <si>
    <t>3. Mark N.A. only where the indicator genuinely does not apply (see each N.A. row). N.A. items are excluded and their weight is redistributed — never counted as a failure.</t>
  </si>
  <si>
    <t>4. Judge 'reasonable', 'best effort', 'meaningfully advanced', and 'enough troubleshooting' against what a competent agent could do for that product, issue, and customer.</t>
  </si>
  <si>
    <t>5. See the Indicator Guide sheet for why each indicator exists and what failure looks like in practice.</t>
  </si>
  <si>
    <t>JUNE 29, 2026</t>
  </si>
  <si>
    <t>QA SCORING CHEAT SHEET — 19 INDICATORS AT A GLANCE</t>
  </si>
  <si>
    <t>Quick reference for evaluators and agents. Full rationale is on the Indicator Guide; Met / Partial / Missed / N.A. definitions and worked examples are on the Scoring Guide.</t>
  </si>
  <si>
    <t>SCORING AT A GLANCE</t>
  </si>
  <si>
    <t>Each category is scored 0–5. Weighted total = sum of (category score ÷ 5 × category weight).</t>
  </si>
  <si>
    <t>Category weights: Resolution 30% · Technical 20% · Communication 15% · Ownership 15% · Escalation 10% · Customer Experience 5% · Documentation 5%.</t>
  </si>
  <si>
    <t>0–5 anchors: 5 = resolved / best outcome · 4 = significant progress + clear next steps · 3 = partial progress, opportunities missed · 2 = limited progress · 1 = little/no progress · 0 = agent worsened the outcome.</t>
  </si>
  <si>
    <t>Result bands: ≥ 85% Meets / Exceeds · 70–84% Developing · &lt; 70% Needs Improvement.</t>
  </si>
  <si>
    <t>Per-indicator weight: 3 = Primary · 2 = Core · 1 = Supporting. N.A. items are excluded and their weight is redistributed across the rest.</t>
  </si>
  <si>
    <t>AUTO-ZERO: any compliance gate marked 'No', or any A–K item marked 'Yes', forces the weighted score to 0% (category scores still show, for coaching).</t>
  </si>
  <si>
    <t>THE 19 INDICATORS</t>
  </si>
  <si>
    <t>Indicator</t>
  </si>
  <si>
    <t>Resolution 30%</t>
  </si>
  <si>
    <t>Resolved the issue or achieved the best available outcome</t>
  </si>
  <si>
    <t>Reasonable troubleshooting that advanced the case before concluding / self-help</t>
  </si>
  <si>
    <t>Appropriate resolution path incl. best-effort OOW (not warranty as a stop)</t>
  </si>
  <si>
    <t>Technical 20%</t>
  </si>
  <si>
    <t>Logical diagnostic process — symptoms, questions, root / likely cause</t>
  </si>
  <si>
    <t>Used tools, resources &amp; evidence effectively (correct source of truth)</t>
  </si>
  <si>
    <t>Technically accurate info &amp; conclusions supported by evidence</t>
  </si>
  <si>
    <t>Communication 15%</t>
  </si>
  <si>
    <t>Guided the interaction — expectations, call control, flow, transitions</t>
  </si>
  <si>
    <t>Communicated to the customer's level, style &amp; accessibility needs</t>
  </si>
  <si>
    <t>Ownership 15%</t>
  </si>
  <si>
    <t>Took ownership — responsibility, no needless transfers, followed through</t>
  </si>
  <si>
    <t>Clear next steps &amp; timelines; completed follow-up / callback commitments</t>
  </si>
  <si>
    <t>Maintained continuity — prior history &amp; handoff context (N.A. if 1st contact)</t>
  </si>
  <si>
    <t>Escalation 10%</t>
  </si>
  <si>
    <t>Appropriate escalation decision incl. complaint / management / legal triggers (N.A. if none)</t>
  </si>
  <si>
    <t>Executed escalation well — path, details, customer told what's next (N.A. if none)</t>
  </si>
  <si>
    <t>Cust. Experience 5%</t>
  </si>
  <si>
    <t>Empathy, professionalism &amp; patience — incl. repeat-contact fatigue</t>
  </si>
  <si>
    <t>Adapted to tone / pace / emotion; kept engagement &amp; understanding</t>
  </si>
  <si>
    <t>Reduced customer effort — no needless repetition, holds, delays</t>
  </si>
  <si>
    <t>Documentation 5%</t>
  </si>
  <si>
    <t>Documented issue, troubleshooting &amp; key findings</t>
  </si>
  <si>
    <t>Captured reasoning behind decisions / escalations (incl. SME input)</t>
  </si>
  <si>
    <t>Clear next steps + accurate case status (no premature closure)</t>
  </si>
  <si>
    <t>BOUNDARY DEFINITIONS  (apply these to the subjective terms)</t>
  </si>
  <si>
    <t>Reasonable troubleshooting — the standard, logically sequenced steps for that product and symptom, completed before any conclusion or KB link.</t>
  </si>
  <si>
    <t>Meaningfully advanced — eliminates possible causes, gathers evidence, narrows the problem scope, or identifies the next valid action (not merely time spent).</t>
  </si>
  <si>
    <t>Best effort (OOW) — investigate and troubleshoot as far as the product / issue allows, explain limitations, leave the customer something useful. Warranty sets the ceiling, not the effort. Do NOT offer paid connect in place of help.</t>
  </si>
  <si>
    <t>Enough troubleshooting before escalation — the standard L1 steps for the issue type completed and documented (a judgment about work done, not a timer).</t>
  </si>
  <si>
    <t>Necessary troubleshooting is NOT 'customer effort' — effort-reduction removes avoidable friction; it never means skipping diagnostic steps the issue genuinely requires.</t>
  </si>
  <si>
    <t>PRINCIPLES FOR EVALUATORS</t>
  </si>
  <si>
    <t>1. Evaluate on the information the agent had at the time — avoid hindsight bias.</t>
  </si>
  <si>
    <t>2. Score the behavior, not the outcome alone. An unresolved case can score well; a resolved case can still show coaching gaps.</t>
  </si>
  <si>
    <t>3. Mark N.A. only where the indicator truly doesn't apply — N.A. weight is redistributed, never counted as a failure.</t>
  </si>
  <si>
    <t>4. Judge 'reasonable', 'best effort', 'meaningfully advanced', and 'enough troubleshooting' against what a competent agent could do for that product, issue &amp; customer.</t>
  </si>
  <si>
    <t>COACHING FLAGS  (auto-fire on Partial or Missed — each needs a coaching action)</t>
  </si>
  <si>
    <t>Technical accuracy · Missed follow-up / callback · Commitments not honored · Customer left without a path forward · Escalation decision inappropriate · Escalation poorly executed · Professionalism concern · Ticket status inaccurate / premature closure.</t>
  </si>
  <si>
    <t>QA ROLLOUT JOB AID — CASE NOTE TEMPLATES</t>
  </si>
  <si>
    <t>Copy the relevant block into your ticket and fill each field. These templates operationalize the Customer Ownership, Escalation, and Documentation indicators. Keep notes specific — the next agent should never have to ask the customer to start over.</t>
  </si>
  <si>
    <t>1 · HANDOFF / CONTINUITY NOTE   (use when a case passes to another agent, touch, or follow-up)</t>
  </si>
  <si>
    <t>Customer name &amp; best contact (number / email + preferred window):</t>
  </si>
  <si>
    <t>Product &amp; warranty status:</t>
  </si>
  <si>
    <t>Issue summary — symptom, scope, when it started:</t>
  </si>
  <si>
    <t>Prior contact history — touch # of #, what's been tried across touches:</t>
  </si>
  <si>
    <t>Steps already taken this touch:</t>
  </si>
  <si>
    <t>Key findings — values, states, confirmed faults (RSSI, firmware, WAN state, etc.):</t>
  </si>
  <si>
    <t>Current status:</t>
  </si>
  <si>
    <t>Specific next action needed — and from whom:</t>
  </si>
  <si>
    <t>What the customer has been told to expect:</t>
  </si>
  <si>
    <t>2 · ESCALATION NOTE   (use when submitting to L2 / a specialist team)</t>
  </si>
  <si>
    <t>Issue summary — specific symptom (not just 'internet issue'):</t>
  </si>
  <si>
    <t>Escalation trigger (tick one): complexity beyond L1 / confirmed hardware fault / repeat unresolved / customer complaint or management request / legal-risk reference / other:</t>
  </si>
  <si>
    <t>L1 troubleshooting completed — steps AND results:</t>
  </si>
  <si>
    <t>Root cause or likely cause — with supporting evidence:</t>
  </si>
  <si>
    <t>What specifically is needed from L2:</t>
  </si>
  <si>
    <t>Correct queue / team:</t>
  </si>
  <si>
    <t>What the customer was told — who will contact them, why, and when:</t>
  </si>
  <si>
    <t>Reminder: escalate only after reasonable L1 work (standard steps for the issue type completed &amp; documented) — OR when a complaint / management request / legal-risk trigger requires it, even without further troubleshooting.</t>
  </si>
  <si>
    <t>3 · NEXT-STEP / CLOSURE NOTE   (complete at the end of EVERY interaction)</t>
  </si>
  <si>
    <t>Outcome / ticket status (tick one): Resolved (confirmed) / Escalated / Callback pending / Pending customer action / Unresolved:</t>
  </si>
  <si>
    <t>If Resolved — how was it confirmed with the customer:</t>
  </si>
  <si>
    <t>Next action + owner + timeline:</t>
  </si>
  <si>
    <t>Customer expectations set (what / when / who):</t>
  </si>
  <si>
    <t>Reason for status — especially if NOT Resolved:</t>
  </si>
  <si>
    <t>Reminder: never mark RESOLVED on a known-unresolved case. Use Callback / Pending and document a reason. Premature closure is a scored Documentation failure and a coaching flag.</t>
  </si>
  <si>
    <t>Cheat Sheet / Job Aid Templates (new sheets)</t>
  </si>
  <si>
    <t>Added two rollout job-aid sheets: 'QA Cheat Sheet' (the 19 indicators with weights, boundary definitions for the subjective terms, evaluator principles, and coaching flags at a glance) and 'Job Aid Templates' (fill-in handoff/continuity, escalation-note, and next-step/closure templates that operationalize the Ownership, Escalation, and Documentation indicators). Reference and template content only — no scoring logic, weights, or indicator wording changed.</t>
  </si>
  <si>
    <t>Applied reviewer feedback (Feedback Indicator Guides 1 &amp; 2, buckets A+B) to the Indicator Guide and Scoring Guide. Per indicator:
• Resolution R2 (reasonable troubleshooting) — added a boundary definition of "meaningfully advanced": eliminates possible causes, gathers evidence, narrows the problem scope, or identifies the next valid action (not merely time spent).
• Resolution R3 (resolution path / OOW) — added failure example "offers a paid connect/support option to an OOW customer instead of best-effort troubleshooting"; strengthened the rationale that warranty, policy, and paid-support boundaries are not a shortcut to stop helping.
• Technical T1 (diagnostic process) — failure example reworded: "scattershot questions" → "irrelevant or scattershot questions".
• Technical T2 (tools / resources / evidence) — added a source-of-truth note: draw on approved knowledge, official troubleshooting flows, and prior case evidence rather than memory or guesswork.
• Communication C2 (level / style / accessibility) — added failure example "rushes the customer or delivers instructions too fast to follow".
• Escalation E1 (escalation decision) — defined "enough troubleshooting before escalation" as the standard L1 steps for the issue type completed and documented (a judgment, not a timer); also reflected in the Scoring Guide E1 definition.
• Customer Experience CX3 (reduced effort) — clarified that necessary troubleshooting and required verification are NOT "customer effort" to be minimized; added failure example "unnecessary or unexplained holds".
• All indicators — added a "Principles for Evaluators" section to both sheets (evaluate on information available at the time / avoid hindsight bias; score behavior, not outcome alone; N.A. handling; per-indicator boundaries).
• Declined two proposed new indicators: outcome-validation (already covered by Resolution R1 + Documentation D3) and documentation knowledge-reuse (already covered by D1 + D2).
Indicator wording, weights, and the 19-indicator structure are unchanged.</t>
  </si>
  <si>
    <t>Web Platform (qa-scoring-form.html)</t>
  </si>
  <si>
    <t>Updated the web platform (qa-scoring-form.html) for parity with the workbook: added boundary-definition tooltips to the Resolution R2, Resolution R3, Escalation E1, and CX3 indicators; added a collapsible "Scoring Guidance — Evaluator Principles &amp; Boundary Definitions" panel; folded the new failure examples (offering paid connect to an OOW customer; unnecessary/unexplained holds) into the category warn lines; and aligned the Scoring tab section numbering to the Excel's Roman numerals (I–VIII), adding the "III · Category Assessments" header and making the section badge a pill so multi-character numerals fit.</t>
  </si>
  <si>
    <t>b79655f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</si>
</sst>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
      <b/>
      <sz val="11"/>
      <color theme="1"/>
      <name val="Calibri"/>
      <family val="2"/>
      <scheme val="minor"/>
    </font>
    <font>
      <i/>
      <sz val="11"/>
      <color theme="1"/>
      <name val="Calibri"/>
      <family val="2"/>
      <scheme val="minor"/>
    </font>
  </fonts>
  <fills count="42">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1F4E79"/>
        <bgColor indexed="64"/>
      </patternFill>
    </fill>
    <fill>
      <patternFill patternType="solid">
        <fgColor rgb="FFD9E1F2"/>
        <bgColor indexed="64"/>
      </patternFill>
    </fill>
  </fills>
  <borders count="25">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
      <left style="thin">
        <color rgb="FFBFBFBF"/>
      </left>
      <right style="thin">
        <color rgb="FFBFBFBF"/>
      </right>
      <top style="thin">
        <color rgb="FFBFBFBF"/>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9">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29" fillId="16" borderId="11" xfId="0" quotePrefix="1" applyFont="1" applyFill="1" applyBorder="1" applyAlignment="1">
      <alignment horizontal="left" vertical="top" wrapText="1"/>
    </xf>
    <xf numFmtId="0" fontId="29" fillId="17" borderId="11" xfId="0" quotePrefix="1" applyFont="1" applyFill="1" applyBorder="1" applyAlignment="1">
      <alignment horizontal="left" vertical="top" wrapText="1"/>
    </xf>
    <xf numFmtId="0" fontId="80" fillId="0" borderId="0" xfId="0" applyFont="1" applyAlignment="1">
      <alignment wrapText="1"/>
    </xf>
    <xf numFmtId="0" fontId="80" fillId="0" borderId="0" xfId="0" applyFont="1"/>
    <xf numFmtId="0" fontId="80" fillId="41" borderId="0" xfId="0" applyFont="1" applyFill="1"/>
    <xf numFmtId="0" fontId="80" fillId="0" borderId="21" xfId="0" applyFont="1" applyBorder="1" applyAlignment="1">
      <alignment vertical="top"/>
    </xf>
    <xf numFmtId="0" fontId="0" fillId="0" borderId="21" xfId="0" applyBorder="1" applyAlignment="1">
      <alignment horizontal="center"/>
    </xf>
    <xf numFmtId="0" fontId="80" fillId="0" borderId="23" xfId="0" applyFont="1" applyBorder="1" applyAlignment="1">
      <alignment vertical="top"/>
    </xf>
    <xf numFmtId="0" fontId="0" fillId="0" borderId="23" xfId="0" applyBorder="1" applyAlignment="1">
      <alignment horizontal="center"/>
    </xf>
    <xf numFmtId="0" fontId="80" fillId="0" borderId="0" xfId="0" applyFont="1" applyAlignment="1">
      <alignment vertical="top" wrapText="1"/>
    </xf>
    <xf numFmtId="0" fontId="0" fillId="0" borderId="0" xfId="0" applyAlignment="1">
      <alignment vertical="top" wrapText="1"/>
    </xf>
    <xf numFmtId="0" fontId="0" fillId="0" borderId="24" xfId="0" applyBorder="1"/>
    <xf numFmtId="0" fontId="64" fillId="40" borderId="0" xfId="0" applyFont="1" applyFill="1" applyAlignment="1">
      <alignment vertical="center"/>
    </xf>
    <xf numFmtId="0" fontId="0" fillId="40" borderId="0" xfId="0" applyFill="1" applyAlignment="1">
      <alignment vertical="center"/>
    </xf>
    <xf numFmtId="0" fontId="81" fillId="0" borderId="0" xfId="0" applyFont="1" applyAlignment="1">
      <alignment vertical="top" wrapText="1"/>
    </xf>
    <xf numFmtId="0" fontId="0" fillId="0" borderId="0" xfId="0" applyAlignment="1">
      <alignment vertical="top" wrapText="1"/>
    </xf>
    <xf numFmtId="0" fontId="80" fillId="41" borderId="0" xfId="0" applyFont="1" applyFill="1"/>
    <xf numFmtId="0" fontId="0" fillId="41" borderId="0" xfId="0" applyFill="1"/>
    <xf numFmtId="0" fontId="66" fillId="36" borderId="0" xfId="0" applyFont="1" applyFill="1" applyAlignment="1">
      <alignment wrapText="1"/>
    </xf>
    <xf numFmtId="0" fontId="0" fillId="0" borderId="0" xfId="0"/>
    <xf numFmtId="49" fontId="66" fillId="38" borderId="0" xfId="0" applyNumberFormat="1" applyFont="1" applyFill="1" applyAlignment="1">
      <alignment horizontal="left" wrapText="1" indent="1"/>
    </xf>
    <xf numFmtId="0" fontId="65" fillId="37" borderId="0" xfId="0" applyFont="1" applyFill="1"/>
    <xf numFmtId="0" fontId="64" fillId="36" borderId="0" xfId="0" applyFont="1" applyFill="1" applyAlignment="1">
      <alignment horizontal="center"/>
    </xf>
    <xf numFmtId="0" fontId="6" fillId="6" borderId="1" xfId="0" applyFont="1" applyFill="1" applyBorder="1" applyAlignment="1">
      <alignment horizontal="left" vertical="top" wrapText="1"/>
    </xf>
    <xf numFmtId="0" fontId="0" fillId="0" borderId="4" xfId="0" applyBorder="1"/>
    <xf numFmtId="0" fontId="5" fillId="7" borderId="18" xfId="0" applyFont="1" applyFill="1" applyBorder="1" applyAlignment="1">
      <alignment horizontal="left" vertical="top" wrapText="1"/>
    </xf>
    <xf numFmtId="0" fontId="0" fillId="0" borderId="17" xfId="0" applyBorder="1"/>
    <xf numFmtId="0" fontId="3" fillId="3" borderId="1" xfId="0" applyFont="1" applyFill="1" applyBorder="1" applyAlignment="1">
      <alignment horizontal="left" vertical="top"/>
    </xf>
    <xf numFmtId="0" fontId="5" fillId="8" borderId="18"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2" fillId="2" borderId="1" xfId="0" applyFont="1" applyFill="1" applyBorder="1" applyAlignment="1">
      <alignment horizontal="center" vertical="top" wrapText="1"/>
    </xf>
    <xf numFmtId="0" fontId="5" fillId="23" borderId="18" xfId="0" applyFont="1" applyFill="1" applyBorder="1" applyAlignment="1">
      <alignment horizontal="left" vertical="center" wrapText="1"/>
    </xf>
    <xf numFmtId="0" fontId="0" fillId="0" borderId="16" xfId="0" applyBorder="1"/>
    <xf numFmtId="0" fontId="34" fillId="21" borderId="18" xfId="0" applyFont="1" applyFill="1" applyBorder="1" applyAlignment="1">
      <alignment horizontal="center" vertical="center" wrapText="1"/>
    </xf>
    <xf numFmtId="0" fontId="22" fillId="6" borderId="18" xfId="0" applyFont="1" applyFill="1" applyBorder="1" applyAlignment="1">
      <alignment horizontal="left" vertical="center" wrapText="1"/>
    </xf>
    <xf numFmtId="0" fontId="5" fillId="17" borderId="18" xfId="0" applyFont="1" applyFill="1" applyBorder="1" applyAlignment="1">
      <alignment horizontal="left" vertical="center"/>
    </xf>
    <xf numFmtId="0" fontId="5" fillId="17" borderId="18" xfId="0" applyFont="1" applyFill="1" applyBorder="1" applyAlignment="1">
      <alignment horizontal="left" vertical="center" wrapText="1"/>
    </xf>
    <xf numFmtId="0" fontId="4" fillId="25" borderId="18" xfId="0" applyFont="1" applyFill="1" applyBorder="1" applyAlignment="1">
      <alignment horizontal="left" vertical="center" wrapText="1"/>
    </xf>
    <xf numFmtId="0" fontId="3" fillId="3" borderId="1" xfId="0" applyFont="1" applyFill="1" applyBorder="1" applyAlignment="1">
      <alignment horizontal="left" vertical="center" wrapText="1"/>
    </xf>
    <xf numFmtId="0" fontId="0" fillId="0" borderId="3" xfId="0" applyBorder="1"/>
    <xf numFmtId="0" fontId="5" fillId="19" borderId="18" xfId="0" applyFont="1" applyFill="1" applyBorder="1" applyAlignment="1">
      <alignment horizontal="left" vertical="center" wrapText="1"/>
    </xf>
    <xf numFmtId="0" fontId="7" fillId="23" borderId="18" xfId="0" applyFont="1" applyFill="1" applyBorder="1" applyAlignment="1">
      <alignment horizontal="center" vertical="center"/>
    </xf>
    <xf numFmtId="0" fontId="10" fillId="6" borderId="18" xfId="0" applyFont="1" applyFill="1" applyBorder="1" applyAlignment="1">
      <alignment horizontal="left" vertical="center" wrapText="1"/>
    </xf>
    <xf numFmtId="0" fontId="5" fillId="20" borderId="18" xfId="0" applyFont="1" applyFill="1" applyBorder="1" applyAlignment="1">
      <alignment horizontal="left" vertical="center" wrapText="1"/>
    </xf>
    <xf numFmtId="0" fontId="35" fillId="22" borderId="18" xfId="0" applyFont="1" applyFill="1" applyBorder="1" applyAlignment="1">
      <alignment horizontal="center" vertical="center" wrapText="1"/>
    </xf>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xf>
    <xf numFmtId="0" fontId="5" fillId="5" borderId="18" xfId="0" applyFont="1" applyFill="1" applyBorder="1" applyAlignment="1">
      <alignment horizontal="left" vertical="center"/>
    </xf>
    <xf numFmtId="0" fontId="38" fillId="23" borderId="18" xfId="0" applyFont="1" applyFill="1" applyBorder="1" applyAlignment="1">
      <alignment horizontal="left" vertical="center" wrapText="1"/>
    </xf>
    <xf numFmtId="0" fontId="8" fillId="20" borderId="18" xfId="0" applyFont="1" applyFill="1" applyBorder="1" applyAlignment="1">
      <alignment horizontal="left" vertical="center" wrapText="1"/>
    </xf>
    <xf numFmtId="0" fontId="0" fillId="6" borderId="18" xfId="0" applyFill="1" applyBorder="1"/>
    <xf numFmtId="0" fontId="7" fillId="23" borderId="18" xfId="0" applyFont="1" applyFill="1" applyBorder="1" applyAlignment="1">
      <alignment horizontal="left" vertical="center"/>
    </xf>
    <xf numFmtId="0" fontId="4" fillId="25" borderId="18" xfId="0" applyFont="1" applyFill="1" applyBorder="1" applyAlignment="1">
      <alignment horizontal="left" vertical="center"/>
    </xf>
    <xf numFmtId="0" fontId="3" fillId="11" borderId="1" xfId="0" applyFont="1" applyFill="1" applyBorder="1" applyAlignment="1">
      <alignment horizontal="left" vertical="center"/>
    </xf>
    <xf numFmtId="0" fontId="5" fillId="7" borderId="18" xfId="0" applyFont="1" applyFill="1" applyBorder="1" applyAlignment="1">
      <alignment horizontal="left" vertical="center" wrapText="1"/>
    </xf>
    <xf numFmtId="0" fontId="2" fillId="2" borderId="1" xfId="0" applyFont="1" applyFill="1" applyBorder="1" applyAlignment="1">
      <alignment horizontal="center" vertical="center"/>
    </xf>
    <xf numFmtId="0" fontId="8" fillId="7" borderId="18" xfId="0" applyFont="1" applyFill="1" applyBorder="1" applyAlignment="1">
      <alignment horizontal="left" vertical="center" wrapText="1"/>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4" fillId="4" borderId="18" xfId="0" applyFont="1" applyFill="1" applyBorder="1" applyAlignment="1">
      <alignment horizontal="left" vertical="center"/>
    </xf>
    <xf numFmtId="0" fontId="36" fillId="20" borderId="18" xfId="0" applyFont="1" applyFill="1" applyBorder="1" applyAlignment="1">
      <alignment horizontal="left" vertical="top" wrapText="1"/>
    </xf>
    <xf numFmtId="0" fontId="7" fillId="19"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5" fillId="23" borderId="18" xfId="0" applyFont="1" applyFill="1" applyBorder="1" applyAlignment="1">
      <alignment horizontal="left" vertical="center"/>
    </xf>
    <xf numFmtId="0" fontId="69" fillId="11" borderId="0" xfId="0" applyFont="1" applyFill="1" applyAlignment="1">
      <alignment horizontal="center" vertical="top"/>
    </xf>
    <xf numFmtId="0" fontId="71" fillId="11" borderId="0" xfId="0" applyFont="1" applyFill="1" applyAlignment="1">
      <alignment horizontal="left" vertical="top"/>
    </xf>
    <xf numFmtId="0" fontId="72" fillId="25" borderId="0" xfId="0" applyFont="1" applyFill="1" applyAlignment="1">
      <alignment horizontal="left" vertical="top" wrapText="1"/>
    </xf>
    <xf numFmtId="0" fontId="70" fillId="11" borderId="0" xfId="0" applyFont="1" applyFill="1" applyAlignment="1">
      <alignment horizontal="center" vertical="top" wrapText="1"/>
    </xf>
    <xf numFmtId="0" fontId="0" fillId="0" borderId="12" xfId="0" applyBorder="1"/>
    <xf numFmtId="0" fontId="0" fillId="0" borderId="13" xfId="0" applyBorder="1"/>
    <xf numFmtId="0" fontId="25" fillId="14" borderId="20" xfId="0" applyFont="1" applyFill="1" applyBorder="1" applyAlignment="1">
      <alignment horizontal="center" vertical="center" wrapText="1"/>
    </xf>
    <xf numFmtId="0" fontId="25" fillId="14" borderId="12" xfId="0" applyFont="1" applyFill="1" applyBorder="1" applyAlignment="1">
      <alignment horizontal="center" vertical="center" wrapText="1"/>
    </xf>
    <xf numFmtId="0" fontId="26" fillId="15" borderId="20" xfId="0" applyFont="1" applyFill="1" applyBorder="1" applyAlignment="1">
      <alignment horizontal="left" vertical="center" wrapText="1"/>
    </xf>
    <xf numFmtId="0" fontId="26" fillId="15" borderId="12" xfId="0" applyFont="1" applyFill="1" applyBorder="1" applyAlignment="1">
      <alignment horizontal="left" vertical="center" wrapText="1"/>
    </xf>
    <xf numFmtId="0" fontId="26" fillId="15" borderId="13" xfId="0" applyFont="1" applyFill="1" applyBorder="1" applyAlignment="1">
      <alignment horizontal="left" vertical="center"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42" fillId="27" borderId="18" xfId="0" applyFont="1" applyFill="1" applyBorder="1" applyAlignment="1">
      <alignment horizontal="center" vertical="center" wrapText="1"/>
    </xf>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6"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0" fillId="0" borderId="21" xfId="0" applyBorder="1" applyAlignment="1">
      <alignment vertical="top" wrapText="1"/>
    </xf>
    <xf numFmtId="0" fontId="0" fillId="0" borderId="23" xfId="0" applyBorder="1" applyAlignment="1">
      <alignment vertical="top" wrapText="1"/>
    </xf>
    <xf numFmtId="0" fontId="80" fillId="41" borderId="22" xfId="0" applyFont="1" applyFill="1" applyBorder="1"/>
    <xf numFmtId="0" fontId="0" fillId="41" borderId="22" xfId="0" applyFill="1" applyBorder="1"/>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 fillId="2" borderId="1" xfId="0" applyFont="1" applyFill="1" applyBorder="1" applyAlignment="1">
      <alignment horizontal="center" vertical="center" wrapText="1"/>
    </xf>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57" fillId="11" borderId="0" xfId="0" applyFont="1" applyFill="1" applyAlignment="1">
      <alignment horizontal="center" vertical="center"/>
    </xf>
    <xf numFmtId="0" fontId="62" fillId="20" borderId="0" xfId="0" applyFont="1" applyFill="1" applyAlignment="1">
      <alignment horizontal="left" vertical="center" wrapText="1"/>
    </xf>
    <xf numFmtId="0" fontId="60" fillId="25" borderId="0" xfId="0" applyFont="1" applyFill="1" applyAlignment="1">
      <alignment horizontal="left" vertical="center"/>
    </xf>
    <xf numFmtId="0" fontId="58" fillId="3" borderId="0" xfId="0" applyFont="1" applyFill="1" applyAlignment="1">
      <alignment horizontal="left" vertical="center"/>
    </xf>
    <xf numFmtId="0" fontId="60" fillId="25" borderId="0" xfId="0" applyFont="1" applyFill="1" applyAlignment="1">
      <alignment horizontal="left" vertical="center" wrapText="1"/>
    </xf>
    <xf numFmtId="0" fontId="58" fillId="11" borderId="0" xfId="0" applyFont="1" applyFill="1" applyAlignment="1">
      <alignment horizontal="left" vertical="center"/>
    </xf>
    <xf numFmtId="0" fontId="61" fillId="20" borderId="0" xfId="0" applyFont="1" applyFill="1" applyAlignment="1">
      <alignment horizontal="left" vertical="center" wrapText="1"/>
    </xf>
    <xf numFmtId="0" fontId="59" fillId="25" borderId="0" xfId="0" applyFont="1" applyFill="1" applyAlignment="1">
      <alignment horizontal="left" vertical="center"/>
    </xf>
    <xf numFmtId="0" fontId="60" fillId="6" borderId="0" xfId="0" applyFont="1" applyFill="1" applyAlignment="1">
      <alignment horizontal="left" vertical="center" wrapText="1"/>
    </xf>
    <xf numFmtId="0" fontId="61" fillId="19" borderId="0" xfId="0" applyFont="1" applyFill="1" applyAlignment="1">
      <alignment horizontal="left" vertical="center" wrapText="1"/>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75" fillId="20" borderId="0" xfId="0" applyFont="1" applyFill="1" applyAlignment="1">
      <alignment horizontal="left" vertical="center" wrapText="1"/>
    </xf>
    <xf numFmtId="0" fontId="11" fillId="2" borderId="1" xfId="0" applyFont="1" applyFill="1" applyBorder="1" applyAlignment="1">
      <alignment horizontal="center" vertical="center"/>
    </xf>
    <xf numFmtId="0" fontId="75" fillId="29" borderId="0" xfId="0" applyFont="1" applyFill="1" applyAlignment="1">
      <alignment horizontal="left" vertical="center" wrapText="1"/>
    </xf>
    <xf numFmtId="0" fontId="5" fillId="5" borderId="18" xfId="0" applyFont="1" applyFill="1" applyBorder="1" applyAlignment="1">
      <alignment horizontal="left" vertical="center" wrapText="1"/>
    </xf>
    <xf numFmtId="0" fontId="2" fillId="3" borderId="1" xfId="0" applyFont="1" applyFill="1" applyBorder="1" applyAlignment="1">
      <alignment horizontal="left" vertical="center"/>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cellXfs>
  <cellStyles count="1">
    <cellStyle name="Normal" xfId="0" builtinId="0"/>
  </cellStyles>
  <dxfs count="69">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1"/>
  <sheetViews>
    <sheetView workbookViewId="0">
      <pane ySplit="3" topLeftCell="A4" activePane="bottomLeft" state="frozen"/>
      <selection pane="bottomLeft" activeCell="A5" sqref="A5:XFD5"/>
    </sheetView>
  </sheetViews>
  <sheetFormatPr defaultRowHeight="14.5" x14ac:dyDescent="0.35"/>
  <cols>
    <col min="1" max="1" width="12.7265625" customWidth="1"/>
    <col min="2" max="2" width="22.7265625" customWidth="1"/>
    <col min="3" max="3" width="14.7265625" customWidth="1"/>
    <col min="4" max="4" width="78.7265625" customWidth="1"/>
    <col min="5" max="5" width="14.7265625" customWidth="1"/>
  </cols>
  <sheetData>
    <row r="1" spans="1:5" ht="30" customHeight="1" x14ac:dyDescent="0.45">
      <c r="A1" s="214" t="s">
        <v>0</v>
      </c>
      <c r="B1" s="211"/>
      <c r="C1" s="211"/>
      <c r="D1" s="211"/>
      <c r="E1" s="211"/>
    </row>
    <row r="2" spans="1:5" ht="20.149999999999999" customHeight="1" x14ac:dyDescent="0.35">
      <c r="A2" s="213" t="s">
        <v>1</v>
      </c>
      <c r="B2" s="211"/>
      <c r="C2" s="211"/>
      <c r="D2" s="211"/>
      <c r="E2" s="211"/>
    </row>
    <row r="3" spans="1:5" ht="22" customHeight="1" x14ac:dyDescent="0.35">
      <c r="A3" s="172" t="s">
        <v>2</v>
      </c>
      <c r="B3" s="172" t="s">
        <v>3</v>
      </c>
      <c r="C3" s="172" t="s">
        <v>4</v>
      </c>
      <c r="D3" s="172" t="s">
        <v>5</v>
      </c>
      <c r="E3" s="172" t="s">
        <v>6</v>
      </c>
    </row>
    <row r="4" spans="1:5" ht="20.149999999999999" customHeight="1" x14ac:dyDescent="0.35">
      <c r="A4" s="212" t="s">
        <v>970</v>
      </c>
      <c r="B4" s="211"/>
      <c r="C4" s="211"/>
      <c r="D4" s="211"/>
      <c r="E4" s="211"/>
    </row>
    <row r="5" spans="1:5" ht="116" x14ac:dyDescent="0.35">
      <c r="A5" s="173">
        <v>46202</v>
      </c>
      <c r="B5" t="s">
        <v>1052</v>
      </c>
      <c r="C5" s="174" t="s">
        <v>9</v>
      </c>
      <c r="D5" s="175" t="s">
        <v>1053</v>
      </c>
      <c r="E5" s="176" t="s">
        <v>1054</v>
      </c>
    </row>
    <row r="6" spans="1:5" ht="56.25" customHeight="1" x14ac:dyDescent="0.35">
      <c r="A6" s="173">
        <v>46202</v>
      </c>
      <c r="B6" t="s">
        <v>1049</v>
      </c>
      <c r="C6" s="174" t="s">
        <v>13</v>
      </c>
      <c r="D6" s="175" t="s">
        <v>1050</v>
      </c>
      <c r="E6" s="176" t="s">
        <v>1054</v>
      </c>
    </row>
    <row r="7" spans="1:5" ht="409.5" x14ac:dyDescent="0.35">
      <c r="A7" s="173">
        <v>46202</v>
      </c>
      <c r="B7" t="s">
        <v>712</v>
      </c>
      <c r="C7" s="174" t="s">
        <v>9</v>
      </c>
      <c r="D7" s="202" t="s">
        <v>1051</v>
      </c>
      <c r="E7" s="176" t="s">
        <v>1054</v>
      </c>
    </row>
    <row r="8" spans="1:5" ht="20.149999999999999" customHeight="1" x14ac:dyDescent="0.35">
      <c r="A8" s="212" t="s">
        <v>7</v>
      </c>
      <c r="B8" s="211"/>
      <c r="C8" s="211"/>
      <c r="D8" s="211"/>
      <c r="E8" s="211"/>
    </row>
    <row r="9" spans="1:5" ht="56.25" customHeight="1" x14ac:dyDescent="0.35">
      <c r="A9" s="173">
        <v>46198</v>
      </c>
      <c r="B9" t="s">
        <v>945</v>
      </c>
      <c r="C9" s="174" t="s">
        <v>9</v>
      </c>
      <c r="D9" s="175" t="s">
        <v>946</v>
      </c>
      <c r="E9" s="176" t="s">
        <v>947</v>
      </c>
    </row>
    <row r="10" spans="1:5" ht="56.15" customHeight="1" x14ac:dyDescent="0.35">
      <c r="A10" s="173">
        <v>46198</v>
      </c>
      <c r="B10" t="s">
        <v>712</v>
      </c>
      <c r="C10" s="174" t="s">
        <v>9</v>
      </c>
      <c r="D10" s="175" t="s">
        <v>713</v>
      </c>
      <c r="E10" s="176" t="s">
        <v>714</v>
      </c>
    </row>
    <row r="11" spans="1:5" ht="56.15" customHeight="1" x14ac:dyDescent="0.35">
      <c r="A11" s="173">
        <v>46198</v>
      </c>
      <c r="B11" t="s">
        <v>709</v>
      </c>
      <c r="C11" s="174" t="s">
        <v>9</v>
      </c>
      <c r="D11" s="175" t="s">
        <v>710</v>
      </c>
      <c r="E11" s="176" t="s">
        <v>711</v>
      </c>
    </row>
    <row r="12" spans="1:5" ht="56.15" customHeight="1" x14ac:dyDescent="0.35">
      <c r="A12" s="173">
        <v>46198</v>
      </c>
      <c r="B12" t="s">
        <v>8</v>
      </c>
      <c r="C12" s="174" t="s">
        <v>9</v>
      </c>
      <c r="D12" s="175" t="s">
        <v>10</v>
      </c>
      <c r="E12" s="176" t="s">
        <v>11</v>
      </c>
    </row>
    <row r="13" spans="1:5" ht="56.15" customHeight="1" x14ac:dyDescent="0.35">
      <c r="A13" s="173">
        <v>46198</v>
      </c>
      <c r="B13" t="s">
        <v>12</v>
      </c>
      <c r="C13" s="174" t="s">
        <v>13</v>
      </c>
      <c r="D13" s="175" t="s">
        <v>14</v>
      </c>
      <c r="E13" s="176" t="s">
        <v>15</v>
      </c>
    </row>
    <row r="14" spans="1:5" ht="56.15" customHeight="1" x14ac:dyDescent="0.35">
      <c r="A14" s="173">
        <v>46198</v>
      </c>
      <c r="B14" t="s">
        <v>16</v>
      </c>
      <c r="C14" s="174" t="s">
        <v>17</v>
      </c>
      <c r="D14" s="175" t="s">
        <v>18</v>
      </c>
      <c r="E14" s="176" t="s">
        <v>19</v>
      </c>
    </row>
    <row r="15" spans="1:5" ht="56.15" customHeight="1" x14ac:dyDescent="0.35">
      <c r="A15" s="173">
        <v>46198</v>
      </c>
      <c r="B15" t="s">
        <v>16</v>
      </c>
      <c r="C15" s="174" t="s">
        <v>13</v>
      </c>
      <c r="D15" s="175" t="s">
        <v>20</v>
      </c>
      <c r="E15" s="176" t="s">
        <v>19</v>
      </c>
    </row>
    <row r="16" spans="1:5" ht="56.15" customHeight="1" x14ac:dyDescent="0.35">
      <c r="A16" s="173">
        <v>46198</v>
      </c>
      <c r="B16" t="s">
        <v>16</v>
      </c>
      <c r="C16" s="174" t="s">
        <v>13</v>
      </c>
      <c r="D16" s="175" t="s">
        <v>21</v>
      </c>
      <c r="E16" s="176" t="s">
        <v>22</v>
      </c>
    </row>
    <row r="17" spans="1:5" ht="56.15" customHeight="1" x14ac:dyDescent="0.35">
      <c r="A17" s="173">
        <v>46198</v>
      </c>
      <c r="B17" t="s">
        <v>23</v>
      </c>
      <c r="C17" s="174" t="s">
        <v>13</v>
      </c>
      <c r="D17" s="175" t="s">
        <v>24</v>
      </c>
      <c r="E17" s="176" t="s">
        <v>25</v>
      </c>
    </row>
    <row r="18" spans="1:5" ht="56.15" customHeight="1" x14ac:dyDescent="0.35">
      <c r="A18" s="173">
        <v>46198</v>
      </c>
      <c r="B18" t="s">
        <v>26</v>
      </c>
      <c r="C18" s="174" t="s">
        <v>9</v>
      </c>
      <c r="D18" s="175" t="s">
        <v>27</v>
      </c>
      <c r="E18" s="176" t="s">
        <v>19</v>
      </c>
    </row>
    <row r="19" spans="1:5" ht="56.15" customHeight="1" x14ac:dyDescent="0.35">
      <c r="A19" s="173">
        <v>46198</v>
      </c>
      <c r="B19" t="s">
        <v>28</v>
      </c>
      <c r="C19" s="174" t="s">
        <v>9</v>
      </c>
      <c r="D19" s="175" t="s">
        <v>29</v>
      </c>
      <c r="E19" s="176" t="s">
        <v>30</v>
      </c>
    </row>
    <row r="20" spans="1:5" ht="20.149999999999999" customHeight="1" x14ac:dyDescent="0.35">
      <c r="A20" s="212" t="s">
        <v>31</v>
      </c>
      <c r="B20" s="211"/>
      <c r="C20" s="211"/>
      <c r="D20" s="211"/>
      <c r="E20" s="211"/>
    </row>
    <row r="21" spans="1:5" ht="56.15" customHeight="1" x14ac:dyDescent="0.35">
      <c r="A21" s="173">
        <v>46197</v>
      </c>
      <c r="B21" t="s">
        <v>28</v>
      </c>
      <c r="C21" s="174" t="s">
        <v>13</v>
      </c>
      <c r="D21" s="175" t="s">
        <v>32</v>
      </c>
      <c r="E21" s="176" t="s">
        <v>33</v>
      </c>
    </row>
    <row r="22" spans="1:5" ht="56.15" customHeight="1" x14ac:dyDescent="0.35">
      <c r="A22" s="173">
        <v>46197</v>
      </c>
      <c r="B22" t="s">
        <v>28</v>
      </c>
      <c r="C22" s="174" t="s">
        <v>13</v>
      </c>
      <c r="D22" s="175" t="s">
        <v>34</v>
      </c>
      <c r="E22" s="176" t="s">
        <v>35</v>
      </c>
    </row>
    <row r="23" spans="1:5" ht="56.15" customHeight="1" x14ac:dyDescent="0.35">
      <c r="A23" s="173">
        <v>46197</v>
      </c>
      <c r="B23" t="s">
        <v>36</v>
      </c>
      <c r="C23" s="174" t="s">
        <v>17</v>
      </c>
      <c r="D23" s="175" t="s">
        <v>37</v>
      </c>
      <c r="E23" s="176" t="s">
        <v>38</v>
      </c>
    </row>
    <row r="24" spans="1:5" ht="56.15" customHeight="1" x14ac:dyDescent="0.35">
      <c r="A24" s="173">
        <v>46197</v>
      </c>
      <c r="B24" t="s">
        <v>36</v>
      </c>
      <c r="C24" s="174" t="s">
        <v>13</v>
      </c>
      <c r="D24" s="175" t="s">
        <v>39</v>
      </c>
      <c r="E24" s="176" t="s">
        <v>40</v>
      </c>
    </row>
    <row r="25" spans="1:5" ht="56.15" customHeight="1" x14ac:dyDescent="0.35">
      <c r="A25" s="173">
        <v>46197</v>
      </c>
      <c r="B25" t="s">
        <v>41</v>
      </c>
      <c r="C25" s="174" t="s">
        <v>13</v>
      </c>
      <c r="D25" s="175" t="s">
        <v>42</v>
      </c>
      <c r="E25" s="176" t="s">
        <v>43</v>
      </c>
    </row>
    <row r="26" spans="1:5" ht="56.15" customHeight="1" x14ac:dyDescent="0.35">
      <c r="A26" s="173">
        <v>46197</v>
      </c>
      <c r="B26" t="s">
        <v>41</v>
      </c>
      <c r="C26" s="174" t="s">
        <v>13</v>
      </c>
      <c r="D26" s="175" t="s">
        <v>44</v>
      </c>
      <c r="E26" s="176" t="s">
        <v>43</v>
      </c>
    </row>
    <row r="27" spans="1:5" ht="20.149999999999999" customHeight="1" x14ac:dyDescent="0.35">
      <c r="A27" s="212" t="s">
        <v>45</v>
      </c>
      <c r="B27" s="211"/>
      <c r="C27" s="211"/>
      <c r="D27" s="211"/>
      <c r="E27" s="211"/>
    </row>
    <row r="28" spans="1:5" ht="56.15" customHeight="1" x14ac:dyDescent="0.35">
      <c r="A28" s="173">
        <v>46196</v>
      </c>
      <c r="B28" t="s">
        <v>46</v>
      </c>
      <c r="C28" s="174" t="s">
        <v>9</v>
      </c>
      <c r="D28" s="175" t="s">
        <v>47</v>
      </c>
      <c r="E28" s="176" t="s">
        <v>48</v>
      </c>
    </row>
    <row r="29" spans="1:5" ht="56.15" customHeight="1" x14ac:dyDescent="0.35">
      <c r="A29" s="173">
        <v>46196</v>
      </c>
      <c r="B29" t="s">
        <v>46</v>
      </c>
      <c r="C29" s="174" t="s">
        <v>17</v>
      </c>
      <c r="D29" s="175" t="s">
        <v>49</v>
      </c>
      <c r="E29" s="176" t="s">
        <v>50</v>
      </c>
    </row>
    <row r="30" spans="1:5" ht="20.149999999999999" customHeight="1" x14ac:dyDescent="0.35">
      <c r="A30" s="212" t="s">
        <v>51</v>
      </c>
      <c r="B30" s="211"/>
      <c r="C30" s="211"/>
      <c r="D30" s="211"/>
      <c r="E30" s="211"/>
    </row>
    <row r="31" spans="1:5" ht="56.15" customHeight="1" x14ac:dyDescent="0.35">
      <c r="A31" s="173">
        <v>46192</v>
      </c>
      <c r="B31" t="s">
        <v>52</v>
      </c>
      <c r="C31" s="174" t="s">
        <v>13</v>
      </c>
      <c r="D31" s="175" t="s">
        <v>53</v>
      </c>
      <c r="E31" s="176" t="s">
        <v>54</v>
      </c>
    </row>
    <row r="32" spans="1:5" ht="56.15" customHeight="1" x14ac:dyDescent="0.35">
      <c r="A32" s="173">
        <v>46192</v>
      </c>
      <c r="B32" t="s">
        <v>8</v>
      </c>
      <c r="C32" s="174" t="s">
        <v>17</v>
      </c>
      <c r="D32" s="175" t="s">
        <v>55</v>
      </c>
      <c r="E32" s="176" t="s">
        <v>54</v>
      </c>
    </row>
    <row r="33" spans="1:5" ht="56.15" customHeight="1" x14ac:dyDescent="0.35">
      <c r="A33" s="173">
        <v>46192</v>
      </c>
      <c r="B33" t="s">
        <v>56</v>
      </c>
      <c r="C33" s="174" t="s">
        <v>9</v>
      </c>
      <c r="D33" s="175" t="s">
        <v>57</v>
      </c>
      <c r="E33" s="176" t="s">
        <v>58</v>
      </c>
    </row>
    <row r="34" spans="1:5" ht="20.149999999999999" customHeight="1" x14ac:dyDescent="0.35">
      <c r="A34" s="212" t="s">
        <v>59</v>
      </c>
      <c r="B34" s="211"/>
      <c r="C34" s="211"/>
      <c r="D34" s="211"/>
      <c r="E34" s="211"/>
    </row>
    <row r="35" spans="1:5" ht="56.15" customHeight="1" x14ac:dyDescent="0.35">
      <c r="A35" s="173">
        <v>46191</v>
      </c>
      <c r="B35" t="s">
        <v>8</v>
      </c>
      <c r="C35" s="174" t="s">
        <v>60</v>
      </c>
      <c r="D35" s="175" t="s">
        <v>61</v>
      </c>
      <c r="E35" s="176" t="s">
        <v>62</v>
      </c>
    </row>
    <row r="36" spans="1:5" ht="56.15" customHeight="1" x14ac:dyDescent="0.35">
      <c r="A36" s="173">
        <v>46191</v>
      </c>
      <c r="B36" t="s">
        <v>8</v>
      </c>
      <c r="C36" s="174" t="s">
        <v>13</v>
      </c>
      <c r="D36" s="175" t="s">
        <v>63</v>
      </c>
      <c r="E36" s="176" t="s">
        <v>64</v>
      </c>
    </row>
    <row r="37" spans="1:5" ht="56.15" customHeight="1" x14ac:dyDescent="0.35">
      <c r="A37" s="173">
        <v>46191</v>
      </c>
      <c r="B37" t="s">
        <v>23</v>
      </c>
      <c r="C37" s="174" t="s">
        <v>13</v>
      </c>
      <c r="D37" s="175" t="s">
        <v>65</v>
      </c>
      <c r="E37" s="176" t="s">
        <v>66</v>
      </c>
    </row>
    <row r="38" spans="1:5" ht="56.15" customHeight="1" x14ac:dyDescent="0.35">
      <c r="A38" s="173">
        <v>46191</v>
      </c>
      <c r="B38" t="s">
        <v>23</v>
      </c>
      <c r="C38" s="174" t="s">
        <v>17</v>
      </c>
      <c r="D38" s="175" t="s">
        <v>67</v>
      </c>
      <c r="E38" s="176" t="s">
        <v>68</v>
      </c>
    </row>
    <row r="39" spans="1:5" ht="56.15" customHeight="1" x14ac:dyDescent="0.35">
      <c r="A39" s="173">
        <v>46191</v>
      </c>
      <c r="B39" t="s">
        <v>23</v>
      </c>
      <c r="C39" s="174" t="s">
        <v>9</v>
      </c>
      <c r="D39" s="175" t="s">
        <v>69</v>
      </c>
      <c r="E39" s="176" t="s">
        <v>70</v>
      </c>
    </row>
    <row r="40" spans="1:5" ht="56.15" customHeight="1" x14ac:dyDescent="0.35">
      <c r="A40" s="173">
        <v>46191</v>
      </c>
      <c r="B40" t="s">
        <v>16</v>
      </c>
      <c r="C40" s="174" t="s">
        <v>13</v>
      </c>
      <c r="D40" s="175" t="s">
        <v>71</v>
      </c>
      <c r="E40" s="176" t="s">
        <v>72</v>
      </c>
    </row>
    <row r="41" spans="1:5" ht="56.15" customHeight="1" x14ac:dyDescent="0.35">
      <c r="A41" s="173">
        <v>46191</v>
      </c>
      <c r="B41" t="s">
        <v>8</v>
      </c>
      <c r="C41" s="174" t="s">
        <v>17</v>
      </c>
      <c r="D41" s="175" t="s">
        <v>73</v>
      </c>
      <c r="E41" s="176" t="s">
        <v>58</v>
      </c>
    </row>
    <row r="42" spans="1:5" ht="56.15" customHeight="1" x14ac:dyDescent="0.35">
      <c r="A42" s="173">
        <v>46191</v>
      </c>
      <c r="B42" t="s">
        <v>8</v>
      </c>
      <c r="C42" s="174" t="s">
        <v>17</v>
      </c>
      <c r="D42" s="175" t="s">
        <v>74</v>
      </c>
      <c r="E42" s="176" t="s">
        <v>75</v>
      </c>
    </row>
    <row r="43" spans="1:5" ht="20.149999999999999" customHeight="1" x14ac:dyDescent="0.35">
      <c r="A43" s="212" t="s">
        <v>76</v>
      </c>
      <c r="B43" s="211"/>
      <c r="C43" s="211"/>
      <c r="D43" s="211"/>
      <c r="E43" s="211"/>
    </row>
    <row r="44" spans="1:5" ht="56.15" customHeight="1" x14ac:dyDescent="0.35">
      <c r="A44" s="173">
        <v>46190</v>
      </c>
      <c r="B44" t="s">
        <v>56</v>
      </c>
      <c r="C44" s="174" t="s">
        <v>13</v>
      </c>
      <c r="D44" s="175" t="s">
        <v>77</v>
      </c>
      <c r="E44" s="176" t="s">
        <v>78</v>
      </c>
    </row>
    <row r="45" spans="1:5" ht="56.15" customHeight="1" x14ac:dyDescent="0.35">
      <c r="A45" s="173">
        <v>46190</v>
      </c>
      <c r="B45" t="s">
        <v>8</v>
      </c>
      <c r="C45" s="174" t="s">
        <v>9</v>
      </c>
      <c r="D45" s="175" t="s">
        <v>79</v>
      </c>
      <c r="E45" s="176" t="s">
        <v>80</v>
      </c>
    </row>
    <row r="46" spans="1:5" ht="56.15" customHeight="1" x14ac:dyDescent="0.35">
      <c r="A46" s="173">
        <v>46190</v>
      </c>
      <c r="B46" t="s">
        <v>8</v>
      </c>
      <c r="C46" s="174" t="s">
        <v>60</v>
      </c>
      <c r="D46" s="175" t="s">
        <v>81</v>
      </c>
      <c r="E46" s="176" t="s">
        <v>82</v>
      </c>
    </row>
    <row r="47" spans="1:5" ht="56.15" customHeight="1" x14ac:dyDescent="0.35">
      <c r="A47" s="173">
        <v>46190</v>
      </c>
      <c r="B47" t="s">
        <v>8</v>
      </c>
      <c r="C47" s="174" t="s">
        <v>17</v>
      </c>
      <c r="D47" s="175" t="s">
        <v>83</v>
      </c>
      <c r="E47" s="176" t="s">
        <v>84</v>
      </c>
    </row>
    <row r="48" spans="1:5" ht="20.149999999999999" customHeight="1" x14ac:dyDescent="0.35">
      <c r="A48" s="212" t="s">
        <v>85</v>
      </c>
      <c r="B48" s="211"/>
      <c r="C48" s="211"/>
      <c r="D48" s="211"/>
      <c r="E48" s="211"/>
    </row>
    <row r="49" spans="1:5" ht="56.15" customHeight="1" x14ac:dyDescent="0.35">
      <c r="A49" s="173">
        <v>46189</v>
      </c>
      <c r="B49" t="s">
        <v>8</v>
      </c>
      <c r="C49" s="174" t="s">
        <v>13</v>
      </c>
      <c r="D49" s="175" t="s">
        <v>86</v>
      </c>
      <c r="E49" s="176" t="s">
        <v>84</v>
      </c>
    </row>
    <row r="50" spans="1:5" ht="56.15" customHeight="1" x14ac:dyDescent="0.35">
      <c r="A50" s="173">
        <v>46189</v>
      </c>
      <c r="B50" t="s">
        <v>8</v>
      </c>
      <c r="C50" s="174" t="s">
        <v>13</v>
      </c>
      <c r="D50" s="175" t="s">
        <v>87</v>
      </c>
      <c r="E50" s="176" t="s">
        <v>88</v>
      </c>
    </row>
    <row r="51" spans="1:5" ht="20.149999999999999" customHeight="1" x14ac:dyDescent="0.35">
      <c r="A51" s="212" t="s">
        <v>89</v>
      </c>
      <c r="B51" s="211"/>
      <c r="C51" s="211"/>
      <c r="D51" s="211"/>
      <c r="E51" s="211"/>
    </row>
    <row r="52" spans="1:5" ht="56.15" customHeight="1" x14ac:dyDescent="0.35">
      <c r="A52" s="173">
        <v>46188</v>
      </c>
      <c r="B52" t="s">
        <v>23</v>
      </c>
      <c r="C52" s="174" t="s">
        <v>13</v>
      </c>
      <c r="D52" s="175" t="s">
        <v>90</v>
      </c>
      <c r="E52" s="176" t="s">
        <v>91</v>
      </c>
    </row>
    <row r="53" spans="1:5" ht="56.15" customHeight="1" x14ac:dyDescent="0.35">
      <c r="A53" s="173">
        <v>46188</v>
      </c>
      <c r="B53" t="s">
        <v>23</v>
      </c>
      <c r="C53" s="174" t="s">
        <v>9</v>
      </c>
      <c r="D53" s="175" t="s">
        <v>92</v>
      </c>
      <c r="E53" s="176" t="s">
        <v>93</v>
      </c>
    </row>
    <row r="54" spans="1:5" ht="20.149999999999999" customHeight="1" x14ac:dyDescent="0.35">
      <c r="A54" s="212" t="s">
        <v>94</v>
      </c>
      <c r="B54" s="211"/>
      <c r="C54" s="211"/>
      <c r="D54" s="211"/>
      <c r="E54" s="211"/>
    </row>
    <row r="55" spans="1:5" ht="56.15" customHeight="1" x14ac:dyDescent="0.35">
      <c r="A55" s="173">
        <v>46183</v>
      </c>
      <c r="B55" t="s">
        <v>95</v>
      </c>
      <c r="C55" s="174" t="s">
        <v>13</v>
      </c>
      <c r="D55" s="175" t="s">
        <v>96</v>
      </c>
      <c r="E55" s="176" t="s">
        <v>97</v>
      </c>
    </row>
    <row r="57" spans="1:5" x14ac:dyDescent="0.35">
      <c r="A57" s="210" t="s">
        <v>98</v>
      </c>
      <c r="B57" s="211"/>
      <c r="C57" s="211"/>
      <c r="D57" s="211"/>
      <c r="E57" s="211"/>
    </row>
    <row r="58" spans="1:5" ht="28" customHeight="1" x14ac:dyDescent="0.35">
      <c r="C58" s="174" t="s">
        <v>13</v>
      </c>
      <c r="D58" s="175" t="s">
        <v>99</v>
      </c>
    </row>
    <row r="59" spans="1:5" ht="28" customHeight="1" x14ac:dyDescent="0.35">
      <c r="C59" s="174" t="s">
        <v>9</v>
      </c>
      <c r="D59" s="175" t="s">
        <v>100</v>
      </c>
    </row>
    <row r="60" spans="1:5" ht="28" customHeight="1" x14ac:dyDescent="0.35">
      <c r="C60" s="174" t="s">
        <v>17</v>
      </c>
      <c r="D60" s="175" t="s">
        <v>101</v>
      </c>
    </row>
    <row r="61" spans="1:5" ht="28" customHeight="1" x14ac:dyDescent="0.35">
      <c r="C61" s="174" t="s">
        <v>60</v>
      </c>
      <c r="D61" s="175" t="s">
        <v>102</v>
      </c>
    </row>
  </sheetData>
  <mergeCells count="13">
    <mergeCell ref="A1:E1"/>
    <mergeCell ref="A30:E30"/>
    <mergeCell ref="A20:E20"/>
    <mergeCell ref="A43:E43"/>
    <mergeCell ref="A51:E51"/>
    <mergeCell ref="A34:E34"/>
    <mergeCell ref="A57:E57"/>
    <mergeCell ref="A8:E8"/>
    <mergeCell ref="A27:E27"/>
    <mergeCell ref="A2:E2"/>
    <mergeCell ref="A48:E48"/>
    <mergeCell ref="A54:E54"/>
    <mergeCell ref="A4:E4"/>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221" t="s">
        <v>103</v>
      </c>
      <c r="C1" s="216"/>
    </row>
    <row r="2" spans="2:3" ht="30" customHeight="1" x14ac:dyDescent="0.35">
      <c r="B2" s="223" t="s">
        <v>104</v>
      </c>
      <c r="C2" s="216"/>
    </row>
    <row r="4" spans="2:3" x14ac:dyDescent="0.35">
      <c r="B4" s="219" t="s">
        <v>105</v>
      </c>
      <c r="C4" s="216"/>
    </row>
    <row r="5" spans="2:3" ht="44.15" customHeight="1" x14ac:dyDescent="0.35">
      <c r="B5" s="31" t="s">
        <v>8</v>
      </c>
      <c r="C5" s="32" t="s">
        <v>106</v>
      </c>
    </row>
    <row r="6" spans="2:3" ht="44.15" customHeight="1" x14ac:dyDescent="0.35">
      <c r="B6" s="33" t="s">
        <v>56</v>
      </c>
      <c r="C6" s="34" t="s">
        <v>107</v>
      </c>
    </row>
    <row r="7" spans="2:3" ht="44.15" customHeight="1" x14ac:dyDescent="0.35">
      <c r="B7" s="31" t="s">
        <v>108</v>
      </c>
      <c r="C7" s="32" t="s">
        <v>109</v>
      </c>
    </row>
    <row r="8" spans="2:3" ht="44.15" customHeight="1" x14ac:dyDescent="0.35">
      <c r="B8" s="33" t="s">
        <v>16</v>
      </c>
      <c r="C8" s="34" t="s">
        <v>110</v>
      </c>
    </row>
    <row r="9" spans="2:3" ht="44.15" customHeight="1" x14ac:dyDescent="0.35">
      <c r="B9" s="31" t="s">
        <v>46</v>
      </c>
      <c r="C9" s="32" t="s">
        <v>111</v>
      </c>
    </row>
    <row r="10" spans="2:3" ht="44.15" customHeight="1" x14ac:dyDescent="0.35">
      <c r="B10" s="33" t="s">
        <v>23</v>
      </c>
      <c r="C10" s="34" t="s">
        <v>112</v>
      </c>
    </row>
    <row r="12" spans="2:3" x14ac:dyDescent="0.35">
      <c r="B12" s="219" t="s">
        <v>113</v>
      </c>
      <c r="C12" s="216"/>
    </row>
    <row r="13" spans="2:3" ht="46" customHeight="1" x14ac:dyDescent="0.35">
      <c r="B13" s="31" t="s">
        <v>114</v>
      </c>
      <c r="C13" s="32" t="s">
        <v>115</v>
      </c>
    </row>
    <row r="14" spans="2:3" ht="46" customHeight="1" x14ac:dyDescent="0.35">
      <c r="B14" s="33" t="s">
        <v>116</v>
      </c>
      <c r="C14" s="34" t="s">
        <v>117</v>
      </c>
    </row>
    <row r="15" spans="2:3" ht="46" customHeight="1" x14ac:dyDescent="0.35">
      <c r="B15" s="31" t="s">
        <v>118</v>
      </c>
      <c r="C15" s="32" t="s">
        <v>119</v>
      </c>
    </row>
    <row r="16" spans="2:3" ht="46" customHeight="1" x14ac:dyDescent="0.35">
      <c r="B16" s="33" t="s">
        <v>120</v>
      </c>
      <c r="C16" s="34" t="s">
        <v>121</v>
      </c>
    </row>
    <row r="17" spans="2:3" ht="46" customHeight="1" x14ac:dyDescent="0.35">
      <c r="B17" s="31" t="s">
        <v>122</v>
      </c>
      <c r="C17" s="32" t="s">
        <v>123</v>
      </c>
    </row>
    <row r="18" spans="2:3" ht="46" customHeight="1" x14ac:dyDescent="0.35">
      <c r="B18" s="33" t="s">
        <v>124</v>
      </c>
      <c r="C18" s="34" t="s">
        <v>125</v>
      </c>
    </row>
    <row r="19" spans="2:3" ht="46" customHeight="1" x14ac:dyDescent="0.35">
      <c r="B19" s="31" t="s">
        <v>126</v>
      </c>
      <c r="C19" s="32" t="s">
        <v>127</v>
      </c>
    </row>
    <row r="20" spans="2:3" ht="46" customHeight="1" x14ac:dyDescent="0.35">
      <c r="B20" s="33" t="s">
        <v>128</v>
      </c>
      <c r="C20" s="34" t="s">
        <v>129</v>
      </c>
    </row>
    <row r="22" spans="2:3" x14ac:dyDescent="0.35">
      <c r="B22" s="219" t="s">
        <v>130</v>
      </c>
      <c r="C22" s="216"/>
    </row>
    <row r="23" spans="2:3" ht="54" customHeight="1" x14ac:dyDescent="0.35">
      <c r="B23" s="31" t="s">
        <v>131</v>
      </c>
      <c r="C23" s="32" t="s">
        <v>132</v>
      </c>
    </row>
    <row r="24" spans="2:3" ht="54" customHeight="1" x14ac:dyDescent="0.35">
      <c r="B24" s="33" t="s">
        <v>133</v>
      </c>
      <c r="C24" s="34" t="s">
        <v>134</v>
      </c>
    </row>
    <row r="25" spans="2:3" ht="54" customHeight="1" x14ac:dyDescent="0.35">
      <c r="B25" s="31" t="s">
        <v>135</v>
      </c>
      <c r="C25" s="32" t="s">
        <v>136</v>
      </c>
    </row>
    <row r="27" spans="2:3" x14ac:dyDescent="0.35">
      <c r="B27" s="219" t="s">
        <v>137</v>
      </c>
      <c r="C27" s="216"/>
    </row>
    <row r="28" spans="2:3" ht="40" customHeight="1" x14ac:dyDescent="0.35">
      <c r="B28" s="31" t="s">
        <v>138</v>
      </c>
      <c r="C28" s="32" t="s">
        <v>139</v>
      </c>
    </row>
    <row r="29" spans="2:3" ht="40" customHeight="1" x14ac:dyDescent="0.35">
      <c r="B29" s="33" t="s">
        <v>140</v>
      </c>
      <c r="C29" s="34" t="s">
        <v>141</v>
      </c>
    </row>
    <row r="30" spans="2:3" ht="40" customHeight="1" x14ac:dyDescent="0.35">
      <c r="B30" s="31" t="s">
        <v>142</v>
      </c>
      <c r="C30" s="32" t="s">
        <v>143</v>
      </c>
    </row>
    <row r="31" spans="2:3" ht="40" customHeight="1" x14ac:dyDescent="0.35">
      <c r="B31" s="33" t="s">
        <v>144</v>
      </c>
      <c r="C31" s="34" t="s">
        <v>145</v>
      </c>
    </row>
    <row r="32" spans="2:3" ht="40" customHeight="1" x14ac:dyDescent="0.35">
      <c r="B32" s="31" t="s">
        <v>146</v>
      </c>
      <c r="C32" s="32" t="s">
        <v>147</v>
      </c>
    </row>
    <row r="33" spans="2:3" ht="40" customHeight="1" x14ac:dyDescent="0.35">
      <c r="B33" s="33" t="s">
        <v>148</v>
      </c>
      <c r="C33" s="34" t="s">
        <v>149</v>
      </c>
    </row>
    <row r="35" spans="2:3" x14ac:dyDescent="0.35">
      <c r="B35" s="222" t="s">
        <v>150</v>
      </c>
      <c r="C35" s="216"/>
    </row>
    <row r="36" spans="2:3" ht="26.15" customHeight="1" x14ac:dyDescent="0.35">
      <c r="B36" s="217" t="s">
        <v>151</v>
      </c>
      <c r="C36" s="218"/>
    </row>
    <row r="37" spans="2:3" ht="26.15" customHeight="1" x14ac:dyDescent="0.35">
      <c r="B37" s="220" t="s">
        <v>152</v>
      </c>
      <c r="C37" s="218"/>
    </row>
    <row r="38" spans="2:3" ht="26.15" customHeight="1" x14ac:dyDescent="0.35">
      <c r="B38" s="217" t="s">
        <v>153</v>
      </c>
      <c r="C38" s="218"/>
    </row>
    <row r="39" spans="2:3" ht="26.15" customHeight="1" x14ac:dyDescent="0.35">
      <c r="B39" s="220" t="s">
        <v>154</v>
      </c>
      <c r="C39" s="218"/>
    </row>
    <row r="40" spans="2:3" ht="26.15" customHeight="1" x14ac:dyDescent="0.35">
      <c r="B40" s="217" t="s">
        <v>155</v>
      </c>
      <c r="C40" s="218"/>
    </row>
    <row r="41" spans="2:3" ht="26.15" customHeight="1" x14ac:dyDescent="0.35">
      <c r="B41" s="220" t="s">
        <v>156</v>
      </c>
      <c r="C41" s="218"/>
    </row>
    <row r="42" spans="2:3" ht="26.15" customHeight="1" x14ac:dyDescent="0.35">
      <c r="B42" s="217" t="s">
        <v>157</v>
      </c>
      <c r="C42" s="218"/>
    </row>
    <row r="43" spans="2:3" ht="26.15" customHeight="1" x14ac:dyDescent="0.35">
      <c r="B43" s="220" t="s">
        <v>158</v>
      </c>
      <c r="C43" s="218"/>
    </row>
    <row r="45" spans="2:3" ht="30" customHeight="1" x14ac:dyDescent="0.35">
      <c r="B45" s="215" t="s">
        <v>159</v>
      </c>
      <c r="C45" s="216"/>
    </row>
  </sheetData>
  <mergeCells count="16">
    <mergeCell ref="B1:C1"/>
    <mergeCell ref="B35:C35"/>
    <mergeCell ref="B4:C4"/>
    <mergeCell ref="B43:C43"/>
    <mergeCell ref="B12:C12"/>
    <mergeCell ref="B2:C2"/>
    <mergeCell ref="B45:C45"/>
    <mergeCell ref="B42:C42"/>
    <mergeCell ref="B36:C36"/>
    <mergeCell ref="B22:C22"/>
    <mergeCell ref="B40:C40"/>
    <mergeCell ref="B41:C41"/>
    <mergeCell ref="B39:C39"/>
    <mergeCell ref="B38:C38"/>
    <mergeCell ref="B37:C37"/>
    <mergeCell ref="B27:C2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5"/>
  <sheetViews>
    <sheetView showGridLines="0" workbookViewId="0">
      <pane ySplit="2" topLeftCell="A183" activePane="bottomLeft" state="frozen"/>
      <selection pane="bottomLeft" activeCell="B191" sqref="B191:F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61" t="s">
        <v>160</v>
      </c>
      <c r="C1" s="232"/>
      <c r="D1" s="232"/>
      <c r="E1" s="232"/>
      <c r="F1" s="216"/>
    </row>
    <row r="2" spans="2:6" ht="18" customHeight="1" x14ac:dyDescent="0.35">
      <c r="B2" s="250" t="s">
        <v>161</v>
      </c>
      <c r="C2" s="232"/>
      <c r="D2" s="232"/>
      <c r="E2" s="232"/>
      <c r="F2" s="216"/>
    </row>
    <row r="3" spans="2:6" x14ac:dyDescent="0.35">
      <c r="B3" s="241" t="s">
        <v>162</v>
      </c>
      <c r="C3" s="232"/>
      <c r="D3" s="232"/>
      <c r="E3" s="232"/>
      <c r="F3" s="216"/>
    </row>
    <row r="4" spans="2:6" ht="29.15" customHeight="1" x14ac:dyDescent="0.35">
      <c r="B4" s="2" t="s">
        <v>163</v>
      </c>
      <c r="C4" s="3"/>
      <c r="D4" s="4" t="s">
        <v>164</v>
      </c>
      <c r="E4" s="242"/>
      <c r="F4" s="218"/>
    </row>
    <row r="5" spans="2:6" ht="29.15" customHeight="1" x14ac:dyDescent="0.35">
      <c r="B5" s="68" t="s">
        <v>165</v>
      </c>
      <c r="C5" s="69"/>
      <c r="D5" s="92"/>
      <c r="E5" s="93"/>
      <c r="F5" s="94"/>
    </row>
    <row r="6" spans="2:6" ht="29.15" customHeight="1" x14ac:dyDescent="0.35">
      <c r="B6" s="60" t="s">
        <v>166</v>
      </c>
      <c r="C6" s="70"/>
      <c r="D6" s="67" t="s">
        <v>167</v>
      </c>
      <c r="E6" s="228"/>
      <c r="F6" s="218"/>
    </row>
    <row r="7" spans="2:6" ht="29.15" customHeight="1" x14ac:dyDescent="0.35">
      <c r="B7" s="60" t="s">
        <v>168</v>
      </c>
      <c r="C7" s="70"/>
      <c r="D7" s="67" t="s">
        <v>169</v>
      </c>
      <c r="E7" s="228"/>
      <c r="F7" s="218"/>
    </row>
    <row r="8" spans="2:6" ht="29.15" customHeight="1" x14ac:dyDescent="0.35">
      <c r="B8" s="60" t="s">
        <v>170</v>
      </c>
      <c r="C8" s="70"/>
      <c r="D8" s="67" t="s">
        <v>171</v>
      </c>
      <c r="E8" s="228"/>
      <c r="F8" s="218"/>
    </row>
    <row r="9" spans="2:6" ht="29.15" customHeight="1" x14ac:dyDescent="0.35">
      <c r="B9" s="60" t="s">
        <v>172</v>
      </c>
      <c r="C9" s="70"/>
      <c r="D9" s="67" t="s">
        <v>173</v>
      </c>
      <c r="E9" s="228"/>
      <c r="F9" s="218"/>
    </row>
    <row r="10" spans="2:6" ht="29.15" customHeight="1" x14ac:dyDescent="0.35">
      <c r="B10" s="60" t="s">
        <v>174</v>
      </c>
      <c r="C10" s="70"/>
      <c r="D10" s="67" t="s">
        <v>175</v>
      </c>
      <c r="E10" s="228"/>
      <c r="F10" s="218"/>
    </row>
    <row r="11" spans="2:6" ht="29.15" customHeight="1" x14ac:dyDescent="0.35">
      <c r="B11" s="60" t="s">
        <v>176</v>
      </c>
      <c r="C11" s="70"/>
      <c r="D11" s="67" t="s">
        <v>177</v>
      </c>
      <c r="E11" s="228"/>
      <c r="F11" s="218"/>
    </row>
    <row r="12" spans="2:6" ht="29.15" customHeight="1" x14ac:dyDescent="0.35">
      <c r="B12" s="60" t="s">
        <v>178</v>
      </c>
      <c r="C12" s="70"/>
      <c r="D12" s="67" t="s">
        <v>179</v>
      </c>
      <c r="E12" s="228"/>
      <c r="F12" s="218"/>
    </row>
    <row r="13" spans="2:6" ht="58" customHeight="1" x14ac:dyDescent="0.35">
      <c r="B13" s="67" t="s">
        <v>180</v>
      </c>
      <c r="C13" s="229"/>
      <c r="D13" s="225"/>
      <c r="E13" s="225"/>
      <c r="F13" s="218"/>
    </row>
    <row r="14" spans="2:6" ht="46" customHeight="1" x14ac:dyDescent="0.35">
      <c r="B14" s="67" t="s">
        <v>181</v>
      </c>
      <c r="C14" s="229"/>
      <c r="D14" s="225"/>
      <c r="E14" s="225"/>
      <c r="F14" s="218"/>
    </row>
    <row r="15" spans="2:6" ht="46" customHeight="1" x14ac:dyDescent="0.35">
      <c r="B15" s="241" t="s">
        <v>182</v>
      </c>
      <c r="C15" s="232"/>
      <c r="D15" s="232"/>
      <c r="E15" s="232"/>
      <c r="F15" s="216"/>
    </row>
    <row r="16" spans="2:6" ht="58" customHeight="1" x14ac:dyDescent="0.35">
      <c r="B16" s="60" t="s">
        <v>183</v>
      </c>
      <c r="C16" s="70"/>
      <c r="D16" s="67" t="s">
        <v>184</v>
      </c>
      <c r="E16" s="228"/>
      <c r="F16" s="218"/>
    </row>
    <row r="17" spans="2:6" ht="29.15" customHeight="1" x14ac:dyDescent="0.35">
      <c r="B17" s="60" t="s">
        <v>185</v>
      </c>
      <c r="C17" s="70"/>
      <c r="D17" s="67" t="s">
        <v>186</v>
      </c>
      <c r="E17" s="228"/>
      <c r="F17" s="218"/>
    </row>
    <row r="18" spans="2:6" ht="29.15" customHeight="1" x14ac:dyDescent="0.35">
      <c r="B18" s="60" t="s">
        <v>187</v>
      </c>
      <c r="C18" s="228"/>
      <c r="D18" s="225"/>
      <c r="E18" s="225"/>
      <c r="F18" s="218"/>
    </row>
    <row r="19" spans="2:6" x14ac:dyDescent="0.35">
      <c r="B19" s="60" t="s">
        <v>188</v>
      </c>
      <c r="C19" s="228"/>
      <c r="D19" s="225"/>
      <c r="E19" s="225"/>
      <c r="F19" s="218"/>
    </row>
    <row r="20" spans="2:6" x14ac:dyDescent="0.35">
      <c r="B20" s="60" t="s">
        <v>189</v>
      </c>
      <c r="C20" s="228"/>
      <c r="D20" s="225"/>
      <c r="E20" s="225"/>
      <c r="F20" s="218"/>
    </row>
    <row r="21" spans="2:6" x14ac:dyDescent="0.35">
      <c r="B21" s="256" t="s">
        <v>190</v>
      </c>
      <c r="C21" s="225"/>
      <c r="D21" s="225"/>
      <c r="E21" s="225"/>
      <c r="F21" s="218"/>
    </row>
    <row r="22" spans="2:6" ht="18" customHeight="1" x14ac:dyDescent="0.35">
      <c r="B22" s="248" t="s">
        <v>191</v>
      </c>
      <c r="C22" s="232"/>
      <c r="D22" s="232"/>
      <c r="E22" s="232"/>
      <c r="F22" s="216"/>
    </row>
    <row r="23" spans="2:6" ht="18" customHeight="1" x14ac:dyDescent="0.35">
      <c r="B23" s="9" t="s">
        <v>192</v>
      </c>
      <c r="C23" s="9" t="s">
        <v>193</v>
      </c>
      <c r="D23" s="9" t="s">
        <v>194</v>
      </c>
      <c r="E23" s="9" t="s">
        <v>195</v>
      </c>
      <c r="F23" s="9" t="s">
        <v>196</v>
      </c>
    </row>
    <row r="24" spans="2:6" ht="28" customHeight="1" x14ac:dyDescent="0.35">
      <c r="B24" s="72" t="s">
        <v>197</v>
      </c>
      <c r="C24" s="73" t="str">
        <f>IF(D24="","",0.3/SUMPRODUCT(($D$24:$D$30&lt;&gt;"")*{0.3;0.2;0.15;0.15;0.1;0.05;0.05}))</f>
        <v/>
      </c>
      <c r="D24" s="74" t="str">
        <f>IF(C41="",C40,C41)</f>
        <v/>
      </c>
      <c r="E24" s="75" t="str">
        <f t="shared" ref="E24:E30" si="0">IF(D24="","",(D24/5)*C24)</f>
        <v/>
      </c>
      <c r="F24" s="76" t="str">
        <f t="shared" ref="F24:F30" si="1">IF(D24="","",IF(D24&gt;=4,"Strong",IF(D24=3,"Developing","Needs Focus")))</f>
        <v/>
      </c>
    </row>
    <row r="25" spans="2:6" ht="28" customHeight="1" x14ac:dyDescent="0.35">
      <c r="B25" s="77" t="s">
        <v>198</v>
      </c>
      <c r="C25" s="78" t="str">
        <f>IF(D25="","",0.2/SUMPRODUCT(($D$24:$D$30&lt;&gt;"")*{0.3;0.2;0.15;0.15;0.1;0.05;0.05}))</f>
        <v/>
      </c>
      <c r="D25" s="79" t="str">
        <f>IF(C51="",C50,C51)</f>
        <v/>
      </c>
      <c r="E25" s="80" t="str">
        <f t="shared" si="0"/>
        <v/>
      </c>
      <c r="F25" s="81" t="str">
        <f t="shared" si="1"/>
        <v/>
      </c>
    </row>
    <row r="26" spans="2:6" ht="28" customHeight="1" x14ac:dyDescent="0.35">
      <c r="B26" s="72" t="s">
        <v>199</v>
      </c>
      <c r="C26" s="73" t="str">
        <f>IF(D26="","",0.15/SUMPRODUCT(($D$24:$D$30&lt;&gt;"")*{0.3;0.2;0.15;0.15;0.1;0.05;0.05}))</f>
        <v/>
      </c>
      <c r="D26" s="74" t="str">
        <f>IF(C60="",C59,C60)</f>
        <v/>
      </c>
      <c r="E26" s="75" t="str">
        <f t="shared" si="0"/>
        <v/>
      </c>
      <c r="F26" s="76" t="str">
        <f t="shared" si="1"/>
        <v/>
      </c>
    </row>
    <row r="27" spans="2:6" ht="28" customHeight="1" x14ac:dyDescent="0.35">
      <c r="B27" s="77" t="s">
        <v>200</v>
      </c>
      <c r="C27" s="78" t="str">
        <f>IF(D27="","",0.15/SUMPRODUCT(($D$24:$D$30&lt;&gt;"")*{0.3;0.2;0.15;0.15;0.1;0.05;0.05}))</f>
        <v/>
      </c>
      <c r="D27" s="79" t="str">
        <f>IF(C70="",C69,C70)</f>
        <v/>
      </c>
      <c r="E27" s="80" t="str">
        <f t="shared" si="0"/>
        <v/>
      </c>
      <c r="F27" s="81" t="str">
        <f t="shared" si="1"/>
        <v/>
      </c>
    </row>
    <row r="28" spans="2:6" ht="28" customHeight="1" x14ac:dyDescent="0.35">
      <c r="B28" s="72" t="s">
        <v>201</v>
      </c>
      <c r="C28" s="73" t="str">
        <f>IF(D28="","",0.1/SUMPRODUCT(($D$24:$D$30&lt;&gt;"")*{0.3;0.2;0.15;0.15;0.1;0.05;0.05}))</f>
        <v/>
      </c>
      <c r="D28" s="74" t="str">
        <f>IF(C79="",C78,C79)</f>
        <v/>
      </c>
      <c r="E28" s="75" t="str">
        <f t="shared" si="0"/>
        <v/>
      </c>
      <c r="F28" s="76" t="str">
        <f t="shared" si="1"/>
        <v/>
      </c>
    </row>
    <row r="29" spans="2:6" ht="28" customHeight="1" x14ac:dyDescent="0.35">
      <c r="B29" s="77" t="s">
        <v>202</v>
      </c>
      <c r="C29" s="78" t="str">
        <f>IF(D29="","",0.05/SUMPRODUCT(($D$24:$D$30&lt;&gt;"")*{0.3;0.2;0.15;0.15;0.1;0.05;0.05}))</f>
        <v/>
      </c>
      <c r="D29" s="79" t="str">
        <f>IF(C96="",C95,C96)</f>
        <v/>
      </c>
      <c r="E29" s="80" t="str">
        <f t="shared" si="0"/>
        <v/>
      </c>
      <c r="F29" s="81" t="str">
        <f t="shared" si="1"/>
        <v/>
      </c>
    </row>
    <row r="30" spans="2:6" ht="28" customHeight="1" x14ac:dyDescent="0.35">
      <c r="B30" s="72" t="s">
        <v>203</v>
      </c>
      <c r="C30" s="73" t="str">
        <f>IF(D30="","",0.05/SUMPRODUCT(($D$24:$D$30&lt;&gt;"")*{0.3;0.2;0.15;0.15;0.1;0.05;0.05}))</f>
        <v/>
      </c>
      <c r="D30" s="74" t="str">
        <f>IF(C106="",C105,C106)</f>
        <v/>
      </c>
      <c r="E30" s="75" t="str">
        <f t="shared" si="0"/>
        <v/>
      </c>
      <c r="F30" s="76" t="str">
        <f t="shared" si="1"/>
        <v/>
      </c>
    </row>
    <row r="31" spans="2:6" ht="24" customHeight="1" x14ac:dyDescent="0.35">
      <c r="B31" s="71" t="s">
        <v>204</v>
      </c>
      <c r="C31" s="82">
        <f>SUM(C24:C30)</f>
        <v>0</v>
      </c>
      <c r="D31" s="83"/>
      <c r="E31" s="84" t="str">
        <f>IF(AND(COUNT(D24:D30)=0,NOT(OR(C132="No",C133="No",C134="No",COUNTIF(C136:C146,"Yes")&gt;0))),"",IF(OR(C132="No",C133="No",C134="No",COUNTIF(C136:C146,"Yes")&gt;0),0,SUM(E24:E30)))</f>
        <v/>
      </c>
      <c r="F31" s="85" t="str">
        <f>IF(E31="","",IF(OR(C132="No",C133="No",C134="No",COUNTIF(C136:C146,"Yes")&gt;0),"AUTO-ZERO (0%)",IF(E31&gt;=0.85,"MEETS / EXCEEDS",IF(E31&gt;=0.7,"DEVELOPING","NEEDS IMPROVEMENT"))))</f>
        <v/>
      </c>
    </row>
    <row r="32" spans="2:6" ht="24" customHeight="1" x14ac:dyDescent="0.35">
      <c r="B32" s="248" t="s">
        <v>205</v>
      </c>
      <c r="C32" s="232"/>
      <c r="D32" s="232"/>
      <c r="E32" s="232"/>
      <c r="F32" s="216"/>
    </row>
    <row r="33" spans="2:8" ht="18" customHeight="1" x14ac:dyDescent="0.35">
      <c r="B33" s="241" t="s">
        <v>206</v>
      </c>
      <c r="C33" s="232"/>
      <c r="D33" s="232"/>
      <c r="E33" s="216"/>
      <c r="F33" s="5" t="s">
        <v>207</v>
      </c>
    </row>
    <row r="34" spans="2:8" ht="28" customHeight="1" x14ac:dyDescent="0.35">
      <c r="B34" s="227" t="s">
        <v>208</v>
      </c>
      <c r="C34" s="225"/>
      <c r="D34" s="225"/>
      <c r="E34" s="225"/>
      <c r="F34" s="218"/>
    </row>
    <row r="35" spans="2:8" ht="18" customHeight="1" x14ac:dyDescent="0.35">
      <c r="B35" s="60" t="s">
        <v>209</v>
      </c>
      <c r="C35" s="86" t="s">
        <v>210</v>
      </c>
      <c r="D35" s="256" t="s">
        <v>211</v>
      </c>
      <c r="E35" s="225"/>
      <c r="F35" s="218"/>
      <c r="H35" s="137" t="s">
        <v>212</v>
      </c>
    </row>
    <row r="36" spans="2:8" ht="28" customHeight="1" x14ac:dyDescent="0.35">
      <c r="B36" s="61" t="s">
        <v>715</v>
      </c>
      <c r="C36" s="87"/>
      <c r="D36" s="249"/>
      <c r="E36" s="225"/>
      <c r="F36" s="218"/>
      <c r="H36" s="144">
        <v>3</v>
      </c>
    </row>
    <row r="37" spans="2:8" ht="28" customHeight="1" x14ac:dyDescent="0.35">
      <c r="B37" s="88" t="s">
        <v>716</v>
      </c>
      <c r="C37" s="87"/>
      <c r="D37" s="233"/>
      <c r="E37" s="225"/>
      <c r="F37" s="218"/>
      <c r="H37" s="144">
        <v>3</v>
      </c>
    </row>
    <row r="38" spans="2:8" ht="28" customHeight="1" x14ac:dyDescent="0.35">
      <c r="B38" s="61" t="s">
        <v>717</v>
      </c>
      <c r="C38" s="87"/>
      <c r="D38" s="249"/>
      <c r="E38" s="225"/>
      <c r="F38" s="218"/>
      <c r="H38" s="144">
        <v>2</v>
      </c>
    </row>
    <row r="39" spans="2:8" ht="28" customHeight="1" x14ac:dyDescent="0.35">
      <c r="B39" s="251" t="s">
        <v>213</v>
      </c>
      <c r="C39" s="225"/>
      <c r="D39" s="225"/>
      <c r="E39" s="225"/>
      <c r="F39" s="218"/>
    </row>
    <row r="40" spans="2:8" ht="28" customHeight="1" x14ac:dyDescent="0.35">
      <c r="B40" s="89" t="s">
        <v>214</v>
      </c>
      <c r="C40" s="90" t="str">
        <f>IF(SUMPRODUCT(((C36:C38="Met")+(C36:C38="Partial")+(C36:C38="Missed"))*H36:H38)=0,"",ROUND((5*SUMPRODUCT((C36:C38="Met")*H36:H38)+2.5*SUMPRODUCT((C36:C38="Partial")*H36:H38))/SUMPRODUCT(((C36:C38="Met")+(C36:C38="Partial")+(C36:C38="Missed"))*H36:H38),1))</f>
        <v/>
      </c>
      <c r="D40" s="245"/>
      <c r="E40" s="225"/>
      <c r="F40" s="218"/>
    </row>
    <row r="41" spans="2:8" ht="24" customHeight="1" x14ac:dyDescent="0.35">
      <c r="B41" s="62" t="s">
        <v>215</v>
      </c>
      <c r="C41" s="91"/>
      <c r="D41" s="235" t="str">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1" s="225"/>
      <c r="F41" s="218"/>
    </row>
    <row r="42" spans="2:8" ht="36" customHeight="1" x14ac:dyDescent="0.35">
      <c r="B42" s="139" t="s">
        <v>216</v>
      </c>
      <c r="C42" s="229"/>
      <c r="D42" s="225"/>
      <c r="E42" s="225"/>
      <c r="F42" s="218"/>
    </row>
    <row r="43" spans="2:8" ht="18" customHeight="1" x14ac:dyDescent="0.35">
      <c r="B43" s="241" t="s">
        <v>217</v>
      </c>
      <c r="C43" s="232"/>
      <c r="D43" s="232"/>
      <c r="E43" s="216"/>
      <c r="F43" s="5" t="s">
        <v>218</v>
      </c>
    </row>
    <row r="44" spans="2:8" ht="28" customHeight="1" x14ac:dyDescent="0.35">
      <c r="B44" s="227" t="s">
        <v>219</v>
      </c>
      <c r="C44" s="225"/>
      <c r="D44" s="225"/>
      <c r="E44" s="225"/>
      <c r="F44" s="218"/>
    </row>
    <row r="45" spans="2:8" ht="36" customHeight="1" x14ac:dyDescent="0.35">
      <c r="B45" s="60" t="s">
        <v>209</v>
      </c>
      <c r="C45" s="86" t="s">
        <v>210</v>
      </c>
      <c r="D45" s="256" t="s">
        <v>211</v>
      </c>
      <c r="E45" s="225"/>
      <c r="F45" s="218"/>
      <c r="H45" s="137" t="s">
        <v>212</v>
      </c>
    </row>
    <row r="46" spans="2:8" ht="28" customHeight="1" x14ac:dyDescent="0.35">
      <c r="B46" s="61" t="s">
        <v>718</v>
      </c>
      <c r="C46" s="87"/>
      <c r="D46" s="249"/>
      <c r="E46" s="225"/>
      <c r="F46" s="218"/>
      <c r="H46" s="144">
        <v>3</v>
      </c>
    </row>
    <row r="47" spans="2:8" ht="28" customHeight="1" x14ac:dyDescent="0.35">
      <c r="B47" s="61" t="s">
        <v>719</v>
      </c>
      <c r="C47" s="87"/>
      <c r="D47" s="61"/>
      <c r="H47" s="144">
        <v>2</v>
      </c>
    </row>
    <row r="48" spans="2:8" ht="28" customHeight="1" x14ac:dyDescent="0.35">
      <c r="B48" s="61" t="s">
        <v>720</v>
      </c>
      <c r="C48" s="87"/>
      <c r="D48" s="249"/>
      <c r="E48" s="225"/>
      <c r="F48" s="218"/>
      <c r="H48" s="144">
        <v>3</v>
      </c>
    </row>
    <row r="49" spans="2:8" ht="28" customHeight="1" x14ac:dyDescent="0.35">
      <c r="B49" s="251" t="s">
        <v>220</v>
      </c>
      <c r="C49" s="225"/>
      <c r="D49" s="225"/>
      <c r="E49" s="225"/>
      <c r="F49" s="218"/>
    </row>
    <row r="50" spans="2:8" ht="28" customHeight="1" x14ac:dyDescent="0.35">
      <c r="B50" s="89" t="s">
        <v>214</v>
      </c>
      <c r="C50" s="90" t="str">
        <f>IF(SUMPRODUCT(((C46:C48="Met")+(C46:C48="Partial")+(C46:C48="Missed"))*H46:H48)=0,"",ROUND((5*SUMPRODUCT((C46:C48="Met")*H46:H48)+2.5*SUMPRODUCT((C46:C48="Partial")*H46:H48))/SUMPRODUCT(((C46:C48="Met")+(C46:C48="Partial")+(C46:C48="Missed"))*H46:H48),1))</f>
        <v/>
      </c>
      <c r="D50" s="245"/>
      <c r="E50" s="225"/>
      <c r="F50" s="218"/>
    </row>
    <row r="51" spans="2:8" ht="24" customHeight="1" x14ac:dyDescent="0.35">
      <c r="B51" s="62" t="s">
        <v>215</v>
      </c>
      <c r="C51" s="91"/>
      <c r="D51" s="235" t="str">
        <f>IF(IF(C51="",C50,C51)="","← rate the indicators above (auto-scores), or type an override",CHOOSE(IF(C51="",C50,C51)+1,"Agent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1" s="225"/>
      <c r="F51" s="218"/>
    </row>
    <row r="52" spans="2:8" ht="36" customHeight="1" x14ac:dyDescent="0.35">
      <c r="B52" s="139" t="s">
        <v>216</v>
      </c>
      <c r="C52" s="229"/>
      <c r="D52" s="225"/>
      <c r="E52" s="225"/>
      <c r="F52" s="218"/>
    </row>
    <row r="53" spans="2:8" ht="18" customHeight="1" x14ac:dyDescent="0.35">
      <c r="B53" s="241" t="s">
        <v>221</v>
      </c>
      <c r="C53" s="232"/>
      <c r="D53" s="232"/>
      <c r="E53" s="216"/>
      <c r="F53" s="5" t="s">
        <v>222</v>
      </c>
    </row>
    <row r="54" spans="2:8" ht="28" customHeight="1" x14ac:dyDescent="0.35">
      <c r="B54" s="227" t="s">
        <v>223</v>
      </c>
      <c r="C54" s="225"/>
      <c r="D54" s="225"/>
      <c r="E54" s="225"/>
      <c r="F54" s="218"/>
    </row>
    <row r="55" spans="2:8" ht="24" customHeight="1" x14ac:dyDescent="0.35">
      <c r="B55" s="60" t="s">
        <v>209</v>
      </c>
      <c r="C55" s="86" t="s">
        <v>210</v>
      </c>
      <c r="D55" s="256" t="s">
        <v>211</v>
      </c>
      <c r="E55" s="225"/>
      <c r="F55" s="218"/>
      <c r="H55" s="137" t="s">
        <v>212</v>
      </c>
    </row>
    <row r="56" spans="2:8" ht="28" customHeight="1" x14ac:dyDescent="0.35">
      <c r="B56" s="61" t="s">
        <v>721</v>
      </c>
      <c r="C56" s="87"/>
      <c r="D56" s="249"/>
      <c r="E56" s="225"/>
      <c r="F56" s="218"/>
      <c r="H56" s="144">
        <v>3</v>
      </c>
    </row>
    <row r="57" spans="2:8" ht="28" customHeight="1" x14ac:dyDescent="0.35">
      <c r="B57" s="88" t="s">
        <v>722</v>
      </c>
      <c r="C57" s="87"/>
      <c r="D57" s="233"/>
      <c r="E57" s="225"/>
      <c r="F57" s="218"/>
      <c r="H57" s="144">
        <v>3</v>
      </c>
    </row>
    <row r="58" spans="2:8" ht="28" customHeight="1" x14ac:dyDescent="0.35">
      <c r="B58" s="251" t="s">
        <v>224</v>
      </c>
      <c r="C58" s="225"/>
      <c r="D58" s="225"/>
      <c r="E58" s="225"/>
      <c r="F58" s="218"/>
    </row>
    <row r="59" spans="2:8" ht="28" customHeight="1" x14ac:dyDescent="0.35">
      <c r="B59" s="89" t="s">
        <v>214</v>
      </c>
      <c r="C59" s="90" t="str">
        <f>IF(SUMPRODUCT(((C56:C57="Met")+(C56:C57="Partial")+(C56:C57="Missed"))*H56:H57)=0,"",ROUND((5*SUMPRODUCT((C56:C57="Met")*H56:H57)+2.5*SUMPRODUCT((C56:C57="Partial")*H56:H57))/SUMPRODUCT(((C56:C57="Met")+(C56:C57="Partial")+(C56:C57="Missed"))*H56:H57),1))</f>
        <v/>
      </c>
      <c r="D59" s="245"/>
      <c r="E59" s="225"/>
      <c r="F59" s="218"/>
    </row>
    <row r="60" spans="2:8" ht="24" customHeight="1" x14ac:dyDescent="0.35">
      <c r="B60" s="62" t="s">
        <v>215</v>
      </c>
      <c r="C60" s="91"/>
      <c r="D60" s="235" t="str">
        <f>IF(IF(C60="",C59,C60)="","← rate the indicators above (auto-scores), or type an override",CHOOSE(IF(C60="",C59,C60)+1,"Agent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0" s="225"/>
      <c r="F60" s="218"/>
    </row>
    <row r="61" spans="2:8" ht="36" customHeight="1" x14ac:dyDescent="0.35">
      <c r="B61" s="139" t="s">
        <v>216</v>
      </c>
      <c r="C61" s="229"/>
      <c r="D61" s="225"/>
      <c r="E61" s="225"/>
      <c r="F61" s="218"/>
    </row>
    <row r="62" spans="2:8" ht="18" customHeight="1" x14ac:dyDescent="0.35">
      <c r="B62" s="241" t="s">
        <v>225</v>
      </c>
      <c r="C62" s="232"/>
      <c r="D62" s="232"/>
      <c r="E62" s="216"/>
      <c r="F62" s="5" t="s">
        <v>222</v>
      </c>
    </row>
    <row r="63" spans="2:8" ht="28" customHeight="1" x14ac:dyDescent="0.35">
      <c r="B63" s="227" t="s">
        <v>226</v>
      </c>
      <c r="C63" s="225"/>
      <c r="D63" s="225"/>
      <c r="E63" s="225"/>
      <c r="F63" s="218"/>
    </row>
    <row r="64" spans="2:8" ht="24" customHeight="1" x14ac:dyDescent="0.35">
      <c r="B64" s="60" t="s">
        <v>209</v>
      </c>
      <c r="C64" s="86" t="s">
        <v>210</v>
      </c>
      <c r="D64" s="256" t="s">
        <v>211</v>
      </c>
      <c r="E64" s="225"/>
      <c r="F64" s="218"/>
      <c r="H64" s="137" t="s">
        <v>212</v>
      </c>
    </row>
    <row r="65" spans="2:8" ht="28" customHeight="1" x14ac:dyDescent="0.35">
      <c r="B65" s="61" t="s">
        <v>723</v>
      </c>
      <c r="C65" s="87"/>
      <c r="D65" s="249"/>
      <c r="E65" s="225"/>
      <c r="F65" s="218"/>
      <c r="H65" s="144">
        <v>3</v>
      </c>
    </row>
    <row r="66" spans="2:8" ht="28" customHeight="1" x14ac:dyDescent="0.35">
      <c r="B66" s="100" t="s">
        <v>724</v>
      </c>
      <c r="C66" s="129"/>
      <c r="D66" s="233"/>
      <c r="E66" s="225"/>
      <c r="F66" s="218"/>
      <c r="H66" s="144">
        <v>2</v>
      </c>
    </row>
    <row r="67" spans="2:8" ht="28" customHeight="1" x14ac:dyDescent="0.35">
      <c r="B67" s="169" t="s">
        <v>725</v>
      </c>
      <c r="C67" s="170"/>
      <c r="D67" s="171"/>
      <c r="E67" s="167"/>
      <c r="F67" s="168"/>
      <c r="H67" s="144">
        <v>2</v>
      </c>
    </row>
    <row r="68" spans="2:8" ht="28" customHeight="1" x14ac:dyDescent="0.35">
      <c r="B68" s="244" t="s">
        <v>227</v>
      </c>
      <c r="C68" s="225"/>
      <c r="D68" s="225"/>
      <c r="E68" s="225"/>
      <c r="F68" s="218"/>
    </row>
    <row r="69" spans="2:8" ht="28" customHeight="1" x14ac:dyDescent="0.35">
      <c r="B69" s="131" t="s">
        <v>214</v>
      </c>
      <c r="C69" s="132" t="str">
        <f>IF(SUMPRODUCT(((C65:C67="Met")+(C65:C67="Partial")+(C65:C67="Missed"))*H65:H67)=0,"",ROUND((5*SUMPRODUCT((C65:C67="Met")*H65:H67)+2.5*SUMPRODUCT((C65:C67="Partial")*H65:H67))/SUMPRODUCT(((C65:C67="Met")+(C65:C67="Partial")+(C65:C67="Missed"))*H65:H67),1))</f>
        <v/>
      </c>
      <c r="D69" s="245"/>
      <c r="E69" s="225"/>
      <c r="F69" s="218"/>
    </row>
    <row r="70" spans="2:8" ht="24" customHeight="1" x14ac:dyDescent="0.35">
      <c r="B70" s="133" t="s">
        <v>215</v>
      </c>
      <c r="C70" s="134"/>
      <c r="D70" s="235"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225"/>
      <c r="F70" s="218"/>
    </row>
    <row r="71" spans="2:8" ht="36" customHeight="1" x14ac:dyDescent="0.35">
      <c r="B71" s="140" t="s">
        <v>216</v>
      </c>
      <c r="C71" s="224"/>
      <c r="D71" s="225"/>
      <c r="E71" s="225"/>
      <c r="F71" s="218"/>
    </row>
    <row r="72" spans="2:8" ht="18" customHeight="1" x14ac:dyDescent="0.35">
      <c r="B72" s="241" t="s">
        <v>228</v>
      </c>
      <c r="C72" s="232"/>
      <c r="D72" s="232"/>
      <c r="E72" s="216"/>
      <c r="F72" s="5" t="s">
        <v>229</v>
      </c>
    </row>
    <row r="73" spans="2:8" ht="28" customHeight="1" x14ac:dyDescent="0.35">
      <c r="B73" s="227" t="s">
        <v>230</v>
      </c>
      <c r="C73" s="225"/>
      <c r="D73" s="225"/>
      <c r="E73" s="225"/>
      <c r="F73" s="218"/>
    </row>
    <row r="74" spans="2:8" ht="18" customHeight="1" x14ac:dyDescent="0.35">
      <c r="B74" s="136" t="s">
        <v>209</v>
      </c>
      <c r="C74" s="137" t="s">
        <v>210</v>
      </c>
      <c r="D74" s="247" t="s">
        <v>211</v>
      </c>
      <c r="E74" s="225"/>
      <c r="F74" s="218"/>
      <c r="H74" s="137" t="s">
        <v>212</v>
      </c>
    </row>
    <row r="75" spans="2:8" ht="28" customHeight="1" x14ac:dyDescent="0.35">
      <c r="B75" s="130" t="s">
        <v>726</v>
      </c>
      <c r="C75" s="129"/>
      <c r="D75" s="236"/>
      <c r="E75" s="225"/>
      <c r="F75" s="218"/>
      <c r="H75" s="144">
        <v>3</v>
      </c>
    </row>
    <row r="76" spans="2:8" ht="28" customHeight="1" x14ac:dyDescent="0.35">
      <c r="B76" s="130" t="s">
        <v>727</v>
      </c>
      <c r="C76" s="129"/>
      <c r="D76" s="236"/>
      <c r="E76" s="225"/>
      <c r="F76" s="218"/>
      <c r="H76" s="144">
        <v>2</v>
      </c>
    </row>
    <row r="77" spans="2:8" ht="28" customHeight="1" x14ac:dyDescent="0.35">
      <c r="B77" s="244" t="s">
        <v>231</v>
      </c>
      <c r="C77" s="225"/>
      <c r="D77" s="225"/>
      <c r="E77" s="225"/>
      <c r="F77" s="218"/>
    </row>
    <row r="78" spans="2:8" ht="28" customHeight="1" x14ac:dyDescent="0.35">
      <c r="B78" s="131" t="s">
        <v>214</v>
      </c>
      <c r="C78" s="132" t="str">
        <f>IF(SUMPRODUCT(((C75:C76="Met")+(C75:C76="Partial")+(C75:C76="Missed"))*H75:H76)=0,"",ROUND((5*SUMPRODUCT((C75:C76="Met")*H75:H76)+2.5*SUMPRODUCT((C75:C76="Partial")*H75:H76))/SUMPRODUCT(((C75:C76="Met")+(C75:C76="Partial")+(C75:C76="Missed"))*H75:H76),1))</f>
        <v/>
      </c>
      <c r="D78" s="245"/>
      <c r="E78" s="225"/>
      <c r="F78" s="218"/>
    </row>
    <row r="79" spans="2:8" ht="24" customHeight="1" x14ac:dyDescent="0.35">
      <c r="B79" s="133" t="s">
        <v>215</v>
      </c>
      <c r="C79" s="134"/>
      <c r="D79" s="235"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225"/>
      <c r="F79" s="218"/>
    </row>
    <row r="80" spans="2:8" ht="36" customHeight="1" x14ac:dyDescent="0.35">
      <c r="B80" s="140" t="s">
        <v>216</v>
      </c>
      <c r="C80" s="224"/>
      <c r="D80" s="225"/>
      <c r="E80" s="225"/>
      <c r="F80" s="218"/>
    </row>
    <row r="81" spans="2:8" ht="20.149999999999999" customHeight="1" x14ac:dyDescent="0.35">
      <c r="B81" s="241" t="s">
        <v>232</v>
      </c>
      <c r="C81" s="232"/>
      <c r="D81" s="232"/>
      <c r="E81" s="232"/>
      <c r="F81" s="216"/>
    </row>
    <row r="82" spans="2:8" ht="20.149999999999999" customHeight="1" x14ac:dyDescent="0.35">
      <c r="B82" s="252" t="s">
        <v>233</v>
      </c>
      <c r="C82" s="253"/>
      <c r="D82" s="101"/>
      <c r="F82" s="5"/>
    </row>
    <row r="83" spans="2:8" ht="45" customHeight="1" x14ac:dyDescent="0.35">
      <c r="B83" s="254"/>
      <c r="C83" s="255"/>
      <c r="D83" s="102"/>
      <c r="F83" s="5"/>
    </row>
    <row r="84" spans="2:8" ht="18" customHeight="1" x14ac:dyDescent="0.35">
      <c r="B84" s="241" t="s">
        <v>234</v>
      </c>
      <c r="C84" s="232"/>
      <c r="D84" s="232"/>
      <c r="E84" s="232"/>
      <c r="F84" s="216"/>
    </row>
    <row r="85" spans="2:8" ht="28" customHeight="1" x14ac:dyDescent="0.35">
      <c r="B85" s="133" t="s">
        <v>235</v>
      </c>
      <c r="C85" s="234"/>
      <c r="D85" s="225"/>
      <c r="E85" s="225"/>
      <c r="F85" s="218"/>
    </row>
    <row r="86" spans="2:8" ht="28" customHeight="1" x14ac:dyDescent="0.35">
      <c r="B86" s="133" t="s">
        <v>236</v>
      </c>
      <c r="C86" s="234"/>
      <c r="D86" s="225"/>
      <c r="E86" s="225"/>
      <c r="F86" s="218"/>
    </row>
    <row r="87" spans="2:8" ht="28" customHeight="1" x14ac:dyDescent="0.35">
      <c r="B87" s="133" t="s">
        <v>237</v>
      </c>
      <c r="C87" s="234"/>
      <c r="D87" s="225"/>
      <c r="E87" s="225"/>
      <c r="F87" s="218"/>
    </row>
    <row r="88" spans="2:8" ht="18" customHeight="1" x14ac:dyDescent="0.35">
      <c r="B88" s="241" t="s">
        <v>238</v>
      </c>
      <c r="C88" s="232"/>
      <c r="D88" s="232"/>
      <c r="E88" s="216"/>
      <c r="F88" s="5" t="s">
        <v>239</v>
      </c>
    </row>
    <row r="89" spans="2:8" ht="28" customHeight="1" x14ac:dyDescent="0.35">
      <c r="B89" s="227" t="s">
        <v>240</v>
      </c>
      <c r="C89" s="225"/>
      <c r="D89" s="225"/>
      <c r="E89" s="225"/>
      <c r="F89" s="218"/>
    </row>
    <row r="90" spans="2:8" ht="28" customHeight="1" x14ac:dyDescent="0.35">
      <c r="B90" s="136" t="s">
        <v>209</v>
      </c>
      <c r="C90" s="137" t="s">
        <v>210</v>
      </c>
      <c r="D90" s="247" t="s">
        <v>211</v>
      </c>
      <c r="E90" s="225"/>
      <c r="F90" s="218"/>
      <c r="H90" s="137" t="s">
        <v>212</v>
      </c>
    </row>
    <row r="91" spans="2:8" ht="28" customHeight="1" x14ac:dyDescent="0.35">
      <c r="B91" s="100" t="s">
        <v>728</v>
      </c>
      <c r="C91" s="129"/>
      <c r="D91" s="233"/>
      <c r="E91" s="225"/>
      <c r="F91" s="218"/>
      <c r="H91" s="144">
        <v>3</v>
      </c>
    </row>
    <row r="92" spans="2:8" ht="28" customHeight="1" x14ac:dyDescent="0.35">
      <c r="B92" s="130" t="s">
        <v>729</v>
      </c>
      <c r="C92" s="129"/>
      <c r="D92" s="236"/>
      <c r="E92" s="225"/>
      <c r="F92" s="218"/>
      <c r="H92" s="144">
        <v>2</v>
      </c>
    </row>
    <row r="93" spans="2:8" ht="28" customHeight="1" x14ac:dyDescent="0.35">
      <c r="B93" s="130" t="s">
        <v>730</v>
      </c>
      <c r="C93" s="129"/>
      <c r="D93" s="236"/>
      <c r="E93" s="225"/>
      <c r="F93" s="218"/>
      <c r="H93" s="144">
        <v>2</v>
      </c>
    </row>
    <row r="94" spans="2:8" ht="28" customHeight="1" x14ac:dyDescent="0.35">
      <c r="B94" s="244" t="s">
        <v>241</v>
      </c>
      <c r="C94" s="225"/>
      <c r="D94" s="225"/>
      <c r="E94" s="225"/>
      <c r="F94" s="218"/>
    </row>
    <row r="95" spans="2:8" ht="28" customHeight="1" x14ac:dyDescent="0.35">
      <c r="B95" s="131" t="s">
        <v>214</v>
      </c>
      <c r="C95" s="132" t="str">
        <f>IF(SUMPRODUCT(((C91:C93="Met")+(C91:C93="Partial")+(C91:C93="Missed"))*H91:H93)=0,"",ROUND((5*SUMPRODUCT((C91:C93="Met")*H91:H93)+2.5*SUMPRODUCT((C91:C93="Partial")*H91:H93))/SUMPRODUCT(((C91:C93="Met")+(C91:C93="Partial")+(C91:C93="Missed"))*H91:H93),1))</f>
        <v/>
      </c>
      <c r="D95" s="245"/>
      <c r="E95" s="225"/>
      <c r="F95" s="218"/>
    </row>
    <row r="96" spans="2:8" ht="24" customHeight="1" x14ac:dyDescent="0.35">
      <c r="B96" s="133" t="s">
        <v>215</v>
      </c>
      <c r="C96" s="134"/>
      <c r="D96" s="235" t="str">
        <f>IF(IF(C96="",C95,C96)="","← rate the indicators above (auto-scores), or type an override",CHOOSE(IF(C96="",C95,C96)+1,"Agent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6" s="225"/>
      <c r="F96" s="218"/>
    </row>
    <row r="97" spans="2:8" ht="36" customHeight="1" x14ac:dyDescent="0.35">
      <c r="B97" s="140" t="s">
        <v>216</v>
      </c>
      <c r="C97" s="224"/>
      <c r="D97" s="225"/>
      <c r="E97" s="225"/>
      <c r="F97" s="218"/>
    </row>
    <row r="98" spans="2:8" ht="18" customHeight="1" x14ac:dyDescent="0.35">
      <c r="B98" s="241" t="s">
        <v>242</v>
      </c>
      <c r="C98" s="232"/>
      <c r="D98" s="232"/>
      <c r="E98" s="216"/>
      <c r="F98" s="5" t="s">
        <v>239</v>
      </c>
    </row>
    <row r="99" spans="2:8" ht="28" customHeight="1" x14ac:dyDescent="0.35">
      <c r="B99" s="227" t="s">
        <v>243</v>
      </c>
      <c r="C99" s="225"/>
      <c r="D99" s="225"/>
      <c r="E99" s="225"/>
      <c r="F99" s="218"/>
    </row>
    <row r="100" spans="2:8" ht="36" customHeight="1" x14ac:dyDescent="0.35">
      <c r="B100" s="136" t="s">
        <v>209</v>
      </c>
      <c r="C100" s="137" t="s">
        <v>210</v>
      </c>
      <c r="D100" s="247" t="s">
        <v>211</v>
      </c>
      <c r="E100" s="225"/>
      <c r="F100" s="218"/>
      <c r="H100" s="137" t="s">
        <v>212</v>
      </c>
    </row>
    <row r="101" spans="2:8" ht="28" customHeight="1" x14ac:dyDescent="0.35">
      <c r="B101" s="130" t="s">
        <v>731</v>
      </c>
      <c r="C101" s="129"/>
      <c r="D101" s="236"/>
      <c r="E101" s="225"/>
      <c r="F101" s="218"/>
      <c r="H101" s="144">
        <v>3</v>
      </c>
    </row>
    <row r="102" spans="2:8" ht="28" customHeight="1" x14ac:dyDescent="0.35">
      <c r="B102" s="100" t="s">
        <v>732</v>
      </c>
      <c r="C102" s="129"/>
      <c r="D102" s="233"/>
      <c r="E102" s="225"/>
      <c r="F102" s="218"/>
      <c r="H102" s="144">
        <v>2</v>
      </c>
    </row>
    <row r="103" spans="2:8" ht="28" customHeight="1" x14ac:dyDescent="0.35">
      <c r="B103" s="130" t="s">
        <v>733</v>
      </c>
      <c r="C103" s="129"/>
      <c r="D103" s="236"/>
      <c r="E103" s="225"/>
      <c r="F103" s="218"/>
      <c r="H103" s="144">
        <v>2</v>
      </c>
    </row>
    <row r="104" spans="2:8" ht="28" customHeight="1" x14ac:dyDescent="0.35">
      <c r="B104" s="244" t="s">
        <v>244</v>
      </c>
      <c r="C104" s="225"/>
      <c r="D104" s="225"/>
      <c r="E104" s="225"/>
      <c r="F104" s="218"/>
    </row>
    <row r="105" spans="2:8" ht="52" customHeight="1" x14ac:dyDescent="0.35">
      <c r="B105" s="131" t="s">
        <v>214</v>
      </c>
      <c r="C105" s="132" t="str">
        <f>IF(SUMPRODUCT(((C101:C103="Met")+(C101:C103="Partial")+(C101:C103="Missed"))*H101:H103)=0,"",ROUND((5*SUMPRODUCT((C101:C103="Met")*H101:H103)+2.5*SUMPRODUCT((C101:C103="Partial")*H101:H103))/SUMPRODUCT(((C101:C103="Met")+(C101:C103="Partial")+(C101:C103="Missed"))*H101:H103),1))</f>
        <v/>
      </c>
      <c r="D105" s="245"/>
      <c r="E105" s="225"/>
      <c r="F105" s="218"/>
    </row>
    <row r="106" spans="2:8" ht="24" customHeight="1" x14ac:dyDescent="0.35">
      <c r="B106" s="133" t="s">
        <v>215</v>
      </c>
      <c r="C106" s="134"/>
      <c r="D106" s="235" t="str">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6" s="225"/>
      <c r="F106" s="218"/>
    </row>
    <row r="107" spans="2:8" ht="36" customHeight="1" x14ac:dyDescent="0.35">
      <c r="B107" s="140" t="s">
        <v>216</v>
      </c>
      <c r="C107" s="224"/>
      <c r="D107" s="225"/>
      <c r="E107" s="225"/>
      <c r="F107" s="218"/>
    </row>
    <row r="108" spans="2:8" ht="30" customHeight="1" x14ac:dyDescent="0.35">
      <c r="B108" s="241" t="s">
        <v>245</v>
      </c>
      <c r="C108" s="232"/>
      <c r="D108" s="232"/>
      <c r="E108" s="232"/>
      <c r="F108" s="216"/>
    </row>
    <row r="109" spans="2:8" ht="28" customHeight="1" x14ac:dyDescent="0.35">
      <c r="B109" s="136" t="s">
        <v>246</v>
      </c>
      <c r="C109" s="246"/>
      <c r="D109" s="225"/>
      <c r="E109" s="225"/>
      <c r="F109" s="218"/>
    </row>
    <row r="110" spans="2:8" ht="52" customHeight="1" x14ac:dyDescent="0.35">
      <c r="B110" s="138" t="s">
        <v>247</v>
      </c>
      <c r="C110" s="262"/>
      <c r="D110" s="225"/>
      <c r="E110" s="225"/>
      <c r="F110" s="218"/>
    </row>
    <row r="111" spans="2:8" ht="52" customHeight="1" x14ac:dyDescent="0.35">
      <c r="B111" s="136" t="s">
        <v>248</v>
      </c>
      <c r="C111" s="224"/>
      <c r="D111" s="225"/>
      <c r="E111" s="225"/>
      <c r="F111" s="218"/>
    </row>
    <row r="112" spans="2:8" ht="26.15" customHeight="1" x14ac:dyDescent="0.35">
      <c r="B112" s="241" t="s">
        <v>249</v>
      </c>
      <c r="C112" s="232"/>
      <c r="D112" s="232"/>
      <c r="E112" s="232"/>
      <c r="F112" s="216"/>
    </row>
    <row r="113" spans="1:7" ht="30" customHeight="1" x14ac:dyDescent="0.35">
      <c r="B113" s="138" t="s">
        <v>250</v>
      </c>
      <c r="C113" s="129" t="s">
        <v>251</v>
      </c>
      <c r="D113" s="244" t="s">
        <v>252</v>
      </c>
      <c r="E113" s="225"/>
      <c r="F113" s="218"/>
    </row>
    <row r="114" spans="1:7" ht="30" customHeight="1" x14ac:dyDescent="0.35">
      <c r="A114" s="63"/>
      <c r="B114" s="136" t="s">
        <v>253</v>
      </c>
      <c r="C114" s="262" t="s">
        <v>254</v>
      </c>
      <c r="D114" s="218"/>
      <c r="E114" s="258" t="str">
        <f>IF(AND(C113="Yes",OR(C114="None",C114="N.A. — no disconnect")),"⚠ MISSED OWNERSHIP OPPORTUNITY — flag in Customer Ownership and Critical Failures","OK")</f>
        <v>OK</v>
      </c>
      <c r="F114" s="218"/>
      <c r="G114" s="63"/>
    </row>
    <row r="115" spans="1:7" ht="22" customHeight="1" x14ac:dyDescent="0.35">
      <c r="A115" s="63"/>
      <c r="B115" s="226" t="s">
        <v>255</v>
      </c>
      <c r="C115" s="225"/>
      <c r="D115" s="225"/>
      <c r="E115" s="225"/>
      <c r="F115" s="218"/>
      <c r="G115" s="63"/>
    </row>
    <row r="116" spans="1:7" ht="18" customHeight="1" x14ac:dyDescent="0.35">
      <c r="A116" s="63"/>
      <c r="B116" s="64" t="s">
        <v>256</v>
      </c>
      <c r="C116" s="64" t="s">
        <v>257</v>
      </c>
      <c r="D116" s="237" t="s">
        <v>258</v>
      </c>
      <c r="E116" s="225"/>
      <c r="F116" s="218"/>
      <c r="G116" s="63"/>
    </row>
    <row r="117" spans="1:7" ht="28" customHeight="1" x14ac:dyDescent="0.35">
      <c r="A117" s="63"/>
      <c r="B117" s="65" t="s">
        <v>259</v>
      </c>
      <c r="C117" s="66" t="str">
        <f>IF(OR(C48="Partial",C48="Missed"),C48,"")</f>
        <v/>
      </c>
      <c r="D117" s="243" t="s">
        <v>734</v>
      </c>
      <c r="E117" s="225"/>
      <c r="F117" s="218"/>
      <c r="G117" s="63"/>
    </row>
    <row r="118" spans="1:7" ht="28" customHeight="1" x14ac:dyDescent="0.35">
      <c r="A118" s="63"/>
      <c r="B118" s="65" t="s">
        <v>735</v>
      </c>
      <c r="C118" s="66" t="str">
        <f>IF(OR(C66="Partial",C66="Missed"),C66,"")</f>
        <v/>
      </c>
      <c r="D118" s="243" t="s">
        <v>736</v>
      </c>
      <c r="E118" s="225"/>
      <c r="F118" s="218"/>
      <c r="G118" s="63"/>
    </row>
    <row r="119" spans="1:7" ht="28" customHeight="1" x14ac:dyDescent="0.35">
      <c r="A119" s="63"/>
      <c r="B119" s="65" t="s">
        <v>737</v>
      </c>
      <c r="C119" s="66" t="str">
        <f>IF(OR(C65="Partial",C65="Missed"),C65,"")</f>
        <v/>
      </c>
      <c r="D119" s="243" t="s">
        <v>260</v>
      </c>
      <c r="E119" s="225"/>
      <c r="F119" s="218"/>
      <c r="G119" s="63"/>
    </row>
    <row r="120" spans="1:7" ht="28" customHeight="1" x14ac:dyDescent="0.35">
      <c r="A120" s="63"/>
      <c r="B120" s="65" t="s">
        <v>738</v>
      </c>
      <c r="C120" s="66" t="str">
        <f>IF(OR(C37="Partial",C37="Missed"),C37,"")</f>
        <v/>
      </c>
      <c r="D120" s="243" t="s">
        <v>739</v>
      </c>
      <c r="E120" s="225"/>
      <c r="F120" s="218"/>
      <c r="G120" s="63"/>
    </row>
    <row r="121" spans="1:7" ht="28" customHeight="1" x14ac:dyDescent="0.35">
      <c r="A121" s="63"/>
      <c r="B121" s="65" t="s">
        <v>740</v>
      </c>
      <c r="C121" s="66" t="str">
        <f>IF(OR(C75="Partial",C75="Missed"),C75,"")</f>
        <v/>
      </c>
      <c r="D121" s="243" t="s">
        <v>741</v>
      </c>
      <c r="E121" s="225"/>
      <c r="F121" s="218"/>
      <c r="G121" s="63"/>
    </row>
    <row r="122" spans="1:7" ht="28" customHeight="1" x14ac:dyDescent="0.35">
      <c r="A122" s="63"/>
      <c r="B122" s="65" t="s">
        <v>742</v>
      </c>
      <c r="C122" s="66" t="str">
        <f>IF(OR(C76="Partial",C76="Missed"),C76,"")</f>
        <v/>
      </c>
      <c r="D122" s="243" t="s">
        <v>743</v>
      </c>
      <c r="E122" s="225"/>
      <c r="F122" s="218"/>
      <c r="G122" s="63"/>
    </row>
    <row r="123" spans="1:7" ht="28" customHeight="1" x14ac:dyDescent="0.35">
      <c r="A123" s="63"/>
      <c r="B123" s="65" t="s">
        <v>261</v>
      </c>
      <c r="C123" s="66" t="str">
        <f>IF(OR(C91="Partial",C91="Missed"),C91,"")</f>
        <v/>
      </c>
      <c r="D123" s="243" t="s">
        <v>262</v>
      </c>
      <c r="E123" s="225"/>
      <c r="F123" s="218"/>
      <c r="G123" s="63"/>
    </row>
    <row r="124" spans="1:7" ht="28" customHeight="1" x14ac:dyDescent="0.35">
      <c r="A124" s="63"/>
      <c r="B124" s="65" t="s">
        <v>263</v>
      </c>
      <c r="C124" s="66" t="str">
        <f>IF(OR(C103="Partial",C103="Missed"),C103,"")</f>
        <v/>
      </c>
      <c r="D124" s="243" t="s">
        <v>264</v>
      </c>
      <c r="E124" s="225"/>
      <c r="F124" s="218"/>
      <c r="G124" s="63"/>
    </row>
    <row r="125" spans="1:7" ht="22" customHeight="1" x14ac:dyDescent="0.35">
      <c r="A125" s="63"/>
      <c r="B125" s="259" t="s">
        <v>265</v>
      </c>
      <c r="C125" s="225"/>
      <c r="D125" s="225"/>
      <c r="E125" s="225"/>
      <c r="F125" s="218"/>
      <c r="G125" s="63"/>
    </row>
    <row r="126" spans="1:7" ht="22" customHeight="1" x14ac:dyDescent="0.35">
      <c r="A126" s="63"/>
      <c r="B126" s="238" t="str">
        <f>IF(COUNTIF(C117:C124,"Partial")+COUNTIF(C117:C124,"Missed")=0,"✓  No coaching flags triggered — all key indicators met",COUNTIF(C117:C124,"Partial")+COUNTIF(C117:C124,"Missed")&amp;" coaching flag(s) triggered — review and coaching action required")</f>
        <v>✓  No coaching flags triggered — all key indicators met</v>
      </c>
      <c r="C126" s="225"/>
      <c r="D126" s="225"/>
      <c r="E126" s="225"/>
      <c r="F126" s="218"/>
      <c r="G126" s="63"/>
    </row>
    <row r="127" spans="1:7" ht="65.150000000000006" customHeight="1" x14ac:dyDescent="0.35">
      <c r="A127" s="63"/>
      <c r="B127" s="257" t="str">
        <f>IF(COUNTIF(C117:C124,"Partial")+COUNTIF(C117:C124,"Missed")=0,"All key indicators met — no coaching action required",_xlfn.TEXTJOIN(CHAR(10),TRUE,IF(C117&lt;&gt;"","⚑ "&amp;B117&amp;" ["&amp;C117&amp;"]",""),IF(C118&lt;&gt;"","⚑ "&amp;B118&amp;" ["&amp;C118&amp;"]",""),IF(C119&lt;&gt;"","⚑ "&amp;B119&amp;" ["&amp;C119&amp;"]",""),IF(C120&lt;&gt;"","⚑ "&amp;B120&amp;" ["&amp;C120&amp;"]",""),IF(C121&lt;&gt;"","⚑ "&amp;B121&amp;" ["&amp;C121&amp;"]",""),IF(C122&lt;&gt;"","⚑ "&amp;B122&amp;" ["&amp;C122&amp;"]",""),IF(C123&lt;&gt;"","⚑ "&amp;B123&amp;" ["&amp;C123&amp;"]",""),IF(C124&lt;&gt;"","⚑ "&amp;B124&amp;" ["&amp;C124&amp;"]","")))</f>
        <v>All key indicators met — no coaching action required</v>
      </c>
      <c r="C127" s="225"/>
      <c r="D127" s="225"/>
      <c r="E127" s="225"/>
      <c r="F127" s="218"/>
      <c r="G127" s="63"/>
    </row>
    <row r="128" spans="1:7" ht="6" customHeight="1" x14ac:dyDescent="0.35">
      <c r="A128" s="63"/>
      <c r="B128" s="240"/>
      <c r="C128" s="232"/>
      <c r="D128" s="232"/>
      <c r="E128" s="232"/>
      <c r="F128" s="216"/>
      <c r="G128" s="63"/>
    </row>
    <row r="129" spans="1:7" ht="22" customHeight="1" x14ac:dyDescent="0.35">
      <c r="A129" s="63"/>
      <c r="B129" s="260" t="s">
        <v>266</v>
      </c>
      <c r="C129" s="232"/>
      <c r="D129" s="232"/>
      <c r="E129" s="232"/>
      <c r="F129" s="216"/>
      <c r="G129" s="63"/>
    </row>
    <row r="130" spans="1:7" ht="30" customHeight="1" x14ac:dyDescent="0.35">
      <c r="B130" s="244" t="s">
        <v>267</v>
      </c>
      <c r="C130" s="225"/>
      <c r="D130" s="225"/>
      <c r="E130" s="225"/>
      <c r="F130" s="218"/>
    </row>
    <row r="131" spans="1:7" ht="30" customHeight="1" x14ac:dyDescent="0.35">
      <c r="B131" s="1" t="s">
        <v>268</v>
      </c>
      <c r="C131" s="9" t="s">
        <v>269</v>
      </c>
      <c r="D131" s="241" t="s">
        <v>270</v>
      </c>
      <c r="E131" s="232"/>
      <c r="F131" s="216"/>
    </row>
    <row r="132" spans="1:7" ht="26.15" customHeight="1" x14ac:dyDescent="0.35">
      <c r="B132" s="130" t="s">
        <v>271</v>
      </c>
      <c r="C132" s="129" t="s">
        <v>272</v>
      </c>
      <c r="D132" s="236"/>
      <c r="E132" s="225"/>
      <c r="F132" s="218"/>
    </row>
    <row r="133" spans="1:7" ht="26.15" customHeight="1" x14ac:dyDescent="0.35">
      <c r="B133" s="130" t="s">
        <v>273</v>
      </c>
      <c r="C133" s="129" t="s">
        <v>272</v>
      </c>
      <c r="D133" s="236"/>
      <c r="E133" s="225"/>
      <c r="F133" s="218"/>
    </row>
    <row r="134" spans="1:7" ht="26.15" customHeight="1" x14ac:dyDescent="0.35">
      <c r="B134" s="130" t="s">
        <v>274</v>
      </c>
      <c r="C134" s="129" t="s">
        <v>272</v>
      </c>
      <c r="D134" s="236"/>
      <c r="E134" s="225"/>
      <c r="F134" s="218"/>
    </row>
    <row r="135" spans="1:7" ht="32.15" customHeight="1" x14ac:dyDescent="0.35">
      <c r="B135" s="1" t="s">
        <v>275</v>
      </c>
      <c r="C135" s="9" t="s">
        <v>276</v>
      </c>
      <c r="D135" s="241" t="s">
        <v>270</v>
      </c>
      <c r="E135" s="232"/>
      <c r="F135" s="216"/>
    </row>
    <row r="136" spans="1:7" ht="26.15" customHeight="1" x14ac:dyDescent="0.35">
      <c r="B136" s="130" t="s">
        <v>277</v>
      </c>
      <c r="C136" s="129" t="s">
        <v>251</v>
      </c>
      <c r="D136" s="236"/>
      <c r="E136" s="225"/>
      <c r="F136" s="218"/>
    </row>
    <row r="137" spans="1:7" ht="26.15" customHeight="1" x14ac:dyDescent="0.35">
      <c r="B137" s="130" t="s">
        <v>278</v>
      </c>
      <c r="C137" s="129" t="s">
        <v>251</v>
      </c>
      <c r="D137" s="236"/>
      <c r="E137" s="225"/>
      <c r="F137" s="218"/>
    </row>
    <row r="138" spans="1:7" ht="26.15" customHeight="1" x14ac:dyDescent="0.35">
      <c r="B138" s="130" t="s">
        <v>279</v>
      </c>
      <c r="C138" s="129" t="s">
        <v>251</v>
      </c>
      <c r="D138" s="236"/>
      <c r="E138" s="225"/>
      <c r="F138" s="218"/>
    </row>
    <row r="139" spans="1:7" ht="26.15" customHeight="1" x14ac:dyDescent="0.35">
      <c r="B139" s="130" t="s">
        <v>280</v>
      </c>
      <c r="C139" s="129" t="s">
        <v>251</v>
      </c>
      <c r="D139" s="236"/>
      <c r="E139" s="225"/>
      <c r="F139" s="218"/>
    </row>
    <row r="140" spans="1:7" ht="26.15" customHeight="1" x14ac:dyDescent="0.35">
      <c r="B140" s="130" t="s">
        <v>281</v>
      </c>
      <c r="C140" s="129" t="s">
        <v>251</v>
      </c>
      <c r="D140" s="236"/>
      <c r="E140" s="225"/>
      <c r="F140" s="218"/>
    </row>
    <row r="141" spans="1:7" ht="26.15" customHeight="1" x14ac:dyDescent="0.35">
      <c r="B141" s="130" t="s">
        <v>282</v>
      </c>
      <c r="C141" s="129" t="s">
        <v>251</v>
      </c>
      <c r="D141" s="236"/>
      <c r="E141" s="225"/>
      <c r="F141" s="218"/>
    </row>
    <row r="142" spans="1:7" ht="26.15" customHeight="1" x14ac:dyDescent="0.35">
      <c r="B142" s="130" t="s">
        <v>283</v>
      </c>
      <c r="C142" s="129" t="s">
        <v>251</v>
      </c>
      <c r="D142" s="236"/>
      <c r="E142" s="225"/>
      <c r="F142" s="218"/>
    </row>
    <row r="143" spans="1:7" ht="26.15" customHeight="1" x14ac:dyDescent="0.35">
      <c r="B143" s="130" t="s">
        <v>284</v>
      </c>
      <c r="C143" s="129" t="s">
        <v>251</v>
      </c>
      <c r="D143" s="236"/>
      <c r="E143" s="225"/>
      <c r="F143" s="218"/>
    </row>
    <row r="144" spans="1:7" ht="26.15" customHeight="1" x14ac:dyDescent="0.35">
      <c r="B144" s="130" t="s">
        <v>285</v>
      </c>
      <c r="C144" s="129" t="s">
        <v>251</v>
      </c>
      <c r="D144" s="236"/>
      <c r="E144" s="225"/>
      <c r="F144" s="218"/>
    </row>
    <row r="145" spans="2:6" ht="26.15" customHeight="1" x14ac:dyDescent="0.35">
      <c r="B145" s="130" t="s">
        <v>286</v>
      </c>
      <c r="C145" s="129" t="s">
        <v>251</v>
      </c>
      <c r="D145" s="236"/>
      <c r="E145" s="225"/>
      <c r="F145" s="218"/>
    </row>
    <row r="146" spans="2:6" ht="26.15" customHeight="1" x14ac:dyDescent="0.35">
      <c r="B146" s="130" t="s">
        <v>287</v>
      </c>
      <c r="C146" s="129" t="s">
        <v>251</v>
      </c>
      <c r="D146" s="236"/>
      <c r="E146" s="225"/>
      <c r="F146" s="218"/>
    </row>
    <row r="147" spans="2:6" ht="24" customHeight="1" x14ac:dyDescent="0.35">
      <c r="B147" s="15" t="s">
        <v>288</v>
      </c>
      <c r="C147" s="239" t="str">
        <f>IF(OR(C132="No",C133="No",C134="No",COUNTIF(C136:C146,"Yes")&gt;0),"YES — Quality Score forced to 0%","No")</f>
        <v>No</v>
      </c>
      <c r="D147" s="232"/>
      <c r="E147" s="232"/>
      <c r="F147" s="216"/>
    </row>
    <row r="148" spans="2:6" ht="20.149999999999999" customHeight="1" x14ac:dyDescent="0.35">
      <c r="B148" s="248" t="s">
        <v>289</v>
      </c>
      <c r="C148" s="232"/>
      <c r="D148" s="232"/>
      <c r="E148" s="232"/>
      <c r="F148" s="216"/>
    </row>
    <row r="149" spans="2:6" ht="30" customHeight="1" x14ac:dyDescent="0.35">
      <c r="B149" s="231" t="s">
        <v>290</v>
      </c>
      <c r="C149" s="232"/>
      <c r="D149" s="232"/>
      <c r="E149" s="232"/>
      <c r="F149" s="216"/>
    </row>
    <row r="150" spans="2:6" ht="58" customHeight="1" x14ac:dyDescent="0.35">
      <c r="B150" s="224"/>
      <c r="C150" s="225"/>
      <c r="D150" s="225"/>
      <c r="E150" s="225"/>
      <c r="F150" s="218"/>
    </row>
    <row r="151" spans="2:6" ht="30" customHeight="1" x14ac:dyDescent="0.35">
      <c r="B151" s="231" t="s">
        <v>291</v>
      </c>
      <c r="C151" s="232"/>
      <c r="D151" s="232"/>
      <c r="E151" s="232"/>
      <c r="F151" s="216"/>
    </row>
    <row r="152" spans="2:6" ht="24" customHeight="1" x14ac:dyDescent="0.35">
      <c r="B152" s="230" t="s">
        <v>292</v>
      </c>
      <c r="C152" s="225"/>
      <c r="D152" s="225"/>
      <c r="E152" s="225"/>
      <c r="F152" s="218"/>
    </row>
    <row r="153" spans="2:6" ht="32.15" customHeight="1" x14ac:dyDescent="0.35">
      <c r="B153" s="137" t="s">
        <v>235</v>
      </c>
      <c r="C153" s="224"/>
      <c r="D153" s="225"/>
      <c r="E153" s="225"/>
      <c r="F153" s="218"/>
    </row>
    <row r="154" spans="2:6" ht="32.15" customHeight="1" x14ac:dyDescent="0.35">
      <c r="B154" s="137" t="s">
        <v>236</v>
      </c>
      <c r="C154" s="224"/>
      <c r="D154" s="225"/>
      <c r="E154" s="225"/>
      <c r="F154" s="218"/>
    </row>
    <row r="155" spans="2:6" ht="32.15" customHeight="1" x14ac:dyDescent="0.35">
      <c r="B155" s="137" t="s">
        <v>237</v>
      </c>
      <c r="C155" s="224"/>
      <c r="D155" s="225"/>
      <c r="E155" s="225"/>
      <c r="F155" s="218"/>
    </row>
    <row r="156" spans="2:6" ht="24" customHeight="1" x14ac:dyDescent="0.35">
      <c r="B156" s="230" t="s">
        <v>293</v>
      </c>
      <c r="C156" s="225"/>
      <c r="D156" s="225"/>
      <c r="E156" s="225"/>
      <c r="F156" s="218"/>
    </row>
    <row r="157" spans="2:6" ht="32.15" customHeight="1" x14ac:dyDescent="0.35">
      <c r="B157" s="137" t="s">
        <v>235</v>
      </c>
      <c r="C157" s="224"/>
      <c r="D157" s="225"/>
      <c r="E157" s="225"/>
      <c r="F157" s="218"/>
    </row>
    <row r="158" spans="2:6" ht="32.15" customHeight="1" x14ac:dyDescent="0.35">
      <c r="B158" s="137" t="s">
        <v>236</v>
      </c>
      <c r="C158" s="224"/>
      <c r="D158" s="225"/>
      <c r="E158" s="225"/>
      <c r="F158" s="218"/>
    </row>
    <row r="159" spans="2:6" ht="32.15" customHeight="1" x14ac:dyDescent="0.35">
      <c r="B159" s="137" t="s">
        <v>237</v>
      </c>
      <c r="C159" s="224"/>
      <c r="D159" s="225"/>
      <c r="E159" s="225"/>
      <c r="F159" s="218"/>
    </row>
    <row r="160" spans="2:6" ht="24" customHeight="1" x14ac:dyDescent="0.35">
      <c r="B160" s="230" t="s">
        <v>294</v>
      </c>
      <c r="C160" s="225"/>
      <c r="D160" s="225"/>
      <c r="E160" s="225"/>
      <c r="F160" s="218"/>
    </row>
    <row r="161" spans="2:6" ht="58" customHeight="1" x14ac:dyDescent="0.35">
      <c r="B161" s="224"/>
      <c r="C161" s="225"/>
      <c r="D161" s="225"/>
      <c r="E161" s="225"/>
      <c r="F161" s="218"/>
    </row>
    <row r="162" spans="2:6" ht="20.149999999999999" customHeight="1" x14ac:dyDescent="0.35">
      <c r="B162" s="230" t="s">
        <v>295</v>
      </c>
      <c r="C162" s="225"/>
      <c r="D162" s="225"/>
      <c r="E162" s="225"/>
      <c r="F162" s="218"/>
    </row>
    <row r="163" spans="2:6" ht="28" customHeight="1" x14ac:dyDescent="0.35">
      <c r="B163" s="135" t="s">
        <v>235</v>
      </c>
      <c r="C163" s="224"/>
      <c r="D163" s="225"/>
      <c r="E163" s="225"/>
      <c r="F163" s="218"/>
    </row>
    <row r="164" spans="2:6" ht="28" customHeight="1" x14ac:dyDescent="0.35">
      <c r="B164" s="135" t="s">
        <v>236</v>
      </c>
      <c r="C164" s="224"/>
      <c r="D164" s="225"/>
      <c r="E164" s="225"/>
      <c r="F164" s="218"/>
    </row>
    <row r="165" spans="2:6" ht="28" customHeight="1" x14ac:dyDescent="0.35">
      <c r="B165" s="135" t="s">
        <v>237</v>
      </c>
      <c r="C165" s="234"/>
      <c r="D165" s="225"/>
      <c r="E165" s="225"/>
      <c r="F165" s="218"/>
    </row>
    <row r="166" spans="2:6" ht="32.15" customHeight="1" x14ac:dyDescent="0.35">
      <c r="B166" s="231" t="s">
        <v>296</v>
      </c>
      <c r="C166" s="232"/>
      <c r="D166" s="232"/>
      <c r="E166" s="232"/>
      <c r="F166" s="216"/>
    </row>
    <row r="167" spans="2:6" ht="24" customHeight="1" x14ac:dyDescent="0.35">
      <c r="B167" s="230" t="s">
        <v>297</v>
      </c>
      <c r="C167" s="225"/>
      <c r="D167" s="225"/>
      <c r="E167" s="225"/>
      <c r="F167" s="218"/>
    </row>
    <row r="168" spans="2:6" ht="58" customHeight="1" x14ac:dyDescent="0.35">
      <c r="B168" s="224"/>
      <c r="C168" s="225"/>
      <c r="D168" s="225"/>
      <c r="E168" s="225"/>
      <c r="F168" s="218"/>
    </row>
    <row r="169" spans="2:6" ht="24" customHeight="1" x14ac:dyDescent="0.35">
      <c r="B169" s="230" t="s">
        <v>298</v>
      </c>
      <c r="C169" s="225"/>
      <c r="D169" s="225"/>
      <c r="E169" s="225"/>
      <c r="F169" s="218"/>
    </row>
    <row r="170" spans="2:6" ht="58" customHeight="1" x14ac:dyDescent="0.35">
      <c r="B170" s="224"/>
      <c r="C170" s="225"/>
      <c r="D170" s="225"/>
      <c r="E170" s="225"/>
      <c r="F170" s="218"/>
    </row>
    <row r="171" spans="2:6" ht="24" customHeight="1" x14ac:dyDescent="0.35">
      <c r="B171" s="230" t="s">
        <v>299</v>
      </c>
      <c r="C171" s="225"/>
      <c r="D171" s="225"/>
      <c r="E171" s="225"/>
      <c r="F171" s="218"/>
    </row>
    <row r="172" spans="2:6" ht="58" customHeight="1" x14ac:dyDescent="0.35">
      <c r="B172" s="224"/>
      <c r="C172" s="225"/>
      <c r="D172" s="225"/>
      <c r="E172" s="225"/>
      <c r="F172" s="218"/>
    </row>
    <row r="173" spans="2:6" ht="24" customHeight="1" x14ac:dyDescent="0.35"/>
    <row r="174" spans="2:6" ht="58" customHeight="1" x14ac:dyDescent="0.35"/>
    <row r="175" spans="2:6" ht="20.149999999999999" customHeight="1" x14ac:dyDescent="0.35"/>
    <row r="176" spans="2:6" ht="30" customHeight="1" x14ac:dyDescent="0.35"/>
    <row r="177" ht="58" customHeight="1" x14ac:dyDescent="0.35"/>
    <row r="178" ht="30" customHeight="1" x14ac:dyDescent="0.35"/>
    <row r="179" ht="24" customHeight="1" x14ac:dyDescent="0.35"/>
    <row r="180" ht="32.15" customHeight="1" x14ac:dyDescent="0.35"/>
    <row r="181" ht="32.15" customHeight="1" x14ac:dyDescent="0.35"/>
    <row r="182" ht="32.15" customHeight="1" x14ac:dyDescent="0.35"/>
    <row r="183" ht="24" customHeight="1" x14ac:dyDescent="0.35"/>
    <row r="184" ht="32.15" customHeight="1" x14ac:dyDescent="0.35"/>
    <row r="185" ht="32.15" customHeight="1" x14ac:dyDescent="0.35"/>
    <row r="186" ht="32.15" customHeight="1" x14ac:dyDescent="0.35"/>
    <row r="187" ht="24" customHeight="1" x14ac:dyDescent="0.35"/>
    <row r="188" ht="58" customHeight="1" x14ac:dyDescent="0.35"/>
    <row r="189" ht="20.149999999999999" customHeight="1" x14ac:dyDescent="0.35"/>
    <row r="190" ht="28" customHeight="1" x14ac:dyDescent="0.35"/>
    <row r="191" ht="28" customHeight="1" x14ac:dyDescent="0.35"/>
    <row r="192" ht="28" customHeight="1" x14ac:dyDescent="0.35"/>
    <row r="193" ht="32.15" customHeight="1" x14ac:dyDescent="0.35"/>
    <row r="194" ht="24" customHeight="1" x14ac:dyDescent="0.35"/>
    <row r="195" ht="58" customHeight="1" x14ac:dyDescent="0.35"/>
    <row r="196" ht="24" customHeight="1" x14ac:dyDescent="0.35"/>
    <row r="197" ht="58" customHeight="1" x14ac:dyDescent="0.35"/>
    <row r="198" ht="24" customHeight="1" x14ac:dyDescent="0.35"/>
    <row r="199" ht="58" customHeight="1" x14ac:dyDescent="0.35"/>
    <row r="200" ht="58" customHeight="1" x14ac:dyDescent="0.35"/>
    <row r="201" ht="24" customHeight="1" x14ac:dyDescent="0.35"/>
    <row r="202" ht="58" customHeight="1" x14ac:dyDescent="0.35"/>
    <row r="203" ht="24" customHeight="1" x14ac:dyDescent="0.35"/>
    <row r="204" ht="58" customHeight="1" x14ac:dyDescent="0.35"/>
    <row r="205" ht="58" customHeight="1" x14ac:dyDescent="0.35"/>
  </sheetData>
  <mergeCells count="160">
    <mergeCell ref="B130:F130"/>
    <mergeCell ref="D56:F56"/>
    <mergeCell ref="C164:F164"/>
    <mergeCell ref="D78:F78"/>
    <mergeCell ref="B161:F161"/>
    <mergeCell ref="B77:F77"/>
    <mergeCell ref="B72:E72"/>
    <mergeCell ref="D123:F123"/>
    <mergeCell ref="D48:F48"/>
    <mergeCell ref="C153:F153"/>
    <mergeCell ref="D95:F95"/>
    <mergeCell ref="D143:F143"/>
    <mergeCell ref="C52:F52"/>
    <mergeCell ref="C110:F110"/>
    <mergeCell ref="C114:D114"/>
    <mergeCell ref="B68:F68"/>
    <mergeCell ref="D69:F69"/>
    <mergeCell ref="B1:F1"/>
    <mergeCell ref="D105:F105"/>
    <mergeCell ref="C42:F42"/>
    <mergeCell ref="E6:F6"/>
    <mergeCell ref="C85:F85"/>
    <mergeCell ref="B162:F162"/>
    <mergeCell ref="C20:F20"/>
    <mergeCell ref="D132:F132"/>
    <mergeCell ref="D35:F35"/>
    <mergeCell ref="B112:F112"/>
    <mergeCell ref="D41:F41"/>
    <mergeCell ref="D55:F55"/>
    <mergeCell ref="D101:F101"/>
    <mergeCell ref="D122:F122"/>
    <mergeCell ref="B58:F58"/>
    <mergeCell ref="C111:F111"/>
    <mergeCell ref="B53:E53"/>
    <mergeCell ref="B148:F148"/>
    <mergeCell ref="E7:F7"/>
    <mergeCell ref="D74:F74"/>
    <mergeCell ref="D124:F124"/>
    <mergeCell ref="D139:F139"/>
    <mergeCell ref="E11:F11"/>
    <mergeCell ref="D137:F137"/>
    <mergeCell ref="B172:F172"/>
    <mergeCell ref="D91:F91"/>
    <mergeCell ref="D144:F144"/>
    <mergeCell ref="C165:F165"/>
    <mergeCell ref="E114:F114"/>
    <mergeCell ref="D120:F120"/>
    <mergeCell ref="B44:F44"/>
    <mergeCell ref="D134:F134"/>
    <mergeCell ref="B125:F125"/>
    <mergeCell ref="C158:F158"/>
    <mergeCell ref="D76:F76"/>
    <mergeCell ref="D106:F106"/>
    <mergeCell ref="D64:F64"/>
    <mergeCell ref="C163:F163"/>
    <mergeCell ref="C61:F61"/>
    <mergeCell ref="B129:F129"/>
    <mergeCell ref="B167:F167"/>
    <mergeCell ref="D133:F133"/>
    <mergeCell ref="B99:F99"/>
    <mergeCell ref="D135:F135"/>
    <mergeCell ref="D57:F57"/>
    <mergeCell ref="B149:F149"/>
    <mergeCell ref="D119:F119"/>
    <mergeCell ref="D45:F45"/>
    <mergeCell ref="B171:F171"/>
    <mergeCell ref="B73:F73"/>
    <mergeCell ref="E16:F16"/>
    <mergeCell ref="B108:F108"/>
    <mergeCell ref="D142:F142"/>
    <mergeCell ref="C107:F107"/>
    <mergeCell ref="B21:F21"/>
    <mergeCell ref="C18:F18"/>
    <mergeCell ref="D36:F36"/>
    <mergeCell ref="B22:F22"/>
    <mergeCell ref="B81:F81"/>
    <mergeCell ref="E17:F17"/>
    <mergeCell ref="C154:F154"/>
    <mergeCell ref="D65:F65"/>
    <mergeCell ref="D118:F118"/>
    <mergeCell ref="B166:F166"/>
    <mergeCell ref="B170:F170"/>
    <mergeCell ref="B94:F94"/>
    <mergeCell ref="B152:F152"/>
    <mergeCell ref="B127:F127"/>
    <mergeCell ref="D103:F103"/>
    <mergeCell ref="C157:F157"/>
    <mergeCell ref="C87:F87"/>
    <mergeCell ref="D96:F96"/>
    <mergeCell ref="B169:F169"/>
    <mergeCell ref="B33:E33"/>
    <mergeCell ref="D79:F79"/>
    <mergeCell ref="D131:F131"/>
    <mergeCell ref="C19:F19"/>
    <mergeCell ref="D146:F146"/>
    <mergeCell ref="B2:F2"/>
    <mergeCell ref="D37:F37"/>
    <mergeCell ref="D90:F90"/>
    <mergeCell ref="B39:F39"/>
    <mergeCell ref="B88:E88"/>
    <mergeCell ref="D136:F136"/>
    <mergeCell ref="B49:F49"/>
    <mergeCell ref="B150:F150"/>
    <mergeCell ref="D117:F117"/>
    <mergeCell ref="B82:C83"/>
    <mergeCell ref="B34:F34"/>
    <mergeCell ref="D113:F113"/>
    <mergeCell ref="E12:F12"/>
    <mergeCell ref="B84:F84"/>
    <mergeCell ref="D140:F140"/>
    <mergeCell ref="D40:F40"/>
    <mergeCell ref="D75:F75"/>
    <mergeCell ref="D50:F50"/>
    <mergeCell ref="E4:F4"/>
    <mergeCell ref="D121:F121"/>
    <mergeCell ref="D93:F93"/>
    <mergeCell ref="B104:F104"/>
    <mergeCell ref="C80:F80"/>
    <mergeCell ref="B3:F3"/>
    <mergeCell ref="D59:F59"/>
    <mergeCell ref="C109:F109"/>
    <mergeCell ref="C71:F71"/>
    <mergeCell ref="B15:F15"/>
    <mergeCell ref="D70:F70"/>
    <mergeCell ref="B62:E62"/>
    <mergeCell ref="B98:E98"/>
    <mergeCell ref="D92:F92"/>
    <mergeCell ref="B63:F63"/>
    <mergeCell ref="C97:F97"/>
    <mergeCell ref="E10:F10"/>
    <mergeCell ref="B89:F89"/>
    <mergeCell ref="D100:F100"/>
    <mergeCell ref="E9:F9"/>
    <mergeCell ref="B32:F32"/>
    <mergeCell ref="D46:F46"/>
    <mergeCell ref="D38:F38"/>
    <mergeCell ref="B168:F168"/>
    <mergeCell ref="B115:F115"/>
    <mergeCell ref="B54:F54"/>
    <mergeCell ref="E8:F8"/>
    <mergeCell ref="C13:F13"/>
    <mergeCell ref="B156:F156"/>
    <mergeCell ref="C155:F155"/>
    <mergeCell ref="B151:F151"/>
    <mergeCell ref="B160:F160"/>
    <mergeCell ref="C159:F159"/>
    <mergeCell ref="D66:F66"/>
    <mergeCell ref="D102:F102"/>
    <mergeCell ref="C14:F14"/>
    <mergeCell ref="C86:F86"/>
    <mergeCell ref="D51:F51"/>
    <mergeCell ref="D141:F141"/>
    <mergeCell ref="D60:F60"/>
    <mergeCell ref="D116:F116"/>
    <mergeCell ref="B126:F126"/>
    <mergeCell ref="C147:F147"/>
    <mergeCell ref="B128:F128"/>
    <mergeCell ref="D138:F138"/>
    <mergeCell ref="D145:F145"/>
    <mergeCell ref="B43:E43"/>
  </mergeCells>
  <conditionalFormatting sqref="C36:C38 C46:C48 C56:C57 C101:C103">
    <cfRule type="cellIs" dxfId="68" priority="64" operator="equal">
      <formula>"Partial"</formula>
    </cfRule>
    <cfRule type="cellIs" dxfId="67" priority="64" operator="equal">
      <formula>"Missed"</formula>
    </cfRule>
    <cfRule type="cellIs" dxfId="66" priority="64" operator="equal">
      <formula>"Met"</formula>
    </cfRule>
  </conditionalFormatting>
  <conditionalFormatting sqref="C42">
    <cfRule type="expression" dxfId="65" priority="57">
      <formula>AND(C41&lt;&gt;"",C42="")</formula>
    </cfRule>
  </conditionalFormatting>
  <conditionalFormatting sqref="C52">
    <cfRule type="expression" dxfId="64" priority="58">
      <formula>AND(C51&lt;&gt;"",C52="")</formula>
    </cfRule>
  </conditionalFormatting>
  <conditionalFormatting sqref="C61">
    <cfRule type="expression" dxfId="63" priority="59">
      <formula>AND(C60&lt;&gt;"",C61="")</formula>
    </cfRule>
  </conditionalFormatting>
  <conditionalFormatting sqref="C65:C67">
    <cfRule type="cellIs" dxfId="62" priority="67" operator="equal">
      <formula>"Met"</formula>
    </cfRule>
    <cfRule type="cellIs" dxfId="61" priority="68" operator="equal">
      <formula>"Missed"</formula>
    </cfRule>
    <cfRule type="cellIs" dxfId="60" priority="67" operator="equal">
      <formula>"Partial"</formula>
    </cfRule>
  </conditionalFormatting>
  <conditionalFormatting sqref="C71">
    <cfRule type="expression" dxfId="59" priority="60">
      <formula>AND(C70&lt;&gt;"",C71="")</formula>
    </cfRule>
  </conditionalFormatting>
  <conditionalFormatting sqref="C75:C76 C91:C93">
    <cfRule type="cellIs" dxfId="58" priority="69" operator="equal">
      <formula>"Met"</formula>
    </cfRule>
    <cfRule type="cellIs" dxfId="57" priority="70" operator="equal">
      <formula>"Partial"</formula>
    </cfRule>
    <cfRule type="cellIs" dxfId="56" priority="71" operator="equal">
      <formula>"Missed"</formula>
    </cfRule>
  </conditionalFormatting>
  <conditionalFormatting sqref="C80">
    <cfRule type="expression" dxfId="55" priority="61">
      <formula>AND(C79&lt;&gt;"",C80="")</formula>
    </cfRule>
  </conditionalFormatting>
  <conditionalFormatting sqref="C97">
    <cfRule type="expression" dxfId="54" priority="62">
      <formula>AND(C96&lt;&gt;"",C97="")</formula>
    </cfRule>
  </conditionalFormatting>
  <conditionalFormatting sqref="C107">
    <cfRule type="expression" dxfId="53" priority="63">
      <formula>AND(C106&lt;&gt;"",C107="")</formula>
    </cfRule>
  </conditionalFormatting>
  <conditionalFormatting sqref="C117:C124">
    <cfRule type="cellIs" dxfId="52" priority="54" operator="equal">
      <formula>"Partial"</formula>
    </cfRule>
    <cfRule type="cellIs" dxfId="51" priority="55" operator="equal">
      <formula>"Missed"</formula>
    </cfRule>
  </conditionalFormatting>
  <conditionalFormatting sqref="C132:C134">
    <cfRule type="cellIs" dxfId="50" priority="89" operator="equal">
      <formula>"No"</formula>
    </cfRule>
    <cfRule type="cellIs" dxfId="49" priority="90" operator="equal">
      <formula>"Yes"</formula>
    </cfRule>
  </conditionalFormatting>
  <conditionalFormatting sqref="C136:C146">
    <cfRule type="cellIs" dxfId="48" priority="92" operator="equal">
      <formula>"No"</formula>
    </cfRule>
    <cfRule type="cellIs" dxfId="47" priority="91" operator="equal">
      <formula>"Yes"</formula>
    </cfRule>
  </conditionalFormatting>
  <conditionalFormatting sqref="D24:D30">
    <cfRule type="expression" dxfId="46" priority="79">
      <formula>AND(ISNUMBER($D24),$D24=3)</formula>
    </cfRule>
    <cfRule type="expression" dxfId="45" priority="80">
      <formula>AND(ISNUMBER($D24),$D24&gt;=4)</formula>
    </cfRule>
    <cfRule type="expression" dxfId="44" priority="78">
      <formula>AND(ISNUMBER($D24),$D24&lt;=2)</formula>
    </cfRule>
  </conditionalFormatting>
  <conditionalFormatting sqref="E31">
    <cfRule type="expression" dxfId="43" priority="48">
      <formula>AND($E$31&lt;&gt;"",$E$31&lt;0.7)</formula>
    </cfRule>
    <cfRule type="expression" dxfId="42" priority="47">
      <formula>AND($E$31&lt;&gt;"",$E$31&gt;=0.7,$E$31&lt;0.85)</formula>
    </cfRule>
    <cfRule type="expression" dxfId="41" priority="46">
      <formula>AND($E$31&lt;&gt;"",$E$31&gt;=0.85)</formula>
    </cfRule>
  </conditionalFormatting>
  <conditionalFormatting sqref="E114">
    <cfRule type="expression" dxfId="40" priority="87">
      <formula>$E114="OK"</formula>
    </cfRule>
    <cfRule type="expression" dxfId="39" priority="88">
      <formula>$E114&lt;&gt;"OK"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C38 C56:C57 C75:C76 C91:C93 C101:C103 C65:C67 C46:C48" xr:uid="{00000000-0002-0000-0200-000000000000}">
      <formula1>"Met,Partial,Missed,N.A."</formula1>
    </dataValidation>
    <dataValidation type="whole" allowBlank="1" sqref="C41 C51 C60 C70 C79 C96 C106" xr:uid="{00000000-0002-0000-0200-000001000000}">
      <formula1>0</formula1>
    </dataValidation>
    <dataValidation type="list" allowBlank="1" sqref="C113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09" xr:uid="{00000000-0002-0000-0200-000007000000}">
      <formula1>"Successful Resolution,Partial Resolution,Appropriate Escalation,Ownership Gap,Unresolved"</formula1>
    </dataValidation>
    <dataValidation type="list" allowBlank="1" sqref="C110"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14" xr:uid="{00000000-0002-0000-0200-000009000000}">
      <formula1>"Callback attempt,Follow-up email,Private note documenting actions,Documented why follow-up not possible,None,N.A. — no disconnect"</formula1>
    </dataValidation>
    <dataValidation type="list" allowBlank="1" sqref="C132:C134"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2:F42 C52:F52 C61:F61 C71:F71 C80:F80 C97:F97 C107:F107"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36"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37"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38"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39"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40"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41"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42"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43"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44"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45"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46"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50"/>
  <sheetViews>
    <sheetView workbookViewId="0">
      <pane xSplit="1" ySplit="4" topLeftCell="B5" activePane="bottomRight" state="frozen"/>
      <selection pane="topRight"/>
      <selection pane="bottomLeft"/>
      <selection pane="bottomRight"/>
    </sheetView>
  </sheetViews>
  <sheetFormatPr defaultRowHeight="14.5" x14ac:dyDescent="0.35"/>
  <cols>
    <col min="1" max="1" width="3" customWidth="1"/>
    <col min="2" max="2" width="52" customWidth="1"/>
    <col min="3" max="3" width="18" customWidth="1"/>
    <col min="4" max="4" width="68" customWidth="1"/>
    <col min="5" max="5" width="56" customWidth="1"/>
  </cols>
  <sheetData>
    <row r="1" spans="2:5" ht="28" customHeight="1" x14ac:dyDescent="0.35">
      <c r="B1" s="263" t="s">
        <v>300</v>
      </c>
      <c r="C1" s="211"/>
      <c r="D1" s="211"/>
      <c r="E1" s="211"/>
    </row>
    <row r="2" spans="2:5" ht="30" customHeight="1" x14ac:dyDescent="0.35">
      <c r="B2" s="266" t="s">
        <v>301</v>
      </c>
      <c r="C2" s="211"/>
      <c r="D2" s="211"/>
      <c r="E2" s="211"/>
    </row>
    <row r="3" spans="2:5" ht="6" customHeight="1" x14ac:dyDescent="0.35">
      <c r="B3" s="63"/>
      <c r="C3" s="63"/>
      <c r="D3" s="63"/>
      <c r="E3" s="63"/>
    </row>
    <row r="4" spans="2:5" ht="20.149999999999999" customHeight="1" x14ac:dyDescent="0.35">
      <c r="B4" s="177" t="s">
        <v>209</v>
      </c>
      <c r="C4" s="177" t="s">
        <v>193</v>
      </c>
      <c r="D4" s="177" t="s">
        <v>302</v>
      </c>
      <c r="E4" s="177" t="s">
        <v>303</v>
      </c>
    </row>
    <row r="5" spans="2:5" ht="20.149999999999999" customHeight="1" x14ac:dyDescent="0.35">
      <c r="B5" s="264" t="s">
        <v>206</v>
      </c>
      <c r="C5" s="211"/>
      <c r="D5" s="211"/>
      <c r="E5" s="211"/>
    </row>
    <row r="6" spans="2:5" ht="28" customHeight="1" x14ac:dyDescent="0.35">
      <c r="B6" s="265" t="s">
        <v>304</v>
      </c>
      <c r="C6" s="211"/>
      <c r="D6" s="211"/>
      <c r="E6" s="211"/>
    </row>
    <row r="7" spans="2:5" ht="90" customHeight="1" x14ac:dyDescent="0.35">
      <c r="B7" s="178" t="s">
        <v>715</v>
      </c>
      <c r="C7" s="179" t="s">
        <v>305</v>
      </c>
      <c r="D7" s="180" t="s">
        <v>744</v>
      </c>
      <c r="E7" s="181" t="s">
        <v>745</v>
      </c>
    </row>
    <row r="8" spans="2:5" ht="90" customHeight="1" x14ac:dyDescent="0.35">
      <c r="B8" s="182" t="s">
        <v>716</v>
      </c>
      <c r="C8" s="183" t="s">
        <v>305</v>
      </c>
      <c r="D8" s="184" t="s">
        <v>948</v>
      </c>
      <c r="E8" s="185" t="s">
        <v>746</v>
      </c>
    </row>
    <row r="9" spans="2:5" ht="90" customHeight="1" x14ac:dyDescent="0.35">
      <c r="B9" s="178" t="s">
        <v>717</v>
      </c>
      <c r="C9" s="186" t="s">
        <v>306</v>
      </c>
      <c r="D9" s="180" t="s">
        <v>949</v>
      </c>
      <c r="E9" s="181" t="s">
        <v>950</v>
      </c>
    </row>
    <row r="10" spans="2:5" ht="8.15" customHeight="1" x14ac:dyDescent="0.35">
      <c r="B10" s="63"/>
      <c r="C10" s="63"/>
      <c r="D10" s="63"/>
      <c r="E10" s="63"/>
    </row>
    <row r="11" spans="2:5" ht="20.149999999999999" customHeight="1" x14ac:dyDescent="0.35">
      <c r="B11" s="264" t="s">
        <v>217</v>
      </c>
      <c r="C11" s="211"/>
      <c r="D11" s="211"/>
      <c r="E11" s="211"/>
    </row>
    <row r="12" spans="2:5" ht="28" customHeight="1" x14ac:dyDescent="0.35">
      <c r="B12" s="265" t="s">
        <v>307</v>
      </c>
      <c r="C12" s="211"/>
      <c r="D12" s="211"/>
      <c r="E12" s="211"/>
    </row>
    <row r="13" spans="2:5" ht="90" customHeight="1" x14ac:dyDescent="0.35">
      <c r="B13" s="178" t="s">
        <v>718</v>
      </c>
      <c r="C13" s="179" t="s">
        <v>305</v>
      </c>
      <c r="D13" s="180" t="s">
        <v>747</v>
      </c>
      <c r="E13" s="181" t="s">
        <v>951</v>
      </c>
    </row>
    <row r="14" spans="2:5" ht="90" customHeight="1" x14ac:dyDescent="0.35">
      <c r="B14" s="182" t="s">
        <v>719</v>
      </c>
      <c r="C14" s="179" t="s">
        <v>306</v>
      </c>
      <c r="D14" s="184" t="s">
        <v>952</v>
      </c>
      <c r="E14" s="185" t="s">
        <v>748</v>
      </c>
    </row>
    <row r="15" spans="2:5" ht="90" customHeight="1" x14ac:dyDescent="0.35">
      <c r="B15" s="182" t="s">
        <v>720</v>
      </c>
      <c r="C15" s="186" t="s">
        <v>305</v>
      </c>
      <c r="D15" s="184" t="s">
        <v>749</v>
      </c>
      <c r="E15" s="185" t="s">
        <v>750</v>
      </c>
    </row>
    <row r="16" spans="2:5" ht="8.15" customHeight="1" x14ac:dyDescent="0.35">
      <c r="B16" s="63"/>
      <c r="C16" s="63"/>
      <c r="D16" s="63"/>
      <c r="E16" s="63"/>
    </row>
    <row r="17" spans="2:5" ht="20.149999999999999" customHeight="1" x14ac:dyDescent="0.35">
      <c r="B17" s="264" t="s">
        <v>221</v>
      </c>
      <c r="C17" s="211"/>
      <c r="D17" s="211"/>
      <c r="E17" s="211"/>
    </row>
    <row r="18" spans="2:5" ht="28" customHeight="1" x14ac:dyDescent="0.35">
      <c r="B18" s="265" t="s">
        <v>308</v>
      </c>
      <c r="C18" s="211"/>
      <c r="D18" s="211"/>
      <c r="E18" s="211"/>
    </row>
    <row r="19" spans="2:5" ht="90" customHeight="1" x14ac:dyDescent="0.35">
      <c r="B19" s="178" t="s">
        <v>721</v>
      </c>
      <c r="C19" s="186" t="s">
        <v>305</v>
      </c>
      <c r="D19" s="180" t="s">
        <v>751</v>
      </c>
      <c r="E19" s="181" t="s">
        <v>752</v>
      </c>
    </row>
    <row r="20" spans="2:5" ht="90" customHeight="1" x14ac:dyDescent="0.35">
      <c r="B20" s="182" t="s">
        <v>722</v>
      </c>
      <c r="C20" s="179" t="s">
        <v>305</v>
      </c>
      <c r="D20" s="184" t="s">
        <v>753</v>
      </c>
      <c r="E20" s="185" t="s">
        <v>953</v>
      </c>
    </row>
    <row r="21" spans="2:5" ht="8.15" customHeight="1" x14ac:dyDescent="0.35">
      <c r="B21" s="63"/>
      <c r="C21" s="63"/>
      <c r="D21" s="63"/>
      <c r="E21" s="63"/>
    </row>
    <row r="22" spans="2:5" ht="20.149999999999999" customHeight="1" x14ac:dyDescent="0.35">
      <c r="B22" s="264" t="s">
        <v>225</v>
      </c>
      <c r="C22" s="211"/>
      <c r="D22" s="211"/>
      <c r="E22" s="211"/>
    </row>
    <row r="23" spans="2:5" ht="28" customHeight="1" x14ac:dyDescent="0.35">
      <c r="B23" s="265" t="s">
        <v>309</v>
      </c>
      <c r="C23" s="211"/>
      <c r="D23" s="211"/>
      <c r="E23" s="211"/>
    </row>
    <row r="24" spans="2:5" ht="90" customHeight="1" x14ac:dyDescent="0.35">
      <c r="B24" s="178" t="s">
        <v>723</v>
      </c>
      <c r="C24" s="179" t="s">
        <v>305</v>
      </c>
      <c r="D24" s="180" t="s">
        <v>754</v>
      </c>
      <c r="E24" s="181" t="s">
        <v>755</v>
      </c>
    </row>
    <row r="25" spans="2:5" ht="90" customHeight="1" x14ac:dyDescent="0.35">
      <c r="B25" s="182" t="s">
        <v>724</v>
      </c>
      <c r="C25" s="183" t="s">
        <v>306</v>
      </c>
      <c r="D25" s="184" t="s">
        <v>756</v>
      </c>
      <c r="E25" s="185" t="s">
        <v>757</v>
      </c>
    </row>
    <row r="26" spans="2:5" ht="90" customHeight="1" x14ac:dyDescent="0.35">
      <c r="B26" s="178" t="s">
        <v>758</v>
      </c>
      <c r="C26" s="183" t="s">
        <v>306</v>
      </c>
      <c r="D26" s="180" t="s">
        <v>759</v>
      </c>
      <c r="E26" s="181" t="s">
        <v>760</v>
      </c>
    </row>
    <row r="27" spans="2:5" ht="8.15" customHeight="1" x14ac:dyDescent="0.35">
      <c r="B27" s="63"/>
      <c r="C27" s="63"/>
      <c r="D27" s="63"/>
      <c r="E27" s="63"/>
    </row>
    <row r="28" spans="2:5" ht="20.149999999999999" customHeight="1" x14ac:dyDescent="0.35">
      <c r="B28" s="264" t="s">
        <v>228</v>
      </c>
      <c r="C28" s="211"/>
      <c r="D28" s="211"/>
      <c r="E28" s="211"/>
    </row>
    <row r="29" spans="2:5" ht="28" customHeight="1" x14ac:dyDescent="0.35">
      <c r="B29" s="265" t="s">
        <v>310</v>
      </c>
      <c r="C29" s="211"/>
      <c r="D29" s="211"/>
      <c r="E29" s="211"/>
    </row>
    <row r="30" spans="2:5" ht="90" customHeight="1" x14ac:dyDescent="0.35">
      <c r="B30" s="178" t="s">
        <v>761</v>
      </c>
      <c r="C30" s="179" t="s">
        <v>305</v>
      </c>
      <c r="D30" s="180" t="s">
        <v>954</v>
      </c>
      <c r="E30" s="181" t="s">
        <v>762</v>
      </c>
    </row>
    <row r="31" spans="2:5" ht="90" customHeight="1" x14ac:dyDescent="0.35">
      <c r="B31" s="182" t="s">
        <v>763</v>
      </c>
      <c r="C31" s="183" t="s">
        <v>306</v>
      </c>
      <c r="D31" s="184" t="s">
        <v>764</v>
      </c>
      <c r="E31" s="185" t="s">
        <v>765</v>
      </c>
    </row>
    <row r="32" spans="2:5" ht="8.15" customHeight="1" x14ac:dyDescent="0.35">
      <c r="B32" s="63"/>
      <c r="C32" s="63"/>
      <c r="D32" s="63"/>
      <c r="E32" s="63"/>
    </row>
    <row r="33" spans="2:5" ht="20.149999999999999" customHeight="1" x14ac:dyDescent="0.35">
      <c r="B33" s="264" t="s">
        <v>238</v>
      </c>
      <c r="C33" s="211"/>
      <c r="D33" s="211"/>
      <c r="E33" s="211"/>
    </row>
    <row r="34" spans="2:5" ht="28" customHeight="1" x14ac:dyDescent="0.35">
      <c r="B34" s="265" t="s">
        <v>311</v>
      </c>
      <c r="C34" s="211"/>
      <c r="D34" s="211"/>
      <c r="E34" s="211"/>
    </row>
    <row r="35" spans="2:5" ht="90" customHeight="1" x14ac:dyDescent="0.35">
      <c r="B35" s="178" t="s">
        <v>728</v>
      </c>
      <c r="C35" s="183" t="s">
        <v>305</v>
      </c>
      <c r="D35" s="180" t="s">
        <v>766</v>
      </c>
      <c r="E35" s="181" t="s">
        <v>767</v>
      </c>
    </row>
    <row r="36" spans="2:5" ht="90" customHeight="1" x14ac:dyDescent="0.35">
      <c r="B36" s="182" t="s">
        <v>729</v>
      </c>
      <c r="C36" s="179" t="s">
        <v>306</v>
      </c>
      <c r="D36" s="184" t="s">
        <v>768</v>
      </c>
      <c r="E36" s="185" t="s">
        <v>769</v>
      </c>
    </row>
    <row r="37" spans="2:5" ht="90" customHeight="1" x14ac:dyDescent="0.35">
      <c r="B37" s="178" t="s">
        <v>730</v>
      </c>
      <c r="C37" s="186" t="s">
        <v>306</v>
      </c>
      <c r="D37" s="180" t="s">
        <v>955</v>
      </c>
      <c r="E37" s="181" t="s">
        <v>956</v>
      </c>
    </row>
    <row r="38" spans="2:5" ht="8.15" customHeight="1" x14ac:dyDescent="0.35">
      <c r="B38" s="63"/>
      <c r="C38" s="63"/>
      <c r="D38" s="63"/>
      <c r="E38" s="63"/>
    </row>
    <row r="39" spans="2:5" ht="20.149999999999999" customHeight="1" x14ac:dyDescent="0.35">
      <c r="B39" s="264" t="s">
        <v>242</v>
      </c>
      <c r="C39" s="211"/>
      <c r="D39" s="211"/>
      <c r="E39" s="211"/>
    </row>
    <row r="40" spans="2:5" ht="28" customHeight="1" x14ac:dyDescent="0.35">
      <c r="B40" s="265" t="s">
        <v>312</v>
      </c>
      <c r="C40" s="211"/>
      <c r="D40" s="211"/>
      <c r="E40" s="211"/>
    </row>
    <row r="41" spans="2:5" ht="90" customHeight="1" x14ac:dyDescent="0.35">
      <c r="B41" s="178" t="s">
        <v>731</v>
      </c>
      <c r="C41" s="179" t="s">
        <v>305</v>
      </c>
      <c r="D41" s="180" t="s">
        <v>770</v>
      </c>
      <c r="E41" s="181" t="s">
        <v>771</v>
      </c>
    </row>
    <row r="42" spans="2:5" ht="90" customHeight="1" x14ac:dyDescent="0.35">
      <c r="B42" s="182" t="s">
        <v>732</v>
      </c>
      <c r="C42" s="179" t="s">
        <v>306</v>
      </c>
      <c r="D42" s="184" t="s">
        <v>772</v>
      </c>
      <c r="E42" s="185" t="s">
        <v>773</v>
      </c>
    </row>
    <row r="43" spans="2:5" ht="90" customHeight="1" x14ac:dyDescent="0.35">
      <c r="B43" s="182" t="s">
        <v>733</v>
      </c>
      <c r="C43" s="179" t="s">
        <v>306</v>
      </c>
      <c r="D43" s="184" t="s">
        <v>774</v>
      </c>
      <c r="E43" s="185" t="s">
        <v>775</v>
      </c>
    </row>
    <row r="44" spans="2:5" ht="8.15" customHeight="1" x14ac:dyDescent="0.35">
      <c r="B44" s="63"/>
      <c r="C44" s="63"/>
      <c r="D44" s="63"/>
      <c r="E44" s="63"/>
    </row>
    <row r="45" spans="2:5" ht="29" x14ac:dyDescent="0.35">
      <c r="B45" s="194" t="s">
        <v>957</v>
      </c>
    </row>
    <row r="46" spans="2:5" ht="43.5" x14ac:dyDescent="0.35">
      <c r="B46" s="175" t="s">
        <v>958</v>
      </c>
    </row>
    <row r="47" spans="2:5" ht="58" x14ac:dyDescent="0.35">
      <c r="B47" s="175" t="s">
        <v>959</v>
      </c>
    </row>
    <row r="48" spans="2:5" ht="43.5" x14ac:dyDescent="0.35">
      <c r="B48" s="175" t="s">
        <v>960</v>
      </c>
    </row>
    <row r="49" spans="2:2" ht="58" x14ac:dyDescent="0.35">
      <c r="B49" s="175" t="s">
        <v>961</v>
      </c>
    </row>
    <row r="50" spans="2:2" ht="72.5" x14ac:dyDescent="0.35">
      <c r="B50" s="175" t="s">
        <v>962</v>
      </c>
    </row>
  </sheetData>
  <mergeCells count="16">
    <mergeCell ref="B40:E40"/>
    <mergeCell ref="B23:E23"/>
    <mergeCell ref="B12:E12"/>
    <mergeCell ref="B29:E29"/>
    <mergeCell ref="B17:E17"/>
    <mergeCell ref="B22:E22"/>
    <mergeCell ref="B34:E34"/>
    <mergeCell ref="B18:E18"/>
    <mergeCell ref="B33:E33"/>
    <mergeCell ref="B1:E1"/>
    <mergeCell ref="B39:E39"/>
    <mergeCell ref="B6:E6"/>
    <mergeCell ref="B28:E28"/>
    <mergeCell ref="B5:E5"/>
    <mergeCell ref="B2:E2"/>
    <mergeCell ref="B11:E1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2"/>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74" t="s">
        <v>313</v>
      </c>
      <c r="B1" s="211"/>
      <c r="C1" s="211"/>
      <c r="D1" s="211"/>
      <c r="E1" s="211"/>
    </row>
    <row r="2" spans="1:5" ht="18" customHeight="1" x14ac:dyDescent="0.35">
      <c r="A2" s="275" t="s">
        <v>314</v>
      </c>
      <c r="B2" s="211"/>
      <c r="C2" s="211"/>
      <c r="D2" s="211"/>
      <c r="E2" s="211"/>
    </row>
    <row r="3" spans="1:5" ht="22" customHeight="1" x14ac:dyDescent="0.35">
      <c r="A3" s="47" t="s">
        <v>315</v>
      </c>
      <c r="B3" s="47" t="s">
        <v>209</v>
      </c>
      <c r="C3" s="47" t="s">
        <v>257</v>
      </c>
      <c r="D3" s="47" t="s">
        <v>316</v>
      </c>
      <c r="E3" s="47" t="s">
        <v>317</v>
      </c>
    </row>
    <row r="4" spans="1:5" ht="72" customHeight="1" x14ac:dyDescent="0.35">
      <c r="A4" s="269" t="s">
        <v>318</v>
      </c>
      <c r="B4" s="271" t="s">
        <v>776</v>
      </c>
      <c r="C4" s="48" t="s">
        <v>319</v>
      </c>
      <c r="D4" s="49" t="s">
        <v>777</v>
      </c>
      <c r="E4" s="50" t="s">
        <v>778</v>
      </c>
    </row>
    <row r="5" spans="1:5" ht="72" customHeight="1" x14ac:dyDescent="0.35">
      <c r="A5" s="270"/>
      <c r="B5" s="272"/>
      <c r="C5" s="51" t="s">
        <v>320</v>
      </c>
      <c r="D5" s="52" t="s">
        <v>779</v>
      </c>
      <c r="E5" s="53" t="s">
        <v>780</v>
      </c>
    </row>
    <row r="6" spans="1:5" ht="72" customHeight="1" x14ac:dyDescent="0.35">
      <c r="A6" s="270"/>
      <c r="B6" s="272"/>
      <c r="C6" s="54" t="s">
        <v>321</v>
      </c>
      <c r="D6" s="55" t="s">
        <v>781</v>
      </c>
      <c r="E6" s="56" t="s">
        <v>782</v>
      </c>
    </row>
    <row r="7" spans="1:5" ht="72" customHeight="1" x14ac:dyDescent="0.35">
      <c r="A7" s="270"/>
      <c r="B7" s="273"/>
      <c r="C7" s="57" t="s">
        <v>550</v>
      </c>
      <c r="D7" s="58" t="s">
        <v>783</v>
      </c>
      <c r="E7" s="59"/>
    </row>
    <row r="8" spans="1:5" ht="72" customHeight="1" x14ac:dyDescent="0.35">
      <c r="A8" s="270"/>
      <c r="B8" s="271" t="s">
        <v>784</v>
      </c>
      <c r="C8" s="48" t="s">
        <v>319</v>
      </c>
      <c r="D8" s="49" t="s">
        <v>785</v>
      </c>
      <c r="E8" s="50" t="s">
        <v>786</v>
      </c>
    </row>
    <row r="9" spans="1:5" ht="72" customHeight="1" x14ac:dyDescent="0.35">
      <c r="A9" s="270"/>
      <c r="B9" s="272"/>
      <c r="C9" s="51" t="s">
        <v>320</v>
      </c>
      <c r="D9" s="52" t="s">
        <v>787</v>
      </c>
      <c r="E9" s="53" t="s">
        <v>788</v>
      </c>
    </row>
    <row r="10" spans="1:5" ht="72" customHeight="1" x14ac:dyDescent="0.35">
      <c r="A10" s="270"/>
      <c r="B10" s="272"/>
      <c r="C10" s="54" t="s">
        <v>321</v>
      </c>
      <c r="D10" s="55" t="s">
        <v>789</v>
      </c>
      <c r="E10" s="56" t="s">
        <v>790</v>
      </c>
    </row>
    <row r="11" spans="1:5" ht="72" customHeight="1" x14ac:dyDescent="0.35">
      <c r="A11" s="270"/>
      <c r="B11" s="273"/>
      <c r="C11" s="57" t="s">
        <v>550</v>
      </c>
      <c r="D11" s="58" t="s">
        <v>791</v>
      </c>
      <c r="E11" s="59"/>
    </row>
    <row r="12" spans="1:5" ht="72" customHeight="1" x14ac:dyDescent="0.35">
      <c r="A12" s="270"/>
      <c r="B12" s="271" t="s">
        <v>792</v>
      </c>
      <c r="C12" s="48" t="s">
        <v>319</v>
      </c>
      <c r="D12" s="49" t="s">
        <v>793</v>
      </c>
      <c r="E12" s="50" t="s">
        <v>794</v>
      </c>
    </row>
    <row r="13" spans="1:5" ht="72" customHeight="1" x14ac:dyDescent="0.35">
      <c r="A13" s="270"/>
      <c r="B13" s="272"/>
      <c r="C13" s="51" t="s">
        <v>320</v>
      </c>
      <c r="D13" s="52" t="s">
        <v>795</v>
      </c>
      <c r="E13" s="53" t="s">
        <v>796</v>
      </c>
    </row>
    <row r="14" spans="1:5" ht="72" customHeight="1" x14ac:dyDescent="0.35">
      <c r="A14" s="270"/>
      <c r="B14" s="272"/>
      <c r="C14" s="54" t="s">
        <v>321</v>
      </c>
      <c r="D14" s="55" t="s">
        <v>797</v>
      </c>
      <c r="E14" s="56" t="s">
        <v>798</v>
      </c>
    </row>
    <row r="15" spans="1:5" ht="72" customHeight="1" x14ac:dyDescent="0.35">
      <c r="A15" s="270"/>
      <c r="B15" s="273"/>
      <c r="C15" s="57" t="s">
        <v>550</v>
      </c>
      <c r="D15" s="58" t="s">
        <v>799</v>
      </c>
      <c r="E15" s="59"/>
    </row>
    <row r="16" spans="1:5" ht="72" customHeight="1" x14ac:dyDescent="0.35">
      <c r="A16" s="267" t="s">
        <v>322</v>
      </c>
      <c r="B16" s="271" t="s">
        <v>800</v>
      </c>
      <c r="C16" s="48" t="s">
        <v>319</v>
      </c>
      <c r="D16" s="49" t="s">
        <v>801</v>
      </c>
      <c r="E16" s="50" t="s">
        <v>802</v>
      </c>
    </row>
    <row r="17" spans="1:5" ht="72" customHeight="1" x14ac:dyDescent="0.35">
      <c r="A17" s="267"/>
      <c r="B17" s="272"/>
      <c r="C17" s="51" t="s">
        <v>320</v>
      </c>
      <c r="D17" s="52" t="s">
        <v>803</v>
      </c>
      <c r="E17" s="53" t="s">
        <v>804</v>
      </c>
    </row>
    <row r="18" spans="1:5" ht="72" customHeight="1" x14ac:dyDescent="0.35">
      <c r="A18" s="267"/>
      <c r="B18" s="272"/>
      <c r="C18" s="54" t="s">
        <v>321</v>
      </c>
      <c r="D18" s="55" t="s">
        <v>805</v>
      </c>
      <c r="E18" s="56" t="s">
        <v>806</v>
      </c>
    </row>
    <row r="19" spans="1:5" ht="72" customHeight="1" x14ac:dyDescent="0.35">
      <c r="A19" s="267"/>
      <c r="B19" s="273"/>
      <c r="C19" s="57" t="s">
        <v>550</v>
      </c>
      <c r="D19" s="58" t="s">
        <v>323</v>
      </c>
      <c r="E19" s="59"/>
    </row>
    <row r="20" spans="1:5" ht="72" customHeight="1" x14ac:dyDescent="0.35">
      <c r="A20" s="267"/>
      <c r="B20" s="271" t="s">
        <v>807</v>
      </c>
      <c r="C20" s="48" t="s">
        <v>319</v>
      </c>
      <c r="D20" s="49" t="s">
        <v>808</v>
      </c>
      <c r="E20" s="50" t="s">
        <v>809</v>
      </c>
    </row>
    <row r="21" spans="1:5" ht="72" customHeight="1" x14ac:dyDescent="0.35">
      <c r="A21" s="267"/>
      <c r="B21" s="272"/>
      <c r="C21" s="51" t="s">
        <v>320</v>
      </c>
      <c r="D21" s="52" t="s">
        <v>810</v>
      </c>
      <c r="E21" s="53" t="s">
        <v>811</v>
      </c>
    </row>
    <row r="22" spans="1:5" ht="72" customHeight="1" x14ac:dyDescent="0.35">
      <c r="A22" s="267"/>
      <c r="B22" s="272"/>
      <c r="C22" s="54" t="s">
        <v>321</v>
      </c>
      <c r="D22" s="55" t="s">
        <v>812</v>
      </c>
      <c r="E22" s="56" t="s">
        <v>813</v>
      </c>
    </row>
    <row r="23" spans="1:5" ht="72" customHeight="1" x14ac:dyDescent="0.35">
      <c r="A23" s="267"/>
      <c r="B23" s="273"/>
      <c r="C23" s="57" t="s">
        <v>550</v>
      </c>
      <c r="D23" s="58" t="s">
        <v>814</v>
      </c>
      <c r="E23" s="59"/>
    </row>
    <row r="24" spans="1:5" ht="72" customHeight="1" x14ac:dyDescent="0.35">
      <c r="A24" s="267"/>
      <c r="B24" s="271" t="s">
        <v>815</v>
      </c>
      <c r="C24" s="48" t="s">
        <v>319</v>
      </c>
      <c r="D24" s="49" t="s">
        <v>816</v>
      </c>
      <c r="E24" s="50" t="s">
        <v>817</v>
      </c>
    </row>
    <row r="25" spans="1:5" ht="72" customHeight="1" x14ac:dyDescent="0.35">
      <c r="A25" s="267"/>
      <c r="B25" s="272"/>
      <c r="C25" s="51" t="s">
        <v>320</v>
      </c>
      <c r="D25" s="52" t="s">
        <v>818</v>
      </c>
      <c r="E25" s="53" t="s">
        <v>819</v>
      </c>
    </row>
    <row r="26" spans="1:5" ht="72" customHeight="1" x14ac:dyDescent="0.35">
      <c r="A26" s="267"/>
      <c r="B26" s="272"/>
      <c r="C26" s="54" t="s">
        <v>321</v>
      </c>
      <c r="D26" s="55" t="s">
        <v>820</v>
      </c>
      <c r="E26" s="56" t="s">
        <v>821</v>
      </c>
    </row>
    <row r="27" spans="1:5" ht="72" customHeight="1" x14ac:dyDescent="0.35">
      <c r="A27" s="267"/>
      <c r="B27" s="273"/>
      <c r="C27" s="57" t="s">
        <v>550</v>
      </c>
      <c r="D27" s="58" t="s">
        <v>822</v>
      </c>
      <c r="E27" s="59"/>
    </row>
    <row r="28" spans="1:5" ht="72" customHeight="1" x14ac:dyDescent="0.35">
      <c r="A28" s="267" t="s">
        <v>324</v>
      </c>
      <c r="B28" s="271" t="s">
        <v>823</v>
      </c>
      <c r="C28" s="48" t="s">
        <v>319</v>
      </c>
      <c r="D28" s="49" t="s">
        <v>824</v>
      </c>
      <c r="E28" s="192" t="s">
        <v>825</v>
      </c>
    </row>
    <row r="29" spans="1:5" ht="72" customHeight="1" x14ac:dyDescent="0.35">
      <c r="A29" s="267"/>
      <c r="B29" s="272"/>
      <c r="C29" s="51" t="s">
        <v>320</v>
      </c>
      <c r="D29" s="52" t="s">
        <v>826</v>
      </c>
      <c r="E29" s="53" t="s">
        <v>827</v>
      </c>
    </row>
    <row r="30" spans="1:5" ht="72" customHeight="1" x14ac:dyDescent="0.35">
      <c r="A30" s="267"/>
      <c r="B30" s="272"/>
      <c r="C30" s="54" t="s">
        <v>321</v>
      </c>
      <c r="D30" s="55" t="s">
        <v>828</v>
      </c>
      <c r="E30" s="56" t="s">
        <v>829</v>
      </c>
    </row>
    <row r="31" spans="1:5" ht="72" customHeight="1" x14ac:dyDescent="0.35">
      <c r="A31" s="267"/>
      <c r="B31" s="273"/>
      <c r="C31" s="57" t="s">
        <v>550</v>
      </c>
      <c r="D31" s="58" t="s">
        <v>830</v>
      </c>
      <c r="E31" s="59"/>
    </row>
    <row r="32" spans="1:5" ht="72" customHeight="1" x14ac:dyDescent="0.35">
      <c r="A32" s="267"/>
      <c r="B32" s="271" t="s">
        <v>831</v>
      </c>
      <c r="C32" s="48" t="s">
        <v>319</v>
      </c>
      <c r="D32" s="49" t="s">
        <v>832</v>
      </c>
      <c r="E32" s="50" t="s">
        <v>833</v>
      </c>
    </row>
    <row r="33" spans="1:5" ht="72" customHeight="1" x14ac:dyDescent="0.35">
      <c r="A33" s="267"/>
      <c r="B33" s="272"/>
      <c r="C33" s="51" t="s">
        <v>320</v>
      </c>
      <c r="D33" s="52" t="s">
        <v>834</v>
      </c>
      <c r="E33" s="53" t="s">
        <v>835</v>
      </c>
    </row>
    <row r="34" spans="1:5" ht="72" customHeight="1" x14ac:dyDescent="0.35">
      <c r="A34" s="267"/>
      <c r="B34" s="272"/>
      <c r="C34" s="54" t="s">
        <v>321</v>
      </c>
      <c r="D34" s="55" t="s">
        <v>836</v>
      </c>
      <c r="E34" s="56" t="s">
        <v>837</v>
      </c>
    </row>
    <row r="35" spans="1:5" ht="72" customHeight="1" x14ac:dyDescent="0.35">
      <c r="A35" s="268"/>
      <c r="B35" s="273"/>
      <c r="C35" s="57" t="s">
        <v>550</v>
      </c>
      <c r="D35" s="58" t="s">
        <v>838</v>
      </c>
      <c r="E35" s="59"/>
    </row>
    <row r="36" spans="1:5" ht="72" customHeight="1" x14ac:dyDescent="0.35">
      <c r="A36" s="269" t="s">
        <v>325</v>
      </c>
      <c r="B36" s="271" t="s">
        <v>839</v>
      </c>
      <c r="C36" s="48" t="s">
        <v>319</v>
      </c>
      <c r="D36" s="49" t="s">
        <v>840</v>
      </c>
      <c r="E36" s="50" t="s">
        <v>841</v>
      </c>
    </row>
    <row r="37" spans="1:5" ht="72" customHeight="1" x14ac:dyDescent="0.35">
      <c r="A37" s="270"/>
      <c r="B37" s="272"/>
      <c r="C37" s="51" t="s">
        <v>320</v>
      </c>
      <c r="D37" s="52" t="s">
        <v>842</v>
      </c>
      <c r="E37" s="53" t="s">
        <v>843</v>
      </c>
    </row>
    <row r="38" spans="1:5" ht="72" customHeight="1" x14ac:dyDescent="0.35">
      <c r="A38" s="270"/>
      <c r="B38" s="272"/>
      <c r="C38" s="54" t="s">
        <v>321</v>
      </c>
      <c r="D38" s="55" t="s">
        <v>844</v>
      </c>
      <c r="E38" s="56" t="s">
        <v>845</v>
      </c>
    </row>
    <row r="39" spans="1:5" ht="72" customHeight="1" x14ac:dyDescent="0.35">
      <c r="A39" s="270"/>
      <c r="B39" s="273"/>
      <c r="C39" s="57" t="s">
        <v>550</v>
      </c>
      <c r="D39" s="58" t="s">
        <v>846</v>
      </c>
      <c r="E39" s="59"/>
    </row>
    <row r="40" spans="1:5" ht="72" customHeight="1" x14ac:dyDescent="0.35">
      <c r="A40" s="270"/>
      <c r="B40" s="271" t="s">
        <v>847</v>
      </c>
      <c r="C40" s="48" t="s">
        <v>319</v>
      </c>
      <c r="D40" s="49" t="s">
        <v>848</v>
      </c>
      <c r="E40" s="192" t="s">
        <v>849</v>
      </c>
    </row>
    <row r="41" spans="1:5" ht="72" customHeight="1" x14ac:dyDescent="0.35">
      <c r="A41" s="270"/>
      <c r="B41" s="272"/>
      <c r="C41" s="51" t="s">
        <v>320</v>
      </c>
      <c r="D41" s="52" t="s">
        <v>850</v>
      </c>
      <c r="E41" s="53" t="s">
        <v>851</v>
      </c>
    </row>
    <row r="42" spans="1:5" ht="72" customHeight="1" x14ac:dyDescent="0.35">
      <c r="A42" s="270"/>
      <c r="B42" s="272"/>
      <c r="C42" s="54" t="s">
        <v>321</v>
      </c>
      <c r="D42" s="55" t="s">
        <v>852</v>
      </c>
      <c r="E42" s="56" t="s">
        <v>853</v>
      </c>
    </row>
    <row r="43" spans="1:5" ht="72" customHeight="1" x14ac:dyDescent="0.35">
      <c r="A43" s="270"/>
      <c r="B43" s="273"/>
      <c r="C43" s="57" t="s">
        <v>550</v>
      </c>
      <c r="D43" s="58" t="s">
        <v>854</v>
      </c>
      <c r="E43" s="59"/>
    </row>
    <row r="44" spans="1:5" ht="72" customHeight="1" x14ac:dyDescent="0.35">
      <c r="A44" s="270"/>
      <c r="B44" s="271" t="s">
        <v>855</v>
      </c>
      <c r="C44" s="48" t="s">
        <v>319</v>
      </c>
      <c r="D44" s="49" t="s">
        <v>856</v>
      </c>
      <c r="E44" s="50" t="s">
        <v>857</v>
      </c>
    </row>
    <row r="45" spans="1:5" ht="72" customHeight="1" x14ac:dyDescent="0.35">
      <c r="A45" s="270"/>
      <c r="B45" s="272"/>
      <c r="C45" s="51" t="s">
        <v>320</v>
      </c>
      <c r="D45" s="52" t="s">
        <v>858</v>
      </c>
      <c r="E45" s="53" t="s">
        <v>859</v>
      </c>
    </row>
    <row r="46" spans="1:5" ht="72" customHeight="1" x14ac:dyDescent="0.35">
      <c r="A46" s="270"/>
      <c r="B46" s="272"/>
      <c r="C46" s="54" t="s">
        <v>321</v>
      </c>
      <c r="D46" s="55" t="s">
        <v>860</v>
      </c>
      <c r="E46" s="56" t="s">
        <v>861</v>
      </c>
    </row>
    <row r="47" spans="1:5" ht="72" customHeight="1" x14ac:dyDescent="0.35">
      <c r="A47" s="270"/>
      <c r="B47" s="273"/>
      <c r="C47" s="57" t="s">
        <v>550</v>
      </c>
      <c r="D47" s="58" t="s">
        <v>862</v>
      </c>
      <c r="E47" s="59"/>
    </row>
    <row r="48" spans="1:5" ht="72" customHeight="1" x14ac:dyDescent="0.35">
      <c r="A48" s="267" t="s">
        <v>326</v>
      </c>
      <c r="B48" s="271" t="s">
        <v>863</v>
      </c>
      <c r="C48" s="48" t="s">
        <v>319</v>
      </c>
      <c r="D48" s="49" t="s">
        <v>963</v>
      </c>
      <c r="E48" s="50" t="s">
        <v>864</v>
      </c>
    </row>
    <row r="49" spans="1:5" ht="72" customHeight="1" x14ac:dyDescent="0.35">
      <c r="A49" s="267"/>
      <c r="B49" s="272"/>
      <c r="C49" s="51" t="s">
        <v>320</v>
      </c>
      <c r="D49" s="52" t="s">
        <v>865</v>
      </c>
      <c r="E49" s="53" t="s">
        <v>866</v>
      </c>
    </row>
    <row r="50" spans="1:5" ht="72" customHeight="1" x14ac:dyDescent="0.35">
      <c r="A50" s="267"/>
      <c r="B50" s="272"/>
      <c r="C50" s="54" t="s">
        <v>321</v>
      </c>
      <c r="D50" s="55" t="s">
        <v>867</v>
      </c>
      <c r="E50" s="56" t="s">
        <v>868</v>
      </c>
    </row>
    <row r="51" spans="1:5" ht="72" customHeight="1" x14ac:dyDescent="0.35">
      <c r="A51" s="267"/>
      <c r="B51" s="273"/>
      <c r="C51" s="57" t="s">
        <v>550</v>
      </c>
      <c r="D51" s="58" t="s">
        <v>869</v>
      </c>
      <c r="E51" s="59"/>
    </row>
    <row r="52" spans="1:5" ht="72" customHeight="1" x14ac:dyDescent="0.35">
      <c r="A52" s="267"/>
      <c r="B52" s="271" t="s">
        <v>870</v>
      </c>
      <c r="C52" s="48" t="s">
        <v>319</v>
      </c>
      <c r="D52" s="49" t="s">
        <v>871</v>
      </c>
      <c r="E52" s="50" t="s">
        <v>872</v>
      </c>
    </row>
    <row r="53" spans="1:5" ht="72" customHeight="1" x14ac:dyDescent="0.35">
      <c r="A53" s="267"/>
      <c r="B53" s="272"/>
      <c r="C53" s="51" t="s">
        <v>320</v>
      </c>
      <c r="D53" s="52" t="s">
        <v>873</v>
      </c>
      <c r="E53" s="53" t="s">
        <v>874</v>
      </c>
    </row>
    <row r="54" spans="1:5" ht="72" customHeight="1" x14ac:dyDescent="0.35">
      <c r="A54" s="267"/>
      <c r="B54" s="272"/>
      <c r="C54" s="54" t="s">
        <v>321</v>
      </c>
      <c r="D54" s="55" t="s">
        <v>875</v>
      </c>
      <c r="E54" s="56" t="s">
        <v>876</v>
      </c>
    </row>
    <row r="55" spans="1:5" ht="72" customHeight="1" x14ac:dyDescent="0.35">
      <c r="A55" s="268"/>
      <c r="B55" s="273"/>
      <c r="C55" s="57" t="s">
        <v>550</v>
      </c>
      <c r="D55" s="58" t="s">
        <v>877</v>
      </c>
      <c r="E55" s="59"/>
    </row>
    <row r="56" spans="1:5" ht="72" customHeight="1" x14ac:dyDescent="0.35">
      <c r="A56" s="269" t="s">
        <v>327</v>
      </c>
      <c r="B56" s="271" t="s">
        <v>878</v>
      </c>
      <c r="C56" s="48" t="s">
        <v>319</v>
      </c>
      <c r="D56" s="49" t="s">
        <v>879</v>
      </c>
      <c r="E56" s="192" t="s">
        <v>880</v>
      </c>
    </row>
    <row r="57" spans="1:5" ht="72" customHeight="1" x14ac:dyDescent="0.35">
      <c r="A57" s="270"/>
      <c r="B57" s="272"/>
      <c r="C57" s="51" t="s">
        <v>320</v>
      </c>
      <c r="D57" s="52" t="s">
        <v>881</v>
      </c>
      <c r="E57" s="53" t="s">
        <v>882</v>
      </c>
    </row>
    <row r="58" spans="1:5" ht="72" customHeight="1" x14ac:dyDescent="0.35">
      <c r="A58" s="270"/>
      <c r="B58" s="272"/>
      <c r="C58" s="54" t="s">
        <v>321</v>
      </c>
      <c r="D58" s="55" t="s">
        <v>883</v>
      </c>
      <c r="E58" s="56" t="s">
        <v>884</v>
      </c>
    </row>
    <row r="59" spans="1:5" ht="72" customHeight="1" x14ac:dyDescent="0.35">
      <c r="A59" s="270"/>
      <c r="B59" s="273"/>
      <c r="C59" s="57" t="s">
        <v>550</v>
      </c>
      <c r="D59" s="58" t="s">
        <v>885</v>
      </c>
      <c r="E59" s="59"/>
    </row>
    <row r="60" spans="1:5" ht="72" customHeight="1" x14ac:dyDescent="0.35">
      <c r="A60" s="270"/>
      <c r="B60" s="271" t="s">
        <v>886</v>
      </c>
      <c r="C60" s="48" t="s">
        <v>319</v>
      </c>
      <c r="D60" s="49" t="s">
        <v>887</v>
      </c>
      <c r="E60" s="50" t="s">
        <v>888</v>
      </c>
    </row>
    <row r="61" spans="1:5" ht="72" customHeight="1" x14ac:dyDescent="0.35">
      <c r="A61" s="270"/>
      <c r="B61" s="272"/>
      <c r="C61" s="51" t="s">
        <v>320</v>
      </c>
      <c r="D61" s="52" t="s">
        <v>889</v>
      </c>
      <c r="E61" s="53" t="s">
        <v>890</v>
      </c>
    </row>
    <row r="62" spans="1:5" ht="72" customHeight="1" x14ac:dyDescent="0.35">
      <c r="A62" s="270"/>
      <c r="B62" s="272"/>
      <c r="C62" s="54" t="s">
        <v>321</v>
      </c>
      <c r="D62" s="55" t="s">
        <v>891</v>
      </c>
      <c r="E62" s="56" t="s">
        <v>892</v>
      </c>
    </row>
    <row r="63" spans="1:5" ht="72" customHeight="1" x14ac:dyDescent="0.35">
      <c r="A63" s="270"/>
      <c r="B63" s="273"/>
      <c r="C63" s="57" t="s">
        <v>550</v>
      </c>
      <c r="D63" s="58" t="s">
        <v>893</v>
      </c>
      <c r="E63" s="59"/>
    </row>
    <row r="64" spans="1:5" ht="72" customHeight="1" x14ac:dyDescent="0.35">
      <c r="A64" s="270"/>
      <c r="B64" s="271" t="s">
        <v>730</v>
      </c>
      <c r="C64" s="48" t="s">
        <v>319</v>
      </c>
      <c r="D64" s="49" t="s">
        <v>894</v>
      </c>
      <c r="E64" s="50" t="s">
        <v>895</v>
      </c>
    </row>
    <row r="65" spans="1:5" ht="72" customHeight="1" x14ac:dyDescent="0.35">
      <c r="A65" s="270"/>
      <c r="B65" s="272"/>
      <c r="C65" s="51" t="s">
        <v>320</v>
      </c>
      <c r="D65" s="52" t="s">
        <v>896</v>
      </c>
      <c r="E65" s="53" t="s">
        <v>897</v>
      </c>
    </row>
    <row r="66" spans="1:5" ht="72" customHeight="1" x14ac:dyDescent="0.35">
      <c r="A66" s="270"/>
      <c r="B66" s="272"/>
      <c r="C66" s="54" t="s">
        <v>321</v>
      </c>
      <c r="D66" s="55" t="s">
        <v>898</v>
      </c>
      <c r="E66" s="56" t="s">
        <v>899</v>
      </c>
    </row>
    <row r="67" spans="1:5" ht="72" customHeight="1" x14ac:dyDescent="0.35">
      <c r="A67" s="270"/>
      <c r="B67" s="273"/>
      <c r="C67" s="57" t="s">
        <v>550</v>
      </c>
      <c r="D67" s="58" t="s">
        <v>900</v>
      </c>
      <c r="E67" s="59"/>
    </row>
    <row r="68" spans="1:5" ht="72" customHeight="1" x14ac:dyDescent="0.35">
      <c r="A68" s="267" t="s">
        <v>328</v>
      </c>
      <c r="B68" s="271" t="s">
        <v>901</v>
      </c>
      <c r="C68" s="48" t="s">
        <v>319</v>
      </c>
      <c r="D68" s="49" t="s">
        <v>902</v>
      </c>
      <c r="E68" s="192" t="s">
        <v>903</v>
      </c>
    </row>
    <row r="69" spans="1:5" ht="72" customHeight="1" x14ac:dyDescent="0.35">
      <c r="A69" s="267"/>
      <c r="B69" s="272"/>
      <c r="C69" s="51" t="s">
        <v>320</v>
      </c>
      <c r="D69" s="52" t="s">
        <v>904</v>
      </c>
      <c r="E69" s="193" t="s">
        <v>905</v>
      </c>
    </row>
    <row r="70" spans="1:5" ht="72" customHeight="1" x14ac:dyDescent="0.35">
      <c r="A70" s="267"/>
      <c r="B70" s="272"/>
      <c r="C70" s="54" t="s">
        <v>321</v>
      </c>
      <c r="D70" s="55" t="s">
        <v>906</v>
      </c>
      <c r="E70" s="56" t="s">
        <v>907</v>
      </c>
    </row>
    <row r="71" spans="1:5" ht="72" customHeight="1" x14ac:dyDescent="0.35">
      <c r="A71" s="267"/>
      <c r="B71" s="273"/>
      <c r="C71" s="57" t="s">
        <v>550</v>
      </c>
      <c r="D71" s="58" t="s">
        <v>908</v>
      </c>
      <c r="E71" s="59"/>
    </row>
    <row r="72" spans="1:5" ht="72" customHeight="1" x14ac:dyDescent="0.35">
      <c r="A72" s="267"/>
      <c r="B72" s="271" t="s">
        <v>909</v>
      </c>
      <c r="C72" s="48" t="s">
        <v>319</v>
      </c>
      <c r="D72" s="49" t="s">
        <v>910</v>
      </c>
      <c r="E72" s="192" t="s">
        <v>911</v>
      </c>
    </row>
    <row r="73" spans="1:5" ht="72" customHeight="1" x14ac:dyDescent="0.35">
      <c r="A73" s="267"/>
      <c r="B73" s="272"/>
      <c r="C73" s="51" t="s">
        <v>320</v>
      </c>
      <c r="D73" s="52" t="s">
        <v>912</v>
      </c>
      <c r="E73" s="53" t="s">
        <v>913</v>
      </c>
    </row>
    <row r="74" spans="1:5" ht="72" customHeight="1" x14ac:dyDescent="0.35">
      <c r="A74" s="267"/>
      <c r="B74" s="272"/>
      <c r="C74" s="54" t="s">
        <v>321</v>
      </c>
      <c r="D74" s="55" t="s">
        <v>914</v>
      </c>
      <c r="E74" s="56" t="s">
        <v>915</v>
      </c>
    </row>
    <row r="75" spans="1:5" ht="72" customHeight="1" x14ac:dyDescent="0.35">
      <c r="A75" s="267"/>
      <c r="B75" s="273"/>
      <c r="C75" s="57" t="s">
        <v>550</v>
      </c>
      <c r="D75" s="58" t="s">
        <v>916</v>
      </c>
      <c r="E75" s="59"/>
    </row>
    <row r="76" spans="1:5" ht="72" customHeight="1" x14ac:dyDescent="0.35">
      <c r="A76" s="267"/>
      <c r="B76" s="271" t="s">
        <v>733</v>
      </c>
      <c r="C76" s="48" t="s">
        <v>319</v>
      </c>
      <c r="D76" s="49" t="s">
        <v>917</v>
      </c>
      <c r="E76" s="192" t="s">
        <v>918</v>
      </c>
    </row>
    <row r="77" spans="1:5" ht="72" customHeight="1" x14ac:dyDescent="0.35">
      <c r="A77" s="267"/>
      <c r="B77" s="272"/>
      <c r="C77" s="51" t="s">
        <v>320</v>
      </c>
      <c r="D77" s="52" t="s">
        <v>919</v>
      </c>
      <c r="E77" s="193" t="s">
        <v>920</v>
      </c>
    </row>
    <row r="78" spans="1:5" ht="72" customHeight="1" x14ac:dyDescent="0.35">
      <c r="A78" s="267"/>
      <c r="B78" s="272"/>
      <c r="C78" s="54" t="s">
        <v>321</v>
      </c>
      <c r="D78" s="55" t="s">
        <v>921</v>
      </c>
      <c r="E78" s="56" t="s">
        <v>922</v>
      </c>
    </row>
    <row r="79" spans="1:5" ht="72" customHeight="1" x14ac:dyDescent="0.35">
      <c r="A79" s="267"/>
      <c r="B79" s="273"/>
      <c r="C79" s="57" t="s">
        <v>550</v>
      </c>
      <c r="D79" s="58" t="s">
        <v>923</v>
      </c>
      <c r="E79" s="59"/>
    </row>
    <row r="81" spans="1:5" ht="20.149999999999999" customHeight="1" x14ac:dyDescent="0.35">
      <c r="A81" s="276" t="s">
        <v>329</v>
      </c>
      <c r="B81" s="225"/>
      <c r="C81" s="225"/>
      <c r="D81" s="225"/>
      <c r="E81" s="218"/>
    </row>
    <row r="82" spans="1:5" ht="16" customHeight="1" x14ac:dyDescent="0.35">
      <c r="A82" s="103" t="s">
        <v>330</v>
      </c>
      <c r="B82" s="103" t="s">
        <v>5</v>
      </c>
      <c r="C82" s="103" t="s">
        <v>331</v>
      </c>
      <c r="D82" s="103" t="s">
        <v>316</v>
      </c>
      <c r="E82" s="103" t="s">
        <v>317</v>
      </c>
    </row>
    <row r="83" spans="1:5" ht="52" customHeight="1" x14ac:dyDescent="0.35">
      <c r="A83" s="104" t="s">
        <v>332</v>
      </c>
      <c r="B83" s="105" t="s">
        <v>333</v>
      </c>
      <c r="C83" s="106" t="s">
        <v>334</v>
      </c>
      <c r="D83" s="107" t="s">
        <v>335</v>
      </c>
      <c r="E83" s="108" t="s">
        <v>336</v>
      </c>
    </row>
    <row r="84" spans="1:5" ht="52" customHeight="1" x14ac:dyDescent="0.35">
      <c r="A84" s="109"/>
      <c r="B84" s="110"/>
      <c r="C84" s="111" t="s">
        <v>337</v>
      </c>
      <c r="D84" s="112" t="s">
        <v>338</v>
      </c>
      <c r="E84" s="113" t="s">
        <v>339</v>
      </c>
    </row>
    <row r="85" spans="1:5" ht="52" customHeight="1" x14ac:dyDescent="0.35">
      <c r="A85" s="109"/>
      <c r="B85" s="110"/>
      <c r="C85" s="114" t="s">
        <v>340</v>
      </c>
      <c r="D85" s="115" t="s">
        <v>341</v>
      </c>
      <c r="E85" s="116" t="s">
        <v>342</v>
      </c>
    </row>
    <row r="86" spans="1:5" ht="52" customHeight="1" x14ac:dyDescent="0.35">
      <c r="A86" s="109"/>
      <c r="B86" s="110"/>
      <c r="C86" s="117" t="s">
        <v>343</v>
      </c>
      <c r="D86" s="118" t="s">
        <v>344</v>
      </c>
      <c r="E86" s="119" t="s">
        <v>345</v>
      </c>
    </row>
    <row r="87" spans="1:5" ht="52" customHeight="1" x14ac:dyDescent="0.35">
      <c r="A87" s="109"/>
      <c r="B87" s="110"/>
      <c r="C87" s="120" t="s">
        <v>346</v>
      </c>
      <c r="D87" s="121" t="s">
        <v>347</v>
      </c>
      <c r="E87" s="122" t="s">
        <v>348</v>
      </c>
    </row>
    <row r="88" spans="1:5" ht="52" customHeight="1" x14ac:dyDescent="0.35">
      <c r="A88" s="109"/>
      <c r="B88" s="110"/>
      <c r="C88" s="123" t="s">
        <v>349</v>
      </c>
      <c r="D88" s="124" t="s">
        <v>350</v>
      </c>
      <c r="E88" s="125" t="s">
        <v>351</v>
      </c>
    </row>
    <row r="90" spans="1:5" ht="52" customHeight="1" x14ac:dyDescent="0.35">
      <c r="A90" s="104" t="s">
        <v>352</v>
      </c>
      <c r="B90" s="105" t="s">
        <v>353</v>
      </c>
      <c r="C90" s="106" t="s">
        <v>334</v>
      </c>
      <c r="D90" s="107" t="s">
        <v>354</v>
      </c>
      <c r="E90" s="108" t="s">
        <v>355</v>
      </c>
    </row>
    <row r="91" spans="1:5" ht="52" customHeight="1" x14ac:dyDescent="0.35">
      <c r="A91" s="109"/>
      <c r="B91" s="110"/>
      <c r="C91" s="111" t="s">
        <v>337</v>
      </c>
      <c r="D91" s="112" t="s">
        <v>356</v>
      </c>
      <c r="E91" s="113" t="s">
        <v>357</v>
      </c>
    </row>
    <row r="92" spans="1:5" ht="52" customHeight="1" x14ac:dyDescent="0.35">
      <c r="A92" s="109"/>
      <c r="B92" s="110"/>
      <c r="C92" s="114" t="s">
        <v>340</v>
      </c>
      <c r="D92" s="115" t="s">
        <v>358</v>
      </c>
      <c r="E92" s="116" t="s">
        <v>359</v>
      </c>
    </row>
    <row r="93" spans="1:5" ht="52" customHeight="1" x14ac:dyDescent="0.35">
      <c r="A93" s="109"/>
      <c r="B93" s="110"/>
      <c r="C93" s="117" t="s">
        <v>343</v>
      </c>
      <c r="D93" s="118" t="s">
        <v>360</v>
      </c>
      <c r="E93" s="119" t="s">
        <v>361</v>
      </c>
    </row>
    <row r="94" spans="1:5" ht="52" customHeight="1" x14ac:dyDescent="0.35">
      <c r="A94" s="109"/>
      <c r="B94" s="110"/>
      <c r="C94" s="120" t="s">
        <v>346</v>
      </c>
      <c r="D94" s="121" t="s">
        <v>362</v>
      </c>
      <c r="E94" s="122" t="s">
        <v>363</v>
      </c>
    </row>
    <row r="95" spans="1:5" ht="52" customHeight="1" x14ac:dyDescent="0.35">
      <c r="A95" s="109"/>
      <c r="B95" s="110"/>
      <c r="C95" s="123" t="s">
        <v>349</v>
      </c>
      <c r="D95" s="124" t="s">
        <v>364</v>
      </c>
      <c r="E95" s="125" t="s">
        <v>365</v>
      </c>
    </row>
    <row r="97" spans="1:2" x14ac:dyDescent="0.35">
      <c r="A97" s="195" t="s">
        <v>964</v>
      </c>
    </row>
    <row r="98" spans="1:2" ht="58" x14ac:dyDescent="0.35">
      <c r="B98" s="175" t="s">
        <v>965</v>
      </c>
    </row>
    <row r="99" spans="1:2" ht="58" x14ac:dyDescent="0.35">
      <c r="B99" s="175" t="s">
        <v>966</v>
      </c>
    </row>
    <row r="100" spans="1:2" ht="58" x14ac:dyDescent="0.35">
      <c r="B100" s="175" t="s">
        <v>967</v>
      </c>
    </row>
    <row r="101" spans="1:2" ht="58" x14ac:dyDescent="0.35">
      <c r="B101" s="175" t="s">
        <v>968</v>
      </c>
    </row>
    <row r="102" spans="1:2" ht="43.5" x14ac:dyDescent="0.35">
      <c r="B102" s="175" t="s">
        <v>969</v>
      </c>
    </row>
  </sheetData>
  <mergeCells count="29">
    <mergeCell ref="A1:E1"/>
    <mergeCell ref="A2:E2"/>
    <mergeCell ref="A81:E81"/>
    <mergeCell ref="B4:B7"/>
    <mergeCell ref="B20:B23"/>
    <mergeCell ref="B64:B67"/>
    <mergeCell ref="B76:B79"/>
    <mergeCell ref="B16:B19"/>
    <mergeCell ref="B32:B35"/>
    <mergeCell ref="B12:B15"/>
    <mergeCell ref="B24:B27"/>
    <mergeCell ref="B36:B39"/>
    <mergeCell ref="A4:A15"/>
    <mergeCell ref="A16:A27"/>
    <mergeCell ref="A28:A35"/>
    <mergeCell ref="A36:A47"/>
    <mergeCell ref="A48:A55"/>
    <mergeCell ref="A56:A67"/>
    <mergeCell ref="A68:A79"/>
    <mergeCell ref="B8:B11"/>
    <mergeCell ref="B28:B31"/>
    <mergeCell ref="B40:B43"/>
    <mergeCell ref="B44:B47"/>
    <mergeCell ref="B48:B51"/>
    <mergeCell ref="B52:B55"/>
    <mergeCell ref="B56:B59"/>
    <mergeCell ref="B60:B63"/>
    <mergeCell ref="B68:B71"/>
    <mergeCell ref="B72:B7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15" customHeight="1" x14ac:dyDescent="0.35">
      <c r="B1" s="261" t="s">
        <v>366</v>
      </c>
      <c r="C1" s="216"/>
    </row>
    <row r="3" spans="2:3" x14ac:dyDescent="0.35">
      <c r="B3" s="241" t="s">
        <v>367</v>
      </c>
      <c r="C3" s="216"/>
    </row>
    <row r="4" spans="2:3" ht="72" customHeight="1" x14ac:dyDescent="0.35">
      <c r="B4" s="16" t="s">
        <v>368</v>
      </c>
      <c r="C4" s="6" t="s">
        <v>369</v>
      </c>
    </row>
    <row r="5" spans="2:3" ht="72" customHeight="1" x14ac:dyDescent="0.35">
      <c r="B5" s="17" t="s">
        <v>370</v>
      </c>
      <c r="C5" s="18" t="s">
        <v>371</v>
      </c>
    </row>
    <row r="6" spans="2:3" ht="72" customHeight="1" x14ac:dyDescent="0.35">
      <c r="B6" s="16" t="s">
        <v>372</v>
      </c>
      <c r="C6" s="6" t="s">
        <v>373</v>
      </c>
    </row>
    <row r="7" spans="2:3" ht="72" customHeight="1" x14ac:dyDescent="0.35">
      <c r="B7" s="17" t="s">
        <v>374</v>
      </c>
      <c r="C7" s="18" t="s">
        <v>375</v>
      </c>
    </row>
    <row r="8" spans="2:3" ht="72" customHeight="1" x14ac:dyDescent="0.35">
      <c r="B8" s="16" t="s">
        <v>376</v>
      </c>
      <c r="C8" s="6" t="s">
        <v>377</v>
      </c>
    </row>
    <row r="9" spans="2:3" ht="72" customHeight="1" x14ac:dyDescent="0.35">
      <c r="B9" s="17" t="s">
        <v>378</v>
      </c>
      <c r="C9" s="18" t="s">
        <v>379</v>
      </c>
    </row>
    <row r="11" spans="2:3" x14ac:dyDescent="0.35">
      <c r="B11" s="241" t="s">
        <v>380</v>
      </c>
      <c r="C11" s="216"/>
    </row>
    <row r="12" spans="2:3" ht="58" customHeight="1" x14ac:dyDescent="0.35">
      <c r="B12" s="279" t="s">
        <v>381</v>
      </c>
      <c r="C12" s="218"/>
    </row>
    <row r="13" spans="2:3" x14ac:dyDescent="0.35">
      <c r="B13" s="15" t="s">
        <v>382</v>
      </c>
      <c r="C13" s="15" t="s">
        <v>383</v>
      </c>
    </row>
    <row r="14" spans="2:3" ht="66" customHeight="1" x14ac:dyDescent="0.35">
      <c r="B14" s="19" t="s">
        <v>384</v>
      </c>
      <c r="C14" s="6" t="s">
        <v>385</v>
      </c>
    </row>
    <row r="15" spans="2:3" ht="66" customHeight="1" x14ac:dyDescent="0.35">
      <c r="B15" s="20" t="s">
        <v>386</v>
      </c>
      <c r="C15" s="8" t="s">
        <v>387</v>
      </c>
    </row>
    <row r="16" spans="2:3" ht="66" customHeight="1" x14ac:dyDescent="0.35">
      <c r="B16" s="19" t="s">
        <v>388</v>
      </c>
      <c r="C16" s="6" t="s">
        <v>389</v>
      </c>
    </row>
    <row r="17" spans="2:3" ht="66" customHeight="1" x14ac:dyDescent="0.35">
      <c r="B17" s="20" t="s">
        <v>390</v>
      </c>
      <c r="C17" s="8" t="s">
        <v>391</v>
      </c>
    </row>
    <row r="18" spans="2:3" ht="66" customHeight="1" x14ac:dyDescent="0.35">
      <c r="B18" s="19" t="s">
        <v>392</v>
      </c>
      <c r="C18" s="6" t="s">
        <v>393</v>
      </c>
    </row>
    <row r="19" spans="2:3" ht="66" customHeight="1" x14ac:dyDescent="0.35">
      <c r="B19" s="20" t="s">
        <v>394</v>
      </c>
      <c r="C19" s="8" t="s">
        <v>395</v>
      </c>
    </row>
    <row r="20" spans="2:3" ht="66" customHeight="1" x14ac:dyDescent="0.35">
      <c r="B20" s="19" t="s">
        <v>396</v>
      </c>
      <c r="C20" s="6" t="s">
        <v>397</v>
      </c>
    </row>
    <row r="22" spans="2:3" x14ac:dyDescent="0.35">
      <c r="B22" s="241" t="s">
        <v>398</v>
      </c>
      <c r="C22" s="216"/>
    </row>
    <row r="23" spans="2:3" ht="50.15" customHeight="1" x14ac:dyDescent="0.35">
      <c r="B23" s="21" t="s">
        <v>399</v>
      </c>
      <c r="C23" s="6" t="s">
        <v>400</v>
      </c>
    </row>
    <row r="24" spans="2:3" ht="50.15" customHeight="1" x14ac:dyDescent="0.35">
      <c r="B24" s="22" t="s">
        <v>401</v>
      </c>
      <c r="C24" s="18" t="s">
        <v>402</v>
      </c>
    </row>
    <row r="25" spans="2:3" ht="50.15" customHeight="1" x14ac:dyDescent="0.35">
      <c r="B25" s="21" t="s">
        <v>403</v>
      </c>
      <c r="C25" s="6" t="s">
        <v>404</v>
      </c>
    </row>
    <row r="27" spans="2:3" x14ac:dyDescent="0.35">
      <c r="B27" s="241" t="s">
        <v>405</v>
      </c>
      <c r="C27" s="216"/>
    </row>
    <row r="28" spans="2:3" ht="40" customHeight="1" x14ac:dyDescent="0.35">
      <c r="B28" s="249" t="s">
        <v>406</v>
      </c>
      <c r="C28" s="218"/>
    </row>
    <row r="29" spans="2:3" ht="40" customHeight="1" x14ac:dyDescent="0.35">
      <c r="B29" s="278" t="s">
        <v>407</v>
      </c>
      <c r="C29" s="218"/>
    </row>
    <row r="30" spans="2:3" ht="40" customHeight="1" x14ac:dyDescent="0.35">
      <c r="B30" s="249" t="s">
        <v>408</v>
      </c>
      <c r="C30" s="218"/>
    </row>
    <row r="31" spans="2:3" ht="40" customHeight="1" x14ac:dyDescent="0.35">
      <c r="B31" s="278" t="s">
        <v>409</v>
      </c>
      <c r="C31" s="218"/>
    </row>
    <row r="32" spans="2:3" ht="40" customHeight="1" x14ac:dyDescent="0.35">
      <c r="B32" s="249" t="s">
        <v>410</v>
      </c>
      <c r="C32" s="218"/>
    </row>
    <row r="33" spans="2:3" ht="40" customHeight="1" x14ac:dyDescent="0.35">
      <c r="B33" s="278" t="s">
        <v>411</v>
      </c>
      <c r="C33" s="218"/>
    </row>
    <row r="35" spans="2:3" x14ac:dyDescent="0.35">
      <c r="B35" s="241" t="s">
        <v>412</v>
      </c>
      <c r="C35" s="216"/>
    </row>
    <row r="36" spans="2:3" ht="46" customHeight="1" x14ac:dyDescent="0.35">
      <c r="B36" s="277" t="s">
        <v>413</v>
      </c>
      <c r="C36" s="216"/>
    </row>
    <row r="37" spans="2:3" ht="42" customHeight="1" x14ac:dyDescent="0.35">
      <c r="B37" s="30" t="s">
        <v>414</v>
      </c>
      <c r="C37" s="126" t="s">
        <v>415</v>
      </c>
    </row>
    <row r="38" spans="2:3" ht="72" customHeight="1" x14ac:dyDescent="0.35">
      <c r="B38" s="17" t="s">
        <v>416</v>
      </c>
      <c r="C38" s="127" t="s">
        <v>417</v>
      </c>
    </row>
    <row r="39" spans="2:3" ht="72" customHeight="1" x14ac:dyDescent="0.35">
      <c r="B39" s="17" t="s">
        <v>418</v>
      </c>
      <c r="C39" s="126" t="s">
        <v>419</v>
      </c>
    </row>
    <row r="40" spans="2:3" ht="84" customHeight="1" x14ac:dyDescent="0.35">
      <c r="B40" s="17" t="s">
        <v>420</v>
      </c>
      <c r="C40" s="8" t="s">
        <v>421</v>
      </c>
    </row>
    <row r="41" spans="2:3" ht="52" customHeight="1" x14ac:dyDescent="0.35">
      <c r="B41" s="17" t="s">
        <v>422</v>
      </c>
      <c r="C41" s="6" t="s">
        <v>423</v>
      </c>
    </row>
    <row r="43" spans="2:3" x14ac:dyDescent="0.35">
      <c r="B43" s="241" t="s">
        <v>424</v>
      </c>
      <c r="C43" s="216"/>
    </row>
    <row r="44" spans="2:3" ht="46" customHeight="1" x14ac:dyDescent="0.35">
      <c r="B44" s="277" t="s">
        <v>425</v>
      </c>
      <c r="C44" s="216"/>
    </row>
    <row r="45" spans="2:3" ht="66" customHeight="1" x14ac:dyDescent="0.35">
      <c r="B45" s="17" t="s">
        <v>426</v>
      </c>
      <c r="C45" s="6" t="s">
        <v>427</v>
      </c>
    </row>
    <row r="46" spans="2:3" ht="78" customHeight="1" x14ac:dyDescent="0.35">
      <c r="B46" s="17" t="s">
        <v>428</v>
      </c>
      <c r="C46" s="8" t="s">
        <v>429</v>
      </c>
    </row>
    <row r="47" spans="2:3" ht="70" customHeight="1" x14ac:dyDescent="0.35">
      <c r="B47" s="17" t="s">
        <v>430</v>
      </c>
      <c r="C47" s="6" t="s">
        <v>431</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15" customHeight="1" x14ac:dyDescent="0.35">
      <c r="A1" s="280" t="s">
        <v>432</v>
      </c>
      <c r="B1" s="211"/>
      <c r="C1" s="211"/>
    </row>
    <row r="2" spans="1:3" ht="46" customHeight="1" x14ac:dyDescent="0.35">
      <c r="A2" s="281" t="s">
        <v>433</v>
      </c>
      <c r="B2" s="211"/>
      <c r="C2" s="211"/>
    </row>
    <row r="3" spans="1:3" ht="30" customHeight="1" x14ac:dyDescent="0.35">
      <c r="A3" s="141" t="s">
        <v>192</v>
      </c>
      <c r="B3" s="141" t="s">
        <v>434</v>
      </c>
      <c r="C3" s="141" t="s">
        <v>435</v>
      </c>
    </row>
    <row r="4" spans="1:3" ht="84" customHeight="1" x14ac:dyDescent="0.35">
      <c r="A4" s="142" t="s">
        <v>277</v>
      </c>
      <c r="B4" s="143" t="s">
        <v>436</v>
      </c>
      <c r="C4" s="143" t="s">
        <v>437</v>
      </c>
    </row>
    <row r="5" spans="1:3" ht="84" customHeight="1" x14ac:dyDescent="0.35">
      <c r="A5" s="142" t="s">
        <v>278</v>
      </c>
      <c r="B5" s="143" t="s">
        <v>438</v>
      </c>
      <c r="C5" s="143" t="s">
        <v>437</v>
      </c>
    </row>
    <row r="6" spans="1:3" ht="84" customHeight="1" x14ac:dyDescent="0.35">
      <c r="A6" s="142" t="s">
        <v>279</v>
      </c>
      <c r="B6" s="143" t="s">
        <v>439</v>
      </c>
      <c r="C6" s="143" t="s">
        <v>440</v>
      </c>
    </row>
    <row r="7" spans="1:3" ht="84" customHeight="1" x14ac:dyDescent="0.35">
      <c r="A7" s="142" t="s">
        <v>280</v>
      </c>
      <c r="B7" s="143" t="s">
        <v>441</v>
      </c>
      <c r="C7" s="143" t="s">
        <v>442</v>
      </c>
    </row>
    <row r="8" spans="1:3" ht="50.15" customHeight="1" x14ac:dyDescent="0.35">
      <c r="A8" s="142" t="s">
        <v>281</v>
      </c>
      <c r="B8" s="143" t="s">
        <v>443</v>
      </c>
      <c r="C8" s="143" t="s">
        <v>444</v>
      </c>
    </row>
    <row r="9" spans="1:3" ht="84" customHeight="1" x14ac:dyDescent="0.35">
      <c r="A9" s="142" t="s">
        <v>282</v>
      </c>
      <c r="B9" s="143" t="s">
        <v>445</v>
      </c>
      <c r="C9" s="143" t="s">
        <v>446</v>
      </c>
    </row>
    <row r="10" spans="1:3" ht="84" customHeight="1" x14ac:dyDescent="0.35">
      <c r="A10" s="142" t="s">
        <v>283</v>
      </c>
      <c r="B10" s="143" t="s">
        <v>447</v>
      </c>
      <c r="C10" s="143" t="s">
        <v>448</v>
      </c>
    </row>
    <row r="11" spans="1:3" ht="84" customHeight="1" x14ac:dyDescent="0.35">
      <c r="A11" s="142" t="s">
        <v>284</v>
      </c>
      <c r="B11" s="143" t="s">
        <v>449</v>
      </c>
      <c r="C11" s="143" t="s">
        <v>450</v>
      </c>
    </row>
    <row r="12" spans="1:3" ht="50.15" customHeight="1" x14ac:dyDescent="0.35">
      <c r="A12" s="142" t="s">
        <v>285</v>
      </c>
      <c r="B12" s="143" t="s">
        <v>451</v>
      </c>
      <c r="C12" s="143" t="s">
        <v>452</v>
      </c>
    </row>
    <row r="13" spans="1:3" ht="84" customHeight="1" x14ac:dyDescent="0.35">
      <c r="A13" s="142" t="s">
        <v>286</v>
      </c>
      <c r="B13" s="143" t="s">
        <v>453</v>
      </c>
      <c r="C13" s="143" t="s">
        <v>454</v>
      </c>
    </row>
    <row r="14" spans="1:3" ht="104.15" customHeight="1" x14ac:dyDescent="0.35">
      <c r="A14" s="142" t="s">
        <v>287</v>
      </c>
      <c r="B14" s="143" t="s">
        <v>455</v>
      </c>
      <c r="C14" s="143" t="s">
        <v>456</v>
      </c>
    </row>
    <row r="15" spans="1:3" ht="40" customHeight="1" x14ac:dyDescent="0.35">
      <c r="A15" s="282" t="s">
        <v>457</v>
      </c>
      <c r="B15" s="211"/>
      <c r="C15" s="211"/>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FD53D-74F1-499F-9F39-550630923B11}">
  <dimension ref="A1:D43"/>
  <sheetViews>
    <sheetView workbookViewId="0">
      <selection sqref="A1:D1"/>
    </sheetView>
  </sheetViews>
  <sheetFormatPr defaultRowHeight="14.5" x14ac:dyDescent="0.35"/>
  <cols>
    <col min="1" max="1" width="20.6328125" customWidth="1"/>
    <col min="2" max="2" width="36.6328125" customWidth="1"/>
    <col min="3" max="3" width="30.6328125" customWidth="1"/>
    <col min="4" max="4" width="7.6328125" customWidth="1"/>
  </cols>
  <sheetData>
    <row r="1" spans="1:4" ht="26" customHeight="1" x14ac:dyDescent="0.35">
      <c r="A1" s="204" t="s">
        <v>971</v>
      </c>
      <c r="B1" s="205"/>
      <c r="C1" s="205"/>
      <c r="D1" s="205"/>
    </row>
    <row r="2" spans="1:4" ht="30" customHeight="1" x14ac:dyDescent="0.35">
      <c r="A2" s="206" t="s">
        <v>972</v>
      </c>
      <c r="B2" s="207"/>
      <c r="C2" s="207"/>
      <c r="D2" s="207"/>
    </row>
    <row r="3" spans="1:4" ht="20" customHeight="1" x14ac:dyDescent="0.35">
      <c r="A3" s="208" t="s">
        <v>973</v>
      </c>
      <c r="B3" s="209"/>
      <c r="C3" s="209"/>
      <c r="D3" s="209"/>
    </row>
    <row r="4" spans="1:4" ht="15" customHeight="1" x14ac:dyDescent="0.35">
      <c r="A4" s="207" t="s">
        <v>974</v>
      </c>
      <c r="B4" s="207"/>
      <c r="C4" s="207"/>
      <c r="D4" s="207"/>
    </row>
    <row r="5" spans="1:4" ht="30" customHeight="1" x14ac:dyDescent="0.35">
      <c r="A5" s="207" t="s">
        <v>975</v>
      </c>
      <c r="B5" s="207"/>
      <c r="C5" s="207"/>
      <c r="D5" s="207"/>
    </row>
    <row r="6" spans="1:4" ht="45" customHeight="1" x14ac:dyDescent="0.35">
      <c r="A6" s="207" t="s">
        <v>976</v>
      </c>
      <c r="B6" s="207"/>
      <c r="C6" s="207"/>
      <c r="D6" s="207"/>
    </row>
    <row r="7" spans="1:4" ht="15" customHeight="1" x14ac:dyDescent="0.35">
      <c r="A7" s="207" t="s">
        <v>977</v>
      </c>
      <c r="B7" s="207"/>
      <c r="C7" s="207"/>
      <c r="D7" s="207"/>
    </row>
    <row r="8" spans="1:4" ht="30" customHeight="1" x14ac:dyDescent="0.35">
      <c r="A8" s="207" t="s">
        <v>978</v>
      </c>
      <c r="B8" s="207"/>
      <c r="C8" s="207"/>
      <c r="D8" s="207"/>
    </row>
    <row r="9" spans="1:4" ht="30" customHeight="1" x14ac:dyDescent="0.35">
      <c r="A9" s="207" t="s">
        <v>979</v>
      </c>
      <c r="B9" s="207"/>
      <c r="C9" s="207"/>
      <c r="D9" s="207"/>
    </row>
    <row r="10" spans="1:4" ht="20" customHeight="1" x14ac:dyDescent="0.35">
      <c r="A10" s="208" t="s">
        <v>980</v>
      </c>
      <c r="B10" s="209"/>
      <c r="C10" s="209"/>
      <c r="D10" s="209"/>
    </row>
    <row r="11" spans="1:4" ht="16" customHeight="1" x14ac:dyDescent="0.35">
      <c r="A11" s="196" t="s">
        <v>192</v>
      </c>
      <c r="B11" s="208" t="s">
        <v>981</v>
      </c>
      <c r="C11" s="208"/>
      <c r="D11" s="196" t="s">
        <v>212</v>
      </c>
    </row>
    <row r="12" spans="1:4" ht="15" customHeight="1" x14ac:dyDescent="0.35">
      <c r="A12" s="197" t="s">
        <v>982</v>
      </c>
      <c r="B12" s="283" t="s">
        <v>983</v>
      </c>
      <c r="C12" s="283"/>
      <c r="D12" s="198">
        <v>3</v>
      </c>
    </row>
    <row r="13" spans="1:4" ht="30" customHeight="1" x14ac:dyDescent="0.35">
      <c r="A13" s="199"/>
      <c r="B13" s="284" t="s">
        <v>984</v>
      </c>
      <c r="C13" s="284"/>
      <c r="D13" s="200">
        <v>3</v>
      </c>
    </row>
    <row r="14" spans="1:4" ht="30" customHeight="1" x14ac:dyDescent="0.35">
      <c r="A14" s="199"/>
      <c r="B14" s="284" t="s">
        <v>985</v>
      </c>
      <c r="C14" s="284"/>
      <c r="D14" s="200">
        <v>2</v>
      </c>
    </row>
    <row r="15" spans="1:4" ht="15" customHeight="1" x14ac:dyDescent="0.35">
      <c r="A15" s="199" t="s">
        <v>986</v>
      </c>
      <c r="B15" s="284" t="s">
        <v>987</v>
      </c>
      <c r="C15" s="284"/>
      <c r="D15" s="200">
        <v>3</v>
      </c>
    </row>
    <row r="16" spans="1:4" ht="30" customHeight="1" x14ac:dyDescent="0.35">
      <c r="A16" s="199"/>
      <c r="B16" s="284" t="s">
        <v>988</v>
      </c>
      <c r="C16" s="284"/>
      <c r="D16" s="200">
        <v>2</v>
      </c>
    </row>
    <row r="17" spans="1:4" ht="15" customHeight="1" x14ac:dyDescent="0.35">
      <c r="A17" s="199"/>
      <c r="B17" s="284" t="s">
        <v>989</v>
      </c>
      <c r="C17" s="284"/>
      <c r="D17" s="200">
        <v>3</v>
      </c>
    </row>
    <row r="18" spans="1:4" ht="30" customHeight="1" x14ac:dyDescent="0.35">
      <c r="A18" s="199" t="s">
        <v>990</v>
      </c>
      <c r="B18" s="284" t="s">
        <v>991</v>
      </c>
      <c r="C18" s="284"/>
      <c r="D18" s="200">
        <v>3</v>
      </c>
    </row>
    <row r="19" spans="1:4" ht="15" customHeight="1" x14ac:dyDescent="0.35">
      <c r="A19" s="199"/>
      <c r="B19" s="284" t="s">
        <v>992</v>
      </c>
      <c r="C19" s="284"/>
      <c r="D19" s="200">
        <v>3</v>
      </c>
    </row>
    <row r="20" spans="1:4" ht="30" customHeight="1" x14ac:dyDescent="0.35">
      <c r="A20" s="199" t="s">
        <v>993</v>
      </c>
      <c r="B20" s="284" t="s">
        <v>994</v>
      </c>
      <c r="C20" s="284"/>
      <c r="D20" s="200">
        <v>3</v>
      </c>
    </row>
    <row r="21" spans="1:4" ht="30" customHeight="1" x14ac:dyDescent="0.35">
      <c r="A21" s="199"/>
      <c r="B21" s="284" t="s">
        <v>995</v>
      </c>
      <c r="C21" s="284"/>
      <c r="D21" s="200">
        <v>2</v>
      </c>
    </row>
    <row r="22" spans="1:4" ht="30" customHeight="1" x14ac:dyDescent="0.35">
      <c r="A22" s="199"/>
      <c r="B22" s="284" t="s">
        <v>996</v>
      </c>
      <c r="C22" s="284"/>
      <c r="D22" s="200">
        <v>2</v>
      </c>
    </row>
    <row r="23" spans="1:4" ht="30" customHeight="1" x14ac:dyDescent="0.35">
      <c r="A23" s="199" t="s">
        <v>997</v>
      </c>
      <c r="B23" s="284" t="s">
        <v>998</v>
      </c>
      <c r="C23" s="284"/>
      <c r="D23" s="200">
        <v>3</v>
      </c>
    </row>
    <row r="24" spans="1:4" ht="30" customHeight="1" x14ac:dyDescent="0.35">
      <c r="A24" s="199"/>
      <c r="B24" s="284" t="s">
        <v>999</v>
      </c>
      <c r="C24" s="284"/>
      <c r="D24" s="200">
        <v>2</v>
      </c>
    </row>
    <row r="25" spans="1:4" ht="15" customHeight="1" x14ac:dyDescent="0.35">
      <c r="A25" s="199" t="s">
        <v>1000</v>
      </c>
      <c r="B25" s="284" t="s">
        <v>1001</v>
      </c>
      <c r="C25" s="284"/>
      <c r="D25" s="200">
        <v>3</v>
      </c>
    </row>
    <row r="26" spans="1:4" ht="15" customHeight="1" x14ac:dyDescent="0.35">
      <c r="A26" s="199"/>
      <c r="B26" s="284" t="s">
        <v>1002</v>
      </c>
      <c r="C26" s="284"/>
      <c r="D26" s="200">
        <v>2</v>
      </c>
    </row>
    <row r="27" spans="1:4" ht="15" customHeight="1" x14ac:dyDescent="0.35">
      <c r="A27" s="199"/>
      <c r="B27" s="284" t="s">
        <v>1003</v>
      </c>
      <c r="C27" s="284"/>
      <c r="D27" s="200">
        <v>2</v>
      </c>
    </row>
    <row r="28" spans="1:4" ht="15" customHeight="1" x14ac:dyDescent="0.35">
      <c r="A28" s="199" t="s">
        <v>1004</v>
      </c>
      <c r="B28" s="284" t="s">
        <v>1005</v>
      </c>
      <c r="C28" s="284"/>
      <c r="D28" s="200">
        <v>3</v>
      </c>
    </row>
    <row r="29" spans="1:4" ht="15" customHeight="1" x14ac:dyDescent="0.35">
      <c r="A29" s="199"/>
      <c r="B29" s="284" t="s">
        <v>1006</v>
      </c>
      <c r="C29" s="284"/>
      <c r="D29" s="200">
        <v>2</v>
      </c>
    </row>
    <row r="30" spans="1:4" ht="15" customHeight="1" x14ac:dyDescent="0.35">
      <c r="A30" s="199"/>
      <c r="B30" s="284" t="s">
        <v>1007</v>
      </c>
      <c r="C30" s="284"/>
      <c r="D30" s="200">
        <v>2</v>
      </c>
    </row>
    <row r="31" spans="1:4" ht="20" customHeight="1" x14ac:dyDescent="0.35">
      <c r="A31" s="285" t="s">
        <v>1008</v>
      </c>
      <c r="B31" s="286"/>
      <c r="C31" s="286"/>
      <c r="D31" s="286"/>
    </row>
    <row r="32" spans="1:4" ht="30" customHeight="1" x14ac:dyDescent="0.35">
      <c r="A32" s="207" t="s">
        <v>1009</v>
      </c>
      <c r="B32" s="207"/>
      <c r="C32" s="207"/>
      <c r="D32" s="207"/>
    </row>
    <row r="33" spans="1:4" ht="30" customHeight="1" x14ac:dyDescent="0.35">
      <c r="A33" s="207" t="s">
        <v>1010</v>
      </c>
      <c r="B33" s="207"/>
      <c r="C33" s="207"/>
      <c r="D33" s="207"/>
    </row>
    <row r="34" spans="1:4" ht="45" customHeight="1" x14ac:dyDescent="0.35">
      <c r="A34" s="207" t="s">
        <v>1011</v>
      </c>
      <c r="B34" s="207"/>
      <c r="C34" s="207"/>
      <c r="D34" s="207"/>
    </row>
    <row r="35" spans="1:4" ht="30" customHeight="1" x14ac:dyDescent="0.35">
      <c r="A35" s="207" t="s">
        <v>1012</v>
      </c>
      <c r="B35" s="207"/>
      <c r="C35" s="207"/>
      <c r="D35" s="207"/>
    </row>
    <row r="36" spans="1:4" ht="30" customHeight="1" x14ac:dyDescent="0.35">
      <c r="A36" s="207" t="s">
        <v>1013</v>
      </c>
      <c r="B36" s="207"/>
      <c r="C36" s="207"/>
      <c r="D36" s="207"/>
    </row>
    <row r="37" spans="1:4" ht="20" customHeight="1" x14ac:dyDescent="0.35">
      <c r="A37" s="208" t="s">
        <v>1014</v>
      </c>
      <c r="B37" s="209"/>
      <c r="C37" s="209"/>
      <c r="D37" s="209"/>
    </row>
    <row r="38" spans="1:4" ht="15" customHeight="1" x14ac:dyDescent="0.35">
      <c r="A38" s="207" t="s">
        <v>1015</v>
      </c>
      <c r="B38" s="207"/>
      <c r="C38" s="207"/>
      <c r="D38" s="207"/>
    </row>
    <row r="39" spans="1:4" ht="30" customHeight="1" x14ac:dyDescent="0.35">
      <c r="A39" s="207" t="s">
        <v>1016</v>
      </c>
      <c r="B39" s="207"/>
      <c r="C39" s="207"/>
      <c r="D39" s="207"/>
    </row>
    <row r="40" spans="1:4" ht="30" customHeight="1" x14ac:dyDescent="0.35">
      <c r="A40" s="207" t="s">
        <v>1017</v>
      </c>
      <c r="B40" s="207"/>
      <c r="C40" s="207"/>
      <c r="D40" s="207"/>
    </row>
    <row r="41" spans="1:4" ht="30" customHeight="1" x14ac:dyDescent="0.35">
      <c r="A41" s="207" t="s">
        <v>1018</v>
      </c>
      <c r="B41" s="207"/>
      <c r="C41" s="207"/>
      <c r="D41" s="207"/>
    </row>
    <row r="42" spans="1:4" ht="20" customHeight="1" x14ac:dyDescent="0.35">
      <c r="A42" s="208" t="s">
        <v>1019</v>
      </c>
      <c r="B42" s="209"/>
      <c r="C42" s="209"/>
      <c r="D42" s="209"/>
    </row>
    <row r="43" spans="1:4" ht="45" customHeight="1" x14ac:dyDescent="0.35">
      <c r="A43" s="207" t="s">
        <v>1020</v>
      </c>
      <c r="B43" s="207"/>
      <c r="C43" s="207"/>
      <c r="D43" s="207"/>
    </row>
  </sheetData>
  <mergeCells count="43">
    <mergeCell ref="A43:D43"/>
    <mergeCell ref="A37:D37"/>
    <mergeCell ref="A38:D38"/>
    <mergeCell ref="A39:D39"/>
    <mergeCell ref="A40:D40"/>
    <mergeCell ref="A41:D41"/>
    <mergeCell ref="A42:D42"/>
    <mergeCell ref="A36:D36"/>
    <mergeCell ref="B25:C25"/>
    <mergeCell ref="B26:C26"/>
    <mergeCell ref="B27:C27"/>
    <mergeCell ref="B28:C28"/>
    <mergeCell ref="B29:C29"/>
    <mergeCell ref="B30:C30"/>
    <mergeCell ref="A31:D31"/>
    <mergeCell ref="A32:D32"/>
    <mergeCell ref="A33:D33"/>
    <mergeCell ref="A34:D34"/>
    <mergeCell ref="A35:D35"/>
    <mergeCell ref="B24:C24"/>
    <mergeCell ref="B13:C13"/>
    <mergeCell ref="B14:C14"/>
    <mergeCell ref="B15:C15"/>
    <mergeCell ref="B16:C16"/>
    <mergeCell ref="B17:C17"/>
    <mergeCell ref="B18:C18"/>
    <mergeCell ref="B19:C19"/>
    <mergeCell ref="B20:C20"/>
    <mergeCell ref="B21:C21"/>
    <mergeCell ref="B22:C22"/>
    <mergeCell ref="B23:C23"/>
    <mergeCell ref="B12:C12"/>
    <mergeCell ref="A1:D1"/>
    <mergeCell ref="A2:D2"/>
    <mergeCell ref="A3:D3"/>
    <mergeCell ref="A4:D4"/>
    <mergeCell ref="A5:D5"/>
    <mergeCell ref="A6:D6"/>
    <mergeCell ref="A7:D7"/>
    <mergeCell ref="A8:D8"/>
    <mergeCell ref="A9:D9"/>
    <mergeCell ref="A10:D10"/>
    <mergeCell ref="B11:C1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7856C-7195-4643-A54C-F72A58C49E7D}">
  <dimension ref="A1:D30"/>
  <sheetViews>
    <sheetView tabSelected="1" workbookViewId="0">
      <selection sqref="A1:D1"/>
    </sheetView>
  </sheetViews>
  <sheetFormatPr defaultRowHeight="14.5" x14ac:dyDescent="0.35"/>
  <cols>
    <col min="1" max="1" width="46.6328125" customWidth="1"/>
    <col min="2" max="4" width="18.6328125" customWidth="1"/>
  </cols>
  <sheetData>
    <row r="1" spans="1:4" ht="26" customHeight="1" x14ac:dyDescent="0.35">
      <c r="A1" s="204" t="s">
        <v>1021</v>
      </c>
      <c r="B1" s="205"/>
      <c r="C1" s="205"/>
      <c r="D1" s="205"/>
    </row>
    <row r="2" spans="1:4" ht="45" customHeight="1" x14ac:dyDescent="0.35">
      <c r="A2" s="206" t="s">
        <v>1022</v>
      </c>
      <c r="B2" s="207"/>
      <c r="C2" s="207"/>
      <c r="D2" s="207"/>
    </row>
    <row r="3" spans="1:4" ht="20" customHeight="1" x14ac:dyDescent="0.35">
      <c r="A3" s="208" t="s">
        <v>1023</v>
      </c>
      <c r="B3" s="209"/>
      <c r="C3" s="209"/>
      <c r="D3" s="209"/>
    </row>
    <row r="4" spans="1:4" ht="30" customHeight="1" x14ac:dyDescent="0.35">
      <c r="A4" s="201" t="s">
        <v>1024</v>
      </c>
      <c r="B4" s="203"/>
      <c r="C4" s="203"/>
      <c r="D4" s="203"/>
    </row>
    <row r="5" spans="1:4" ht="30" customHeight="1" x14ac:dyDescent="0.35">
      <c r="A5" s="201" t="s">
        <v>1025</v>
      </c>
      <c r="B5" s="203"/>
      <c r="C5" s="203"/>
      <c r="D5" s="203"/>
    </row>
    <row r="6" spans="1:4" ht="30" customHeight="1" x14ac:dyDescent="0.35">
      <c r="A6" s="201" t="s">
        <v>1026</v>
      </c>
      <c r="B6" s="203"/>
      <c r="C6" s="203"/>
      <c r="D6" s="203"/>
    </row>
    <row r="7" spans="1:4" ht="30" customHeight="1" x14ac:dyDescent="0.35">
      <c r="A7" s="201" t="s">
        <v>1027</v>
      </c>
      <c r="B7" s="203"/>
      <c r="C7" s="203"/>
      <c r="D7" s="203"/>
    </row>
    <row r="8" spans="1:4" ht="30" customHeight="1" x14ac:dyDescent="0.35">
      <c r="A8" s="201" t="s">
        <v>1028</v>
      </c>
      <c r="B8" s="203"/>
      <c r="C8" s="203"/>
      <c r="D8" s="203"/>
    </row>
    <row r="9" spans="1:4" ht="30" customHeight="1" x14ac:dyDescent="0.35">
      <c r="A9" s="201" t="s">
        <v>1029</v>
      </c>
      <c r="B9" s="203"/>
      <c r="C9" s="203"/>
      <c r="D9" s="203"/>
    </row>
    <row r="10" spans="1:4" ht="30" customHeight="1" x14ac:dyDescent="0.35">
      <c r="A10" s="201" t="s">
        <v>1030</v>
      </c>
      <c r="B10" s="203"/>
      <c r="C10" s="203"/>
      <c r="D10" s="203"/>
    </row>
    <row r="11" spans="1:4" ht="30" customHeight="1" x14ac:dyDescent="0.35">
      <c r="A11" s="201" t="s">
        <v>1031</v>
      </c>
      <c r="B11" s="203"/>
      <c r="C11" s="203"/>
      <c r="D11" s="203"/>
    </row>
    <row r="12" spans="1:4" ht="30" customHeight="1" x14ac:dyDescent="0.35">
      <c r="A12" s="201" t="s">
        <v>1032</v>
      </c>
      <c r="B12" s="203"/>
      <c r="C12" s="203"/>
      <c r="D12" s="203"/>
    </row>
    <row r="13" spans="1:4" ht="20" customHeight="1" x14ac:dyDescent="0.35">
      <c r="A13" s="208" t="s">
        <v>1033</v>
      </c>
      <c r="B13" s="209"/>
      <c r="C13" s="209"/>
      <c r="D13" s="209"/>
    </row>
    <row r="14" spans="1:4" ht="30" customHeight="1" x14ac:dyDescent="0.35">
      <c r="A14" s="201" t="s">
        <v>1024</v>
      </c>
      <c r="B14" s="203"/>
      <c r="C14" s="203"/>
      <c r="D14" s="203"/>
    </row>
    <row r="15" spans="1:4" ht="30" customHeight="1" x14ac:dyDescent="0.35">
      <c r="A15" s="201" t="s">
        <v>1025</v>
      </c>
      <c r="B15" s="203"/>
      <c r="C15" s="203"/>
      <c r="D15" s="203"/>
    </row>
    <row r="16" spans="1:4" ht="30" customHeight="1" x14ac:dyDescent="0.35">
      <c r="A16" s="201" t="s">
        <v>1034</v>
      </c>
      <c r="B16" s="203"/>
      <c r="C16" s="203"/>
      <c r="D16" s="203"/>
    </row>
    <row r="17" spans="1:4" ht="60" customHeight="1" x14ac:dyDescent="0.35">
      <c r="A17" s="201" t="s">
        <v>1035</v>
      </c>
      <c r="B17" s="203"/>
      <c r="C17" s="203"/>
      <c r="D17" s="203"/>
    </row>
    <row r="18" spans="1:4" ht="30" customHeight="1" x14ac:dyDescent="0.35">
      <c r="A18" s="201" t="s">
        <v>1036</v>
      </c>
      <c r="B18" s="203"/>
      <c r="C18" s="203"/>
      <c r="D18" s="203"/>
    </row>
    <row r="19" spans="1:4" ht="30" customHeight="1" x14ac:dyDescent="0.35">
      <c r="A19" s="201" t="s">
        <v>1037</v>
      </c>
      <c r="B19" s="203"/>
      <c r="C19" s="203"/>
      <c r="D19" s="203"/>
    </row>
    <row r="20" spans="1:4" ht="30" customHeight="1" x14ac:dyDescent="0.35">
      <c r="A20" s="201" t="s">
        <v>1038</v>
      </c>
      <c r="B20" s="203"/>
      <c r="C20" s="203"/>
      <c r="D20" s="203"/>
    </row>
    <row r="21" spans="1:4" ht="30" customHeight="1" x14ac:dyDescent="0.35">
      <c r="A21" s="201" t="s">
        <v>1039</v>
      </c>
      <c r="B21" s="203"/>
      <c r="C21" s="203"/>
      <c r="D21" s="203"/>
    </row>
    <row r="22" spans="1:4" ht="30" customHeight="1" x14ac:dyDescent="0.35">
      <c r="A22" s="201" t="s">
        <v>1040</v>
      </c>
      <c r="B22" s="203"/>
      <c r="C22" s="203"/>
      <c r="D22" s="203"/>
    </row>
    <row r="23" spans="1:4" ht="45" customHeight="1" x14ac:dyDescent="0.35">
      <c r="A23" s="207" t="s">
        <v>1041</v>
      </c>
      <c r="B23" s="207"/>
      <c r="C23" s="207"/>
      <c r="D23" s="207"/>
    </row>
    <row r="24" spans="1:4" ht="20" customHeight="1" x14ac:dyDescent="0.35">
      <c r="A24" s="208" t="s">
        <v>1042</v>
      </c>
      <c r="B24" s="209"/>
      <c r="C24" s="209"/>
      <c r="D24" s="209"/>
    </row>
    <row r="25" spans="1:4" ht="45" customHeight="1" x14ac:dyDescent="0.35">
      <c r="A25" s="201" t="s">
        <v>1043</v>
      </c>
      <c r="B25" s="203"/>
      <c r="C25" s="203"/>
      <c r="D25" s="203"/>
    </row>
    <row r="26" spans="1:4" ht="30" customHeight="1" x14ac:dyDescent="0.35">
      <c r="A26" s="201" t="s">
        <v>1044</v>
      </c>
      <c r="B26" s="203"/>
      <c r="C26" s="203"/>
      <c r="D26" s="203"/>
    </row>
    <row r="27" spans="1:4" ht="30" customHeight="1" x14ac:dyDescent="0.35">
      <c r="A27" s="201" t="s">
        <v>1045</v>
      </c>
      <c r="B27" s="203"/>
      <c r="C27" s="203"/>
      <c r="D27" s="203"/>
    </row>
    <row r="28" spans="1:4" ht="30" customHeight="1" x14ac:dyDescent="0.35">
      <c r="A28" s="201" t="s">
        <v>1046</v>
      </c>
      <c r="B28" s="203"/>
      <c r="C28" s="203"/>
      <c r="D28" s="203"/>
    </row>
    <row r="29" spans="1:4" ht="30" customHeight="1" x14ac:dyDescent="0.35">
      <c r="A29" s="201" t="s">
        <v>1047</v>
      </c>
      <c r="B29" s="203"/>
      <c r="C29" s="203"/>
      <c r="D29" s="203"/>
    </row>
    <row r="30" spans="1:4" ht="30" customHeight="1" x14ac:dyDescent="0.35">
      <c r="A30" s="207" t="s">
        <v>1048</v>
      </c>
      <c r="B30" s="207"/>
      <c r="C30" s="207"/>
      <c r="D30" s="207"/>
    </row>
  </sheetData>
  <mergeCells count="30">
    <mergeCell ref="A30:D30"/>
    <mergeCell ref="B19:D19"/>
    <mergeCell ref="B20:D20"/>
    <mergeCell ref="B21:D21"/>
    <mergeCell ref="B22:D22"/>
    <mergeCell ref="A23:D23"/>
    <mergeCell ref="A24:D24"/>
    <mergeCell ref="B25:D25"/>
    <mergeCell ref="B26:D26"/>
    <mergeCell ref="B27:D27"/>
    <mergeCell ref="B28:D28"/>
    <mergeCell ref="B29:D29"/>
    <mergeCell ref="B18:D18"/>
    <mergeCell ref="B7:D7"/>
    <mergeCell ref="B8:D8"/>
    <mergeCell ref="B9:D9"/>
    <mergeCell ref="B10:D10"/>
    <mergeCell ref="B11:D11"/>
    <mergeCell ref="B12:D12"/>
    <mergeCell ref="A13:D13"/>
    <mergeCell ref="B14:D14"/>
    <mergeCell ref="B15:D15"/>
    <mergeCell ref="B16:D16"/>
    <mergeCell ref="B17:D17"/>
    <mergeCell ref="B6:D6"/>
    <mergeCell ref="A1:D1"/>
    <mergeCell ref="A2:D2"/>
    <mergeCell ref="A3:D3"/>
    <mergeCell ref="B4:D4"/>
    <mergeCell ref="B5:D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 min="5" max="5" width="18" customWidth="1"/>
  </cols>
  <sheetData>
    <row r="1" spans="2:10" ht="28" customHeight="1" x14ac:dyDescent="0.35">
      <c r="B1" s="261" t="s">
        <v>458</v>
      </c>
      <c r="C1" s="232"/>
      <c r="D1" s="216"/>
    </row>
    <row r="2" spans="2:10" ht="32.15" customHeight="1" x14ac:dyDescent="0.35">
      <c r="B2" s="292" t="s">
        <v>459</v>
      </c>
      <c r="C2" s="232"/>
      <c r="D2" s="216"/>
    </row>
    <row r="4" spans="2:10" ht="24" customHeight="1" x14ac:dyDescent="0.35">
      <c r="B4" s="294" t="str">
        <f>"◆  LIVE TEAM SCORECARD  ·  "&amp;IF($E$6="","(pick a journey at right)",$E$6)&amp;"  ◆"</f>
        <v>◆  LIVE TEAM SCORECARD  ·  (pick a journey at right)  ◆</v>
      </c>
      <c r="C4" s="288"/>
      <c r="D4" s="289"/>
      <c r="J4" s="189">
        <f>IFERROR(MATCH($E$6,'Case Tracker'!$A$56:$A$59,0),1)</f>
        <v>1</v>
      </c>
    </row>
    <row r="5" spans="2:10" ht="16" customHeight="1" x14ac:dyDescent="0.35">
      <c r="B5" s="37" t="s">
        <v>460</v>
      </c>
      <c r="C5" s="37" t="s">
        <v>461</v>
      </c>
      <c r="D5" s="37" t="s">
        <v>462</v>
      </c>
      <c r="E5" s="190" t="s">
        <v>463</v>
      </c>
    </row>
    <row r="6" spans="2:10" ht="64" customHeight="1" x14ac:dyDescent="0.35">
      <c r="B6" s="97" t="str">
        <f>IFERROR(INDEX('Case Tracker'!$G$56:$G$59,$J$4),"")</f>
        <v/>
      </c>
      <c r="C6" s="38" t="str">
        <f>IFERROR(UPPER(INDEX('Case Tracker'!$H$56:$H$59,$J$4)),"")</f>
        <v/>
      </c>
      <c r="D6" s="39" t="s">
        <v>464</v>
      </c>
      <c r="E6" s="191"/>
    </row>
    <row r="7" spans="2:10" ht="16" customHeight="1" x14ac:dyDescent="0.35">
      <c r="B7" s="40" t="str">
        <f>"EXECUTION  "&amp;IF($E$6="","(weight)",IF(AND(COUNTIFS('Case Tracker'!$B$5:$B$49,$E$6,'Case Tracker'!$Q$5:$Q$49,"Level 1")&gt;0,COUNTIFS('Case Tracker'!$B$5:$B$49,$E$6,'Case Tracker'!$Q$5:$Q$49,"Level 2")&gt;0),"(20% L1 / 30% L2)","(50% weight)"))</f>
        <v>EXECUTION  (weight)</v>
      </c>
      <c r="C7" s="40" t="s">
        <v>465</v>
      </c>
      <c r="D7" s="40" t="s">
        <v>466</v>
      </c>
    </row>
    <row r="8" spans="2:10" ht="28" customHeight="1" x14ac:dyDescent="0.3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2" customHeight="1" x14ac:dyDescent="0.35">
      <c r="B9" s="287"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88"/>
      <c r="D9" s="289"/>
    </row>
    <row r="10" spans="2:10" ht="28" customHeight="1" x14ac:dyDescent="0.35">
      <c r="B10" s="290" t="s">
        <v>467</v>
      </c>
      <c r="C10" s="225"/>
      <c r="D10" s="218"/>
    </row>
    <row r="12" spans="2:10" x14ac:dyDescent="0.35">
      <c r="B12" s="241" t="s">
        <v>468</v>
      </c>
      <c r="C12" s="232"/>
      <c r="D12" s="216"/>
    </row>
    <row r="13" spans="2:10" ht="72" customHeight="1" x14ac:dyDescent="0.35">
      <c r="B13" s="217" t="s">
        <v>469</v>
      </c>
      <c r="C13" s="225"/>
      <c r="D13" s="218"/>
    </row>
    <row r="15" spans="2:10" x14ac:dyDescent="0.35">
      <c r="B15" s="241" t="s">
        <v>470</v>
      </c>
      <c r="C15" s="232"/>
      <c r="D15" s="216"/>
    </row>
    <row r="16" spans="2:10" x14ac:dyDescent="0.35">
      <c r="B16" s="1" t="s">
        <v>330</v>
      </c>
      <c r="C16" s="1" t="s">
        <v>471</v>
      </c>
      <c r="D16" s="1" t="s">
        <v>472</v>
      </c>
    </row>
    <row r="17" spans="2:4" ht="104.15" customHeight="1" x14ac:dyDescent="0.35">
      <c r="B17" s="31" t="s">
        <v>473</v>
      </c>
      <c r="C17" s="32" t="s">
        <v>474</v>
      </c>
      <c r="D17" s="32"/>
    </row>
    <row r="18" spans="2:4" ht="104.15" customHeight="1" x14ac:dyDescent="0.35">
      <c r="B18" s="33" t="s">
        <v>475</v>
      </c>
      <c r="C18" s="34" t="s">
        <v>476</v>
      </c>
      <c r="D18" s="34"/>
    </row>
    <row r="19" spans="2:4" ht="104.15" customHeight="1" x14ac:dyDescent="0.35">
      <c r="B19" s="31" t="s">
        <v>477</v>
      </c>
      <c r="C19" s="32" t="s">
        <v>478</v>
      </c>
      <c r="D19" s="32"/>
    </row>
    <row r="20" spans="2:4" ht="30" customHeight="1" x14ac:dyDescent="0.35">
      <c r="B20" s="293" t="s">
        <v>479</v>
      </c>
      <c r="C20" s="232"/>
      <c r="D20" s="216"/>
    </row>
    <row r="22" spans="2:4" x14ac:dyDescent="0.35">
      <c r="B22" s="241" t="s">
        <v>480</v>
      </c>
      <c r="C22" s="232"/>
      <c r="D22" s="216"/>
    </row>
    <row r="23" spans="2:4" ht="46" customHeight="1" x14ac:dyDescent="0.35">
      <c r="B23" s="31" t="s">
        <v>481</v>
      </c>
      <c r="C23" s="217" t="s">
        <v>482</v>
      </c>
      <c r="D23" s="218"/>
    </row>
    <row r="24" spans="2:4" ht="46" customHeight="1" x14ac:dyDescent="0.35">
      <c r="B24" s="33" t="s">
        <v>483</v>
      </c>
      <c r="C24" s="220" t="s">
        <v>484</v>
      </c>
      <c r="D24" s="218"/>
    </row>
    <row r="25" spans="2:4" ht="46" customHeight="1" x14ac:dyDescent="0.35">
      <c r="B25" s="31" t="s">
        <v>485</v>
      </c>
      <c r="C25" s="217" t="s">
        <v>486</v>
      </c>
      <c r="D25" s="218"/>
    </row>
    <row r="27" spans="2:4" x14ac:dyDescent="0.35">
      <c r="B27" s="241" t="s">
        <v>487</v>
      </c>
      <c r="C27" s="232"/>
      <c r="D27" s="216"/>
    </row>
    <row r="28" spans="2:4" ht="40" customHeight="1" x14ac:dyDescent="0.35">
      <c r="B28" s="291" t="s">
        <v>488</v>
      </c>
      <c r="C28" s="225"/>
      <c r="D28" s="218"/>
    </row>
    <row r="29" spans="2:4" x14ac:dyDescent="0.35">
      <c r="B29" s="1" t="s">
        <v>489</v>
      </c>
      <c r="C29" s="9" t="s">
        <v>490</v>
      </c>
      <c r="D29" s="1" t="s">
        <v>491</v>
      </c>
    </row>
    <row r="30" spans="2:4" ht="44.15" customHeight="1" x14ac:dyDescent="0.35">
      <c r="B30" s="31" t="s">
        <v>492</v>
      </c>
      <c r="C30" s="43" t="str">
        <f>IFERROR(ROUND(AVERAGE('Case Tracker'!E5:E49),2),"")</f>
        <v/>
      </c>
      <c r="D30" s="32"/>
    </row>
    <row r="31" spans="2:4" ht="44.15" customHeight="1" x14ac:dyDescent="0.35">
      <c r="B31" s="33" t="s">
        <v>493</v>
      </c>
      <c r="C31" s="44" t="str">
        <f>IFERROR(ROUND(AVERAGE('Case Tracker'!F5:F49),2),"")</f>
        <v/>
      </c>
      <c r="D31" s="34"/>
    </row>
    <row r="32" spans="2:4" ht="44.15" customHeight="1" x14ac:dyDescent="0.35">
      <c r="B32" s="31" t="s">
        <v>494</v>
      </c>
      <c r="C32" s="43" t="str">
        <f>IFERROR(ROUND(AVERAGE('Case Tracker'!G5:G49),2),"")</f>
        <v/>
      </c>
      <c r="D32" s="32"/>
    </row>
    <row r="33" spans="2:4" ht="44.15" customHeight="1" x14ac:dyDescent="0.35">
      <c r="B33" s="33" t="s">
        <v>495</v>
      </c>
      <c r="C33" s="44" t="str">
        <f>IFERROR(ROUND(AVERAGE('Case Tracker'!H5:H49),2),"")</f>
        <v/>
      </c>
      <c r="D33" s="34"/>
    </row>
    <row r="34" spans="2:4" ht="44.15" customHeight="1" x14ac:dyDescent="0.35">
      <c r="B34" s="31" t="s">
        <v>496</v>
      </c>
      <c r="C34" s="43" t="str">
        <f>IFERROR(ROUND(AVERAGE('Case Tracker'!I5:I49),2),"")</f>
        <v/>
      </c>
      <c r="D34" s="32"/>
    </row>
    <row r="35" spans="2:4" ht="44.15" customHeight="1" x14ac:dyDescent="0.35">
      <c r="B35" s="33" t="s">
        <v>497</v>
      </c>
      <c r="C35" s="44" t="str">
        <f>IFERROR(ROUND(AVERAGE('Case Tracker'!J5:J49),2),"")</f>
        <v/>
      </c>
      <c r="D35" s="34"/>
    </row>
    <row r="36" spans="2:4" ht="44.15" customHeight="1" x14ac:dyDescent="0.35">
      <c r="B36" s="31" t="s">
        <v>498</v>
      </c>
      <c r="C36" s="43" t="str">
        <f>IFERROR(ROUND(AVERAGE('Case Tracker'!K5:K49),2),"")</f>
        <v/>
      </c>
      <c r="D36" s="32"/>
    </row>
    <row r="37" spans="2:4" ht="44.15" customHeight="1" x14ac:dyDescent="0.35">
      <c r="B37" s="215" t="s">
        <v>499</v>
      </c>
      <c r="C37" s="232"/>
      <c r="D37" s="216"/>
    </row>
    <row r="39" spans="2:4" x14ac:dyDescent="0.35">
      <c r="B39" s="260" t="s">
        <v>500</v>
      </c>
      <c r="C39" s="232"/>
      <c r="D39" s="216"/>
    </row>
    <row r="40" spans="2:4" x14ac:dyDescent="0.35">
      <c r="B40" s="1" t="s">
        <v>501</v>
      </c>
      <c r="C40" s="1" t="s">
        <v>502</v>
      </c>
      <c r="D40" s="1" t="s">
        <v>503</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241" t="s">
        <v>504</v>
      </c>
      <c r="C50" s="232"/>
      <c r="D50" s="216"/>
    </row>
    <row r="51" spans="2:4" ht="40" customHeight="1" x14ac:dyDescent="0.35">
      <c r="B51" s="35" t="s">
        <v>505</v>
      </c>
      <c r="C51" s="217" t="s">
        <v>506</v>
      </c>
      <c r="D51" s="218"/>
    </row>
    <row r="52" spans="2:4" ht="40" customHeight="1" x14ac:dyDescent="0.35">
      <c r="B52" s="36" t="s">
        <v>507</v>
      </c>
      <c r="C52" s="220" t="s">
        <v>508</v>
      </c>
      <c r="D52" s="218"/>
    </row>
    <row r="53" spans="2:4" ht="40" customHeight="1" x14ac:dyDescent="0.35">
      <c r="B53" s="35" t="s">
        <v>509</v>
      </c>
      <c r="C53" s="217" t="s">
        <v>510</v>
      </c>
      <c r="D53" s="218"/>
    </row>
    <row r="54" spans="2:4" ht="40" customHeight="1" x14ac:dyDescent="0.35">
      <c r="B54" s="36" t="s">
        <v>511</v>
      </c>
      <c r="C54" s="220" t="s">
        <v>512</v>
      </c>
      <c r="D54" s="218"/>
    </row>
    <row r="55" spans="2:4" ht="40" customHeight="1" x14ac:dyDescent="0.35">
      <c r="B55" s="35" t="s">
        <v>513</v>
      </c>
      <c r="C55" s="217" t="s">
        <v>514</v>
      </c>
      <c r="D55" s="218"/>
    </row>
    <row r="56" spans="2:4" ht="40" customHeight="1" x14ac:dyDescent="0.35">
      <c r="B56" s="36" t="s">
        <v>515</v>
      </c>
      <c r="C56" s="220" t="s">
        <v>516</v>
      </c>
      <c r="D56" s="218"/>
    </row>
    <row r="58" spans="2:4" ht="36" customHeight="1" x14ac:dyDescent="0.35">
      <c r="B58" s="215" t="s">
        <v>517</v>
      </c>
      <c r="C58" s="232"/>
      <c r="D58" s="216"/>
    </row>
    <row r="60" spans="2:4" ht="22" customHeight="1" x14ac:dyDescent="0.35">
      <c r="B60" s="241" t="s">
        <v>518</v>
      </c>
      <c r="C60" s="232"/>
      <c r="D60" s="216"/>
    </row>
    <row r="61" spans="2:4" ht="32.15" customHeight="1" x14ac:dyDescent="0.35">
      <c r="B61" s="277" t="s">
        <v>519</v>
      </c>
      <c r="C61" s="232"/>
      <c r="D61" s="216"/>
    </row>
    <row r="62" spans="2:4" ht="34" customHeight="1" x14ac:dyDescent="0.35">
      <c r="B62" s="295"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32"/>
      <c r="D62" s="216"/>
    </row>
    <row r="63" spans="2:4" ht="24" customHeight="1" x14ac:dyDescent="0.35">
      <c r="B63" s="45" t="s">
        <v>520</v>
      </c>
      <c r="C63" s="46" t="s">
        <v>521</v>
      </c>
      <c r="D63" s="46" t="s">
        <v>522</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51" t="s">
        <v>523</v>
      </c>
      <c r="C77" s="225"/>
      <c r="D77" s="218"/>
    </row>
  </sheetData>
  <mergeCells count="29">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 ref="B1:D1"/>
    <mergeCell ref="B13:D13"/>
    <mergeCell ref="B39:D39"/>
    <mergeCell ref="B10:D10"/>
    <mergeCell ref="B28:D28"/>
    <mergeCell ref="B37:D37"/>
    <mergeCell ref="C56:D56"/>
    <mergeCell ref="C54:D54"/>
    <mergeCell ref="C25:D25"/>
    <mergeCell ref="C55:D55"/>
    <mergeCell ref="B9:D9"/>
    <mergeCell ref="C53:D53"/>
    <mergeCell ref="B15:D15"/>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59"/>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307" t="s">
        <v>524</v>
      </c>
      <c r="C1" s="211"/>
      <c r="D1" s="211"/>
      <c r="E1" s="211"/>
      <c r="F1" s="211"/>
    </row>
    <row r="2" spans="1:7" ht="18" customHeight="1" x14ac:dyDescent="0.35">
      <c r="B2" s="296" t="s">
        <v>161</v>
      </c>
      <c r="C2" s="211"/>
      <c r="D2" s="211"/>
      <c r="E2" s="211"/>
      <c r="F2" s="211"/>
    </row>
    <row r="3" spans="1:7" x14ac:dyDescent="0.35">
      <c r="A3" s="63"/>
      <c r="B3" s="63"/>
      <c r="C3" s="63"/>
      <c r="D3" s="63"/>
      <c r="E3" s="63"/>
      <c r="F3" s="63"/>
      <c r="G3" s="63"/>
    </row>
    <row r="4" spans="1:7" ht="28" customHeight="1" x14ac:dyDescent="0.35">
      <c r="B4" s="299" t="s">
        <v>525</v>
      </c>
      <c r="C4" s="211"/>
      <c r="D4" s="211"/>
      <c r="E4" s="211"/>
      <c r="F4" s="211"/>
    </row>
    <row r="5" spans="1:7" ht="29.15" customHeight="1" x14ac:dyDescent="0.35">
      <c r="B5" s="145" t="s">
        <v>163</v>
      </c>
      <c r="C5" s="146" t="s">
        <v>526</v>
      </c>
      <c r="D5" s="145" t="s">
        <v>164</v>
      </c>
      <c r="E5" s="298" t="s">
        <v>527</v>
      </c>
      <c r="F5" s="211"/>
    </row>
    <row r="6" spans="1:7" ht="29.15" customHeight="1" x14ac:dyDescent="0.35">
      <c r="B6" s="145" t="s">
        <v>165</v>
      </c>
      <c r="C6" s="146" t="s">
        <v>528</v>
      </c>
      <c r="D6" s="145" t="s">
        <v>174</v>
      </c>
      <c r="E6" s="298" t="s">
        <v>529</v>
      </c>
      <c r="F6" s="211"/>
    </row>
    <row r="7" spans="1:7" ht="29.15" customHeight="1" x14ac:dyDescent="0.35">
      <c r="B7" s="145" t="s">
        <v>166</v>
      </c>
      <c r="C7" s="146" t="s">
        <v>530</v>
      </c>
      <c r="D7" s="145" t="s">
        <v>167</v>
      </c>
      <c r="E7" s="298" t="s">
        <v>531</v>
      </c>
      <c r="F7" s="211"/>
    </row>
    <row r="8" spans="1:7" ht="29.15" customHeight="1" x14ac:dyDescent="0.35">
      <c r="B8" s="145" t="s">
        <v>168</v>
      </c>
      <c r="C8" s="146" t="s">
        <v>532</v>
      </c>
      <c r="D8" s="145" t="s">
        <v>169</v>
      </c>
      <c r="E8" s="298" t="s">
        <v>533</v>
      </c>
      <c r="F8" s="211"/>
    </row>
    <row r="9" spans="1:7" ht="29.15" customHeight="1" x14ac:dyDescent="0.35">
      <c r="B9" s="145" t="s">
        <v>170</v>
      </c>
      <c r="C9" s="146" t="s">
        <v>534</v>
      </c>
      <c r="D9" s="145" t="s">
        <v>171</v>
      </c>
      <c r="E9" s="298" t="s">
        <v>535</v>
      </c>
      <c r="F9" s="211"/>
    </row>
    <row r="10" spans="1:7" ht="29.15" customHeight="1" x14ac:dyDescent="0.35">
      <c r="B10" s="145" t="s">
        <v>172</v>
      </c>
      <c r="C10" s="146" t="s">
        <v>536</v>
      </c>
      <c r="D10" s="145" t="s">
        <v>173</v>
      </c>
      <c r="E10" s="298" t="s">
        <v>537</v>
      </c>
      <c r="F10" s="211"/>
    </row>
    <row r="11" spans="1:7" ht="29.15" customHeight="1" x14ac:dyDescent="0.35">
      <c r="B11" s="145" t="s">
        <v>175</v>
      </c>
      <c r="C11" s="146" t="s">
        <v>272</v>
      </c>
      <c r="D11" s="145" t="s">
        <v>176</v>
      </c>
      <c r="E11" s="298" t="s">
        <v>538</v>
      </c>
      <c r="F11" s="211"/>
    </row>
    <row r="12" spans="1:7" ht="29.15" customHeight="1" x14ac:dyDescent="0.35">
      <c r="B12" s="145" t="s">
        <v>177</v>
      </c>
      <c r="C12" s="146" t="s">
        <v>539</v>
      </c>
      <c r="D12" s="145" t="s">
        <v>179</v>
      </c>
      <c r="E12" s="298" t="s">
        <v>540</v>
      </c>
      <c r="F12" s="211"/>
    </row>
    <row r="13" spans="1:7" ht="58" customHeight="1" x14ac:dyDescent="0.35">
      <c r="B13" s="145" t="s">
        <v>180</v>
      </c>
      <c r="C13" s="300" t="s">
        <v>541</v>
      </c>
      <c r="D13" s="211"/>
      <c r="E13" s="211"/>
      <c r="F13" s="211"/>
    </row>
    <row r="14" spans="1:7" ht="46" customHeight="1" x14ac:dyDescent="0.35">
      <c r="B14" s="145" t="s">
        <v>181</v>
      </c>
      <c r="C14" s="300" t="s">
        <v>542</v>
      </c>
      <c r="D14" s="211"/>
      <c r="E14" s="211"/>
      <c r="F14" s="211"/>
    </row>
    <row r="15" spans="1:7" ht="18" customHeight="1" x14ac:dyDescent="0.35">
      <c r="B15" s="299" t="s">
        <v>543</v>
      </c>
      <c r="C15" s="211"/>
      <c r="D15" s="211"/>
      <c r="E15" s="211"/>
      <c r="F15" s="211"/>
    </row>
    <row r="16" spans="1:7" ht="29.15" customHeight="1" x14ac:dyDescent="0.35">
      <c r="B16" s="145" t="s">
        <v>183</v>
      </c>
      <c r="C16" s="146" t="s">
        <v>544</v>
      </c>
      <c r="D16" s="145" t="s">
        <v>184</v>
      </c>
      <c r="E16" s="298" t="s">
        <v>545</v>
      </c>
      <c r="F16" s="211"/>
    </row>
    <row r="17" spans="1:7" ht="29.15" customHeight="1" x14ac:dyDescent="0.35">
      <c r="B17" s="145" t="s">
        <v>185</v>
      </c>
      <c r="C17" s="146" t="s">
        <v>546</v>
      </c>
      <c r="D17" s="145" t="s">
        <v>186</v>
      </c>
      <c r="E17" s="298" t="s">
        <v>547</v>
      </c>
      <c r="F17" s="211"/>
    </row>
    <row r="18" spans="1:7" ht="29.15" customHeight="1" x14ac:dyDescent="0.35">
      <c r="B18" s="145" t="s">
        <v>187</v>
      </c>
      <c r="C18" s="300" t="s">
        <v>548</v>
      </c>
      <c r="D18" s="211"/>
      <c r="E18" s="211"/>
      <c r="F18" s="211"/>
    </row>
    <row r="19" spans="1:7" ht="29.15" customHeight="1" x14ac:dyDescent="0.35">
      <c r="B19" s="145" t="s">
        <v>188</v>
      </c>
      <c r="C19" s="300" t="s">
        <v>549</v>
      </c>
      <c r="D19" s="211"/>
      <c r="E19" s="211"/>
      <c r="F19" s="211"/>
    </row>
    <row r="20" spans="1:7" ht="29.15" customHeight="1" x14ac:dyDescent="0.35">
      <c r="B20" s="145" t="s">
        <v>189</v>
      </c>
      <c r="C20" s="300" t="s">
        <v>550</v>
      </c>
      <c r="D20" s="211"/>
      <c r="E20" s="211"/>
      <c r="F20" s="211"/>
    </row>
    <row r="21" spans="1:7" ht="46" customHeight="1" x14ac:dyDescent="0.35">
      <c r="B21" s="145" t="s">
        <v>190</v>
      </c>
      <c r="C21" s="300" t="s">
        <v>551</v>
      </c>
      <c r="D21" s="211"/>
      <c r="E21" s="211"/>
      <c r="F21" s="211"/>
    </row>
    <row r="22" spans="1:7" x14ac:dyDescent="0.35">
      <c r="A22" s="63"/>
      <c r="B22" s="63"/>
      <c r="C22" s="63"/>
      <c r="D22" s="63"/>
      <c r="E22" s="63"/>
      <c r="F22" s="63"/>
      <c r="G22" s="63"/>
    </row>
    <row r="23" spans="1:7" ht="28" customHeight="1" x14ac:dyDescent="0.35">
      <c r="B23" s="301" t="s">
        <v>552</v>
      </c>
      <c r="C23" s="211"/>
      <c r="D23" s="211"/>
      <c r="E23" s="211"/>
      <c r="F23" s="211"/>
    </row>
    <row r="24" spans="1:7" ht="18" customHeight="1" x14ac:dyDescent="0.35">
      <c r="B24" s="299" t="s">
        <v>206</v>
      </c>
      <c r="C24" s="211"/>
      <c r="D24" s="211"/>
      <c r="E24" s="211"/>
      <c r="F24" s="148" t="s">
        <v>207</v>
      </c>
    </row>
    <row r="25" spans="1:7" ht="28" customHeight="1" x14ac:dyDescent="0.35">
      <c r="B25" s="304" t="s">
        <v>208</v>
      </c>
      <c r="C25" s="211"/>
      <c r="D25" s="211"/>
      <c r="E25" s="211"/>
      <c r="F25" s="211"/>
    </row>
    <row r="26" spans="1:7" x14ac:dyDescent="0.35">
      <c r="B26" s="145" t="s">
        <v>209</v>
      </c>
      <c r="C26" s="149" t="s">
        <v>210</v>
      </c>
      <c r="D26" s="303" t="s">
        <v>211</v>
      </c>
      <c r="E26" s="211"/>
      <c r="F26" s="211"/>
    </row>
    <row r="27" spans="1:7" ht="28" customHeight="1" x14ac:dyDescent="0.35">
      <c r="B27" s="150" t="s">
        <v>715</v>
      </c>
      <c r="C27" s="151" t="s">
        <v>320</v>
      </c>
      <c r="D27" s="302" t="s">
        <v>924</v>
      </c>
      <c r="E27" s="211"/>
      <c r="F27" s="211"/>
    </row>
    <row r="28" spans="1:7" ht="28" customHeight="1" x14ac:dyDescent="0.35">
      <c r="B28" s="152" t="s">
        <v>716</v>
      </c>
      <c r="C28" s="153" t="s">
        <v>319</v>
      </c>
      <c r="D28" s="305" t="s">
        <v>925</v>
      </c>
      <c r="E28" s="211"/>
      <c r="F28" s="211"/>
    </row>
    <row r="29" spans="1:7" ht="28" customHeight="1" x14ac:dyDescent="0.35">
      <c r="B29" s="150" t="s">
        <v>717</v>
      </c>
      <c r="C29" s="151" t="s">
        <v>320</v>
      </c>
      <c r="D29" s="302" t="s">
        <v>926</v>
      </c>
      <c r="E29" s="211"/>
      <c r="F29" s="211"/>
    </row>
    <row r="30" spans="1:7" ht="28" customHeight="1" x14ac:dyDescent="0.35">
      <c r="B30" s="297" t="s">
        <v>213</v>
      </c>
      <c r="C30" s="211"/>
      <c r="D30" s="211"/>
      <c r="E30" s="211"/>
      <c r="F30" s="211"/>
    </row>
    <row r="31" spans="1:7" x14ac:dyDescent="0.35">
      <c r="B31" s="154" t="s">
        <v>214</v>
      </c>
      <c r="C31" s="155">
        <f>IF(SUMPRODUCT(((C27:C29="Met")+(C27:C29="Partial")+(C27:C29="Missed"))*{3;3;2})=0,"",ROUND((5*SUMPRODUCT((C27:C29="Met")*{3;3;2})+2.5*SUMPRODUCT((C27:C29="Partial")*{3;3;2}))/SUMPRODUCT(((C27:C29="Met")+(C27:C29="Partial")+(C27:C29="Missed"))*{3;3;2}),1))</f>
        <v>3.4</v>
      </c>
      <c r="D31" s="156"/>
      <c r="E31" s="156"/>
      <c r="F31" s="156"/>
    </row>
    <row r="32" spans="1:7" ht="24" customHeight="1" x14ac:dyDescent="0.35">
      <c r="B32" s="157" t="s">
        <v>553</v>
      </c>
      <c r="C32" s="149">
        <v>3</v>
      </c>
      <c r="D32" s="300" t="str">
        <f>IF(C32="","← enter score; anchor description appears here",CHOOSE(C32+1,"Agent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2" s="211"/>
      <c r="F32" s="211"/>
    </row>
    <row r="33" spans="1:7" x14ac:dyDescent="0.35">
      <c r="B33" s="157" t="s">
        <v>216</v>
      </c>
      <c r="C33" s="300" t="s">
        <v>943</v>
      </c>
      <c r="D33" s="211"/>
      <c r="E33" s="211"/>
      <c r="F33" s="211"/>
    </row>
    <row r="34" spans="1:7" ht="36" customHeight="1" x14ac:dyDescent="0.35">
      <c r="B34" s="157" t="s">
        <v>554</v>
      </c>
      <c r="C34" s="300" t="s">
        <v>555</v>
      </c>
      <c r="D34" s="211"/>
      <c r="E34" s="211"/>
      <c r="F34" s="211"/>
    </row>
    <row r="35" spans="1:7" x14ac:dyDescent="0.35">
      <c r="A35" s="63"/>
      <c r="B35" s="63"/>
      <c r="C35" s="63"/>
      <c r="D35" s="63"/>
      <c r="E35" s="63"/>
      <c r="F35" s="63"/>
      <c r="G35" s="63"/>
    </row>
    <row r="36" spans="1:7" ht="18" customHeight="1" x14ac:dyDescent="0.35">
      <c r="B36" s="299" t="s">
        <v>217</v>
      </c>
      <c r="C36" s="211"/>
      <c r="D36" s="211"/>
      <c r="E36" s="211"/>
      <c r="F36" s="148" t="s">
        <v>218</v>
      </c>
    </row>
    <row r="37" spans="1:7" ht="28" customHeight="1" x14ac:dyDescent="0.35">
      <c r="B37" s="304" t="s">
        <v>219</v>
      </c>
      <c r="C37" s="211"/>
      <c r="D37" s="211"/>
      <c r="E37" s="211"/>
      <c r="F37" s="211"/>
    </row>
    <row r="38" spans="1:7" x14ac:dyDescent="0.35">
      <c r="B38" s="145" t="s">
        <v>209</v>
      </c>
      <c r="C38" s="149" t="s">
        <v>210</v>
      </c>
      <c r="D38" s="303" t="s">
        <v>211</v>
      </c>
      <c r="E38" s="211"/>
      <c r="F38" s="211"/>
    </row>
    <row r="39" spans="1:7" ht="28" customHeight="1" x14ac:dyDescent="0.35">
      <c r="B39" s="150" t="s">
        <v>718</v>
      </c>
      <c r="C39" s="151" t="s">
        <v>319</v>
      </c>
      <c r="D39" s="302" t="s">
        <v>927</v>
      </c>
      <c r="E39" s="211"/>
      <c r="F39" s="211"/>
    </row>
    <row r="40" spans="1:7" ht="28" customHeight="1" x14ac:dyDescent="0.35">
      <c r="B40" s="152" t="s">
        <v>719</v>
      </c>
      <c r="C40" s="153" t="s">
        <v>319</v>
      </c>
      <c r="D40" s="305" t="s">
        <v>928</v>
      </c>
      <c r="E40" s="211"/>
      <c r="F40" s="211"/>
    </row>
    <row r="41" spans="1:7" ht="28" customHeight="1" x14ac:dyDescent="0.35">
      <c r="B41" s="150" t="s">
        <v>720</v>
      </c>
      <c r="C41" s="151" t="s">
        <v>320</v>
      </c>
      <c r="D41" s="302" t="s">
        <v>929</v>
      </c>
      <c r="E41" s="211"/>
      <c r="F41" s="211"/>
    </row>
    <row r="42" spans="1:7" ht="28" customHeight="1" x14ac:dyDescent="0.35">
      <c r="B42" s="297" t="s">
        <v>220</v>
      </c>
      <c r="C42" s="211"/>
      <c r="D42" s="211"/>
      <c r="E42" s="211"/>
      <c r="F42" s="211"/>
    </row>
    <row r="43" spans="1:7" x14ac:dyDescent="0.35">
      <c r="B43" s="154" t="s">
        <v>214</v>
      </c>
      <c r="C43" s="155">
        <f>IF(SUMPRODUCT(((C39:C41="Met")+(C39:C41="Partial")+(C39:C41="Missed"))*{3;2;3})=0,"",ROUND((5*SUMPRODUCT((C39:C41="Met")*{3;2;3})+2.5*SUMPRODUCT((C39:C41="Partial")*{3;2;3}))/SUMPRODUCT(((C39:C41="Met")+(C39:C41="Partial")+(C39:C41="Missed"))*{3;2;3}),1))</f>
        <v>4.0999999999999996</v>
      </c>
      <c r="D43" s="156"/>
      <c r="E43" s="156"/>
      <c r="F43" s="156"/>
    </row>
    <row r="44" spans="1:7" ht="24" customHeight="1" x14ac:dyDescent="0.35">
      <c r="B44" s="157" t="s">
        <v>553</v>
      </c>
      <c r="C44" s="149">
        <v>4</v>
      </c>
      <c r="D44" s="300" t="str">
        <f>IF(C44="","← enter score; anchor description appears here",CHOOSE(C44+1,"Agent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4" s="211"/>
      <c r="F44" s="211"/>
    </row>
    <row r="45" spans="1:7" x14ac:dyDescent="0.35">
      <c r="B45" s="157" t="s">
        <v>216</v>
      </c>
      <c r="C45" s="300"/>
      <c r="D45" s="211"/>
      <c r="E45" s="211"/>
      <c r="F45" s="211"/>
    </row>
    <row r="46" spans="1:7" ht="36" customHeight="1" x14ac:dyDescent="0.35">
      <c r="B46" s="157" t="s">
        <v>554</v>
      </c>
      <c r="C46" s="300" t="s">
        <v>556</v>
      </c>
      <c r="D46" s="211"/>
      <c r="E46" s="211"/>
      <c r="F46" s="211"/>
    </row>
    <row r="47" spans="1:7" x14ac:dyDescent="0.35">
      <c r="A47" s="63"/>
      <c r="B47" s="63"/>
      <c r="C47" s="63"/>
      <c r="D47" s="63"/>
      <c r="E47" s="63"/>
      <c r="F47" s="63"/>
      <c r="G47" s="63"/>
    </row>
    <row r="48" spans="1:7" ht="18" customHeight="1" x14ac:dyDescent="0.35">
      <c r="B48" s="299" t="s">
        <v>221</v>
      </c>
      <c r="C48" s="211"/>
      <c r="D48" s="211"/>
      <c r="E48" s="211"/>
      <c r="F48" s="148" t="s">
        <v>222</v>
      </c>
    </row>
    <row r="49" spans="1:7" ht="28" customHeight="1" x14ac:dyDescent="0.35">
      <c r="B49" s="304" t="s">
        <v>223</v>
      </c>
      <c r="C49" s="211"/>
      <c r="D49" s="211"/>
      <c r="E49" s="211"/>
      <c r="F49" s="211"/>
    </row>
    <row r="50" spans="1:7" x14ac:dyDescent="0.35">
      <c r="B50" s="145" t="s">
        <v>209</v>
      </c>
      <c r="C50" s="149" t="s">
        <v>210</v>
      </c>
      <c r="D50" s="303" t="s">
        <v>211</v>
      </c>
      <c r="E50" s="211"/>
      <c r="F50" s="211"/>
    </row>
    <row r="51" spans="1:7" ht="28" customHeight="1" x14ac:dyDescent="0.35">
      <c r="B51" s="150" t="s">
        <v>721</v>
      </c>
      <c r="C51" s="151" t="s">
        <v>319</v>
      </c>
      <c r="D51" s="302" t="s">
        <v>930</v>
      </c>
      <c r="E51" s="211"/>
      <c r="F51" s="211"/>
    </row>
    <row r="52" spans="1:7" ht="28" customHeight="1" x14ac:dyDescent="0.35">
      <c r="B52" s="152" t="s">
        <v>722</v>
      </c>
      <c r="C52" s="153" t="s">
        <v>321</v>
      </c>
      <c r="D52" s="305" t="s">
        <v>931</v>
      </c>
      <c r="E52" s="211"/>
      <c r="F52" s="211"/>
    </row>
    <row r="53" spans="1:7" ht="28" customHeight="1" x14ac:dyDescent="0.35">
      <c r="B53" s="297" t="s">
        <v>224</v>
      </c>
      <c r="C53" s="211"/>
      <c r="D53" s="211"/>
      <c r="E53" s="211"/>
      <c r="F53" s="211"/>
    </row>
    <row r="54" spans="1:7" x14ac:dyDescent="0.35">
      <c r="B54" s="154" t="s">
        <v>214</v>
      </c>
      <c r="C54" s="155">
        <f>IF(SUMPRODUCT(((C51:C52="Met")+(C51:C52="Partial")+(C51:C52="Missed"))*{3;3})=0,"",ROUND((5*SUMPRODUCT((C51:C52="Met")*{3;3})+2.5*SUMPRODUCT((C51:C52="Partial")*{3;3}))/SUMPRODUCT(((C51:C52="Met")+(C51:C52="Partial")+(C51:C52="Missed"))*{3;3}),1))</f>
        <v>2.5</v>
      </c>
      <c r="D54" s="156"/>
      <c r="E54" s="156"/>
      <c r="F54" s="156"/>
    </row>
    <row r="55" spans="1:7" ht="24" customHeight="1" x14ac:dyDescent="0.35">
      <c r="B55" s="157" t="s">
        <v>553</v>
      </c>
      <c r="C55" s="149">
        <v>3</v>
      </c>
      <c r="D55" s="300" t="str">
        <f>IF(C55="","← enter score; anchor description appears here",CHOOSE(C55+1,"Agent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55" s="211"/>
      <c r="F55" s="211"/>
    </row>
    <row r="56" spans="1:7" x14ac:dyDescent="0.35">
      <c r="B56" s="157" t="s">
        <v>216</v>
      </c>
      <c r="C56" s="300"/>
      <c r="D56" s="211"/>
      <c r="E56" s="211"/>
      <c r="F56" s="211"/>
    </row>
    <row r="57" spans="1:7" ht="36" customHeight="1" x14ac:dyDescent="0.35">
      <c r="B57" s="157" t="s">
        <v>554</v>
      </c>
      <c r="C57" s="300" t="s">
        <v>557</v>
      </c>
      <c r="D57" s="211"/>
      <c r="E57" s="211"/>
      <c r="F57" s="211"/>
    </row>
    <row r="58" spans="1:7" x14ac:dyDescent="0.35">
      <c r="A58" s="63"/>
      <c r="B58" s="63"/>
      <c r="C58" s="63"/>
      <c r="D58" s="63"/>
      <c r="E58" s="63"/>
      <c r="F58" s="63"/>
      <c r="G58" s="63"/>
    </row>
    <row r="59" spans="1:7" ht="18" customHeight="1" x14ac:dyDescent="0.35">
      <c r="B59" s="299" t="s">
        <v>225</v>
      </c>
      <c r="C59" s="211"/>
      <c r="D59" s="211"/>
      <c r="E59" s="211"/>
      <c r="F59" s="148" t="s">
        <v>222</v>
      </c>
    </row>
    <row r="60" spans="1:7" ht="28" customHeight="1" x14ac:dyDescent="0.35">
      <c r="B60" s="304" t="s">
        <v>226</v>
      </c>
      <c r="C60" s="211"/>
      <c r="D60" s="211"/>
      <c r="E60" s="211"/>
      <c r="F60" s="211"/>
    </row>
    <row r="61" spans="1:7" x14ac:dyDescent="0.35">
      <c r="B61" s="145" t="s">
        <v>209</v>
      </c>
      <c r="C61" s="149" t="s">
        <v>210</v>
      </c>
      <c r="D61" s="303" t="s">
        <v>211</v>
      </c>
      <c r="E61" s="211"/>
      <c r="F61" s="211"/>
    </row>
    <row r="62" spans="1:7" ht="28" customHeight="1" x14ac:dyDescent="0.35">
      <c r="B62" s="150" t="s">
        <v>723</v>
      </c>
      <c r="C62" s="151" t="s">
        <v>320</v>
      </c>
      <c r="D62" s="302" t="s">
        <v>932</v>
      </c>
      <c r="E62" s="211"/>
      <c r="F62" s="211"/>
    </row>
    <row r="63" spans="1:7" ht="28" customHeight="1" x14ac:dyDescent="0.35">
      <c r="B63" s="150" t="s">
        <v>724</v>
      </c>
      <c r="C63" s="151" t="s">
        <v>321</v>
      </c>
      <c r="D63" s="302" t="s">
        <v>933</v>
      </c>
      <c r="E63" s="211"/>
      <c r="F63" s="211"/>
    </row>
    <row r="64" spans="1:7" ht="28" customHeight="1" x14ac:dyDescent="0.35">
      <c r="B64" s="152" t="s">
        <v>725</v>
      </c>
      <c r="C64" s="153" t="s">
        <v>320</v>
      </c>
      <c r="D64" s="152" t="s">
        <v>934</v>
      </c>
    </row>
    <row r="65" spans="1:7" ht="28" customHeight="1" x14ac:dyDescent="0.35">
      <c r="B65" s="297" t="s">
        <v>227</v>
      </c>
      <c r="C65" s="211"/>
      <c r="D65" s="211"/>
      <c r="E65" s="211"/>
      <c r="F65" s="211"/>
    </row>
    <row r="66" spans="1:7" x14ac:dyDescent="0.35">
      <c r="B66" s="154" t="s">
        <v>214</v>
      </c>
      <c r="C66" s="155">
        <f>IF(SUMPRODUCT(((C62:C64="Met")+(C62:C64="Partial")+(C62:C64="Missed"))*{3;2;2})=0,"",ROUND((5*SUMPRODUCT((C62:C64="Met")*{3;2;2})+2.5*SUMPRODUCT((C62:C64="Partial")*{3;2;2}))/SUMPRODUCT(((C62:C64="Met")+(C62:C64="Partial")+(C62:C64="Missed"))*{3;2;2}),1))</f>
        <v>1.8</v>
      </c>
      <c r="D66" s="156"/>
      <c r="E66" s="156"/>
      <c r="F66" s="156"/>
    </row>
    <row r="67" spans="1:7" ht="24" customHeight="1" x14ac:dyDescent="0.35">
      <c r="B67" s="157" t="s">
        <v>553</v>
      </c>
      <c r="C67" s="149">
        <v>1</v>
      </c>
      <c r="D67" s="300" t="str">
        <f>IF(C67="","← enter score; anchor description appears here",CHOOSE(C67+1,"Agent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67" s="211"/>
      <c r="F67" s="211"/>
    </row>
    <row r="68" spans="1:7" x14ac:dyDescent="0.35">
      <c r="B68" s="157" t="s">
        <v>216</v>
      </c>
      <c r="C68" s="300" t="s">
        <v>944</v>
      </c>
      <c r="D68" s="211"/>
      <c r="E68" s="211"/>
      <c r="F68" s="211"/>
    </row>
    <row r="69" spans="1:7" ht="36" customHeight="1" x14ac:dyDescent="0.35">
      <c r="B69" s="157" t="s">
        <v>554</v>
      </c>
      <c r="C69" s="300" t="s">
        <v>558</v>
      </c>
      <c r="D69" s="211"/>
      <c r="E69" s="211"/>
      <c r="F69" s="211"/>
    </row>
    <row r="70" spans="1:7" x14ac:dyDescent="0.35">
      <c r="A70" s="63"/>
      <c r="B70" s="63"/>
      <c r="C70" s="63"/>
      <c r="D70" s="63"/>
      <c r="E70" s="63"/>
      <c r="F70" s="63"/>
      <c r="G70" s="63"/>
    </row>
    <row r="71" spans="1:7" ht="18" customHeight="1" x14ac:dyDescent="0.35">
      <c r="B71" s="299" t="s">
        <v>228</v>
      </c>
      <c r="C71" s="211"/>
      <c r="D71" s="211"/>
      <c r="E71" s="211"/>
      <c r="F71" s="148" t="s">
        <v>229</v>
      </c>
    </row>
    <row r="72" spans="1:7" ht="28" customHeight="1" x14ac:dyDescent="0.35">
      <c r="B72" s="304" t="s">
        <v>230</v>
      </c>
      <c r="C72" s="211"/>
      <c r="D72" s="211"/>
      <c r="E72" s="211"/>
      <c r="F72" s="211"/>
    </row>
    <row r="73" spans="1:7" x14ac:dyDescent="0.35">
      <c r="B73" s="145" t="s">
        <v>209</v>
      </c>
      <c r="C73" s="149" t="s">
        <v>210</v>
      </c>
      <c r="D73" s="303" t="s">
        <v>211</v>
      </c>
      <c r="E73" s="211"/>
      <c r="F73" s="211"/>
    </row>
    <row r="74" spans="1:7" ht="28" customHeight="1" x14ac:dyDescent="0.35">
      <c r="B74" s="150" t="s">
        <v>726</v>
      </c>
      <c r="C74" s="151" t="s">
        <v>321</v>
      </c>
      <c r="D74" s="302" t="s">
        <v>935</v>
      </c>
      <c r="E74" s="211"/>
      <c r="F74" s="211"/>
    </row>
    <row r="75" spans="1:7" ht="28" customHeight="1" x14ac:dyDescent="0.35">
      <c r="B75" s="150" t="s">
        <v>727</v>
      </c>
      <c r="C75" s="151" t="s">
        <v>321</v>
      </c>
      <c r="D75" s="302" t="s">
        <v>936</v>
      </c>
      <c r="E75" s="211"/>
      <c r="F75" s="211"/>
    </row>
    <row r="76" spans="1:7" ht="28" customHeight="1" x14ac:dyDescent="0.35">
      <c r="B76" s="297" t="s">
        <v>231</v>
      </c>
      <c r="C76" s="211"/>
      <c r="D76" s="211"/>
      <c r="E76" s="211"/>
      <c r="F76" s="211"/>
    </row>
    <row r="77" spans="1:7" x14ac:dyDescent="0.35">
      <c r="B77" s="154" t="s">
        <v>214</v>
      </c>
      <c r="C77" s="155">
        <f>IF(SUMPRODUCT(((C74:C75="Met")+(C74:C75="Partial")+(C74:C75="Missed"))*{3;2})=0,"",ROUND((5*SUMPRODUCT((C74:C75="Met")*{3;2})+2.5*SUMPRODUCT((C74:C75="Partial")*{3;2}))/SUMPRODUCT(((C74:C75="Met")+(C74:C75="Partial")+(C74:C75="Missed"))*{3;2}),1))</f>
        <v>0</v>
      </c>
      <c r="D77" s="156"/>
      <c r="E77" s="156"/>
      <c r="F77" s="156"/>
    </row>
    <row r="78" spans="1:7" ht="24" customHeight="1" x14ac:dyDescent="0.35">
      <c r="B78" s="157" t="s">
        <v>553</v>
      </c>
      <c r="C78" s="149">
        <v>1</v>
      </c>
      <c r="D78" s="300" t="str">
        <f>IF(C78="","← enter score; anchor description appears here",CHOOSE(C78+1,"Agent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8" s="211"/>
      <c r="F78" s="211"/>
    </row>
    <row r="79" spans="1:7" x14ac:dyDescent="0.35">
      <c r="B79" s="157" t="s">
        <v>216</v>
      </c>
      <c r="C79" s="300" t="s">
        <v>559</v>
      </c>
      <c r="D79" s="211"/>
      <c r="E79" s="211"/>
      <c r="F79" s="211"/>
    </row>
    <row r="80" spans="1:7" ht="36" customHeight="1" x14ac:dyDescent="0.35">
      <c r="B80" s="157" t="s">
        <v>554</v>
      </c>
      <c r="C80" s="300" t="s">
        <v>560</v>
      </c>
      <c r="D80" s="211"/>
      <c r="E80" s="211"/>
      <c r="F80" s="211"/>
    </row>
    <row r="81" spans="1:7" x14ac:dyDescent="0.35">
      <c r="A81" s="63"/>
      <c r="B81" s="63"/>
      <c r="C81" s="63"/>
      <c r="D81" s="63"/>
      <c r="E81" s="63"/>
      <c r="F81" s="63"/>
      <c r="G81" s="63"/>
    </row>
    <row r="82" spans="1:7" ht="18" customHeight="1" x14ac:dyDescent="0.35">
      <c r="B82" s="299" t="s">
        <v>232</v>
      </c>
      <c r="C82" s="211"/>
      <c r="D82" s="211"/>
      <c r="E82" s="211"/>
      <c r="F82" s="211"/>
    </row>
    <row r="83" spans="1:7" ht="36" customHeight="1" x14ac:dyDescent="0.35">
      <c r="B83" s="145" t="s">
        <v>233</v>
      </c>
      <c r="C83" s="300" t="s">
        <v>561</v>
      </c>
      <c r="D83" s="211"/>
      <c r="E83" s="211"/>
      <c r="F83" s="211"/>
    </row>
    <row r="84" spans="1:7" ht="18" customHeight="1" x14ac:dyDescent="0.35">
      <c r="B84" s="299" t="s">
        <v>234</v>
      </c>
      <c r="C84" s="211"/>
      <c r="D84" s="211"/>
      <c r="E84" s="211"/>
      <c r="F84" s="211"/>
    </row>
    <row r="85" spans="1:7" ht="29.15" customHeight="1" x14ac:dyDescent="0.35">
      <c r="B85" s="145" t="s">
        <v>235</v>
      </c>
      <c r="C85" s="300" t="s">
        <v>562</v>
      </c>
      <c r="D85" s="211"/>
      <c r="E85" s="211"/>
      <c r="F85" s="211"/>
    </row>
    <row r="86" spans="1:7" ht="29.15" customHeight="1" x14ac:dyDescent="0.35">
      <c r="B86" s="145" t="s">
        <v>236</v>
      </c>
      <c r="C86" s="300"/>
      <c r="D86" s="211"/>
      <c r="E86" s="211"/>
      <c r="F86" s="211"/>
    </row>
    <row r="87" spans="1:7" ht="29.15" customHeight="1" x14ac:dyDescent="0.35">
      <c r="B87" s="145" t="s">
        <v>237</v>
      </c>
      <c r="C87" s="300"/>
      <c r="D87" s="211"/>
      <c r="E87" s="211"/>
      <c r="F87" s="211"/>
    </row>
    <row r="88" spans="1:7" x14ac:dyDescent="0.35">
      <c r="A88" s="63"/>
      <c r="B88" s="63"/>
      <c r="C88" s="63"/>
      <c r="D88" s="63"/>
      <c r="E88" s="63"/>
      <c r="F88" s="63"/>
      <c r="G88" s="63"/>
    </row>
    <row r="89" spans="1:7" ht="18" customHeight="1" x14ac:dyDescent="0.35">
      <c r="B89" s="299" t="s">
        <v>238</v>
      </c>
      <c r="C89" s="211"/>
      <c r="D89" s="211"/>
      <c r="E89" s="211"/>
      <c r="F89" s="148" t="s">
        <v>239</v>
      </c>
    </row>
    <row r="90" spans="1:7" ht="28" customHeight="1" x14ac:dyDescent="0.35">
      <c r="B90" s="304" t="s">
        <v>240</v>
      </c>
      <c r="C90" s="211"/>
      <c r="D90" s="211"/>
      <c r="E90" s="211"/>
      <c r="F90" s="211"/>
    </row>
    <row r="91" spans="1:7" x14ac:dyDescent="0.35">
      <c r="B91" s="145" t="s">
        <v>209</v>
      </c>
      <c r="C91" s="149" t="s">
        <v>210</v>
      </c>
      <c r="D91" s="303" t="s">
        <v>211</v>
      </c>
      <c r="E91" s="211"/>
      <c r="F91" s="211"/>
    </row>
    <row r="92" spans="1:7" ht="28" customHeight="1" x14ac:dyDescent="0.35">
      <c r="B92" s="150" t="s">
        <v>728</v>
      </c>
      <c r="C92" s="151" t="s">
        <v>319</v>
      </c>
      <c r="D92" s="302" t="s">
        <v>937</v>
      </c>
      <c r="E92" s="211"/>
      <c r="F92" s="211"/>
    </row>
    <row r="93" spans="1:7" ht="28" customHeight="1" x14ac:dyDescent="0.35">
      <c r="B93" s="152" t="s">
        <v>729</v>
      </c>
      <c r="C93" s="153" t="s">
        <v>321</v>
      </c>
      <c r="D93" s="305" t="s">
        <v>938</v>
      </c>
      <c r="E93" s="211"/>
      <c r="F93" s="211"/>
    </row>
    <row r="94" spans="1:7" ht="28" customHeight="1" x14ac:dyDescent="0.35">
      <c r="B94" s="150" t="s">
        <v>730</v>
      </c>
      <c r="C94" s="151" t="s">
        <v>321</v>
      </c>
      <c r="D94" s="302" t="s">
        <v>939</v>
      </c>
      <c r="E94" s="211"/>
      <c r="F94" s="211"/>
    </row>
    <row r="95" spans="1:7" ht="28" customHeight="1" x14ac:dyDescent="0.35">
      <c r="B95" s="297" t="s">
        <v>241</v>
      </c>
      <c r="C95" s="211"/>
      <c r="D95" s="211"/>
      <c r="E95" s="211"/>
      <c r="F95" s="211"/>
    </row>
    <row r="96" spans="1:7" x14ac:dyDescent="0.35">
      <c r="B96" s="154" t="s">
        <v>214</v>
      </c>
      <c r="C96" s="155">
        <f>IF(SUMPRODUCT(((C92:C94="Met")+(C92:C94="Partial")+(C92:C94="Missed"))*{3;2;2})=0,"",ROUND((5*SUMPRODUCT((C92:C94="Met")*{3;2;2})+2.5*SUMPRODUCT((C92:C94="Partial")*{3;2;2}))/SUMPRODUCT(((C92:C94="Met")+(C92:C94="Partial")+(C92:C94="Missed"))*{3;2;2}),1))</f>
        <v>2.1</v>
      </c>
      <c r="D96" s="156"/>
      <c r="E96" s="156"/>
      <c r="F96" s="156"/>
    </row>
    <row r="97" spans="1:7" ht="24" customHeight="1" x14ac:dyDescent="0.35">
      <c r="B97" s="157" t="s">
        <v>553</v>
      </c>
      <c r="C97" s="149">
        <v>2</v>
      </c>
      <c r="D97" s="300" t="str">
        <f>IF(C97="","← enter score; anchor description appears here",CHOOSE(C97+1,"Agent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97" s="211"/>
      <c r="F97" s="211"/>
    </row>
    <row r="98" spans="1:7" x14ac:dyDescent="0.35">
      <c r="B98" s="157" t="s">
        <v>216</v>
      </c>
      <c r="C98" s="300"/>
      <c r="D98" s="211"/>
      <c r="E98" s="211"/>
      <c r="F98" s="211"/>
    </row>
    <row r="99" spans="1:7" ht="36" customHeight="1" x14ac:dyDescent="0.35">
      <c r="B99" s="157" t="s">
        <v>554</v>
      </c>
      <c r="C99" s="300" t="s">
        <v>563</v>
      </c>
      <c r="D99" s="211"/>
      <c r="E99" s="211"/>
      <c r="F99" s="211"/>
    </row>
    <row r="100" spans="1:7" x14ac:dyDescent="0.35">
      <c r="A100" s="63"/>
      <c r="B100" s="63"/>
      <c r="C100" s="63"/>
      <c r="D100" s="63"/>
      <c r="E100" s="63"/>
      <c r="F100" s="63"/>
      <c r="G100" s="63"/>
    </row>
    <row r="101" spans="1:7" ht="18" customHeight="1" x14ac:dyDescent="0.35">
      <c r="B101" s="299" t="s">
        <v>242</v>
      </c>
      <c r="C101" s="211"/>
      <c r="D101" s="211"/>
      <c r="E101" s="211"/>
      <c r="F101" s="148" t="s">
        <v>239</v>
      </c>
    </row>
    <row r="102" spans="1:7" ht="28" customHeight="1" x14ac:dyDescent="0.35">
      <c r="B102" s="304" t="s">
        <v>243</v>
      </c>
      <c r="C102" s="211"/>
      <c r="D102" s="211"/>
      <c r="E102" s="211"/>
      <c r="F102" s="211"/>
    </row>
    <row r="103" spans="1:7" x14ac:dyDescent="0.35">
      <c r="B103" s="145" t="s">
        <v>209</v>
      </c>
      <c r="C103" s="149" t="s">
        <v>210</v>
      </c>
      <c r="D103" s="303" t="s">
        <v>211</v>
      </c>
      <c r="E103" s="211"/>
      <c r="F103" s="211"/>
    </row>
    <row r="104" spans="1:7" ht="28" customHeight="1" x14ac:dyDescent="0.35">
      <c r="B104" s="150" t="s">
        <v>731</v>
      </c>
      <c r="C104" s="151" t="s">
        <v>319</v>
      </c>
      <c r="D104" s="302" t="s">
        <v>940</v>
      </c>
      <c r="E104" s="211"/>
      <c r="F104" s="211"/>
    </row>
    <row r="105" spans="1:7" ht="28" customHeight="1" x14ac:dyDescent="0.35">
      <c r="B105" s="152" t="s">
        <v>732</v>
      </c>
      <c r="C105" s="153" t="s">
        <v>321</v>
      </c>
      <c r="D105" s="305" t="s">
        <v>941</v>
      </c>
      <c r="E105" s="211"/>
      <c r="F105" s="211"/>
    </row>
    <row r="106" spans="1:7" ht="28" customHeight="1" x14ac:dyDescent="0.35">
      <c r="B106" s="150" t="s">
        <v>733</v>
      </c>
      <c r="C106" s="151" t="s">
        <v>321</v>
      </c>
      <c r="D106" s="302" t="s">
        <v>942</v>
      </c>
      <c r="E106" s="211"/>
      <c r="F106" s="211"/>
    </row>
    <row r="107" spans="1:7" ht="28" customHeight="1" x14ac:dyDescent="0.35">
      <c r="B107" s="297" t="s">
        <v>244</v>
      </c>
      <c r="C107" s="211"/>
      <c r="D107" s="211"/>
      <c r="E107" s="211"/>
      <c r="F107" s="211"/>
    </row>
    <row r="108" spans="1:7" x14ac:dyDescent="0.35">
      <c r="B108" s="154" t="s">
        <v>214</v>
      </c>
      <c r="C108" s="155">
        <f>IF(SUMPRODUCT(((C104:C106="Met")+(C104:C106="Partial")+(C104:C106="Missed"))*{3;2;2})=0,"",ROUND((5*SUMPRODUCT((C104:C106="Met")*{3;2;2})+2.5*SUMPRODUCT((C104:C106="Partial")*{3;2;2}))/SUMPRODUCT(((C104:C106="Met")+(C104:C106="Partial")+(C104:C106="Missed"))*{3;2;2}),1))</f>
        <v>2.1</v>
      </c>
      <c r="D108" s="156"/>
      <c r="E108" s="156"/>
      <c r="F108" s="156"/>
    </row>
    <row r="109" spans="1:7" ht="24" customHeight="1" x14ac:dyDescent="0.35">
      <c r="B109" s="157" t="s">
        <v>553</v>
      </c>
      <c r="C109" s="149">
        <v>2</v>
      </c>
      <c r="D109" s="300" t="str">
        <f>IF(C109="","← enter score; anchor description appears here",CHOOSE(C109+1,"Agent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09" s="211"/>
      <c r="F109" s="211"/>
    </row>
    <row r="110" spans="1:7" x14ac:dyDescent="0.35">
      <c r="B110" s="157" t="s">
        <v>216</v>
      </c>
      <c r="C110" s="300"/>
      <c r="D110" s="211"/>
      <c r="E110" s="211"/>
      <c r="F110" s="211"/>
    </row>
    <row r="111" spans="1:7" ht="36" customHeight="1" x14ac:dyDescent="0.35">
      <c r="B111" s="157" t="s">
        <v>554</v>
      </c>
      <c r="C111" s="300" t="s">
        <v>564</v>
      </c>
      <c r="D111" s="211"/>
      <c r="E111" s="211"/>
      <c r="F111" s="211"/>
    </row>
    <row r="112" spans="1:7" x14ac:dyDescent="0.35">
      <c r="A112" s="63"/>
      <c r="B112" s="63"/>
      <c r="C112" s="63"/>
      <c r="D112" s="63"/>
      <c r="E112" s="63"/>
      <c r="F112" s="63"/>
      <c r="G112" s="63"/>
    </row>
    <row r="113" spans="1:7" ht="28" customHeight="1" x14ac:dyDescent="0.35">
      <c r="B113" s="301" t="s">
        <v>565</v>
      </c>
      <c r="C113" s="211"/>
      <c r="D113" s="211"/>
      <c r="E113" s="211"/>
      <c r="F113" s="211"/>
    </row>
    <row r="114" spans="1:7" x14ac:dyDescent="0.35">
      <c r="B114" s="158" t="s">
        <v>192</v>
      </c>
      <c r="C114" s="158" t="s">
        <v>193</v>
      </c>
      <c r="D114" s="158" t="s">
        <v>194</v>
      </c>
      <c r="E114" s="158" t="s">
        <v>195</v>
      </c>
      <c r="F114" s="158" t="s">
        <v>196</v>
      </c>
    </row>
    <row r="115" spans="1:7" x14ac:dyDescent="0.35">
      <c r="B115" s="159" t="s">
        <v>197</v>
      </c>
      <c r="C115" s="151" t="s">
        <v>566</v>
      </c>
      <c r="D115" s="151">
        <f>C32</f>
        <v>3</v>
      </c>
      <c r="E115" s="160">
        <f>IF(D115="","",(D115/5)*0.3)</f>
        <v>0.18</v>
      </c>
      <c r="F115" s="151" t="str">
        <f t="shared" ref="F115:F121" si="0">IF(D115="","",IF(D115&gt;=4,"Strong",IF(D115=3,"Developing","Needs Focus")))</f>
        <v>Developing</v>
      </c>
    </row>
    <row r="116" spans="1:7" x14ac:dyDescent="0.35">
      <c r="B116" s="161" t="s">
        <v>198</v>
      </c>
      <c r="C116" s="153" t="s">
        <v>567</v>
      </c>
      <c r="D116" s="153">
        <f>C44</f>
        <v>4</v>
      </c>
      <c r="E116" s="162">
        <f>IF(D116="","",(D116/5)*0.2)</f>
        <v>0.16000000000000003</v>
      </c>
      <c r="F116" s="153" t="str">
        <f t="shared" si="0"/>
        <v>Strong</v>
      </c>
    </row>
    <row r="117" spans="1:7" x14ac:dyDescent="0.35">
      <c r="B117" s="159" t="s">
        <v>199</v>
      </c>
      <c r="C117" s="151" t="s">
        <v>568</v>
      </c>
      <c r="D117" s="151">
        <f>C55</f>
        <v>3</v>
      </c>
      <c r="E117" s="160">
        <f>IF(D117="","",(D117/5)*0.15)</f>
        <v>0.09</v>
      </c>
      <c r="F117" s="151" t="str">
        <f t="shared" si="0"/>
        <v>Developing</v>
      </c>
    </row>
    <row r="118" spans="1:7" x14ac:dyDescent="0.35">
      <c r="B118" s="161" t="s">
        <v>200</v>
      </c>
      <c r="C118" s="153" t="s">
        <v>568</v>
      </c>
      <c r="D118" s="153">
        <f>C67</f>
        <v>1</v>
      </c>
      <c r="E118" s="162">
        <f>IF(D118="","",(D118/5)*0.15)</f>
        <v>0.03</v>
      </c>
      <c r="F118" s="153" t="str">
        <f t="shared" si="0"/>
        <v>Needs Focus</v>
      </c>
    </row>
    <row r="119" spans="1:7" x14ac:dyDescent="0.35">
      <c r="B119" s="159" t="s">
        <v>201</v>
      </c>
      <c r="C119" s="151" t="s">
        <v>569</v>
      </c>
      <c r="D119" s="151">
        <f>C78</f>
        <v>1</v>
      </c>
      <c r="E119" s="160">
        <f>IF(D119="","",(D119/5)*0.1)</f>
        <v>2.0000000000000004E-2</v>
      </c>
      <c r="F119" s="151" t="str">
        <f t="shared" si="0"/>
        <v>Needs Focus</v>
      </c>
    </row>
    <row r="120" spans="1:7" x14ac:dyDescent="0.35">
      <c r="B120" s="161" t="s">
        <v>202</v>
      </c>
      <c r="C120" s="153" t="s">
        <v>570</v>
      </c>
      <c r="D120" s="153">
        <f>C97</f>
        <v>2</v>
      </c>
      <c r="E120" s="162">
        <f>IF(D120="","",(D120/5)*0.05)</f>
        <v>2.0000000000000004E-2</v>
      </c>
      <c r="F120" s="153" t="str">
        <f t="shared" si="0"/>
        <v>Needs Focus</v>
      </c>
    </row>
    <row r="121" spans="1:7" x14ac:dyDescent="0.35">
      <c r="B121" s="159" t="s">
        <v>203</v>
      </c>
      <c r="C121" s="151" t="s">
        <v>570</v>
      </c>
      <c r="D121" s="151">
        <f>C109</f>
        <v>2</v>
      </c>
      <c r="E121" s="160">
        <f>IF(D121="","",(D121/5)*0.05)</f>
        <v>2.0000000000000004E-2</v>
      </c>
      <c r="F121" s="151" t="str">
        <f t="shared" si="0"/>
        <v>Needs Focus</v>
      </c>
    </row>
    <row r="122" spans="1:7" ht="24" customHeight="1" x14ac:dyDescent="0.35">
      <c r="B122" s="147" t="s">
        <v>204</v>
      </c>
      <c r="C122" s="163" t="s">
        <v>571</v>
      </c>
      <c r="D122" s="164"/>
      <c r="E122" s="165">
        <f>SUM(E115:E121)</f>
        <v>0.52000000000000013</v>
      </c>
      <c r="F122" s="163" t="str">
        <f>IF(E122="","",IF(E122&gt;=0.85,"MEETS / EXCEEDS",IF(E122&gt;=0.7,"DEVELOPING","NEEDS IMPROVEMENT")))</f>
        <v>NEEDS IMPROVEMENT</v>
      </c>
    </row>
    <row r="123" spans="1:7" x14ac:dyDescent="0.35">
      <c r="A123" s="63"/>
      <c r="B123" s="63"/>
      <c r="C123" s="63"/>
      <c r="D123" s="63"/>
      <c r="E123" s="63"/>
      <c r="F123" s="63"/>
      <c r="G123" s="63"/>
    </row>
    <row r="124" spans="1:7" ht="18" customHeight="1" x14ac:dyDescent="0.35">
      <c r="B124" s="299" t="s">
        <v>572</v>
      </c>
      <c r="C124" s="211"/>
      <c r="D124" s="211"/>
      <c r="E124" s="211"/>
      <c r="F124" s="148"/>
    </row>
    <row r="125" spans="1:7" ht="29.15" customHeight="1" x14ac:dyDescent="0.35">
      <c r="B125" s="145" t="s">
        <v>246</v>
      </c>
      <c r="C125" s="146" t="s">
        <v>546</v>
      </c>
      <c r="D125" s="145" t="s">
        <v>247</v>
      </c>
      <c r="E125" s="298" t="s">
        <v>573</v>
      </c>
      <c r="F125" s="211"/>
    </row>
    <row r="126" spans="1:7" ht="52" customHeight="1" x14ac:dyDescent="0.35">
      <c r="B126" s="145" t="s">
        <v>248</v>
      </c>
      <c r="C126" s="300" t="s">
        <v>574</v>
      </c>
      <c r="D126" s="211"/>
      <c r="E126" s="211"/>
      <c r="F126" s="211"/>
    </row>
    <row r="127" spans="1:7" x14ac:dyDescent="0.35">
      <c r="A127" s="63"/>
      <c r="B127" s="63"/>
      <c r="C127" s="63"/>
      <c r="D127" s="63"/>
      <c r="E127" s="63"/>
      <c r="F127" s="63"/>
      <c r="G127" s="63"/>
    </row>
    <row r="128" spans="1:7" ht="18" customHeight="1" x14ac:dyDescent="0.35">
      <c r="B128" s="299" t="s">
        <v>575</v>
      </c>
      <c r="C128" s="211"/>
      <c r="D128" s="211"/>
      <c r="E128" s="211"/>
      <c r="F128" s="148"/>
    </row>
    <row r="129" spans="1:7" ht="26.15" customHeight="1" x14ac:dyDescent="0.35">
      <c r="B129" s="145" t="s">
        <v>250</v>
      </c>
      <c r="C129" s="166" t="s">
        <v>251</v>
      </c>
      <c r="D129" s="306" t="s">
        <v>252</v>
      </c>
      <c r="E129" s="211"/>
      <c r="F129" s="211"/>
    </row>
    <row r="130" spans="1:7" ht="26.15" customHeight="1" x14ac:dyDescent="0.35">
      <c r="B130" s="145" t="s">
        <v>253</v>
      </c>
      <c r="C130" s="146" t="s">
        <v>254</v>
      </c>
      <c r="D130" s="146"/>
      <c r="E130" s="298" t="str">
        <f>IF(AND(C129="Yes",OR(C130="None",C130="N.A. — no disconnect")),"⚠ MISSED OWNERSHIP OPPORTUNITY — flag in Customer Ownership and Critical Failures","OK")</f>
        <v>OK</v>
      </c>
      <c r="F130" s="211"/>
    </row>
    <row r="131" spans="1:7" x14ac:dyDescent="0.35">
      <c r="A131" s="63"/>
      <c r="B131" s="63"/>
      <c r="C131" s="63"/>
      <c r="D131" s="63"/>
      <c r="E131" s="63"/>
      <c r="F131" s="63"/>
      <c r="G131" s="63"/>
    </row>
    <row r="132" spans="1:7" ht="28" customHeight="1" x14ac:dyDescent="0.35">
      <c r="B132" s="301" t="s">
        <v>576</v>
      </c>
      <c r="C132" s="211"/>
      <c r="D132" s="211"/>
      <c r="E132" s="211"/>
      <c r="F132" s="211"/>
    </row>
    <row r="133" spans="1:7" ht="26.15" customHeight="1" x14ac:dyDescent="0.35">
      <c r="B133" s="145" t="s">
        <v>256</v>
      </c>
      <c r="C133" s="149" t="s">
        <v>257</v>
      </c>
      <c r="D133" s="303" t="s">
        <v>258</v>
      </c>
      <c r="E133" s="211"/>
      <c r="F133" s="211"/>
    </row>
    <row r="134" spans="1:7" ht="26.15" customHeight="1" x14ac:dyDescent="0.35">
      <c r="B134" s="150" t="s">
        <v>259</v>
      </c>
      <c r="C134" s="151" t="str">
        <f>IF(OR(C41="Partial",C41="Missed"),C41,"")</f>
        <v>Partial</v>
      </c>
      <c r="D134" s="302" t="s">
        <v>734</v>
      </c>
      <c r="E134" s="211"/>
      <c r="F134" s="211"/>
    </row>
    <row r="135" spans="1:7" ht="26.15" customHeight="1" x14ac:dyDescent="0.35">
      <c r="B135" s="152" t="s">
        <v>735</v>
      </c>
      <c r="C135" s="153" t="str">
        <f>IF(OR(C63="Partial",C63="Missed"),C63,"")</f>
        <v>Missed</v>
      </c>
      <c r="D135" s="305" t="s">
        <v>736</v>
      </c>
      <c r="E135" s="211"/>
      <c r="F135" s="211"/>
    </row>
    <row r="136" spans="1:7" ht="26.15" customHeight="1" x14ac:dyDescent="0.35">
      <c r="B136" s="150" t="s">
        <v>737</v>
      </c>
      <c r="C136" s="151" t="str">
        <f>IF(OR(C62="Partial",C62="Missed"),C62,"")</f>
        <v>Partial</v>
      </c>
      <c r="D136" s="302" t="s">
        <v>260</v>
      </c>
      <c r="E136" s="211"/>
      <c r="F136" s="211"/>
    </row>
    <row r="137" spans="1:7" ht="26.15" customHeight="1" x14ac:dyDescent="0.35">
      <c r="B137" s="152" t="s">
        <v>738</v>
      </c>
      <c r="C137" s="153" t="str">
        <f>IF(OR(C28="Partial",C28="Missed"),C28,"")</f>
        <v/>
      </c>
      <c r="D137" s="305" t="s">
        <v>739</v>
      </c>
      <c r="E137" s="211"/>
      <c r="F137" s="211"/>
    </row>
    <row r="138" spans="1:7" ht="26.15" customHeight="1" x14ac:dyDescent="0.35">
      <c r="B138" s="150" t="s">
        <v>740</v>
      </c>
      <c r="C138" s="151" t="str">
        <f>IF(OR(C74="Partial",C74="Missed"),C74,"")</f>
        <v>Missed</v>
      </c>
      <c r="D138" s="302" t="s">
        <v>741</v>
      </c>
      <c r="E138" s="211"/>
      <c r="F138" s="211"/>
    </row>
    <row r="139" spans="1:7" ht="26.15" customHeight="1" x14ac:dyDescent="0.35">
      <c r="B139" s="152" t="s">
        <v>742</v>
      </c>
      <c r="C139" s="153" t="str">
        <f>IF(OR(C75="Partial",C75="Missed"),C75,"")</f>
        <v>Missed</v>
      </c>
      <c r="D139" s="305" t="s">
        <v>743</v>
      </c>
      <c r="E139" s="211"/>
      <c r="F139" s="211"/>
    </row>
    <row r="140" spans="1:7" ht="26.15" customHeight="1" x14ac:dyDescent="0.35">
      <c r="B140" s="150" t="s">
        <v>261</v>
      </c>
      <c r="C140" s="151" t="str">
        <f>IF(OR(C92="Partial",C92="Missed"),C92,"")</f>
        <v/>
      </c>
      <c r="D140" s="302" t="s">
        <v>262</v>
      </c>
      <c r="E140" s="211"/>
      <c r="F140" s="211"/>
    </row>
    <row r="141" spans="1:7" ht="26.15" customHeight="1" x14ac:dyDescent="0.35">
      <c r="B141" s="152" t="s">
        <v>263</v>
      </c>
      <c r="C141" s="153" t="str">
        <f>IF(OR(C106="Partial",C106="Missed"),C106,"")</f>
        <v>Missed</v>
      </c>
      <c r="D141" s="305" t="s">
        <v>264</v>
      </c>
      <c r="E141" s="211"/>
      <c r="F141" s="211"/>
    </row>
    <row r="142" spans="1:7" x14ac:dyDescent="0.35">
      <c r="A142" s="63"/>
      <c r="B142" s="63"/>
      <c r="C142" s="63"/>
      <c r="D142" s="63"/>
      <c r="E142" s="63"/>
      <c r="F142" s="63"/>
      <c r="G142" s="63"/>
    </row>
    <row r="143" spans="1:7" ht="28" customHeight="1" x14ac:dyDescent="0.35">
      <c r="B143" s="301" t="s">
        <v>577</v>
      </c>
      <c r="C143" s="211"/>
      <c r="D143" s="211"/>
      <c r="E143" s="211"/>
      <c r="F143" s="211"/>
    </row>
    <row r="144" spans="1:7" ht="28" customHeight="1" x14ac:dyDescent="0.35">
      <c r="B144" s="299" t="s">
        <v>578</v>
      </c>
      <c r="C144" s="211"/>
      <c r="D144" s="211"/>
      <c r="E144" s="211"/>
      <c r="F144" s="211"/>
    </row>
    <row r="145" spans="2:6" ht="32.15" customHeight="1" x14ac:dyDescent="0.35">
      <c r="B145" s="149" t="s">
        <v>235</v>
      </c>
      <c r="C145" s="300" t="s">
        <v>579</v>
      </c>
      <c r="D145" s="211"/>
      <c r="E145" s="211"/>
      <c r="F145" s="211"/>
    </row>
    <row r="146" spans="2:6" ht="32.15" customHeight="1" x14ac:dyDescent="0.35">
      <c r="B146" s="149" t="s">
        <v>236</v>
      </c>
      <c r="C146" s="300" t="s">
        <v>580</v>
      </c>
      <c r="D146" s="211"/>
      <c r="E146" s="211"/>
      <c r="F146" s="211"/>
    </row>
    <row r="147" spans="2:6" ht="32.15" customHeight="1" x14ac:dyDescent="0.35">
      <c r="B147" s="149" t="s">
        <v>237</v>
      </c>
      <c r="C147" s="300" t="s">
        <v>581</v>
      </c>
      <c r="D147" s="211"/>
      <c r="E147" s="211"/>
      <c r="F147" s="211"/>
    </row>
    <row r="148" spans="2:6" ht="28" customHeight="1" x14ac:dyDescent="0.35">
      <c r="B148" s="299" t="s">
        <v>582</v>
      </c>
      <c r="C148" s="211"/>
      <c r="D148" s="211"/>
      <c r="E148" s="211"/>
      <c r="F148" s="211"/>
    </row>
    <row r="149" spans="2:6" ht="32.15" customHeight="1" x14ac:dyDescent="0.35">
      <c r="B149" s="149" t="s">
        <v>235</v>
      </c>
      <c r="C149" s="300" t="s">
        <v>583</v>
      </c>
      <c r="D149" s="211"/>
      <c r="E149" s="211"/>
      <c r="F149" s="211"/>
    </row>
    <row r="150" spans="2:6" ht="32.15" customHeight="1" x14ac:dyDescent="0.35">
      <c r="B150" s="149" t="s">
        <v>236</v>
      </c>
      <c r="C150" s="300" t="s">
        <v>584</v>
      </c>
      <c r="D150" s="211"/>
      <c r="E150" s="211"/>
      <c r="F150" s="211"/>
    </row>
    <row r="151" spans="2:6" ht="32.15" customHeight="1" x14ac:dyDescent="0.35">
      <c r="B151" s="149" t="s">
        <v>237</v>
      </c>
      <c r="C151" s="300" t="s">
        <v>585</v>
      </c>
      <c r="D151" s="211"/>
      <c r="E151" s="211"/>
      <c r="F151" s="211"/>
    </row>
    <row r="152" spans="2:6" ht="28" customHeight="1" x14ac:dyDescent="0.35">
      <c r="B152" s="299" t="s">
        <v>586</v>
      </c>
      <c r="C152" s="211"/>
      <c r="D152" s="211"/>
      <c r="E152" s="211"/>
      <c r="F152" s="211"/>
    </row>
    <row r="153" spans="2:6" ht="58" customHeight="1" x14ac:dyDescent="0.35">
      <c r="B153" s="300" t="s">
        <v>587</v>
      </c>
      <c r="C153" s="211"/>
      <c r="D153" s="211"/>
      <c r="E153" s="211"/>
      <c r="F153" s="211"/>
    </row>
    <row r="154" spans="2:6" ht="28" customHeight="1" x14ac:dyDescent="0.35">
      <c r="B154" s="299" t="s">
        <v>588</v>
      </c>
      <c r="C154" s="211"/>
      <c r="D154" s="211"/>
      <c r="E154" s="211"/>
      <c r="F154" s="211"/>
    </row>
    <row r="155" spans="2:6" ht="70" customHeight="1" x14ac:dyDescent="0.35">
      <c r="B155" s="300" t="s">
        <v>589</v>
      </c>
      <c r="C155" s="211"/>
      <c r="D155" s="211"/>
      <c r="E155" s="211"/>
      <c r="F155" s="211"/>
    </row>
    <row r="156" spans="2:6" ht="28" customHeight="1" x14ac:dyDescent="0.35">
      <c r="B156" s="299" t="s">
        <v>590</v>
      </c>
      <c r="C156" s="211"/>
      <c r="D156" s="211"/>
      <c r="E156" s="211"/>
      <c r="F156" s="211"/>
    </row>
    <row r="157" spans="2:6" ht="58" customHeight="1" x14ac:dyDescent="0.35">
      <c r="B157" s="300" t="s">
        <v>591</v>
      </c>
      <c r="C157" s="211"/>
      <c r="D157" s="211"/>
      <c r="E157" s="211"/>
      <c r="F157" s="211"/>
    </row>
    <row r="158" spans="2:6" ht="28" customHeight="1" x14ac:dyDescent="0.35">
      <c r="B158" s="299" t="s">
        <v>592</v>
      </c>
      <c r="C158" s="211"/>
      <c r="D158" s="211"/>
      <c r="E158" s="211"/>
      <c r="F158" s="211"/>
    </row>
    <row r="159" spans="2:6" ht="58" customHeight="1" x14ac:dyDescent="0.35">
      <c r="B159" s="300" t="s">
        <v>593</v>
      </c>
      <c r="C159" s="211"/>
      <c r="D159" s="211"/>
      <c r="E159" s="211"/>
      <c r="F159" s="211"/>
    </row>
  </sheetData>
  <mergeCells count="128">
    <mergeCell ref="B1:F1"/>
    <mergeCell ref="B71:E71"/>
    <mergeCell ref="D106:F106"/>
    <mergeCell ref="D39:F39"/>
    <mergeCell ref="E6:F6"/>
    <mergeCell ref="C85:F85"/>
    <mergeCell ref="C20:F20"/>
    <mergeCell ref="B48:E48"/>
    <mergeCell ref="C99:F99"/>
    <mergeCell ref="D32:F32"/>
    <mergeCell ref="C98:F98"/>
    <mergeCell ref="D40:F40"/>
    <mergeCell ref="D97:F97"/>
    <mergeCell ref="D75:F75"/>
    <mergeCell ref="B15:F15"/>
    <mergeCell ref="C33:F33"/>
    <mergeCell ref="D27:F27"/>
    <mergeCell ref="C19:F19"/>
    <mergeCell ref="D63:F63"/>
    <mergeCell ref="E7:F7"/>
    <mergeCell ref="D74:F74"/>
    <mergeCell ref="C79:F79"/>
    <mergeCell ref="D29:F29"/>
    <mergeCell ref="D94:F94"/>
    <mergeCell ref="B159:F159"/>
    <mergeCell ref="C14:F14"/>
    <mergeCell ref="D141:F141"/>
    <mergeCell ref="D51:F51"/>
    <mergeCell ref="B72:F72"/>
    <mergeCell ref="C86:F86"/>
    <mergeCell ref="B132:F132"/>
    <mergeCell ref="B76:F76"/>
    <mergeCell ref="B124:E124"/>
    <mergeCell ref="B59:E59"/>
    <mergeCell ref="B155:F155"/>
    <mergeCell ref="D50:F50"/>
    <mergeCell ref="C146:F146"/>
    <mergeCell ref="D62:F62"/>
    <mergeCell ref="E16:F16"/>
    <mergeCell ref="B157:F157"/>
    <mergeCell ref="D92:F92"/>
    <mergeCell ref="B65:F65"/>
    <mergeCell ref="B95:F95"/>
    <mergeCell ref="B153:F153"/>
    <mergeCell ref="D103:F103"/>
    <mergeCell ref="B158:F158"/>
    <mergeCell ref="B36:E36"/>
    <mergeCell ref="C110:F110"/>
    <mergeCell ref="B152:F152"/>
    <mergeCell ref="C56:F56"/>
    <mergeCell ref="C46:F46"/>
    <mergeCell ref="B89:E89"/>
    <mergeCell ref="C147:F147"/>
    <mergeCell ref="B82:F82"/>
    <mergeCell ref="E130:F130"/>
    <mergeCell ref="B144:F144"/>
    <mergeCell ref="D93:F93"/>
    <mergeCell ref="D105:F105"/>
    <mergeCell ref="D138:F138"/>
    <mergeCell ref="C83:F83"/>
    <mergeCell ref="D137:F137"/>
    <mergeCell ref="C87:F87"/>
    <mergeCell ref="D78:F78"/>
    <mergeCell ref="C151:F151"/>
    <mergeCell ref="D109:F109"/>
    <mergeCell ref="D91:F91"/>
    <mergeCell ref="D55:F55"/>
    <mergeCell ref="D104:F104"/>
    <mergeCell ref="D52:F52"/>
    <mergeCell ref="B60:F60"/>
    <mergeCell ref="C150:F150"/>
    <mergeCell ref="C111:F111"/>
    <mergeCell ref="B102:F102"/>
    <mergeCell ref="D139:F139"/>
    <mergeCell ref="D129:F129"/>
    <mergeCell ref="D134:F134"/>
    <mergeCell ref="C149:F149"/>
    <mergeCell ref="B42:F42"/>
    <mergeCell ref="B143:F143"/>
    <mergeCell ref="E125:F125"/>
    <mergeCell ref="B128:E128"/>
    <mergeCell ref="B113:F113"/>
    <mergeCell ref="C45:F45"/>
    <mergeCell ref="C126:F126"/>
    <mergeCell ref="B148:F148"/>
    <mergeCell ref="B107:F107"/>
    <mergeCell ref="B156:F156"/>
    <mergeCell ref="D133:F133"/>
    <mergeCell ref="B25:F25"/>
    <mergeCell ref="C34:F34"/>
    <mergeCell ref="E8:F8"/>
    <mergeCell ref="C145:F145"/>
    <mergeCell ref="C13:F13"/>
    <mergeCell ref="D28:F28"/>
    <mergeCell ref="C68:F68"/>
    <mergeCell ref="D67:F67"/>
    <mergeCell ref="D135:F135"/>
    <mergeCell ref="B90:F90"/>
    <mergeCell ref="C80:F80"/>
    <mergeCell ref="D61:F61"/>
    <mergeCell ref="D73:F73"/>
    <mergeCell ref="D38:F38"/>
    <mergeCell ref="B84:F84"/>
    <mergeCell ref="D140:F140"/>
    <mergeCell ref="B154:F154"/>
    <mergeCell ref="D136:F136"/>
    <mergeCell ref="B101:E101"/>
    <mergeCell ref="B49:F49"/>
    <mergeCell ref="C69:F69"/>
    <mergeCell ref="C57:F57"/>
    <mergeCell ref="B2:F2"/>
    <mergeCell ref="B53:F53"/>
    <mergeCell ref="E12:F12"/>
    <mergeCell ref="E5:F5"/>
    <mergeCell ref="B4:F4"/>
    <mergeCell ref="B24:E24"/>
    <mergeCell ref="C18:F18"/>
    <mergeCell ref="B23:F23"/>
    <mergeCell ref="D41:F41"/>
    <mergeCell ref="D44:F44"/>
    <mergeCell ref="E17:F17"/>
    <mergeCell ref="E9:F9"/>
    <mergeCell ref="E11:F11"/>
    <mergeCell ref="D26:F26"/>
    <mergeCell ref="B37:F37"/>
    <mergeCell ref="B30:F30"/>
    <mergeCell ref="E10:F10"/>
    <mergeCell ref="C21:F21"/>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53125" customWidth="1"/>
  </cols>
  <sheetData>
    <row r="1" spans="1:17" ht="26.15" customHeight="1" x14ac:dyDescent="0.35">
      <c r="A1" s="261" t="s">
        <v>594</v>
      </c>
      <c r="B1" s="232"/>
      <c r="C1" s="232"/>
      <c r="D1" s="232"/>
      <c r="E1" s="232"/>
      <c r="F1" s="232"/>
      <c r="G1" s="232"/>
      <c r="H1" s="232"/>
      <c r="I1" s="232"/>
      <c r="J1" s="232"/>
      <c r="K1" s="232"/>
      <c r="L1" s="232"/>
      <c r="M1" s="232"/>
      <c r="N1" s="232"/>
      <c r="O1" s="232"/>
      <c r="P1" s="216"/>
    </row>
    <row r="2" spans="1:17" ht="16" customHeight="1" x14ac:dyDescent="0.35">
      <c r="A2" s="312" t="s">
        <v>595</v>
      </c>
      <c r="B2" s="232"/>
      <c r="C2" s="232"/>
      <c r="D2" s="232"/>
      <c r="E2" s="232"/>
      <c r="F2" s="232"/>
      <c r="G2" s="232"/>
      <c r="H2" s="232"/>
      <c r="I2" s="232"/>
      <c r="J2" s="232"/>
      <c r="K2" s="232"/>
      <c r="L2" s="232"/>
      <c r="M2" s="232"/>
      <c r="N2" s="232"/>
      <c r="O2" s="232"/>
      <c r="P2" s="216"/>
    </row>
    <row r="3" spans="1:17" ht="24" customHeight="1" x14ac:dyDescent="0.35">
      <c r="A3" s="315"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32"/>
      <c r="C3" s="232"/>
      <c r="D3" s="232"/>
      <c r="E3" s="232"/>
      <c r="F3" s="232"/>
      <c r="G3" s="232"/>
      <c r="H3" s="232"/>
      <c r="I3" s="232"/>
      <c r="J3" s="232"/>
      <c r="K3" s="232"/>
      <c r="L3" s="232"/>
      <c r="M3" s="232"/>
      <c r="N3" s="232"/>
      <c r="O3" s="232"/>
      <c r="P3" s="216"/>
    </row>
    <row r="4" spans="1:17" ht="30" customHeight="1" x14ac:dyDescent="0.35">
      <c r="A4" s="23" t="s">
        <v>2</v>
      </c>
      <c r="B4" s="23" t="s">
        <v>596</v>
      </c>
      <c r="C4" s="23" t="s">
        <v>597</v>
      </c>
      <c r="D4" s="23" t="s">
        <v>598</v>
      </c>
      <c r="E4" s="23" t="s">
        <v>599</v>
      </c>
      <c r="F4" s="23" t="s">
        <v>600</v>
      </c>
      <c r="G4" s="23" t="s">
        <v>601</v>
      </c>
      <c r="H4" s="23" t="s">
        <v>602</v>
      </c>
      <c r="I4" s="23" t="s">
        <v>603</v>
      </c>
      <c r="J4" s="23" t="s">
        <v>604</v>
      </c>
      <c r="K4" s="23" t="s">
        <v>605</v>
      </c>
      <c r="L4" s="23" t="s">
        <v>195</v>
      </c>
      <c r="M4" s="23" t="s">
        <v>606</v>
      </c>
      <c r="N4" s="23" t="s">
        <v>607</v>
      </c>
      <c r="O4" s="46" t="s">
        <v>521</v>
      </c>
      <c r="P4" s="46" t="s">
        <v>522</v>
      </c>
      <c r="Q4" s="95" t="s">
        <v>608</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65" customHeight="1" x14ac:dyDescent="0.35">
      <c r="A51" s="316" t="s">
        <v>609</v>
      </c>
      <c r="B51" s="232"/>
      <c r="C51" s="232"/>
      <c r="D51" s="216"/>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610</v>
      </c>
    </row>
    <row r="53" spans="1:17" ht="22" customHeight="1" x14ac:dyDescent="0.35">
      <c r="A53" s="309" t="s">
        <v>611</v>
      </c>
      <c r="B53" s="232"/>
      <c r="C53" s="232"/>
      <c r="D53" s="232"/>
      <c r="E53" s="232"/>
      <c r="F53" s="232"/>
      <c r="G53" s="232"/>
      <c r="H53" s="232"/>
      <c r="I53" s="232"/>
      <c r="J53" s="232"/>
      <c r="K53" s="232"/>
      <c r="L53" s="232"/>
      <c r="M53" s="232"/>
      <c r="N53" s="232"/>
      <c r="O53" s="232"/>
      <c r="P53" s="216"/>
    </row>
    <row r="54" spans="1:17" ht="32.15" customHeight="1" x14ac:dyDescent="0.35">
      <c r="A54" s="313" t="s">
        <v>612</v>
      </c>
      <c r="B54" s="232"/>
      <c r="C54" s="232"/>
      <c r="D54" s="232"/>
      <c r="E54" s="232"/>
      <c r="F54" s="232"/>
      <c r="G54" s="232"/>
      <c r="H54" s="232"/>
      <c r="I54" s="232"/>
      <c r="J54" s="232"/>
      <c r="K54" s="232"/>
      <c r="L54" s="232"/>
      <c r="M54" s="232"/>
      <c r="N54" s="232"/>
      <c r="O54" s="232"/>
      <c r="P54" s="216"/>
    </row>
    <row r="55" spans="1:17" ht="26.15" customHeight="1" x14ac:dyDescent="0.35">
      <c r="A55" s="318" t="s">
        <v>613</v>
      </c>
      <c r="B55" s="216"/>
      <c r="C55" s="9" t="s">
        <v>614</v>
      </c>
      <c r="D55" s="23" t="s">
        <v>615</v>
      </c>
      <c r="E55" s="23" t="s">
        <v>616</v>
      </c>
      <c r="F55" s="23" t="s">
        <v>617</v>
      </c>
      <c r="G55" s="23" t="s">
        <v>460</v>
      </c>
      <c r="H55" s="9" t="s">
        <v>196</v>
      </c>
      <c r="I55" s="241" t="s">
        <v>618</v>
      </c>
      <c r="J55" s="232"/>
      <c r="K55" s="232"/>
      <c r="L55" s="232"/>
      <c r="M55" s="232"/>
      <c r="N55" s="216"/>
      <c r="O55" s="23" t="s">
        <v>619</v>
      </c>
      <c r="P55" s="23" t="s">
        <v>620</v>
      </c>
    </row>
    <row r="56" spans="1:17" ht="48" customHeight="1" x14ac:dyDescent="0.35">
      <c r="A56" s="317"/>
      <c r="B56" s="218"/>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78"/>
      <c r="J56" s="225"/>
      <c r="K56" s="225"/>
      <c r="L56" s="225"/>
      <c r="M56" s="225"/>
      <c r="N56" s="218"/>
      <c r="O56" s="187" t="str">
        <f>IF(A56="","",IFERROR(ROUND(LOOKUP(2,1/($B$5:$B$49=A56),$L$5:$L$49)*5,0),""))</f>
        <v/>
      </c>
      <c r="P56" s="187" t="str">
        <f>IF(A56="","",IFERROR(ROUND(AVERAGEIFS($P$5:$P$49,$B$5:$B$49,A56),0),""))</f>
        <v/>
      </c>
    </row>
    <row r="57" spans="1:17" ht="28" customHeight="1" x14ac:dyDescent="0.35">
      <c r="A57" s="242"/>
      <c r="B57" s="218"/>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311"/>
      <c r="J57" s="225"/>
      <c r="K57" s="225"/>
      <c r="L57" s="225"/>
      <c r="M57" s="225"/>
      <c r="N57" s="218"/>
      <c r="O57" s="187" t="str">
        <f>IF(A57="","",IFERROR(ROUND(LOOKUP(2,1/($B$5:$B$49=A57),$L$5:$L$49)*5,0),""))</f>
        <v/>
      </c>
      <c r="P57" s="187" t="str">
        <f>IF(A57="","",IFERROR(ROUND(AVERAGEIFS($P$5:$P$49,$B$5:$B$49,A57),0),""))</f>
        <v/>
      </c>
    </row>
    <row r="58" spans="1:17" ht="28" customHeight="1" x14ac:dyDescent="0.35">
      <c r="A58" s="242"/>
      <c r="B58" s="218"/>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311"/>
      <c r="J58" s="225"/>
      <c r="K58" s="225"/>
      <c r="L58" s="225"/>
      <c r="M58" s="225"/>
      <c r="N58" s="218"/>
      <c r="O58" s="187" t="str">
        <f>IF(A58="","",IFERROR(ROUND(LOOKUP(2,1/($B$5:$B$49=A58),$L$5:$L$49)*5,0),""))</f>
        <v/>
      </c>
      <c r="P58" s="187" t="str">
        <f>IF(A58="","",IFERROR(ROUND(AVERAGEIFS($P$5:$P$49,$B$5:$B$49,A58),0),""))</f>
        <v/>
      </c>
    </row>
    <row r="59" spans="1:17" ht="28" customHeight="1" x14ac:dyDescent="0.35">
      <c r="A59" s="242"/>
      <c r="B59" s="218"/>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311"/>
      <c r="J59" s="225"/>
      <c r="K59" s="225"/>
      <c r="L59" s="225"/>
      <c r="M59" s="225"/>
      <c r="N59" s="218"/>
      <c r="O59" s="187" t="str">
        <f>IF(A59="","",IFERROR(ROUND(LOOKUP(2,1/($B$5:$B$49=A59),$L$5:$L$49)*5,0),""))</f>
        <v/>
      </c>
      <c r="P59" s="187" t="str">
        <f>IF(A59="","",IFERROR(ROUND(AVERAGEIFS($P$5:$P$49,$B$5:$B$49,A59),0),""))</f>
        <v/>
      </c>
    </row>
    <row r="60" spans="1:17" ht="28" customHeight="1" x14ac:dyDescent="0.35">
      <c r="A60" s="251" t="s">
        <v>621</v>
      </c>
      <c r="B60" s="225"/>
      <c r="C60" s="225"/>
      <c r="D60" s="225"/>
      <c r="E60" s="225"/>
      <c r="F60" s="225"/>
      <c r="G60" s="225"/>
      <c r="H60" s="225"/>
      <c r="I60" s="225"/>
      <c r="J60" s="225"/>
      <c r="K60" s="225"/>
      <c r="L60" s="225"/>
      <c r="M60" s="225"/>
      <c r="N60" s="218"/>
    </row>
    <row r="62" spans="1:17" ht="18" customHeight="1" x14ac:dyDescent="0.35">
      <c r="A62" s="314" t="s">
        <v>622</v>
      </c>
      <c r="B62" s="211"/>
      <c r="C62" s="211"/>
      <c r="D62" s="211"/>
      <c r="E62" s="211"/>
      <c r="F62" s="211"/>
      <c r="G62" s="211"/>
      <c r="H62" s="211"/>
      <c r="I62" s="211"/>
      <c r="J62" s="211"/>
      <c r="K62" s="211"/>
      <c r="L62" s="211"/>
      <c r="M62" s="211"/>
      <c r="N62" s="211"/>
    </row>
    <row r="63" spans="1:17" ht="16" customHeight="1" x14ac:dyDescent="0.35">
      <c r="A63" s="188" t="s">
        <v>334</v>
      </c>
      <c r="B63" s="308" t="s">
        <v>623</v>
      </c>
      <c r="C63" s="211"/>
      <c r="D63" s="211"/>
      <c r="E63" s="211"/>
      <c r="F63" s="211"/>
      <c r="G63" s="211"/>
      <c r="H63" s="211"/>
      <c r="I63" s="211"/>
      <c r="J63" s="211"/>
      <c r="K63" s="211"/>
      <c r="L63" s="211"/>
      <c r="M63" s="211"/>
      <c r="N63" s="211"/>
    </row>
    <row r="64" spans="1:17" ht="16" customHeight="1" x14ac:dyDescent="0.35">
      <c r="A64" s="188" t="s">
        <v>337</v>
      </c>
      <c r="B64" s="310" t="s">
        <v>624</v>
      </c>
      <c r="C64" s="211"/>
      <c r="D64" s="211"/>
      <c r="E64" s="211"/>
      <c r="F64" s="211"/>
      <c r="G64" s="211"/>
      <c r="H64" s="211"/>
      <c r="I64" s="211"/>
      <c r="J64" s="211"/>
      <c r="K64" s="211"/>
      <c r="L64" s="211"/>
      <c r="M64" s="211"/>
      <c r="N64" s="211"/>
    </row>
    <row r="65" spans="1:14" ht="16" customHeight="1" x14ac:dyDescent="0.35">
      <c r="A65" s="188" t="s">
        <v>340</v>
      </c>
      <c r="B65" s="308" t="s">
        <v>625</v>
      </c>
      <c r="C65" s="211"/>
      <c r="D65" s="211"/>
      <c r="E65" s="211"/>
      <c r="F65" s="211"/>
      <c r="G65" s="211"/>
      <c r="H65" s="211"/>
      <c r="I65" s="211"/>
      <c r="J65" s="211"/>
      <c r="K65" s="211"/>
      <c r="L65" s="211"/>
      <c r="M65" s="211"/>
      <c r="N65" s="211"/>
    </row>
    <row r="66" spans="1:14" ht="16" customHeight="1" x14ac:dyDescent="0.35">
      <c r="A66" s="188" t="s">
        <v>343</v>
      </c>
      <c r="B66" s="310" t="s">
        <v>626</v>
      </c>
      <c r="C66" s="211"/>
      <c r="D66" s="211"/>
      <c r="E66" s="211"/>
      <c r="F66" s="211"/>
      <c r="G66" s="211"/>
      <c r="H66" s="211"/>
      <c r="I66" s="211"/>
      <c r="J66" s="211"/>
      <c r="K66" s="211"/>
      <c r="L66" s="211"/>
      <c r="M66" s="211"/>
      <c r="N66" s="211"/>
    </row>
    <row r="67" spans="1:14" ht="16" customHeight="1" x14ac:dyDescent="0.35">
      <c r="A67" s="188" t="s">
        <v>346</v>
      </c>
      <c r="B67" s="308" t="s">
        <v>627</v>
      </c>
      <c r="C67" s="211"/>
      <c r="D67" s="211"/>
      <c r="E67" s="211"/>
      <c r="F67" s="211"/>
      <c r="G67" s="211"/>
      <c r="H67" s="211"/>
      <c r="I67" s="211"/>
      <c r="J67" s="211"/>
      <c r="K67" s="211"/>
      <c r="L67" s="211"/>
      <c r="M67" s="211"/>
      <c r="N67" s="211"/>
    </row>
    <row r="68" spans="1:14" ht="16" customHeight="1" x14ac:dyDescent="0.35">
      <c r="A68" s="188" t="s">
        <v>349</v>
      </c>
      <c r="B68" s="310" t="s">
        <v>628</v>
      </c>
      <c r="C68" s="211"/>
      <c r="D68" s="211"/>
      <c r="E68" s="211"/>
      <c r="F68" s="211"/>
      <c r="G68" s="211"/>
      <c r="H68" s="211"/>
      <c r="I68" s="211"/>
      <c r="J68" s="211"/>
      <c r="K68" s="211"/>
      <c r="L68" s="211"/>
      <c r="M68" s="211"/>
      <c r="N68" s="211"/>
    </row>
    <row r="69" spans="1:14" ht="16" customHeight="1" x14ac:dyDescent="0.35">
      <c r="A69" s="188" t="s">
        <v>629</v>
      </c>
      <c r="B69" s="308" t="s">
        <v>630</v>
      </c>
      <c r="C69" s="211"/>
      <c r="D69" s="211"/>
      <c r="E69" s="211"/>
      <c r="F69" s="211"/>
      <c r="G69" s="211"/>
      <c r="H69" s="211"/>
      <c r="I69" s="211"/>
      <c r="J69" s="211"/>
      <c r="K69" s="211"/>
      <c r="L69" s="211"/>
      <c r="M69" s="211"/>
      <c r="N69" s="211"/>
    </row>
  </sheetData>
  <mergeCells count="2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 ref="B65:N65"/>
    <mergeCell ref="A53:P53"/>
    <mergeCell ref="A60:N60"/>
    <mergeCell ref="B68:N68"/>
    <mergeCell ref="I56:N56"/>
    <mergeCell ref="B64:N64"/>
    <mergeCell ref="I58:N58"/>
    <mergeCell ref="B63:N63"/>
    <mergeCell ref="I55:N55"/>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4.5" x14ac:dyDescent="0.35"/>
  <cols>
    <col min="1" max="7" width="34" customWidth="1"/>
    <col min="8" max="9" width="52" customWidth="1"/>
  </cols>
  <sheetData>
    <row r="1" spans="1:10" x14ac:dyDescent="0.35">
      <c r="A1" t="s">
        <v>183</v>
      </c>
      <c r="B1" t="s">
        <v>631</v>
      </c>
      <c r="C1" t="s">
        <v>632</v>
      </c>
      <c r="D1" t="s">
        <v>633</v>
      </c>
      <c r="E1" t="s">
        <v>634</v>
      </c>
      <c r="F1" t="s">
        <v>635</v>
      </c>
      <c r="G1" t="s">
        <v>636</v>
      </c>
      <c r="H1" s="128" t="s">
        <v>616</v>
      </c>
      <c r="I1" s="128" t="s">
        <v>617</v>
      </c>
      <c r="J1" t="s">
        <v>637</v>
      </c>
    </row>
    <row r="2" spans="1:10" x14ac:dyDescent="0.35">
      <c r="A2" t="s">
        <v>638</v>
      </c>
      <c r="B2" t="s">
        <v>639</v>
      </c>
      <c r="C2" t="s">
        <v>640</v>
      </c>
      <c r="D2" t="s">
        <v>641</v>
      </c>
      <c r="E2" t="s">
        <v>641</v>
      </c>
      <c r="F2" t="s">
        <v>641</v>
      </c>
      <c r="G2" t="s">
        <v>641</v>
      </c>
      <c r="H2" t="s">
        <v>642</v>
      </c>
      <c r="I2" t="s">
        <v>643</v>
      </c>
    </row>
    <row r="3" spans="1:10" x14ac:dyDescent="0.35">
      <c r="A3" t="s">
        <v>644</v>
      </c>
      <c r="B3" t="s">
        <v>645</v>
      </c>
      <c r="C3" t="s">
        <v>646</v>
      </c>
      <c r="D3" t="s">
        <v>647</v>
      </c>
      <c r="E3" t="s">
        <v>648</v>
      </c>
      <c r="F3" t="s">
        <v>649</v>
      </c>
      <c r="G3" t="s">
        <v>650</v>
      </c>
      <c r="H3" t="s">
        <v>651</v>
      </c>
      <c r="I3" t="s">
        <v>652</v>
      </c>
    </row>
    <row r="4" spans="1:10" x14ac:dyDescent="0.35">
      <c r="A4" t="s">
        <v>653</v>
      </c>
      <c r="B4" t="s">
        <v>654</v>
      </c>
      <c r="C4" t="s">
        <v>655</v>
      </c>
      <c r="D4" t="s">
        <v>656</v>
      </c>
      <c r="E4" t="s">
        <v>657</v>
      </c>
      <c r="F4" t="s">
        <v>658</v>
      </c>
      <c r="G4" t="s">
        <v>659</v>
      </c>
      <c r="H4" t="s">
        <v>660</v>
      </c>
      <c r="I4" t="s">
        <v>661</v>
      </c>
    </row>
    <row r="5" spans="1:10" x14ac:dyDescent="0.35">
      <c r="A5" t="s">
        <v>662</v>
      </c>
      <c r="B5" t="s">
        <v>663</v>
      </c>
      <c r="C5" t="s">
        <v>664</v>
      </c>
      <c r="D5" t="s">
        <v>168</v>
      </c>
      <c r="E5" t="s">
        <v>665</v>
      </c>
      <c r="F5" t="s">
        <v>666</v>
      </c>
      <c r="G5" t="s">
        <v>667</v>
      </c>
      <c r="H5" t="s">
        <v>668</v>
      </c>
      <c r="I5" t="s">
        <v>669</v>
      </c>
    </row>
    <row r="6" spans="1:10" x14ac:dyDescent="0.35">
      <c r="A6" t="s">
        <v>670</v>
      </c>
      <c r="C6" t="s">
        <v>671</v>
      </c>
      <c r="D6" t="s">
        <v>672</v>
      </c>
      <c r="E6" t="s">
        <v>673</v>
      </c>
      <c r="F6" t="s">
        <v>674</v>
      </c>
      <c r="G6" t="s">
        <v>675</v>
      </c>
      <c r="H6" t="s">
        <v>676</v>
      </c>
      <c r="I6" t="s">
        <v>677</v>
      </c>
    </row>
    <row r="7" spans="1:10" x14ac:dyDescent="0.35">
      <c r="A7" t="s">
        <v>678</v>
      </c>
      <c r="C7" t="s">
        <v>679</v>
      </c>
      <c r="E7" t="s">
        <v>680</v>
      </c>
      <c r="F7" t="s">
        <v>681</v>
      </c>
      <c r="G7" t="s">
        <v>682</v>
      </c>
      <c r="H7" t="s">
        <v>683</v>
      </c>
      <c r="I7" t="s">
        <v>684</v>
      </c>
    </row>
    <row r="8" spans="1:10" x14ac:dyDescent="0.35">
      <c r="A8" t="s">
        <v>685</v>
      </c>
      <c r="C8" t="s">
        <v>686</v>
      </c>
      <c r="E8" t="s">
        <v>687</v>
      </c>
      <c r="F8" t="s">
        <v>688</v>
      </c>
      <c r="G8" t="s">
        <v>689</v>
      </c>
    </row>
    <row r="9" spans="1:10" x14ac:dyDescent="0.35">
      <c r="A9" t="s">
        <v>690</v>
      </c>
      <c r="E9" t="s">
        <v>691</v>
      </c>
      <c r="F9" t="s">
        <v>692</v>
      </c>
      <c r="G9" t="s">
        <v>693</v>
      </c>
    </row>
    <row r="10" spans="1:10" x14ac:dyDescent="0.35">
      <c r="A10" t="s">
        <v>694</v>
      </c>
      <c r="E10" t="s">
        <v>695</v>
      </c>
      <c r="G10" t="s">
        <v>696</v>
      </c>
    </row>
    <row r="11" spans="1:10" x14ac:dyDescent="0.35">
      <c r="A11" t="s">
        <v>697</v>
      </c>
      <c r="E11" t="s">
        <v>698</v>
      </c>
    </row>
    <row r="12" spans="1:10" x14ac:dyDescent="0.35">
      <c r="A12" t="s">
        <v>699</v>
      </c>
      <c r="E12" t="s">
        <v>700</v>
      </c>
    </row>
    <row r="13" spans="1:10" x14ac:dyDescent="0.35">
      <c r="A13" t="s">
        <v>701</v>
      </c>
      <c r="E13" t="s">
        <v>702</v>
      </c>
    </row>
    <row r="14" spans="1:10" x14ac:dyDescent="0.35">
      <c r="A14" t="s">
        <v>703</v>
      </c>
      <c r="E14" t="s">
        <v>704</v>
      </c>
    </row>
    <row r="15" spans="1:10" x14ac:dyDescent="0.35">
      <c r="A15" t="s">
        <v>705</v>
      </c>
      <c r="E15" t="s">
        <v>706</v>
      </c>
    </row>
    <row r="16" spans="1:10" x14ac:dyDescent="0.35">
      <c r="A16" t="s">
        <v>707</v>
      </c>
    </row>
    <row r="17" spans="1:1" x14ac:dyDescent="0.35">
      <c r="A17" t="s">
        <v>708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Changelog</vt:lpstr>
      <vt:lpstr>Quick Start</vt:lpstr>
      <vt:lpstr>Scoring Form</vt:lpstr>
      <vt:lpstr>Indicator Guide</vt:lpstr>
      <vt:lpstr>Scoring Guide</vt:lpstr>
      <vt:lpstr>Multi-Touch Guide</vt:lpstr>
      <vt:lpstr>Auto-Zero Guide</vt:lpstr>
      <vt:lpstr>QA Cheat Sheet</vt:lpstr>
      <vt:lpstr>Job Aid Templates</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2026-06-29T08:26:53Z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