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C590AC7B-E7D5-4E0C-8415-7D9015961508}" xr6:coauthVersionLast="47" xr6:coauthVersionMax="47" xr10:uidLastSave="{00000000-0000-0000-0000-000000000000}"/>
  <bookViews>
    <workbookView xWindow="28680" yWindow="-120" windowWidth="29040" windowHeight="15720" activeTab="1" xr2:uid="{00000000-000D-0000-FFFF-FFFF00000000}"/>
  </bookViews>
  <sheets>
    <sheet name="Quick Start" sheetId="1" r:id="rId1"/>
    <sheet name="Scoring Form" sheetId="2" r:id="rId2"/>
    <sheet name="Scoring Guide" sheetId="8" r:id="rId3"/>
    <sheet name="Multi-Touch Guide" sheetId="3" r:id="rId4"/>
    <sheet name="Team Scoring" sheetId="4" r:id="rId5"/>
    <sheet name="Example (Filled)" sheetId="5" r:id="rId6"/>
    <sheet name="Case Tracker" sheetId="6" r:id="rId7"/>
    <sheet name="Lists" sheetId="7" state="hidden"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6" l="1"/>
  <c r="G59" i="6" s="1"/>
  <c r="H59" i="6" s="1"/>
  <c r="C59" i="6"/>
  <c r="D58" i="6"/>
  <c r="G58" i="6" s="1"/>
  <c r="H58" i="6" s="1"/>
  <c r="C58" i="6"/>
  <c r="D57" i="6"/>
  <c r="G57" i="6" s="1"/>
  <c r="H57" i="6" s="1"/>
  <c r="C57" i="6"/>
  <c r="G56" i="6"/>
  <c r="B6" i="4" s="1"/>
  <c r="D56" i="6"/>
  <c r="C56" i="6"/>
  <c r="K51" i="6"/>
  <c r="J51" i="6"/>
  <c r="I51" i="6"/>
  <c r="H51" i="6"/>
  <c r="G51" i="6"/>
  <c r="F51" i="6"/>
  <c r="E51" i="6"/>
  <c r="L49" i="6"/>
  <c r="M49" i="6" s="1"/>
  <c r="L48" i="6"/>
  <c r="M48" i="6" s="1"/>
  <c r="L47" i="6"/>
  <c r="M47" i="6" s="1"/>
  <c r="L46" i="6"/>
  <c r="M46" i="6" s="1"/>
  <c r="L45" i="6"/>
  <c r="M45" i="6" s="1"/>
  <c r="L44" i="6"/>
  <c r="M44" i="6" s="1"/>
  <c r="L43" i="6"/>
  <c r="M43" i="6" s="1"/>
  <c r="L42" i="6"/>
  <c r="M42" i="6" s="1"/>
  <c r="L41" i="6"/>
  <c r="M41" i="6" s="1"/>
  <c r="L40" i="6"/>
  <c r="M40" i="6" s="1"/>
  <c r="L39" i="6"/>
  <c r="M39" i="6" s="1"/>
  <c r="L38" i="6"/>
  <c r="M38" i="6" s="1"/>
  <c r="L37" i="6"/>
  <c r="M37" i="6" s="1"/>
  <c r="L36" i="6"/>
  <c r="M36" i="6" s="1"/>
  <c r="L35" i="6"/>
  <c r="M35" i="6" s="1"/>
  <c r="L34" i="6"/>
  <c r="M34" i="6" s="1"/>
  <c r="L33" i="6"/>
  <c r="M33" i="6" s="1"/>
  <c r="L32" i="6"/>
  <c r="M32" i="6" s="1"/>
  <c r="L31" i="6"/>
  <c r="M31" i="6" s="1"/>
  <c r="L30" i="6"/>
  <c r="M30" i="6" s="1"/>
  <c r="L29" i="6"/>
  <c r="M29" i="6" s="1"/>
  <c r="L28" i="6"/>
  <c r="M28" i="6" s="1"/>
  <c r="L27" i="6"/>
  <c r="M27" i="6" s="1"/>
  <c r="L26" i="6"/>
  <c r="M26" i="6" s="1"/>
  <c r="L25" i="6"/>
  <c r="M25" i="6" s="1"/>
  <c r="L24" i="6"/>
  <c r="M24" i="6" s="1"/>
  <c r="L23" i="6"/>
  <c r="M23" i="6" s="1"/>
  <c r="L22" i="6"/>
  <c r="M22" i="6" s="1"/>
  <c r="L21" i="6"/>
  <c r="M21" i="6" s="1"/>
  <c r="L20" i="6"/>
  <c r="M20" i="6" s="1"/>
  <c r="L19" i="6"/>
  <c r="M19" i="6" s="1"/>
  <c r="L18" i="6"/>
  <c r="M18" i="6" s="1"/>
  <c r="L17" i="6"/>
  <c r="M17" i="6" s="1"/>
  <c r="L16" i="6"/>
  <c r="M16" i="6" s="1"/>
  <c r="L15" i="6"/>
  <c r="M15" i="6" s="1"/>
  <c r="L14" i="6"/>
  <c r="M14" i="6" s="1"/>
  <c r="L13" i="6"/>
  <c r="M13" i="6" s="1"/>
  <c r="L12" i="6"/>
  <c r="M12" i="6" s="1"/>
  <c r="L11" i="6"/>
  <c r="M11" i="6" s="1"/>
  <c r="L10" i="6"/>
  <c r="M10" i="6" s="1"/>
  <c r="L9" i="6"/>
  <c r="M9" i="6" s="1"/>
  <c r="L8" i="6"/>
  <c r="M8" i="6" s="1"/>
  <c r="L7" i="6"/>
  <c r="M7" i="6" s="1"/>
  <c r="L6" i="6"/>
  <c r="M6" i="6" s="1"/>
  <c r="L5" i="6"/>
  <c r="M5" i="6" s="1"/>
  <c r="A3" i="6"/>
  <c r="C152" i="5"/>
  <c r="E137" i="5"/>
  <c r="C128" i="5"/>
  <c r="D127" i="5"/>
  <c r="F127" i="5" s="1"/>
  <c r="D126" i="5"/>
  <c r="E126" i="5" s="1"/>
  <c r="E125" i="5"/>
  <c r="D125" i="5"/>
  <c r="F125" i="5" s="1"/>
  <c r="D124" i="5"/>
  <c r="F124" i="5" s="1"/>
  <c r="D123" i="5"/>
  <c r="F123" i="5" s="1"/>
  <c r="D122" i="5"/>
  <c r="E122" i="5" s="1"/>
  <c r="F121" i="5"/>
  <c r="E121" i="5"/>
  <c r="D121" i="5"/>
  <c r="D116" i="5"/>
  <c r="C115" i="5"/>
  <c r="D101" i="5"/>
  <c r="C100" i="5"/>
  <c r="D87" i="5"/>
  <c r="C86" i="5"/>
  <c r="D74" i="5"/>
  <c r="C73" i="5"/>
  <c r="D58" i="5"/>
  <c r="C57" i="5"/>
  <c r="D42" i="5"/>
  <c r="C41" i="5"/>
  <c r="D27" i="5"/>
  <c r="C26" i="5"/>
  <c r="D76" i="4"/>
  <c r="C76" i="4"/>
  <c r="B76" i="4"/>
  <c r="D75" i="4"/>
  <c r="C75" i="4"/>
  <c r="B75" i="4"/>
  <c r="D74" i="4"/>
  <c r="C74" i="4"/>
  <c r="B74" i="4"/>
  <c r="D73" i="4"/>
  <c r="C73" i="4"/>
  <c r="B73" i="4"/>
  <c r="D72" i="4"/>
  <c r="C72" i="4"/>
  <c r="B72" i="4"/>
  <c r="D71" i="4"/>
  <c r="C71" i="4"/>
  <c r="B71" i="4"/>
  <c r="D70" i="4"/>
  <c r="C70" i="4"/>
  <c r="B70" i="4"/>
  <c r="D69" i="4"/>
  <c r="C69" i="4"/>
  <c r="B69" i="4"/>
  <c r="D68" i="4"/>
  <c r="C68" i="4"/>
  <c r="B68" i="4"/>
  <c r="D67" i="4"/>
  <c r="C67" i="4"/>
  <c r="B67" i="4"/>
  <c r="D66" i="4"/>
  <c r="C66" i="4"/>
  <c r="B66" i="4"/>
  <c r="D65" i="4"/>
  <c r="C65" i="4"/>
  <c r="B65" i="4"/>
  <c r="D64" i="4"/>
  <c r="C64" i="4"/>
  <c r="B64" i="4"/>
  <c r="B62" i="4"/>
  <c r="C36" i="4"/>
  <c r="C35" i="4"/>
  <c r="C34" i="4"/>
  <c r="C33" i="4"/>
  <c r="C32" i="4"/>
  <c r="C31" i="4"/>
  <c r="C30" i="4"/>
  <c r="B9" i="4"/>
  <c r="D8" i="4"/>
  <c r="C8" i="4"/>
  <c r="B8" i="4"/>
  <c r="B4" i="4"/>
  <c r="C163" i="2"/>
  <c r="C144" i="2"/>
  <c r="E130" i="2"/>
  <c r="D122" i="2"/>
  <c r="C121" i="2"/>
  <c r="C108" i="2"/>
  <c r="D109" i="2" s="1"/>
  <c r="C89" i="2"/>
  <c r="D90" i="2" s="1"/>
  <c r="C78" i="2"/>
  <c r="D26" i="2" s="1"/>
  <c r="C66" i="2"/>
  <c r="D67" i="2" s="1"/>
  <c r="C52" i="2"/>
  <c r="D53" i="2" s="1"/>
  <c r="C40" i="2"/>
  <c r="D41" i="2" s="1"/>
  <c r="C30" i="2"/>
  <c r="D29" i="2"/>
  <c r="F29" i="2" s="1"/>
  <c r="D28" i="2"/>
  <c r="F28" i="2" s="1"/>
  <c r="D27" i="2"/>
  <c r="E27" i="2" s="1"/>
  <c r="D23" i="2"/>
  <c r="E23" i="2" s="1"/>
  <c r="F26" i="2" l="1"/>
  <c r="E26" i="2"/>
  <c r="H56" i="6"/>
  <c r="C6" i="4" s="1"/>
  <c r="F23" i="2"/>
  <c r="E123" i="5"/>
  <c r="E128" i="5" s="1"/>
  <c r="F128" i="5" s="1"/>
  <c r="E124" i="5"/>
  <c r="F27" i="2"/>
  <c r="F126" i="5"/>
  <c r="F122" i="5"/>
  <c r="D24" i="2"/>
  <c r="D79" i="2"/>
  <c r="D25" i="2"/>
  <c r="E127" i="5"/>
  <c r="E29" i="2"/>
  <c r="L51" i="6"/>
  <c r="E28" i="2"/>
  <c r="F25" i="2" l="1"/>
  <c r="E25" i="2"/>
  <c r="F24" i="2"/>
  <c r="E24" i="2"/>
  <c r="E30" i="2" l="1"/>
  <c r="F30" i="2" s="1"/>
</calcChain>
</file>

<file path=xl/sharedStrings.xml><?xml version="1.0" encoding="utf-8"?>
<sst xmlns="http://schemas.openxmlformats.org/spreadsheetml/2006/main" count="1316" uniqueCount="869">
  <si>
    <t>SUPPORT QUALITY ASSURANCE — SCORING FORM</t>
  </si>
  <si>
    <t>Resolution-Focused Coaching &amp; Performance Framework  |  Rate each behavior: Met / Partial / Missed / N.A. — then assign the 0-5 category score (suggested score is advisory).</t>
  </si>
  <si>
    <t>1 · CASE INFORMATION</t>
  </si>
  <si>
    <t>Agent Name</t>
  </si>
  <si>
    <t>Case / Ticket ID</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</si>
  <si>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</si>
  <si>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</si>
  <si>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</si>
  <si>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</si>
  <si>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</si>
  <si>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</si>
  <si>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</si>
  <si>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</si>
  <si>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</si>
  <si>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</si>
  <si>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</si>
  <si>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</si>
  <si>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</si>
  <si>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</si>
  <si>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</si>
  <si>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</si>
  <si>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</si>
  <si>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</si>
  <si>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</si>
  <si>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</si>
  <si>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</si>
  <si>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</si>
  <si>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</si>
  <si>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</si>
  <si>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</si>
  <si>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2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</si>
  <si>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</si>
  <si>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</si>
  <si>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</si>
  <si>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</si>
  <si>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</si>
  <si>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</si>
  <si>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</si>
  <si>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</si>
  <si>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</si>
  <si>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</si>
  <si>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</si>
  <si>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</si>
  <si>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</si>
  <si>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3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</si>
  <si>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</si>
  <si>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</si>
  <si>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</si>
  <si>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</si>
  <si>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</si>
  <si>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</si>
  <si>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</si>
  <si>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Completed reasonable troubleshooting before reaching a conclusion</t>
  </si>
  <si>
    <t>Resolution path was appropriate for the situation and warranty status</t>
  </si>
  <si>
    <t>Customer was moved meaningfully closer to a solution</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</si>
  <si>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</si>
  <si>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</si>
  <si>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</si>
  <si>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Score reflects the cumulative effect of this touch within the 8-month journey: the Nov 24, 2025 hardware/RMA determination remains undelivered, and the case culminates here in executive-level escalation with no path forward offered.</t>
  </si>
  <si>
    <t>2. TECHNICAL ACCURACY</t>
  </si>
  <si>
    <t>Weight: 20%</t>
  </si>
  <si>
    <t>Objective: Evaluate the quality of troubleshooting and technical guidance.</t>
  </si>
  <si>
    <t>Correctly identified the symptoms and asked relevant diagnostic questions</t>
  </si>
  <si>
    <t>Identified the root cause (or likely cause) when possible</t>
  </si>
  <si>
    <t>Followed a logical troubleshooting process</t>
  </si>
  <si>
    <t>Available tools were used efficiently and appropriately</t>
  </si>
  <si>
    <t>Gave technically accurate information; no unsupported conclusions</t>
  </si>
  <si>
    <t>⚠ Deduct for: incorrect technical information; skipped critical troubleshooting; misdiagnosis; unnecessary actions recommended; ISP or customer blamed without evidence; repeating basic steps the customer already completed.</t>
  </si>
  <si>
    <t>Individual diagnostic steps (signal/backhaul check, swap-test proposal) were sound, but the unvalidated reversal of a prior CAT-level conclusion undermines technical credibility.</t>
  </si>
  <si>
    <t>3. COMMUNICATION &amp; CALL CONTROL</t>
  </si>
  <si>
    <t>Weight: 15%</t>
  </si>
  <si>
    <t>Objective: Evaluate how effectively the agent managed the interaction.</t>
  </si>
  <si>
    <t>Expectations were set clearly from the start</t>
  </si>
  <si>
    <t>Agent maintained call control and troubleshooting flow</t>
  </si>
  <si>
    <t>Use appropriate language, as needed, and confirmed customer understanding</t>
  </si>
  <si>
    <t>Actively listened and showed comprehension throughout the interaction/s</t>
  </si>
  <si>
    <t>Managed time well, with clear transitions between steps</t>
  </si>
  <si>
    <t>Handled difficult moments when needed to maintain call control</t>
  </si>
  <si>
    <t>Adjusted communication for the customer's accessibility needs (hearing, vision, language barrier, age, cognitive)</t>
  </si>
  <si>
    <t>⚠ High performance: customer always knows what is happening and the agent drives the call confidently. One instruction at a time for customers who need it.</t>
  </si>
  <si>
    <t>The core communication failure is the unacknowledged expectation gap: the customer's RMA expectation from Nov 24 was never reconciled with the renewed troubleshooting requests.</t>
  </si>
  <si>
    <t>4. CUSTOMER OWNERSHIP</t>
  </si>
  <si>
    <t>Objective: Measure the degree to which the agent accepted responsibility for moving the customer forward.</t>
  </si>
  <si>
    <t>Took accountability for the customer's outcome and avoided unnecessary transfers</t>
  </si>
  <si>
    <t>Commitments made were followed through, and a clear path forward was created for the customer.</t>
  </si>
  <si>
    <t>Clearly set customer expectations for next steps and realistic timelines</t>
  </si>
  <si>
    <t>Completed required disconnect follow-up and met callback commitments within the agreed window</t>
  </si>
  <si>
    <t>⚠ Automatic deductions: no documented follow-up after disconnect; unclear next steps; passing responsibility without context; failure to complete promised actions; missed or late callbacks without proactive renegotiation.</t>
  </si>
  <si>
    <t>The escalation itself was a positive ownership step, but follow-through collapsed: the customer's direct questions and the SLA commitment were both left unmet, requiring PMO intervention.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</si>
  <si>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</si>
  <si>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</si>
  <si>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</si>
  <si>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</si>
  <si>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Identified a valid reason to escalate</t>
  </si>
  <si>
    <t>Provided complete escalation details using the correct escalation path</t>
  </si>
  <si>
    <t>Clearly explained why escalation was necessary and what would happen next.</t>
  </si>
  <si>
    <t>⚠ Low score: premature, avoidable, poorly documented, used as a substitute for troubleshooting — or a warranted escalation (incl. a customer's management request) that was NOT made.</t>
  </si>
  <si>
    <t>The escalation decision and routing were correct; the SLA management and handoff completeness after escalation were not.</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</si>
  <si>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</si>
  <si>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</si>
  <si>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</si>
  <si>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</si>
  <si>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</si>
  <si>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</si>
  <si>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</si>
  <si>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</si>
  <si>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</si>
  <si>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Demonstrated empathy including for repeat-contact fatigue</t>
  </si>
  <si>
    <t>Stayed professional throughout and maintained patience, even under pressure</t>
  </si>
  <si>
    <t>Agent matched the customer's tone, pace, level, and energy</t>
  </si>
  <si>
    <t>Minimized customer effort</t>
  </si>
  <si>
    <t>Maintained customer understanding and engagement</t>
  </si>
  <si>
    <t>⚠ Negative indicators: dismissive responses; robotic interactions; frustration escalation caused by agent behavior; marathon sessions pushed onto vulnerable customers without offering to pause and resume.</t>
  </si>
  <si>
    <t>Professionalism was maintained, but the customer's confidence and engagement collapsed by the end of this touch.</t>
  </si>
  <si>
    <t>7. DOCUMENTATION &amp; NOTES</t>
  </si>
  <si>
    <t>Objective: Ensure future agents can quickly understand the case. Purpose is continuity, not compliance.</t>
  </si>
  <si>
    <t>Recorded customer issue summary</t>
  </si>
  <si>
    <t>Documented troubleshooting steps</t>
  </si>
  <si>
    <t>Noted key findings</t>
  </si>
  <si>
    <t>Captured agent reasoning - escalation justification, offline recommendations provided by colleagues and other support POCs especially if no private notes applicable to step/action.</t>
  </si>
  <si>
    <t>Documented next steps and follow-ups</t>
  </si>
  <si>
    <t>Updated ticket status accurately</t>
  </si>
  <si>
    <t>⚠ Documentation supports outcomes but should not outweigh troubleshooting quality, communication, or ownership. Notes must carry the FULL history — including pre-ticket contacts — so no agent treats a long-running case as new.</t>
  </si>
  <si>
    <t>Escalation steps are documented, but the case record does not carry the full history forward, and ticket status does not reflect reality.</t>
  </si>
  <si>
    <t>4 · RESOLUTION OUTCOME</t>
  </si>
  <si>
    <t>Outcome classification</t>
  </si>
  <si>
    <t>Primary positive outcome achieved</t>
  </si>
  <si>
    <t>Justification</t>
  </si>
  <si>
    <t>5 · DISCONNECTED CALL FOLLOW-UP</t>
  </si>
  <si>
    <t>Did the interaction disconnect before completion?</t>
  </si>
  <si>
    <t>No</t>
  </si>
  <si>
    <t>If Yes, at least one documented follow-up action is required.</t>
  </si>
  <si>
    <t>Follow-up action taken</t>
  </si>
  <si>
    <t>N.A. — no disconnect</t>
  </si>
  <si>
    <t>6 · CRITICAL FAILURE CONDITIONS  (any 'Yes' triggers automatic review / coaching / QA failure regardless of score)</t>
  </si>
  <si>
    <t>Condition</t>
  </si>
  <si>
    <t>Present?</t>
  </si>
  <si>
    <t>Notes / Evidence</t>
  </si>
  <si>
    <t>Harmful or incorrect troubleshooting provided</t>
  </si>
  <si>
    <t>Misrepresented product capabilities</t>
  </si>
  <si>
    <t>Unsupported root-cause claims (e.g., ISP/customer blame w/o evidence)</t>
  </si>
  <si>
    <t>No follow-up after disconnected call</t>
  </si>
  <si>
    <t>Failed to complete a promised action (incl. missed agreed callback window)</t>
  </si>
  <si>
    <t>Abandoned customer without a path forward</t>
  </si>
  <si>
    <t>Escalated without reasonable troubleshooting / to avoid ownership</t>
  </si>
  <si>
    <t>Unprofessional, rude, or dismissive conduct / policy violation</t>
  </si>
  <si>
    <t>Case marked Resolved while issue known to be unresolved (premature closure / no closure reason)</t>
  </si>
  <si>
    <t>Customer complaint, management-contact, or legal-risk request not escalated</t>
  </si>
  <si>
    <t>Survey / CSAT manipulation</t>
  </si>
  <si>
    <t>CRITICAL FAILURE FLAGGED?</t>
  </si>
  <si>
    <t>7 · AUTO-ZERO   (from the 360 Form — any trigger forces the Quality Score to 0%)</t>
  </si>
  <si>
    <t>A gate marked 'No', any A–K item marked 'Yes', or any §6 critical-failure condition forces the weighted Quality Score (§3) to 0%. Category scores still show for coaching.</t>
  </si>
  <si>
    <t>Compliance gate  (mark Yes if adhered)</t>
  </si>
  <si>
    <t>Adherent?</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</si>
  <si>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</si>
  <si>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</si>
  <si>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</si>
  <si>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</si>
  <si>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</si>
  <si>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</si>
  <si>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</si>
  <si>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</si>
  <si>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</si>
  <si>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</si>
  <si>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</si>
  <si>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</si>
  <si>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</si>
  <si>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</si>
  <si>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</si>
  <si>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</si>
  <si>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</si>
  <si>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</si>
  <si>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8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</si>
  <si>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</si>
  <si>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</si>
  <si>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</si>
  <si>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</si>
  <si>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</si>
  <si>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</si>
  <si>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</si>
  <si>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</si>
  <si>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</si>
  <si>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</si>
  <si>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</si>
  <si>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</si>
  <si>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</si>
  <si>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</si>
  <si>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</si>
  <si>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</si>
  <si>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</si>
  <si>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</si>
  <si>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</si>
  <si>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</si>
  <si>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</si>
  <si>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</si>
  <si>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</si>
  <si>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</si>
  <si>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</si>
  <si>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</si>
  <si>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</si>
  <si>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</si>
  <si>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</si>
  <si>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</si>
  <si>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</si>
  <si>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</si>
  <si>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</si>
  <si>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</si>
  <si>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</si>
  <si>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</si>
  <si>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</si>
  <si>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</si>
  <si>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</si>
  <si>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</si>
  <si>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</si>
  <si>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</si>
  <si>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</si>
  <si>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</si>
  <si>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</si>
  <si>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</si>
  <si>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</si>
  <si>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</si>
  <si>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</si>
  <si>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</si>
  <si>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</si>
  <si>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</si>
  <si>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</si>
  <si>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</si>
  <si>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</si>
  <si>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</si>
  <si>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</si>
  <si>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</si>
  <si>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</si>
  <si>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</si>
  <si>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</si>
  <si>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</si>
  <si>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</si>
  <si>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</si>
  <si>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</si>
  <si>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</si>
  <si>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</si>
  <si>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</si>
  <si>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</si>
  <si>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</si>
  <si>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</si>
  <si>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</si>
  <si>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</si>
  <si>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</si>
  <si>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</si>
  <si>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</si>
  <si>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</si>
  <si>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</si>
  <si>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</si>
  <si>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</si>
  <si>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</si>
  <si>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</si>
  <si>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</si>
  <si>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</si>
  <si>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</si>
  <si>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</si>
  <si>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</si>
  <si>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</si>
  <si>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</si>
  <si>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</si>
  <si>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</si>
  <si>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</si>
  <si>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</si>
  <si>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</si>
  <si>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</si>
  <si>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</si>
  <si>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</si>
  <si>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</si>
  <si>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</si>
  <si>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</si>
  <si>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</si>
  <si>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</si>
  <si>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</si>
  <si>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</si>
  <si>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</si>
  <si>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</si>
  <si>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</si>
  <si>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</si>
  <si>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</si>
  <si>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</si>
  <si>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</si>
  <si>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</si>
  <si>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</si>
  <si>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</si>
  <si>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</si>
  <si>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</si>
  <si>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</si>
  <si>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</si>
  <si>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</si>
  <si>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</si>
  <si>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</si>
  <si>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</si>
  <si>
    <t>Journey Outcome anchors (0-5)</t>
  </si>
  <si>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</si>
  <si>
    <t>Continuity &amp; Handoffs anchors (0-5)</t>
  </si>
  <si>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</si>
  <si>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</si>
  <si>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</si>
  <si>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</si>
  <si>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</si>
  <si>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</si>
  <si>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</si>
  <si>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</si>
  <si>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</si>
  <si>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</si>
  <si>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</si>
  <si>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</si>
  <si>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</si>
  <si>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</si>
  <si>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</si>
  <si>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</si>
  <si>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</si>
  <si>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</si>
  <si>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</si>
  <si>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</si>
  <si>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</si>
  <si>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</si>
  <si>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</si>
  <si>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</si>
  <si>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</si>
  <si>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</si>
  <si>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</si>
  <si>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</si>
  <si>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</si>
  <si>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</si>
  <si>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</si>
  <si>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</si>
  <si>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</si>
  <si>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</si>
  <si>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</si>
  <si>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</si>
  <si>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</si>
  <si>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</si>
  <si>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</si>
  <si>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</si>
  <si>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</si>
  <si>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</si>
  <si>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</si>
  <si>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</si>
  <si>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</si>
  <si>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</si>
  <si>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</si>
  <si>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</si>
  <si>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</si>
  <si>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</si>
  <si>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</si>
  <si>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</si>
  <si>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</si>
  <si>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</si>
  <si>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</si>
  <si>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</si>
  <si>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</si>
  <si>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</si>
  <si>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</si>
  <si>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</si>
  <si>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</si>
  <si>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</si>
  <si>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</si>
  <si>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</si>
  <si>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</si>
  <si>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</si>
  <si>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</si>
  <si>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</si>
  <si>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</si>
  <si>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</si>
  <si>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</si>
  <si>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</si>
  <si>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</si>
  <si>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</si>
  <si>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</si>
  <si>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</si>
  <si>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</si>
  <si>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</si>
  <si>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</si>
  <si>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</si>
  <si>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</si>
  <si>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Eric Marbella (L2 / CAT)</t>
  </si>
  <si>
    <t>TE00127492 (prior: TE00124020)</t>
  </si>
  <si>
    <t>QA Specialist</t>
  </si>
  <si>
    <t>2026-05-18 to 2026-05-19</t>
  </si>
  <si>
    <t>Linksys MX4200 Velop Mesh (6× MX4200 + 5× WHW03)</t>
  </si>
  <si>
    <t>Phone</t>
  </si>
  <si>
    <t>In-Warranty</t>
  </si>
  <si>
    <t>2026-05-25</t>
  </si>
  <si>
    <t>Connectivity</t>
  </si>
  <si>
    <t>3 hr 26 min (session) + May 19 follow-up</t>
  </si>
  <si>
    <t>13 of 13 (final)</t>
  </si>
  <si>
    <t>1 / 5 — Resolution Rate: No</t>
  </si>
  <si>
    <t>4+ contacts (survey); 13+ recorded touches</t>
  </si>
  <si>
    <t>15 hr 12 min (ticket)</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</si>
  <si>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</si>
  <si>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</si>
  <si>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</si>
  <si>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2 · CATEGORY ASSESSMENTS</t>
  </si>
  <si>
    <t>Issue resolved, or the strongest available outcome was achieved (RMA, valid escalation, limitation explained, education)</t>
  </si>
  <si>
    <t>Partial</t>
  </si>
  <si>
    <t>Internet restored May 18 (482-530 Mbps down); but primary complaint — streaming stability — never confirmed; TV still flashing red at session end; case closed RESOLVED May 19 anyway</t>
  </si>
  <si>
    <t>Reasonable troubleshooting was completed before any conclusion was reached</t>
  </si>
  <si>
    <t>Met</t>
  </si>
  <si>
    <t>Confirmed modem install, isolated fault away from ISP to MX4200 parent node before acting</t>
  </si>
  <si>
    <t>Clear, actionable next steps were provided to the customer</t>
  </si>
  <si>
    <t>Callback agreed 4-5 PM CT May 19 — then missed; final email only asked customer to propose a new time</t>
  </si>
  <si>
    <t>Restoration path correct; closure path was not (RESOLVED on an unresolved case)</t>
  </si>
  <si>
    <t>4 child nodes added with documented RSSI; 1st-floor optimization and sequence reboot still outstanding</t>
  </si>
  <si>
    <t>Suggested score (auto from indicators — advisory only; evaluator judgment prevails)</t>
  </si>
  <si>
    <t>FINAL CATEGORY SCORE (0–5)</t>
  </si>
  <si>
    <t>Category comments / coaching notes</t>
  </si>
  <si>
    <t>Real technical progress (internet restored) — judged in inherited context, a genuine recovery. Capped by unconfirmed primary complaint and premature closure.</t>
  </si>
  <si>
    <t>Symptoms were identified correctly</t>
  </si>
  <si>
    <t>Correctly framed issue as wireless coverage/stability, not internet speed</t>
  </si>
  <si>
    <t>Relevant diagnostic questions were asked</t>
  </si>
  <si>
    <t>Verified inventory (6× MX4200), modem state, node placement before troubleshooting</t>
  </si>
  <si>
    <t>Logical troubleshooting methodology was followed</t>
  </si>
  <si>
    <t>Logical narrowing: modem supplying internet → fault domain = parent node config</t>
  </si>
  <si>
    <t>Available tools were used appropriately</t>
  </si>
  <si>
    <t>ZOHO remote session 480107042; RSSI per node: 04512 -68, 02733 -61, 02853 -56, 16475 -59 dBm</t>
  </si>
  <si>
    <t>Information provided was technically accurate</t>
  </si>
  <si>
    <t>Speed and topology explanations accurate; overlap node (16267, -18 dBm) correctly identified</t>
  </si>
  <si>
    <t>Assumptions were validated; no unsupported conclusions</t>
  </si>
  <si>
    <t>AT&amp;T SSID disabling — prior touch's open isolation step — never confirmed during the session</t>
  </si>
  <si>
    <t>Root cause (or likely cause) was identified when possible</t>
  </si>
  <si>
    <t>Overlap node found, but stability root cause left unconfirmed at close</t>
  </si>
  <si>
    <t>Strongest technical touch of the journey alongside Paolo Ebora's May 4 session. Close the loop on inherited open steps (AT&amp;T SSID) next time.</t>
  </si>
  <si>
    <t>Callback window agreed clearly — then broken without proactive renegotiation</t>
  </si>
  <si>
    <t>Agent maintained control of the troubleshooting flow</t>
  </si>
  <si>
    <t>Drove a focused 3h26m session; investigation: 'more focused than earlier contacts'</t>
  </si>
  <si>
    <t>Actions were explained in understandable, jargon-free language</t>
  </si>
  <si>
    <t>Investigation: 'simplify technical explanations' — terms like RSSI/SSID needed clarification</t>
  </si>
  <si>
    <t>Questions were purposeful (no repetitive questioning)</t>
  </si>
  <si>
    <t>Questions tied to isolation; no redundant re-asking of inherited facts</t>
  </si>
  <si>
    <t>Customer understanding was confirmed at key points</t>
  </si>
  <si>
    <t>Investigation: 'strengthen recap and final action ownership'</t>
  </si>
  <si>
    <t>Clear transitions between troubleshooting steps; effective time management</t>
  </si>
  <si>
    <t>Session ran ~6 PM to 11 PM for an 80-year-old couple; no checkpoint offered to pause/resume</t>
  </si>
  <si>
    <t>Difficult moments were managed professionally</t>
  </si>
  <si>
    <t>Stayed professional with an exhausted, frustrated customer</t>
  </si>
  <si>
    <t>Communication adapted to the customer's accessibility needs (hearing, vision, age)</t>
  </si>
  <si>
    <t>Missed</t>
  </si>
  <si>
    <t>Hearing-difficulty adaptation cited as opportunity for this and 3 prior agents; pace unchanged</t>
  </si>
  <si>
    <t>Focused and professional; needs accessibility adaptation and a stronger recap/next-step close (per investigation findings).</t>
  </si>
  <si>
    <t>Agent demonstrated accountability for the customer's outcome</t>
  </si>
  <si>
    <t>Claimed queue, drove session, attempted callbacks + emails — but closure undermined accountability</t>
  </si>
  <si>
    <t>Unnecessary transfers were avoided</t>
  </si>
  <si>
    <t>Owned at L2 end-to-end; no bouncing</t>
  </si>
  <si>
    <t>Commitments made during the interaction were followed through</t>
  </si>
  <si>
    <t>Agreed 4-5 PM CT callback missed: calls at 5:42 &amp; 6:06 PM (42-66 min late); customer: 'you called at 5:45 — 1 and 3/4 hours late'</t>
  </si>
  <si>
    <t>A clear path forward was created for the customer</t>
  </si>
  <si>
    <t>Replacement plan after missed callback = customer must propose a time; weak for a 7-week case</t>
  </si>
  <si>
    <t>Next actions were documented</t>
  </si>
  <si>
    <t>Session notes detailed: speeds, RSSI per node, declined reboot, agreed window — all recorded</t>
  </si>
  <si>
    <t>Realistic expectations were set</t>
  </si>
  <si>
    <t>Knew 4-5 PM window conflicted with TC/OM meetings (private notes 13:48/14:42) yet did not renegotiate in advance</t>
  </si>
  <si>
    <t>Disconnect follow-up completed (callback / email / note) — mark N.A. if no disconnect</t>
  </si>
  <si>
    <t>N.A.</t>
  </si>
  <si>
    <t>No disconnect on this touch</t>
  </si>
  <si>
    <t>Callback commitments were met within the agreed window (or proactively renegotiated before it lapsed)</t>
  </si>
  <si>
    <t>Window missed; conflicting explanations later ('meeting' vs 'engaged with another task')</t>
  </si>
  <si>
    <t>Automatic deductions applied: missed agreed callback window without proactive renegotiation + premature RESOLVED. The calendar conflict was visible in advance.</t>
  </si>
  <si>
    <t>Reasonable troubleshooting was completed before escalating</t>
  </si>
  <si>
    <t>No technical escalation needed — agent is the L2 endpoint</t>
  </si>
  <si>
    <t>Legitimate escalation criteria were identified (incl. complaint / management / legal-risk triggers)</t>
  </si>
  <si>
    <t>May 19, 3:33 PM customer email: 'I would like to talk to your management, before I talk to a lawyer' — a textbook management/legal-risk trigger, not actioned</t>
  </si>
  <si>
    <t>Escalation contained complete, useful details (logs, findings, steps tried)</t>
  </si>
  <si>
    <t>No management/DSAT escalation record until PMO intervened May 27</t>
  </si>
  <si>
    <t>Correct escalation path was chosen</t>
  </si>
  <si>
    <t>Consulted TC Marc Baynos about how to WORD the reply — not to escalate the complaint</t>
  </si>
  <si>
    <t>Customer expectations about the escalation were set appropriately</t>
  </si>
  <si>
    <t>Final email never acknowledged the management request</t>
  </si>
  <si>
    <t>The escalation that mattered was upward: an explicit management request with a legal threat from a vulnerable customer. It was not made. Scored 1 (TC consult occurred) rather than 0.</t>
  </si>
  <si>
    <t>Empathy was demonstrated (incl. acknowledging cumulative effort and fatigue on repeat contacts)</t>
  </si>
  <si>
    <t>Apologies sent, but investigation: 'acknowledge customer effort and fatigue more explicitly' (20-30 hrs, no dinner, age 80)</t>
  </si>
  <si>
    <t>Professionalism was maintained throughout</t>
  </si>
  <si>
    <t>Courteous and calm in all calls and emails</t>
  </si>
  <si>
    <t>Communication style was adapted to the customer</t>
  </si>
  <si>
    <t>Some simplification, but pace/jargon unadjusted for hearing difficulty</t>
  </si>
  <si>
    <t>Patience was maintained, even under pressure</t>
  </si>
  <si>
    <t>Patient through a 3h26m session</t>
  </si>
  <si>
    <t>Customer effort was reduced where possible</t>
  </si>
  <si>
    <t>11 PM finish, then customer expected to chase the reschedule; survey: 'almost impossible to get a technician who can help'</t>
  </si>
  <si>
    <t>Customer felt heard, understood next steps, and remained engaged</t>
  </si>
  <si>
    <t>CSAT 1/5; 'worst customer service I have ever had'; customer scrapped Linksys for Eero</t>
  </si>
  <si>
    <t>Patience and courtesy present; effort-reduction and fatigue acknowledgment absent. The outcome data (CSAT 1, churn) reflects the journey, but this touch's choices contributed directly.</t>
  </si>
  <si>
    <t>Customer issue summary recorded</t>
  </si>
  <si>
    <t>Issue and modem-replacement context captured on claim</t>
  </si>
  <si>
    <t>Troubleshooting performed is documented</t>
  </si>
  <si>
    <t>Session note: speeds, 4 child nodes, RSSI per node, overlap node, declined sequence reboot</t>
  </si>
  <si>
    <t>Key findings / discoveries noted</t>
  </si>
  <si>
    <t>Key findings recorded incl. 16267 overlap at -18 dBm</t>
  </si>
  <si>
    <t>Agent reasoning is captured</t>
  </si>
  <si>
    <t>Why RESOLVED was chosen is nowhere — investigation: 'no private note indicating the reason for closing the unresolved case'</t>
  </si>
  <si>
    <t>Escalation justification included — mark N.A. if no escalation</t>
  </si>
  <si>
    <t>Customer's management/legal request never documented as an escalation item</t>
  </si>
  <si>
    <t>Next steps and follow-up actions listed (incl. callback records)</t>
  </si>
  <si>
    <t>Callback agreement noted; post-miss plan vague ('reply with preferred date/time')</t>
  </si>
  <si>
    <t>Ticket status accurately reflects case state (no premature RESOLVED; closure reason documented)</t>
  </si>
  <si>
    <t>RESOLVED set May 19 on a known-unresolved case — 5th premature closure on this ticket; NTE requested by investigation</t>
  </si>
  <si>
    <t>Technical notes excellent; closure documentation failed — no reason for RESOLVED, conflicting missed-callback explanations across notes.</t>
  </si>
  <si>
    <t>3 · SCORE SUMMARY</t>
  </si>
  <si>
    <t>Ownership Gap</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</si>
  <si>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</si>
  <si>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</si>
  <si>
    <t>Agreed 4-5 PM CT window May 19; calls placed 5:42 &amp; 6:06 PM (42-66 min late). Conflicting explanations in notes.</t>
  </si>
  <si>
    <t>Compliance / security violation (e.g., payment card data spoken or stored in plaintext — PCI DSS)</t>
  </si>
  <si>
    <t>RESOLVED set May 19 after apology email; no private note with closure reason; survey 3 days later: Resolution Rate = No. 5th premature RESOLVED on this ticket.</t>
  </si>
  <si>
    <t>Customer email 3:33 PM May 19 requested management contact and referenced a lawyer; no management/DSAT escalation until PMO intervention May 27.</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</si>
  <si>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</si>
  <si>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</si>
  <si>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 child nodes configured with per-node RSSI documented</t>
  </si>
  <si>
    <t>End-to-end L2 ownership of the technical work — no bouncing, 3h26m of focused troubleshooting with remote tooling (ZOHO)</t>
  </si>
  <si>
    <t>Recovery attempts after the miss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</si>
  <si>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</si>
  <si>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email would have prevented the complaint</t>
  </si>
  <si>
    <t>Never set RESOLVED on a known-unresolved case: use CALLBACK/PENDING and document a closure reason; this ticket's 5th premature closure triggered an NTE</t>
  </si>
  <si>
    <t>Treat an explicit management request + legal reference from a vulnerable customer as a same-day mandatory escalation, independent of any apology email</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</si>
  <si>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</si>
  <si>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</si>
  <si>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</si>
  <si>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</si>
  <si>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</si>
  <si>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</si>
  <si>
    <t>FINAL QA ASSESSMENT — customer outcome, support quality, and coaching value</t>
  </si>
  <si>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</si>
  <si>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</si>
  <si>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</si>
  <si>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</si>
  <si>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</si>
  <si>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</si>
  <si>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</si>
  <si>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</si>
  <si>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</si>
  <si>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</si>
  <si>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</si>
  <si>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</si>
  <si>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</si>
  <si>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</si>
  <si>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</si>
  <si>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</si>
  <si>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TEAM AVERAGE</t>
  </si>
  <si>
    <t>Average of logged touches</t>
  </si>
  <si>
    <t>TEAM / JOURNEY SCORES — MULTI-TOUCH CASES</t>
  </si>
  <si>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</si>
  <si>
    <t>Journey / Case ID(s)</t>
  </si>
  <si>
    <t>Touches</t>
  </si>
  <si>
    <t>Avg Touch %</t>
  </si>
  <si>
    <t>Outcome (0-5)</t>
  </si>
  <si>
    <t>Continuity (0-5)</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</si>
  <si>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</si>
  <si>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</si>
  <si>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</si>
  <si>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</si>
  <si>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</si>
  <si>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</si>
  <si>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</si>
  <si>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</si>
  <si>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</si>
  <si>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</si>
  <si>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</si>
  <si>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</si>
  <si>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</si>
  <si>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Scheduled / Side-by-side</t>
  </si>
  <si>
    <t>2nd about the concern</t>
  </si>
  <si>
    <t>Unresolved (properly isolated)</t>
  </si>
  <si>
    <t>People</t>
  </si>
  <si>
    <t>Troubleshooting – Instructions</t>
  </si>
  <si>
    <t>Performance – Specific IRC</t>
  </si>
  <si>
    <t>Public – Website</t>
  </si>
  <si>
    <t>Calibration</t>
  </si>
  <si>
    <t>3rd about the concern</t>
  </si>
  <si>
    <t>Unresolved (with missing steps)</t>
  </si>
  <si>
    <t>Process</t>
  </si>
  <si>
    <t>Troubleshooting – Timeline</t>
  </si>
  <si>
    <t>Performance – Difficult to Install</t>
  </si>
  <si>
    <t>Public – App/Cloud</t>
  </si>
  <si>
    <t>Complaint</t>
  </si>
  <si>
    <t>More than 3x about the concern</t>
  </si>
  <si>
    <t>Unresolved (wrong troubleshooting path)</t>
  </si>
  <si>
    <t>RMA – Logistics</t>
  </si>
  <si>
    <t>Performance – Defective Device</t>
  </si>
  <si>
    <t>Public – IVR</t>
  </si>
  <si>
    <t>Investigation</t>
  </si>
  <si>
    <t>Unresolved (declined sales pitch — valid)</t>
  </si>
  <si>
    <t>System</t>
  </si>
  <si>
    <t>RMA – Timeline</t>
  </si>
  <si>
    <t>Performance – Poor Performance</t>
  </si>
  <si>
    <t>Internal – Salesforce/CRM</t>
  </si>
  <si>
    <t>CSAT</t>
  </si>
  <si>
    <t>Unresolved (declined sales pitch — invalid)</t>
  </si>
  <si>
    <t>RMA – Terms &amp; Conditions</t>
  </si>
  <si>
    <t>Design – Aesthetics</t>
  </si>
  <si>
    <t>Internal – CSC</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</si>
  <si>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</si>
  <si>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</si>
  <si>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</si>
  <si>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</si>
  <si>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</si>
  <si>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</si>
  <si>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</si>
  <si>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</si>
  <si>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</si>
  <si>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</si>
  <si>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</si>
  <si>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</si>
  <si>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</si>
  <si>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</si>
  <si>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</si>
  <si>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</si>
  <si>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</si>
  <si>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</si>
  <si>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</si>
  <si>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</si>
  <si>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</si>
  <si>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</si>
  <si>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</si>
  <si>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</si>
  <si>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QA SCORING GUIDE — Behavioral Indicator Rating Definitions &amp; Scenarios</t>
  </si>
  <si>
    <t>Met = fully achieved  ·  Partial = achieved in part  ·  Missed = not achieved  ·  N/A = not applicable to this interaction</t>
  </si>
  <si>
    <t>Category / Section</t>
  </si>
  <si>
    <t>Rating</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</si>
  <si>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</si>
  <si>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</si>
  <si>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</si>
  <si>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</si>
  <si>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</si>
  <si>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</si>
  <si>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</si>
  <si>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</si>
  <si>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</si>
  <si>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</si>
  <si>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</si>
  <si>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</si>
  <si>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</si>
  <si>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</si>
  <si>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</si>
  <si>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</si>
  <si>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</si>
  <si>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</si>
  <si>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</si>
  <si>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</si>
  <si>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</si>
  <si>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</si>
  <si>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</si>
  <si>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</si>
  <si>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</si>
  <si>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</si>
  <si>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</si>
  <si>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</si>
  <si>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</si>
  <si>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</si>
  <si>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</si>
  <si>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</si>
  <si>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</si>
  <si>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</si>
  <si>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</si>
  <si>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</si>
  <si>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</si>
  <si>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</si>
  <si>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</si>
  <si>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</si>
  <si>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</si>
  <si>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</si>
  <si>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</si>
  <si>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</si>
  <si>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</si>
  <si>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</si>
  <si>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</si>
  <si>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</si>
  <si>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</si>
  <si>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</si>
  <si>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</si>
  <si>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</si>
  <si>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</si>
  <si>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</si>
  <si>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</si>
  <si>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</si>
  <si>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</si>
  <si>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</si>
  <si>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</si>
  <si>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</si>
  <si>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</si>
  <si>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</si>
  <si>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</si>
  <si>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</si>
  <si>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</si>
  <si>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</si>
  <si>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</si>
  <si>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</si>
  <si>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</si>
  <si>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</si>
  <si>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</si>
  <si>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</si>
  <si>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</si>
  <si>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</si>
  <si>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</si>
  <si>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</si>
  <si>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</si>
  <si>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</si>
  <si>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</si>
  <si>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</si>
  <si>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</si>
  <si>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</si>
  <si>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</si>
  <si>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</si>
  <si>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</si>
  <si>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</si>
  <si>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</si>
  <si>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</si>
  <si>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</si>
  <si>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</si>
  <si>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</si>
  <si>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</si>
  <si>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</si>
  <si>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</si>
  <si>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</si>
  <si>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</si>
  <si>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</si>
  <si>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</si>
  <si>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</si>
  <si>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</si>
  <si>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</si>
  <si>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</si>
  <si>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</si>
  <si>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</si>
  <si>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</si>
  <si>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</si>
  <si>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</si>
  <si>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</si>
  <si>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</si>
  <si>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</si>
  <si>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</si>
  <si>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</si>
  <si>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</si>
  <si>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</si>
  <si>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</si>
  <si>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</si>
  <si>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</si>
  <si>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</si>
  <si>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</si>
  <si>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</si>
  <si>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</si>
  <si>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</si>
  <si>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</si>
  <si>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</si>
  <si>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executed within the call or documented with a specific owner and timeline. Customer left with a defined, actionable next step.</t>
  </si>
  <si>
    <t>Agent committed to submitting the escalation before end of day, told the customer what L2 would do and when to expect contact, and updated the ticket accordingly before closing. → Met.</t>
  </si>
  <si>
    <t>Path forward was defined but vague — no specifics on who, when, or what. Or a commitment was made verbally but not documented in the case.</t>
  </si>
  <si>
    <t>Agent told the customer 'someone will follow up with you' but did not specify the team, timeline, or the nature of the follow-up. → Partial.</t>
  </si>
  <si>
    <t>Agent made a commitment that was not kept and not documented. Customer ends the interaction with no defined next step.</t>
  </si>
  <si>
    <t>Agent promised to call back within 24 hours. No callback was made and no note was left in the ticket. Customer called back the next day. → Missed.</t>
  </si>
  <si>
    <t>Not applicable. A path forward is always relevant.</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</si>
  <si>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</si>
  <si>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</si>
  <si>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</si>
  <si>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</si>
  <si>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</si>
  <si>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</si>
  <si>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</si>
  <si>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</si>
  <si>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</si>
  <si>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</si>
  <si>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</si>
  <si>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</si>
  <si>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</si>
  <si>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</si>
  <si>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</si>
  <si>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</si>
  <si>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</si>
  <si>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</si>
  <si>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</si>
  <si>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</si>
  <si>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</si>
  <si>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</si>
  <si>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</si>
  <si>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</si>
  <si>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</si>
  <si>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</si>
  <si>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</si>
  <si>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</si>
  <si>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</si>
  <si>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</si>
  <si>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</si>
  <si>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</si>
  <si>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</si>
  <si>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</si>
  <si>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</si>
  <si>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</si>
  <si>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</si>
  <si>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</si>
  <si>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</si>
  <si>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</si>
  <si>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</si>
  <si>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</si>
  <si>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</si>
  <si>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</si>
  <si>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</si>
  <si>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</si>
  <si>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</si>
  <si>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</si>
  <si>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</si>
  <si>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</si>
  <si>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</si>
  <si>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</si>
  <si>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</si>
  <si>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</si>
  <si>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</si>
  <si>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</si>
  <si>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</si>
  <si>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</si>
  <si>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</si>
  <si>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</si>
  <si>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</si>
  <si>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</si>
  <si>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</si>
  <si>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</si>
  <si>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</si>
  <si>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</si>
  <si>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</si>
  <si>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</si>
  <si>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</si>
  <si>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</si>
  <si>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</si>
  <si>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</si>
  <si>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</si>
  <si>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</si>
  <si>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</si>
  <si>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</si>
  <si>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</si>
  <si>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</si>
  <si>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</si>
  <si>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</si>
  <si>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</si>
  <si>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</si>
  <si>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</si>
  <si>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</si>
  <si>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</si>
  <si>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</si>
  <si>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</si>
  <si>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</si>
  <si>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</si>
  <si>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</si>
  <si>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</si>
  <si>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</si>
  <si>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</si>
  <si>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</si>
  <si>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</si>
  <si>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Captured agent reasoning — escalation justification, offline recommendations provided by colleagues and other support POCs especially if no private notes applicable to step/action</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</si>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</sst>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4" x14ac:knownFonts="1">
    <font>
      <sz val="11"/>
      <color theme="1"/>
      <name val="Calibri"/>
      <family val="2"/>
      <scheme val="minor"/>
    </font>
    <font>
      <b/>
      <sz val="16"/>
      <color rgb="FFFFFFFF"/>
      <name val="Calibri"/>
    </font>
    <font>
      <i/>
      <sz val="10"/>
      <color rgb="FFFFFFFF"/>
      <name val="Calibri"/>
    </font>
    <font>
      <b/>
      <sz val="11"/>
      <color rgb="FFFFFFFF"/>
      <name val="Calibri"/>
    </font>
    <font>
      <b/>
      <sz val="11"/>
      <color rgb="FF1F3864"/>
      <name val="Calibri"/>
    </font>
    <font>
      <sz val="11"/>
      <color rgb="FF000000"/>
      <name val="Calibri"/>
    </font>
    <font>
      <i/>
      <sz val="11"/>
      <color rgb="FF1F3864"/>
      <name val="Calibri"/>
    </font>
    <font>
      <b/>
      <sz val="11"/>
      <color rgb="FF000000"/>
      <name val="Calibri"/>
    </font>
    <font>
      <i/>
      <sz val="9"/>
      <color rgb="FF595959"/>
      <name val="Calibri"/>
    </font>
    <font>
      <b/>
      <sz val="12"/>
      <color rgb="FF000000"/>
      <name val="Calibri"/>
    </font>
    <font>
      <i/>
      <sz val="11"/>
      <color rgb="FF595959"/>
      <name val="Calibri"/>
    </font>
    <font>
      <b/>
      <sz val="13"/>
      <color rgb="FFFFFFFF"/>
      <name val="Calibri"/>
    </font>
    <font>
      <b/>
      <sz val="11"/>
      <color rgb="FF006100"/>
      <name val="Calibri"/>
    </font>
    <font>
      <b/>
      <sz val="11"/>
      <color rgb="FF9C0006"/>
      <name val="Calibri"/>
    </font>
    <font>
      <b/>
      <sz val="12"/>
      <color rgb="FFFFFFFF"/>
      <name val="Calibri"/>
    </font>
    <font>
      <i/>
      <sz val="11"/>
      <color rgb="FFFFFFFF"/>
      <name val="Calibri"/>
    </font>
    <font>
      <b/>
      <sz val="11"/>
      <color rgb="FF595959"/>
      <name val="Calibri"/>
    </font>
    <font>
      <b/>
      <sz val="48"/>
      <color rgb="FF9C0006"/>
      <name val="Calibri"/>
    </font>
    <font>
      <b/>
      <sz val="22"/>
      <color rgb="FF9C0006"/>
      <name val="Calibri"/>
    </font>
    <font>
      <b/>
      <sz val="16"/>
      <color rgb="FF9C0006"/>
      <name val="Calibri"/>
    </font>
    <font>
      <b/>
      <sz val="10"/>
      <color rgb="FFFFFFFF"/>
      <name val="Calibri"/>
    </font>
    <font>
      <b/>
      <sz val="13"/>
      <color rgb="FF1F3864"/>
      <name val="Calibri"/>
    </font>
    <font>
      <i/>
      <sz val="11"/>
      <color rgb="FF1F3864"/>
      <name val="Calibri"/>
    </font>
    <font>
      <b/>
      <sz val="13"/>
      <color rgb="FFFFFFFF"/>
      <name val="Calibri"/>
    </font>
    <font>
      <i/>
      <sz val="9"/>
      <color rgb="FFFFFFFF"/>
      <name val="Calibri"/>
    </font>
    <font>
      <b/>
      <sz val="10"/>
      <color rgb="FFFFFFFF"/>
      <name val="Calibri"/>
    </font>
    <font>
      <b/>
      <sz val="9.5"/>
      <color rgb="FF000000"/>
      <name val="Calibri"/>
    </font>
    <font>
      <b/>
      <sz val="9.5"/>
      <color rgb="FF1A5E20"/>
      <name val="Calibri"/>
    </font>
    <font>
      <sz val="9.5"/>
      <color rgb="FF000000"/>
      <name val="Calibri"/>
    </font>
    <font>
      <i/>
      <sz val="9.5"/>
      <color rgb="FF1A1A5E"/>
      <name val="Calibri"/>
    </font>
    <font>
      <b/>
      <sz val="9.5"/>
      <color rgb="FF7B4F00"/>
      <name val="Calibri"/>
    </font>
    <font>
      <b/>
      <sz val="9.5"/>
      <color rgb="FF7B1919"/>
      <name val="Calibri"/>
    </font>
    <font>
      <b/>
      <sz val="9.5"/>
      <color rgb="FF3D3D3D"/>
      <name val="Calibri"/>
    </font>
    <font>
      <i/>
      <sz val="9.5"/>
      <color rgb="FF888888"/>
      <name val="Calibri"/>
    </font>
  </fonts>
  <fills count="2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s>
  <borders count="14">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0">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2" borderId="1" xfId="0" applyFont="1" applyFill="1" applyBorder="1" applyAlignment="1">
      <alignment horizontal="left" vertical="center"/>
    </xf>
    <xf numFmtId="0" fontId="3" fillId="3" borderId="1" xfId="0" applyFont="1" applyFill="1" applyBorder="1" applyAlignment="1">
      <alignment horizontal="right" vertical="center"/>
    </xf>
    <xf numFmtId="0" fontId="4" fillId="4" borderId="2" xfId="0" applyFont="1" applyFill="1" applyBorder="1" applyAlignment="1">
      <alignment horizontal="center"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8" fillId="6" borderId="2" xfId="0" applyFont="1" applyFill="1" applyBorder="1" applyAlignment="1">
      <alignment horizontal="right" vertical="center" wrapText="1"/>
    </xf>
    <xf numFmtId="164" fontId="6" fillId="6" borderId="2" xfId="0" applyNumberFormat="1" applyFont="1" applyFill="1" applyBorder="1" applyAlignment="1">
      <alignment horizontal="center" vertical="center"/>
    </xf>
    <xf numFmtId="0" fontId="4" fillId="4" borderId="2" xfId="0" applyFont="1" applyFill="1" applyBorder="1" applyAlignment="1">
      <alignment horizontal="right" vertical="center"/>
    </xf>
    <xf numFmtId="0" fontId="9" fillId="5" borderId="2" xfId="0" applyFont="1" applyFill="1" applyBorder="1" applyAlignment="1">
      <alignment horizontal="center" vertical="center"/>
    </xf>
    <xf numFmtId="0" fontId="3" fillId="3" borderId="1" xfId="0" applyFont="1" applyFill="1" applyBorder="1" applyAlignment="1">
      <alignment horizontal="center" vertical="center"/>
    </xf>
    <xf numFmtId="0" fontId="5" fillId="7" borderId="2" xfId="0" applyFont="1" applyFill="1" applyBorder="1" applyAlignment="1">
      <alignment horizontal="left" vertical="center"/>
    </xf>
    <xf numFmtId="9" fontId="4" fillId="7" borderId="2" xfId="0" applyNumberFormat="1" applyFont="1" applyFill="1" applyBorder="1" applyAlignment="1">
      <alignment horizontal="center" vertical="center"/>
    </xf>
    <xf numFmtId="0" fontId="7" fillId="7" borderId="2"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0" fontId="5" fillId="8" borderId="2" xfId="0" applyFont="1" applyFill="1" applyBorder="1" applyAlignment="1">
      <alignment horizontal="left" vertical="center"/>
    </xf>
    <xf numFmtId="9" fontId="4" fillId="8" borderId="2" xfId="0" applyNumberFormat="1" applyFont="1" applyFill="1" applyBorder="1" applyAlignment="1">
      <alignment horizontal="center" vertical="center"/>
    </xf>
    <xf numFmtId="0" fontId="7" fillId="8"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9" fontId="3" fillId="2" borderId="1" xfId="0" applyNumberFormat="1" applyFont="1" applyFill="1" applyBorder="1" applyAlignment="1">
      <alignment horizontal="center" vertical="center"/>
    </xf>
    <xf numFmtId="0" fontId="0" fillId="2" borderId="1" xfId="0" applyFill="1" applyBorder="1"/>
    <xf numFmtId="165" fontId="11" fillId="2" borderId="1" xfId="0" applyNumberFormat="1" applyFont="1" applyFill="1" applyBorder="1" applyAlignment="1">
      <alignment horizontal="center" vertical="center"/>
    </xf>
    <xf numFmtId="0" fontId="3" fillId="2" borderId="1" xfId="0" applyFont="1" applyFill="1" applyBorder="1" applyAlignment="1">
      <alignment horizontal="center" vertical="center"/>
    </xf>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165" fontId="9" fillId="8" borderId="2" xfId="0" applyNumberFormat="1" applyFont="1" applyFill="1" applyBorder="1" applyAlignment="1">
      <alignment horizontal="center" vertical="center"/>
    </xf>
    <xf numFmtId="165" fontId="9" fillId="7" borderId="2" xfId="0" applyNumberFormat="1" applyFont="1" applyFill="1" applyBorder="1" applyAlignment="1">
      <alignment horizontal="center"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7" xfId="0" applyFont="1" applyFill="1" applyBorder="1" applyAlignment="1">
      <alignment horizontal="center" vertical="top"/>
    </xf>
    <xf numFmtId="9" fontId="17" fillId="7" borderId="7" xfId="0" applyNumberFormat="1" applyFont="1" applyFill="1" applyBorder="1" applyAlignment="1">
      <alignment horizontal="center" vertical="center"/>
    </xf>
    <xf numFmtId="0" fontId="18" fillId="7" borderId="7" xfId="0" applyFont="1" applyFill="1" applyBorder="1" applyAlignment="1">
      <alignment horizontal="center" vertical="center"/>
    </xf>
    <xf numFmtId="0" fontId="19" fillId="7" borderId="7" xfId="0" applyFont="1" applyFill="1" applyBorder="1" applyAlignment="1">
      <alignment horizontal="center" vertical="center" wrapText="1"/>
    </xf>
    <xf numFmtId="0" fontId="20" fillId="3" borderId="7" xfId="0" applyFont="1" applyFill="1" applyBorder="1" applyAlignment="1">
      <alignment horizontal="center" vertical="center" wrapText="1"/>
    </xf>
    <xf numFmtId="0" fontId="21" fillId="6" borderId="7" xfId="0" applyFont="1" applyFill="1" applyBorder="1" applyAlignment="1">
      <alignment horizontal="center" vertical="center" wrapText="1"/>
    </xf>
    <xf numFmtId="0" fontId="21" fillId="6" borderId="7"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10" fillId="6" borderId="2" xfId="0" applyFont="1" applyFill="1" applyBorder="1" applyAlignment="1">
      <alignment horizontal="left" vertical="center" wrapText="1"/>
    </xf>
    <xf numFmtId="0" fontId="5" fillId="5" borderId="2" xfId="0" applyFont="1" applyFill="1" applyBorder="1" applyAlignment="1">
      <alignment horizontal="left" vertical="center" wrapText="1"/>
    </xf>
    <xf numFmtId="0" fontId="0" fillId="6" borderId="2" xfId="0" applyFill="1" applyBorder="1"/>
    <xf numFmtId="164" fontId="22" fillId="6" borderId="2" xfId="0" applyNumberFormat="1" applyFont="1" applyFill="1" applyBorder="1" applyAlignment="1">
      <alignment horizontal="center" vertical="center"/>
    </xf>
    <xf numFmtId="0" fontId="25" fillId="13" borderId="13" xfId="0" applyFont="1" applyFill="1" applyBorder="1" applyAlignment="1">
      <alignment horizontal="center" vertical="center" wrapText="1"/>
    </xf>
    <xf numFmtId="0" fontId="27" fillId="16" borderId="13" xfId="0" applyFont="1" applyFill="1" applyBorder="1" applyAlignment="1">
      <alignment horizontal="center" vertical="top" wrapText="1"/>
    </xf>
    <xf numFmtId="0" fontId="28" fillId="16" borderId="13" xfId="0" applyFont="1" applyFill="1" applyBorder="1" applyAlignment="1">
      <alignment horizontal="left" vertical="top" wrapText="1"/>
    </xf>
    <xf numFmtId="0" fontId="29" fillId="16" borderId="13" xfId="0" applyFont="1" applyFill="1" applyBorder="1" applyAlignment="1">
      <alignment horizontal="left" vertical="top" wrapText="1"/>
    </xf>
    <xf numFmtId="0" fontId="30" fillId="17" borderId="13" xfId="0" applyFont="1" applyFill="1" applyBorder="1" applyAlignment="1">
      <alignment horizontal="center" vertical="top" wrapText="1"/>
    </xf>
    <xf numFmtId="0" fontId="28" fillId="17" borderId="13" xfId="0" applyFont="1" applyFill="1" applyBorder="1" applyAlignment="1">
      <alignment horizontal="left" vertical="top" wrapText="1"/>
    </xf>
    <xf numFmtId="0" fontId="29" fillId="17" borderId="13" xfId="0" applyFont="1" applyFill="1" applyBorder="1" applyAlignment="1">
      <alignment horizontal="left" vertical="top" wrapText="1"/>
    </xf>
    <xf numFmtId="0" fontId="31" fillId="18" borderId="13" xfId="0" applyFont="1" applyFill="1" applyBorder="1" applyAlignment="1">
      <alignment horizontal="center" vertical="top" wrapText="1"/>
    </xf>
    <xf numFmtId="0" fontId="28" fillId="18" borderId="13" xfId="0" applyFont="1" applyFill="1" applyBorder="1" applyAlignment="1">
      <alignment horizontal="left" vertical="top" wrapText="1"/>
    </xf>
    <xf numFmtId="0" fontId="29" fillId="18" borderId="13" xfId="0" applyFont="1" applyFill="1" applyBorder="1" applyAlignment="1">
      <alignment horizontal="left" vertical="top" wrapText="1"/>
    </xf>
    <xf numFmtId="0" fontId="32" fillId="19" borderId="13" xfId="0" applyFont="1" applyFill="1" applyBorder="1" applyAlignment="1">
      <alignment horizontal="center" vertical="top" wrapText="1"/>
    </xf>
    <xf numFmtId="0" fontId="28" fillId="19" borderId="13" xfId="0" applyFont="1" applyFill="1" applyBorder="1" applyAlignment="1">
      <alignment horizontal="left" vertical="top" wrapText="1"/>
    </xf>
    <xf numFmtId="0" fontId="33" fillId="19" borderId="13" xfId="0" applyFont="1" applyFill="1" applyBorder="1" applyAlignment="1">
      <alignment horizontal="left" vertical="top" wrapText="1"/>
    </xf>
    <xf numFmtId="0" fontId="5" fillId="7" borderId="2" xfId="0" applyFont="1" applyFill="1" applyBorder="1" applyAlignment="1">
      <alignment horizontal="left" vertical="center" wrapText="1"/>
    </xf>
    <xf numFmtId="0" fontId="0" fillId="0" borderId="5" xfId="0" applyBorder="1"/>
    <xf numFmtId="0" fontId="0" fillId="0" borderId="6" xfId="0" applyBorder="1"/>
    <xf numFmtId="0" fontId="7" fillId="8" borderId="1" xfId="0" applyFont="1" applyFill="1" applyBorder="1" applyAlignment="1">
      <alignment horizontal="left" vertical="center"/>
    </xf>
    <xf numFmtId="0" fontId="0" fillId="0" borderId="3" xfId="0" applyBorder="1"/>
    <xf numFmtId="0" fontId="0" fillId="0" borderId="4" xfId="0" applyBorder="1"/>
    <xf numFmtId="0" fontId="3" fillId="3" borderId="1" xfId="0" applyFont="1" applyFill="1" applyBorder="1" applyAlignment="1">
      <alignment horizontal="left" vertical="center"/>
    </xf>
    <xf numFmtId="0" fontId="0" fillId="6" borderId="2" xfId="0" applyFill="1" applyBorder="1"/>
    <xf numFmtId="0" fontId="5" fillId="5" borderId="2" xfId="0" applyFont="1" applyFill="1" applyBorder="1" applyAlignment="1">
      <alignment horizontal="left" vertical="center" wrapText="1"/>
    </xf>
    <xf numFmtId="0" fontId="7" fillId="5" borderId="2" xfId="0" applyFont="1" applyFill="1" applyBorder="1" applyAlignment="1">
      <alignment horizontal="left" vertical="center"/>
    </xf>
    <xf numFmtId="0" fontId="3" fillId="9" borderId="1" xfId="0" applyFont="1" applyFill="1" applyBorder="1" applyAlignment="1">
      <alignment horizontal="left" vertical="center"/>
    </xf>
    <xf numFmtId="0" fontId="10" fillId="6" borderId="2" xfId="0" applyFont="1" applyFill="1" applyBorder="1" applyAlignment="1">
      <alignment horizontal="left" vertical="center" wrapText="1"/>
    </xf>
    <xf numFmtId="0" fontId="5" fillId="8" borderId="2" xfId="0" applyFont="1" applyFill="1" applyBorder="1" applyAlignment="1">
      <alignment horizontal="left" vertical="center" wrapText="1"/>
    </xf>
    <xf numFmtId="0" fontId="5" fillId="5" borderId="2" xfId="0" applyFont="1" applyFill="1" applyBorder="1" applyAlignment="1">
      <alignment horizontal="left" vertical="center"/>
    </xf>
    <xf numFmtId="0" fontId="2" fillId="2" borderId="1" xfId="0" applyFont="1" applyFill="1" applyBorder="1" applyAlignment="1">
      <alignment horizontal="center" vertical="center"/>
    </xf>
    <xf numFmtId="0" fontId="22" fillId="6" borderId="2" xfId="0" applyFont="1" applyFill="1" applyBorder="1" applyAlignment="1">
      <alignment horizontal="left" vertical="center" wrapText="1"/>
    </xf>
    <xf numFmtId="0" fontId="4" fillId="4" borderId="2" xfId="0" applyFont="1" applyFill="1" applyBorder="1" applyAlignment="1">
      <alignment horizontal="left" vertical="center" wrapText="1"/>
    </xf>
    <xf numFmtId="0" fontId="8" fillId="7" borderId="2" xfId="0" applyFont="1" applyFill="1" applyBorder="1" applyAlignment="1">
      <alignment horizontal="left" vertical="center" wrapText="1"/>
    </xf>
    <xf numFmtId="0" fontId="4" fillId="4" borderId="2" xfId="0" applyFont="1" applyFill="1" applyBorder="1" applyAlignment="1">
      <alignment horizontal="left" vertical="center"/>
    </xf>
    <xf numFmtId="0" fontId="3" fillId="3" borderId="1" xfId="0" applyFont="1" applyFill="1" applyBorder="1" applyAlignment="1">
      <alignment horizontal="left" vertical="center" wrapText="1"/>
    </xf>
    <xf numFmtId="0" fontId="7" fillId="5" borderId="2" xfId="0" applyFont="1" applyFill="1" applyBorder="1" applyAlignment="1">
      <alignment horizontal="center" vertical="center"/>
    </xf>
    <xf numFmtId="0" fontId="7" fillId="8" borderId="2" xfId="0" applyFont="1" applyFill="1" applyBorder="1" applyAlignment="1">
      <alignment horizontal="left" vertical="center" wrapText="1"/>
    </xf>
    <xf numFmtId="0" fontId="3" fillId="2" borderId="1" xfId="0" applyFont="1" applyFill="1" applyBorder="1" applyAlignment="1">
      <alignment horizontal="left" vertical="center"/>
    </xf>
    <xf numFmtId="0" fontId="1" fillId="2" borderId="1" xfId="0" applyFont="1" applyFill="1" applyBorder="1" applyAlignment="1">
      <alignment horizontal="center" vertical="center"/>
    </xf>
    <xf numFmtId="0" fontId="4" fillId="4" borderId="2" xfId="0" applyFont="1" applyFill="1" applyBorder="1" applyAlignment="1">
      <alignment horizontal="right" vertical="center"/>
    </xf>
    <xf numFmtId="0" fontId="0" fillId="0" borderId="10" xfId="0" applyBorder="1"/>
    <xf numFmtId="0" fontId="0" fillId="0" borderId="11" xfId="0" applyBorder="1"/>
    <xf numFmtId="0" fontId="0" fillId="0" borderId="12" xfId="0" applyBorder="1"/>
    <xf numFmtId="0" fontId="5" fillId="8"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2" fillId="2" borderId="1" xfId="0" applyFont="1" applyFill="1" applyBorder="1" applyAlignment="1">
      <alignment horizontal="center" vertical="top" wrapText="1"/>
    </xf>
    <xf numFmtId="0" fontId="3" fillId="3" borderId="1" xfId="0" applyFont="1" applyFill="1" applyBorder="1" applyAlignment="1">
      <alignment horizontal="left" vertical="top"/>
    </xf>
    <xf numFmtId="0" fontId="6" fillId="6" borderId="1"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6" fillId="8" borderId="1" xfId="0" applyFont="1" applyFill="1" applyBorder="1" applyAlignment="1">
      <alignment horizontal="left" vertical="center" wrapText="1"/>
    </xf>
    <xf numFmtId="0" fontId="6" fillId="8" borderId="2" xfId="0" applyFont="1" applyFill="1" applyBorder="1" applyAlignment="1">
      <alignment horizontal="left" vertical="center" wrapText="1"/>
    </xf>
    <xf numFmtId="0" fontId="8" fillId="8" borderId="2" xfId="0" applyFont="1" applyFill="1" applyBorder="1" applyAlignment="1">
      <alignment horizontal="center" vertical="center" wrapText="1"/>
    </xf>
    <xf numFmtId="0" fontId="6" fillId="6" borderId="2" xfId="0" applyFont="1" applyFill="1" applyBorder="1" applyAlignment="1">
      <alignment horizontal="left" vertical="top" wrapText="1"/>
    </xf>
    <xf numFmtId="0" fontId="22" fillId="7" borderId="7" xfId="0" applyFont="1" applyFill="1" applyBorder="1" applyAlignment="1">
      <alignment horizontal="center" vertical="center" wrapText="1"/>
    </xf>
    <xf numFmtId="0" fontId="0" fillId="0" borderId="8" xfId="0" applyBorder="1"/>
    <xf numFmtId="0" fontId="0" fillId="0" borderId="9" xfId="0" applyBorder="1"/>
    <xf numFmtId="0" fontId="13" fillId="10" borderId="1" xfId="0" applyFont="1" applyFill="1" applyBorder="1" applyAlignment="1">
      <alignment horizontal="left" vertical="center" wrapText="1"/>
    </xf>
    <xf numFmtId="0" fontId="14" fillId="2" borderId="7" xfId="0" applyFont="1" applyFill="1" applyBorder="1" applyAlignment="1">
      <alignment horizontal="center" vertical="center"/>
    </xf>
    <xf numFmtId="0" fontId="4" fillId="6"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6" fillId="6" borderId="2" xfId="0" applyFont="1" applyFill="1" applyBorder="1" applyAlignment="1">
      <alignment horizontal="left" vertical="center" wrapText="1"/>
    </xf>
    <xf numFmtId="0" fontId="11" fillId="2" borderId="1" xfId="0" applyFont="1" applyFill="1" applyBorder="1" applyAlignment="1">
      <alignment horizontal="center" vertical="center"/>
    </xf>
    <xf numFmtId="0" fontId="4" fillId="8" borderId="2" xfId="0" applyFont="1" applyFill="1" applyBorder="1" applyAlignment="1">
      <alignment horizontal="left" vertical="center" wrapText="1"/>
    </xf>
    <xf numFmtId="0" fontId="14" fillId="9" borderId="1" xfId="0" applyFont="1" applyFill="1" applyBorder="1" applyAlignment="1">
      <alignment horizontal="center" vertical="center"/>
    </xf>
    <xf numFmtId="0" fontId="6" fillId="6" borderId="1" xfId="0" applyFont="1" applyFill="1" applyBorder="1" applyAlignment="1">
      <alignment horizontal="left" vertical="center" wrapText="1"/>
    </xf>
    <xf numFmtId="0" fontId="3" fillId="3" borderId="1" xfId="0" applyFont="1" applyFill="1" applyBorder="1" applyAlignment="1">
      <alignment horizontal="center" vertical="center"/>
    </xf>
    <xf numFmtId="0" fontId="2" fillId="3" borderId="1" xfId="0" applyFont="1" applyFill="1" applyBorder="1" applyAlignment="1">
      <alignment horizontal="left" vertical="center"/>
    </xf>
    <xf numFmtId="0" fontId="26" fillId="15" borderId="13" xfId="0" applyFont="1" applyFill="1" applyBorder="1" applyAlignment="1">
      <alignment horizontal="left" vertical="center" wrapText="1"/>
    </xf>
    <xf numFmtId="0" fontId="0" fillId="0" borderId="0" xfId="0"/>
    <xf numFmtId="0" fontId="23" fillId="11" borderId="0" xfId="0" applyFont="1" applyFill="1" applyAlignment="1">
      <alignment horizontal="center" vertical="center" wrapText="1"/>
    </xf>
    <xf numFmtId="0" fontId="25" fillId="14" borderId="13" xfId="0" applyFont="1" applyFill="1" applyBorder="1" applyAlignment="1">
      <alignment horizontal="center" vertical="center" wrapText="1"/>
    </xf>
    <xf numFmtId="0" fontId="24" fillId="12" borderId="0" xfId="0" applyFont="1" applyFill="1" applyAlignment="1">
      <alignment horizontal="center" vertical="center" wrapText="1"/>
    </xf>
  </cellXfs>
  <cellStyles count="1">
    <cellStyle name="Normal" xfId="0" builtinId="0"/>
  </cellStyles>
  <dxfs count="142">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color rgb="FF006100"/>
      </font>
      <fill>
        <patternFill patternType="solid">
          <fgColor rgb="FFC6EFCE"/>
        </patternFill>
      </fill>
    </dxf>
    <dxf>
      <font>
        <b/>
        <color rgb="FF9C0006"/>
      </font>
      <fill>
        <patternFill patternType="solid">
          <fgColor rgb="FFFFC7CE"/>
        </patternFill>
      </fill>
    </dxf>
    <dxf>
      <font>
        <b/>
        <sz val="13"/>
        <color rgb="FF9C0006"/>
      </font>
      <fill>
        <patternFill patternType="solid">
          <fgColor rgb="FFFFC7CE"/>
        </patternFill>
      </fill>
    </dxf>
    <dxf>
      <font>
        <b/>
        <sz val="13"/>
        <color rgb="FF9C6500"/>
      </font>
      <fill>
        <patternFill patternType="solid">
          <fgColor rgb="FFFFEB9C"/>
        </patternFill>
      </fill>
    </dxf>
    <dxf>
      <font>
        <b/>
        <sz val="13"/>
        <color rgb="FF006100"/>
      </font>
      <fill>
        <patternFill patternType="solid">
          <fgColor rgb="FFC6EFCE"/>
        </patternFill>
      </fill>
    </dxf>
    <dxf>
      <font>
        <b/>
        <color rgb="FF9C0006"/>
      </font>
      <fill>
        <patternFill patternType="solid">
          <fgColor rgb="FFFFC7CE"/>
        </patternFill>
      </fill>
    </dxf>
    <dxf>
      <font>
        <b/>
        <color rgb="FF006100"/>
      </font>
      <fill>
        <patternFill patternType="solid">
          <fgColor rgb="FFC6EFCE"/>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color rgb="FF006100"/>
      </font>
      <fill>
        <patternFill patternType="solid">
          <fgColor rgb="FFC6EFCE"/>
        </patternFill>
      </fill>
    </dxf>
    <dxf>
      <font>
        <b/>
        <color rgb="FF9C0006"/>
      </font>
      <fill>
        <patternFill patternType="solid">
          <fgColor rgb="FFFFC7CE"/>
        </patternFill>
      </fill>
    </dxf>
    <dxf>
      <font>
        <b/>
        <sz val="13"/>
        <color rgb="FF9C0006"/>
      </font>
      <fill>
        <patternFill patternType="solid">
          <fgColor rgb="FFFFC7CE"/>
        </patternFill>
      </fill>
    </dxf>
    <dxf>
      <font>
        <b/>
        <sz val="13"/>
        <color rgb="FF9C6500"/>
      </font>
      <fill>
        <patternFill patternType="solid">
          <fgColor rgb="FFFFEB9C"/>
        </patternFill>
      </fill>
    </dxf>
    <dxf>
      <font>
        <b/>
        <sz val="13"/>
        <color rgb="FF006100"/>
      </font>
      <fill>
        <patternFill patternType="solid">
          <fgColor rgb="FFC6EFCE"/>
        </patternFill>
      </fill>
    </dxf>
    <dxf>
      <font>
        <b/>
        <color rgb="FF9C0006"/>
      </font>
      <fill>
        <patternFill patternType="solid">
          <fgColor rgb="FFFFC7CE"/>
        </patternFill>
      </fill>
    </dxf>
    <dxf>
      <font>
        <b/>
        <color rgb="FF006100"/>
      </font>
      <fill>
        <patternFill patternType="solid">
          <fgColor rgb="FFC6EFCE"/>
        </patternFill>
      </fill>
    </dxf>
    <dxf>
      <font>
        <b/>
        <color rgb="FF9C0006"/>
      </font>
      <fill>
        <patternFill patternType="solid">
          <fgColor rgb="FFFFC7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115" t="s">
        <v>183</v>
      </c>
      <c r="C1" s="87"/>
    </row>
    <row r="2" spans="2:3" ht="30" customHeight="1" x14ac:dyDescent="0.35">
      <c r="B2" s="112" t="s">
        <v>184</v>
      </c>
      <c r="C2" s="87"/>
    </row>
    <row r="4" spans="2:3" x14ac:dyDescent="0.35">
      <c r="B4" s="113" t="s">
        <v>185</v>
      </c>
      <c r="C4" s="87"/>
    </row>
    <row r="5" spans="2:3" ht="44" customHeight="1" x14ac:dyDescent="0.35">
      <c r="B5" s="48" t="s">
        <v>186</v>
      </c>
      <c r="C5" s="49" t="s">
        <v>187</v>
      </c>
    </row>
    <row r="6" spans="2:3" ht="44" customHeight="1" x14ac:dyDescent="0.35">
      <c r="B6" s="50" t="s">
        <v>188</v>
      </c>
      <c r="C6" s="51" t="s">
        <v>189</v>
      </c>
    </row>
    <row r="7" spans="2:3" ht="44" customHeight="1" x14ac:dyDescent="0.35">
      <c r="B7" s="48" t="s">
        <v>190</v>
      </c>
      <c r="C7" s="49" t="s">
        <v>191</v>
      </c>
    </row>
    <row r="8" spans="2:3" ht="44" customHeight="1" x14ac:dyDescent="0.35">
      <c r="B8" s="50" t="s">
        <v>192</v>
      </c>
      <c r="C8" s="51" t="s">
        <v>193</v>
      </c>
    </row>
    <row r="9" spans="2:3" ht="44" customHeight="1" x14ac:dyDescent="0.35">
      <c r="B9" s="48" t="s">
        <v>194</v>
      </c>
      <c r="C9" s="49" t="s">
        <v>195</v>
      </c>
    </row>
    <row r="10" spans="2:3" ht="44" customHeight="1" x14ac:dyDescent="0.35">
      <c r="B10" s="50" t="s">
        <v>196</v>
      </c>
      <c r="C10" s="51" t="s">
        <v>197</v>
      </c>
    </row>
    <row r="12" spans="2:3" x14ac:dyDescent="0.35">
      <c r="B12" s="113" t="s">
        <v>198</v>
      </c>
      <c r="C12" s="87"/>
    </row>
    <row r="13" spans="2:3" ht="46" customHeight="1" x14ac:dyDescent="0.35">
      <c r="B13" s="48" t="s">
        <v>199</v>
      </c>
      <c r="C13" s="49" t="s">
        <v>200</v>
      </c>
    </row>
    <row r="14" spans="2:3" ht="46" customHeight="1" x14ac:dyDescent="0.35">
      <c r="B14" s="50" t="s">
        <v>201</v>
      </c>
      <c r="C14" s="51" t="s">
        <v>202</v>
      </c>
    </row>
    <row r="15" spans="2:3" ht="46" customHeight="1" x14ac:dyDescent="0.35">
      <c r="B15" s="48" t="s">
        <v>203</v>
      </c>
      <c r="C15" s="49" t="s">
        <v>204</v>
      </c>
    </row>
    <row r="16" spans="2:3" ht="46" customHeight="1" x14ac:dyDescent="0.35">
      <c r="B16" s="50" t="s">
        <v>205</v>
      </c>
      <c r="C16" s="51" t="s">
        <v>206</v>
      </c>
    </row>
    <row r="17" spans="2:3" ht="46" customHeight="1" x14ac:dyDescent="0.35">
      <c r="B17" s="48" t="s">
        <v>207</v>
      </c>
      <c r="C17" s="49" t="s">
        <v>208</v>
      </c>
    </row>
    <row r="18" spans="2:3" ht="46" customHeight="1" x14ac:dyDescent="0.35">
      <c r="B18" s="50" t="s">
        <v>209</v>
      </c>
      <c r="C18" s="51" t="s">
        <v>210</v>
      </c>
    </row>
    <row r="19" spans="2:3" ht="46" customHeight="1" x14ac:dyDescent="0.35">
      <c r="B19" s="48" t="s">
        <v>211</v>
      </c>
      <c r="C19" s="49" t="s">
        <v>212</v>
      </c>
    </row>
    <row r="20" spans="2:3" ht="46" customHeight="1" x14ac:dyDescent="0.35">
      <c r="B20" s="50" t="s">
        <v>213</v>
      </c>
      <c r="C20" s="51" t="s">
        <v>214</v>
      </c>
    </row>
    <row r="22" spans="2:3" x14ac:dyDescent="0.35">
      <c r="B22" s="113" t="s">
        <v>215</v>
      </c>
      <c r="C22" s="87"/>
    </row>
    <row r="23" spans="2:3" ht="54" customHeight="1" x14ac:dyDescent="0.35">
      <c r="B23" s="48" t="s">
        <v>216</v>
      </c>
      <c r="C23" s="49" t="s">
        <v>217</v>
      </c>
    </row>
    <row r="24" spans="2:3" ht="54" customHeight="1" x14ac:dyDescent="0.35">
      <c r="B24" s="50" t="s">
        <v>218</v>
      </c>
      <c r="C24" s="51" t="s">
        <v>219</v>
      </c>
    </row>
    <row r="25" spans="2:3" ht="54" customHeight="1" x14ac:dyDescent="0.35">
      <c r="B25" s="48" t="s">
        <v>220</v>
      </c>
      <c r="C25" s="49" t="s">
        <v>221</v>
      </c>
    </row>
    <row r="27" spans="2:3" x14ac:dyDescent="0.35">
      <c r="B27" s="113" t="s">
        <v>222</v>
      </c>
      <c r="C27" s="87"/>
    </row>
    <row r="28" spans="2:3" ht="40" customHeight="1" x14ac:dyDescent="0.35">
      <c r="B28" s="48" t="s">
        <v>223</v>
      </c>
      <c r="C28" s="49" t="s">
        <v>224</v>
      </c>
    </row>
    <row r="29" spans="2:3" ht="40" customHeight="1" x14ac:dyDescent="0.35">
      <c r="B29" s="50" t="s">
        <v>225</v>
      </c>
      <c r="C29" s="51" t="s">
        <v>226</v>
      </c>
    </row>
    <row r="30" spans="2:3" ht="40" customHeight="1" x14ac:dyDescent="0.35">
      <c r="B30" s="48" t="s">
        <v>227</v>
      </c>
      <c r="C30" s="49" t="s">
        <v>228</v>
      </c>
    </row>
    <row r="31" spans="2:3" ht="40" customHeight="1" x14ac:dyDescent="0.35">
      <c r="B31" s="50" t="s">
        <v>229</v>
      </c>
      <c r="C31" s="51" t="s">
        <v>230</v>
      </c>
    </row>
    <row r="32" spans="2:3" ht="40" customHeight="1" x14ac:dyDescent="0.35">
      <c r="B32" s="48" t="s">
        <v>231</v>
      </c>
      <c r="C32" s="49" t="s">
        <v>232</v>
      </c>
    </row>
    <row r="33" spans="2:3" ht="40" customHeight="1" x14ac:dyDescent="0.35">
      <c r="B33" s="50" t="s">
        <v>233</v>
      </c>
      <c r="C33" s="51" t="s">
        <v>234</v>
      </c>
    </row>
    <row r="35" spans="2:3" x14ac:dyDescent="0.35">
      <c r="B35" s="116" t="s">
        <v>235</v>
      </c>
      <c r="C35" s="87"/>
    </row>
    <row r="36" spans="2:3" ht="26" customHeight="1" x14ac:dyDescent="0.35">
      <c r="B36" s="111" t="s">
        <v>236</v>
      </c>
      <c r="C36" s="84"/>
    </row>
    <row r="37" spans="2:3" ht="26" customHeight="1" x14ac:dyDescent="0.35">
      <c r="B37" s="110" t="s">
        <v>237</v>
      </c>
      <c r="C37" s="84"/>
    </row>
    <row r="38" spans="2:3" ht="26" customHeight="1" x14ac:dyDescent="0.35">
      <c r="B38" s="111" t="s">
        <v>238</v>
      </c>
      <c r="C38" s="84"/>
    </row>
    <row r="39" spans="2:3" ht="26" customHeight="1" x14ac:dyDescent="0.35">
      <c r="B39" s="110" t="s">
        <v>239</v>
      </c>
      <c r="C39" s="84"/>
    </row>
    <row r="40" spans="2:3" ht="26" customHeight="1" x14ac:dyDescent="0.35">
      <c r="B40" s="111" t="s">
        <v>240</v>
      </c>
      <c r="C40" s="84"/>
    </row>
    <row r="41" spans="2:3" ht="26" customHeight="1" x14ac:dyDescent="0.35">
      <c r="B41" s="110" t="s">
        <v>241</v>
      </c>
      <c r="C41" s="84"/>
    </row>
    <row r="42" spans="2:3" ht="26" customHeight="1" x14ac:dyDescent="0.35">
      <c r="B42" s="111" t="s">
        <v>242</v>
      </c>
      <c r="C42" s="84"/>
    </row>
    <row r="43" spans="2:3" ht="26" customHeight="1" x14ac:dyDescent="0.35">
      <c r="B43" s="110" t="s">
        <v>243</v>
      </c>
      <c r="C43" s="84"/>
    </row>
    <row r="45" spans="2:3" ht="30" customHeight="1" x14ac:dyDescent="0.35">
      <c r="B45" s="114" t="s">
        <v>244</v>
      </c>
      <c r="C45" s="87"/>
    </row>
  </sheetData>
  <mergeCells count="16">
    <mergeCell ref="B1:C1"/>
    <mergeCell ref="B35:C35"/>
    <mergeCell ref="B4:C4"/>
    <mergeCell ref="B43:C43"/>
    <mergeCell ref="B12:C12"/>
    <mergeCell ref="B42:C42"/>
    <mergeCell ref="B45:C45"/>
    <mergeCell ref="B22:C22"/>
    <mergeCell ref="B36:C36"/>
    <mergeCell ref="B40:C40"/>
    <mergeCell ref="B41:C41"/>
    <mergeCell ref="B39:C39"/>
    <mergeCell ref="B38:C38"/>
    <mergeCell ref="B2:C2"/>
    <mergeCell ref="B37:C37"/>
    <mergeCell ref="B27:C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220"/>
  <sheetViews>
    <sheetView showGridLines="0" tabSelected="1" workbookViewId="0">
      <pane ySplit="2" topLeftCell="A3" activePane="bottomLeft" state="frozen"/>
      <selection pane="bottomLeft" activeCell="C211" sqref="C21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2:6" ht="28" customHeight="1" x14ac:dyDescent="0.35">
      <c r="B1" s="105" t="s">
        <v>0</v>
      </c>
      <c r="C1" s="86"/>
      <c r="D1" s="86"/>
      <c r="E1" s="86"/>
      <c r="F1" s="87"/>
    </row>
    <row r="2" spans="2:6" ht="18" customHeight="1" x14ac:dyDescent="0.35">
      <c r="B2" s="96" t="s">
        <v>1</v>
      </c>
      <c r="C2" s="86"/>
      <c r="D2" s="86"/>
      <c r="E2" s="86"/>
      <c r="F2" s="87"/>
    </row>
    <row r="3" spans="2:6" x14ac:dyDescent="0.35">
      <c r="B3" s="88" t="s">
        <v>2</v>
      </c>
      <c r="C3" s="86"/>
      <c r="D3" s="86"/>
      <c r="E3" s="86"/>
      <c r="F3" s="87"/>
    </row>
    <row r="4" spans="2:6" ht="29" customHeight="1" x14ac:dyDescent="0.35">
      <c r="B4" s="2" t="s">
        <v>3</v>
      </c>
      <c r="C4" s="3"/>
      <c r="D4" s="4" t="s">
        <v>4</v>
      </c>
      <c r="E4" s="95"/>
      <c r="F4" s="84"/>
    </row>
    <row r="5" spans="2:6" ht="29" customHeight="1" x14ac:dyDescent="0.35">
      <c r="B5" s="2" t="s">
        <v>5</v>
      </c>
      <c r="C5" s="3"/>
      <c r="D5" s="4" t="s">
        <v>6</v>
      </c>
      <c r="E5" s="95"/>
      <c r="F5" s="84"/>
    </row>
    <row r="6" spans="2:6" ht="29" customHeight="1" x14ac:dyDescent="0.35">
      <c r="B6" s="2" t="s">
        <v>7</v>
      </c>
      <c r="C6" s="3"/>
      <c r="D6" s="4" t="s">
        <v>8</v>
      </c>
      <c r="E6" s="95"/>
      <c r="F6" s="84"/>
    </row>
    <row r="7" spans="2:6" x14ac:dyDescent="0.35">
      <c r="B7" s="2" t="s">
        <v>9</v>
      </c>
      <c r="C7" s="3"/>
      <c r="D7" s="4" t="s">
        <v>10</v>
      </c>
      <c r="E7" s="95"/>
      <c r="F7" s="84"/>
    </row>
    <row r="8" spans="2:6" ht="29" customHeight="1" x14ac:dyDescent="0.35">
      <c r="B8" s="2" t="s">
        <v>11</v>
      </c>
      <c r="C8" s="3"/>
      <c r="D8" s="4" t="s">
        <v>12</v>
      </c>
      <c r="E8" s="95"/>
      <c r="F8" s="84"/>
    </row>
    <row r="9" spans="2:6" ht="29" customHeight="1" x14ac:dyDescent="0.35">
      <c r="B9" s="2" t="s">
        <v>13</v>
      </c>
      <c r="C9" s="3"/>
      <c r="D9" s="4" t="s">
        <v>14</v>
      </c>
      <c r="E9" s="95"/>
      <c r="F9" s="84"/>
    </row>
    <row r="10" spans="2:6" ht="29" customHeight="1" x14ac:dyDescent="0.35">
      <c r="B10" s="2" t="s">
        <v>15</v>
      </c>
      <c r="C10" s="3"/>
      <c r="D10" s="4" t="s">
        <v>16</v>
      </c>
      <c r="E10" s="95"/>
      <c r="F10" s="84"/>
    </row>
    <row r="11" spans="2:6" ht="29" customHeight="1" x14ac:dyDescent="0.35">
      <c r="B11" s="2" t="s">
        <v>17</v>
      </c>
      <c r="C11" s="3"/>
      <c r="D11" s="4" t="s">
        <v>18</v>
      </c>
      <c r="E11" s="95"/>
      <c r="F11" s="84"/>
    </row>
    <row r="12" spans="2:6" ht="58" customHeight="1" x14ac:dyDescent="0.35">
      <c r="B12" s="4" t="s">
        <v>19</v>
      </c>
      <c r="C12" s="90"/>
      <c r="D12" s="83"/>
      <c r="E12" s="83"/>
      <c r="F12" s="84"/>
    </row>
    <row r="13" spans="2:6" ht="46" customHeight="1" x14ac:dyDescent="0.35">
      <c r="B13" s="4" t="s">
        <v>20</v>
      </c>
      <c r="C13" s="90"/>
      <c r="D13" s="83"/>
      <c r="E13" s="83"/>
      <c r="F13" s="84"/>
    </row>
    <row r="14" spans="2:6" ht="46" customHeight="1" x14ac:dyDescent="0.35">
      <c r="B14" s="88" t="s">
        <v>21</v>
      </c>
      <c r="C14" s="86"/>
      <c r="D14" s="86"/>
      <c r="E14" s="86"/>
      <c r="F14" s="87"/>
    </row>
    <row r="15" spans="2:6" ht="58" customHeight="1" x14ac:dyDescent="0.35">
      <c r="B15" s="2" t="s">
        <v>22</v>
      </c>
      <c r="C15" s="3"/>
      <c r="D15" s="4" t="s">
        <v>23</v>
      </c>
      <c r="E15" s="95"/>
      <c r="F15" s="84"/>
    </row>
    <row r="16" spans="2:6" ht="29" customHeight="1" x14ac:dyDescent="0.35">
      <c r="B16" s="2" t="s">
        <v>24</v>
      </c>
      <c r="C16" s="3"/>
      <c r="D16" s="4" t="s">
        <v>25</v>
      </c>
      <c r="E16" s="95"/>
      <c r="F16" s="84"/>
    </row>
    <row r="17" spans="2:6" ht="29" customHeight="1" x14ac:dyDescent="0.35">
      <c r="B17" s="2" t="s">
        <v>26</v>
      </c>
      <c r="C17" s="95"/>
      <c r="D17" s="83"/>
      <c r="E17" s="83"/>
      <c r="F17" s="84"/>
    </row>
    <row r="18" spans="2:6" x14ac:dyDescent="0.35">
      <c r="B18" s="2" t="s">
        <v>27</v>
      </c>
      <c r="C18" s="95"/>
      <c r="D18" s="83"/>
      <c r="E18" s="83"/>
      <c r="F18" s="84"/>
    </row>
    <row r="19" spans="2:6" x14ac:dyDescent="0.35">
      <c r="B19" s="2" t="s">
        <v>28</v>
      </c>
      <c r="C19" s="95"/>
      <c r="D19" s="83"/>
      <c r="E19" s="83"/>
      <c r="F19" s="84"/>
    </row>
    <row r="20" spans="2:6" x14ac:dyDescent="0.35">
      <c r="B20" s="100" t="s">
        <v>29</v>
      </c>
      <c r="C20" s="83"/>
      <c r="D20" s="83"/>
      <c r="E20" s="83"/>
      <c r="F20" s="84"/>
    </row>
    <row r="21" spans="2:6" x14ac:dyDescent="0.35">
      <c r="B21" s="104" t="s">
        <v>30</v>
      </c>
      <c r="C21" s="86"/>
      <c r="D21" s="86"/>
      <c r="E21" s="86"/>
      <c r="F21" s="87"/>
    </row>
    <row r="22" spans="2:6" ht="18" customHeight="1" x14ac:dyDescent="0.35">
      <c r="B22" s="15" t="s">
        <v>31</v>
      </c>
      <c r="C22" s="15" t="s">
        <v>32</v>
      </c>
      <c r="D22" s="15" t="s">
        <v>33</v>
      </c>
      <c r="E22" s="15" t="s">
        <v>34</v>
      </c>
      <c r="F22" s="15" t="s">
        <v>35</v>
      </c>
    </row>
    <row r="23" spans="2:6" ht="28" customHeight="1" x14ac:dyDescent="0.35">
      <c r="B23" s="16" t="s">
        <v>36</v>
      </c>
      <c r="C23" s="17">
        <v>0.3</v>
      </c>
      <c r="D23" s="18" t="str">
        <f>IF(C41="",C40,C41)</f>
        <v/>
      </c>
      <c r="E23" s="19" t="str">
        <f t="shared" ref="E23:E29" si="0">IF(D23="","",(D23/5)*C23)</f>
        <v/>
      </c>
      <c r="F23" s="20" t="str">
        <f t="shared" ref="F23:F29" si="1">IF(D23="","",IF(D23&gt;=4,"Strong",IF(D23=3,"Developing","Needs Focus")))</f>
        <v/>
      </c>
    </row>
    <row r="24" spans="2:6" x14ac:dyDescent="0.35">
      <c r="B24" s="21" t="s">
        <v>37</v>
      </c>
      <c r="C24" s="22">
        <v>0.2</v>
      </c>
      <c r="D24" s="23" t="str">
        <f>IF(C53="",C52,C53)</f>
        <v/>
      </c>
      <c r="E24" s="24" t="str">
        <f t="shared" si="0"/>
        <v/>
      </c>
      <c r="F24" s="25" t="str">
        <f t="shared" si="1"/>
        <v/>
      </c>
    </row>
    <row r="25" spans="2:6" ht="28" customHeight="1" x14ac:dyDescent="0.35">
      <c r="B25" s="16" t="s">
        <v>38</v>
      </c>
      <c r="C25" s="17">
        <v>0.15</v>
      </c>
      <c r="D25" s="18" t="str">
        <f>IF(C67="",C66,C67)</f>
        <v/>
      </c>
      <c r="E25" s="19" t="str">
        <f t="shared" si="0"/>
        <v/>
      </c>
      <c r="F25" s="20" t="str">
        <f t="shared" si="1"/>
        <v/>
      </c>
    </row>
    <row r="26" spans="2:6" ht="28" customHeight="1" x14ac:dyDescent="0.35">
      <c r="B26" s="21" t="s">
        <v>39</v>
      </c>
      <c r="C26" s="22">
        <v>0.15</v>
      </c>
      <c r="D26" s="23" t="str">
        <f>IF(C79="",C78,C79)</f>
        <v/>
      </c>
      <c r="E26" s="24" t="str">
        <f t="shared" si="0"/>
        <v/>
      </c>
      <c r="F26" s="25" t="str">
        <f t="shared" si="1"/>
        <v/>
      </c>
    </row>
    <row r="27" spans="2:6" ht="28" customHeight="1" x14ac:dyDescent="0.35">
      <c r="B27" s="16" t="s">
        <v>40</v>
      </c>
      <c r="C27" s="17">
        <v>0.1</v>
      </c>
      <c r="D27" s="18" t="str">
        <f>IF(C90="",C89,C90)</f>
        <v/>
      </c>
      <c r="E27" s="19" t="str">
        <f t="shared" si="0"/>
        <v/>
      </c>
      <c r="F27" s="20" t="str">
        <f t="shared" si="1"/>
        <v/>
      </c>
    </row>
    <row r="28" spans="2:6" ht="28" customHeight="1" x14ac:dyDescent="0.35">
      <c r="B28" s="21" t="s">
        <v>41</v>
      </c>
      <c r="C28" s="22">
        <v>0.05</v>
      </c>
      <c r="D28" s="23" t="str">
        <f>IF(C109="",C108,C109)</f>
        <v/>
      </c>
      <c r="E28" s="24" t="str">
        <f t="shared" si="0"/>
        <v/>
      </c>
      <c r="F28" s="25" t="str">
        <f t="shared" si="1"/>
        <v/>
      </c>
    </row>
    <row r="29" spans="2:6" ht="28" customHeight="1" x14ac:dyDescent="0.35">
      <c r="B29" s="16" t="s">
        <v>42</v>
      </c>
      <c r="C29" s="17">
        <v>0.05</v>
      </c>
      <c r="D29" s="18" t="str">
        <f>IF(C122="",C121,C122)</f>
        <v/>
      </c>
      <c r="E29" s="19" t="str">
        <f t="shared" si="0"/>
        <v/>
      </c>
      <c r="F29" s="20" t="str">
        <f t="shared" si="1"/>
        <v/>
      </c>
    </row>
    <row r="30" spans="2:6" ht="24" customHeight="1" x14ac:dyDescent="0.35">
      <c r="B30" s="5" t="s">
        <v>43</v>
      </c>
      <c r="C30" s="26">
        <f>SUM(C23:C29)</f>
        <v>1</v>
      </c>
      <c r="D30" s="27"/>
      <c r="E30" s="28">
        <f>IF(OR(C148="No",C149="No",C150="No",COUNTIF(C152:C162,"Yes")&gt;0,COUNTIF(C133:C143,"Yes")&gt;0),0,SUM(E23:E29))</f>
        <v>0</v>
      </c>
      <c r="F30" s="29" t="str">
        <f>IF(E30="","",IF(OR(C148="No",C149="No",C150="No",COUNTIF(C152:C162,"Yes")&gt;0,COUNTIF(C133:C143,"Yes")&gt;0),"AUTO-ZERO (0%)",IF(E30&gt;=0.85,"MEETS / EXCEEDS",IF(E30&gt;=0.7,"DEVELOPING","NEEDS IMPROVEMENT"))))</f>
        <v>NEEDS IMPROVEMENT</v>
      </c>
    </row>
    <row r="31" spans="2:6" ht="24" customHeight="1" x14ac:dyDescent="0.35">
      <c r="B31" s="104" t="s">
        <v>44</v>
      </c>
      <c r="C31" s="86"/>
      <c r="D31" s="86"/>
      <c r="E31" s="86"/>
      <c r="F31" s="87"/>
    </row>
    <row r="32" spans="2:6" ht="18" customHeight="1" x14ac:dyDescent="0.35">
      <c r="B32" s="88" t="s">
        <v>45</v>
      </c>
      <c r="C32" s="86"/>
      <c r="D32" s="86"/>
      <c r="E32" s="87"/>
      <c r="F32" s="6" t="s">
        <v>46</v>
      </c>
    </row>
    <row r="33" spans="2:6" ht="28" customHeight="1" x14ac:dyDescent="0.35">
      <c r="B33" s="97" t="s">
        <v>47</v>
      </c>
      <c r="C33" s="83"/>
      <c r="D33" s="83"/>
      <c r="E33" s="83"/>
      <c r="F33" s="84"/>
    </row>
    <row r="34" spans="2:6" ht="18" customHeight="1" x14ac:dyDescent="0.35">
      <c r="B34" s="2" t="s">
        <v>48</v>
      </c>
      <c r="C34" s="7" t="s">
        <v>49</v>
      </c>
      <c r="D34" s="100" t="s">
        <v>50</v>
      </c>
      <c r="E34" s="83"/>
      <c r="F34" s="84"/>
    </row>
    <row r="35" spans="2:6" ht="28" customHeight="1" x14ac:dyDescent="0.35">
      <c r="B35" s="8" t="s">
        <v>51</v>
      </c>
      <c r="C35" s="9"/>
      <c r="D35" s="82"/>
      <c r="E35" s="83"/>
      <c r="F35" s="84"/>
    </row>
    <row r="36" spans="2:6" ht="28" customHeight="1" x14ac:dyDescent="0.35">
      <c r="B36" s="10" t="s">
        <v>52</v>
      </c>
      <c r="C36" s="9"/>
      <c r="D36" s="94"/>
      <c r="E36" s="83"/>
      <c r="F36" s="84"/>
    </row>
    <row r="37" spans="2:6" ht="28" customHeight="1" x14ac:dyDescent="0.35">
      <c r="B37" s="8" t="s">
        <v>53</v>
      </c>
      <c r="C37" s="9"/>
      <c r="D37" s="82"/>
      <c r="E37" s="83"/>
      <c r="F37" s="84"/>
    </row>
    <row r="38" spans="2:6" ht="28" customHeight="1" x14ac:dyDescent="0.35">
      <c r="B38" s="10" t="s">
        <v>54</v>
      </c>
      <c r="C38" s="9"/>
      <c r="D38" s="94"/>
      <c r="E38" s="83"/>
      <c r="F38" s="84"/>
    </row>
    <row r="39" spans="2:6" ht="28" customHeight="1" x14ac:dyDescent="0.35">
      <c r="B39" s="99" t="s">
        <v>55</v>
      </c>
      <c r="C39" s="83"/>
      <c r="D39" s="83"/>
      <c r="E39" s="83"/>
      <c r="F39" s="84"/>
    </row>
    <row r="40" spans="2:6" ht="28" customHeight="1" x14ac:dyDescent="0.35">
      <c r="B40" s="11" t="s">
        <v>56</v>
      </c>
      <c r="C40" s="68" t="str">
        <f>IF((COUNTIF(C35:C38,"Met")+COUNTIF(C35:C38,"Partial")+COUNTIF(C35:C38,"Missed"))=0,"",ROUND((COUNTIF(C35:C38,"Met")*5+COUNTIF(C35:C38,"Partial")*2.5)/(COUNTIF(C35:C38,"Met")+COUNTIF(C35:C38,"Partial")+COUNTIF(C35:C38,"Missed")),0))</f>
        <v/>
      </c>
      <c r="D40" s="89"/>
      <c r="E40" s="83"/>
      <c r="F40" s="84"/>
    </row>
    <row r="41" spans="2:6" ht="24" customHeight="1" x14ac:dyDescent="0.35">
      <c r="B41" s="13" t="s">
        <v>57</v>
      </c>
      <c r="C41" s="14"/>
      <c r="D41" s="93"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83"/>
      <c r="F41" s="84"/>
    </row>
    <row r="42" spans="2:6" ht="36" customHeight="1" x14ac:dyDescent="0.35">
      <c r="B42" s="13" t="s">
        <v>58</v>
      </c>
      <c r="C42" s="90"/>
      <c r="D42" s="83"/>
      <c r="E42" s="83"/>
      <c r="F42" s="84"/>
    </row>
    <row r="43" spans="2:6" ht="18" customHeight="1" x14ac:dyDescent="0.35">
      <c r="B43" s="88" t="s">
        <v>59</v>
      </c>
      <c r="C43" s="86"/>
      <c r="D43" s="86"/>
      <c r="E43" s="87"/>
      <c r="F43" s="6" t="s">
        <v>60</v>
      </c>
    </row>
    <row r="44" spans="2:6" ht="28" customHeight="1" x14ac:dyDescent="0.35">
      <c r="B44" s="97" t="s">
        <v>61</v>
      </c>
      <c r="C44" s="83"/>
      <c r="D44" s="83"/>
      <c r="E44" s="83"/>
      <c r="F44" s="84"/>
    </row>
    <row r="45" spans="2:6" ht="36" customHeight="1" x14ac:dyDescent="0.35">
      <c r="B45" s="2" t="s">
        <v>48</v>
      </c>
      <c r="C45" s="7" t="s">
        <v>49</v>
      </c>
      <c r="D45" s="100" t="s">
        <v>50</v>
      </c>
      <c r="E45" s="83"/>
      <c r="F45" s="84"/>
    </row>
    <row r="46" spans="2:6" ht="28" customHeight="1" x14ac:dyDescent="0.35">
      <c r="B46" s="8" t="s">
        <v>62</v>
      </c>
      <c r="C46" s="9"/>
      <c r="D46" s="82"/>
      <c r="E46" s="83"/>
      <c r="F46" s="84"/>
    </row>
    <row r="47" spans="2:6" ht="28" customHeight="1" x14ac:dyDescent="0.35">
      <c r="B47" s="10" t="s">
        <v>63</v>
      </c>
      <c r="C47" s="9"/>
      <c r="D47" s="94"/>
      <c r="E47" s="83"/>
      <c r="F47" s="84"/>
    </row>
    <row r="48" spans="2:6" ht="28" customHeight="1" x14ac:dyDescent="0.35">
      <c r="B48" s="8" t="s">
        <v>64</v>
      </c>
      <c r="C48" s="9"/>
      <c r="D48" s="82"/>
      <c r="E48" s="83"/>
      <c r="F48" s="84"/>
    </row>
    <row r="49" spans="2:6" ht="28" customHeight="1" x14ac:dyDescent="0.35">
      <c r="B49" s="8" t="s">
        <v>65</v>
      </c>
      <c r="C49" s="9"/>
      <c r="D49" s="8"/>
    </row>
    <row r="50" spans="2:6" ht="28" customHeight="1" x14ac:dyDescent="0.35">
      <c r="B50" s="8" t="s">
        <v>66</v>
      </c>
      <c r="C50" s="9"/>
      <c r="D50" s="82"/>
      <c r="E50" s="83"/>
      <c r="F50" s="84"/>
    </row>
    <row r="51" spans="2:6" ht="28" customHeight="1" x14ac:dyDescent="0.35">
      <c r="B51" s="99" t="s">
        <v>67</v>
      </c>
      <c r="C51" s="83"/>
      <c r="D51" s="83"/>
      <c r="E51" s="83"/>
      <c r="F51" s="84"/>
    </row>
    <row r="52" spans="2:6" ht="28" customHeight="1" x14ac:dyDescent="0.35">
      <c r="B52" s="11" t="s">
        <v>56</v>
      </c>
      <c r="C52" s="68" t="str">
        <f>IF((COUNTIF(C46:C50,"Met")+COUNTIF(C46:C50,"Partial")+COUNTIF(C46:C50,"Missed"))=0,"",ROUND((COUNTIF(C46:C50,"Met")*5+COUNTIF(C46:C50,"Partial")*2.5)/(COUNTIF(C46:C50,"Met")+COUNTIF(C46:C50,"Partial")+COUNTIF(C46:C50,"Missed")),0))</f>
        <v/>
      </c>
      <c r="D52" s="89"/>
      <c r="E52" s="83"/>
      <c r="F52" s="84"/>
    </row>
    <row r="53" spans="2:6" ht="24" customHeight="1" x14ac:dyDescent="0.35">
      <c r="B53" s="13" t="s">
        <v>57</v>
      </c>
      <c r="C53" s="14"/>
      <c r="D53" s="93" t="str">
        <f>IF(IF(C53="",C52,C53)="","← rate the indicators above (auto-scores), or type an override",CHOOSE(IF(C53="",C52,C53)+1,"Agent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3" s="83"/>
      <c r="F53" s="84"/>
    </row>
    <row r="54" spans="2:6" ht="36" customHeight="1" x14ac:dyDescent="0.35">
      <c r="B54" s="13" t="s">
        <v>68</v>
      </c>
      <c r="C54" s="90"/>
      <c r="D54" s="83"/>
      <c r="E54" s="83"/>
      <c r="F54" s="84"/>
    </row>
    <row r="55" spans="2:6" ht="18" customHeight="1" x14ac:dyDescent="0.35">
      <c r="B55" s="88" t="s">
        <v>69</v>
      </c>
      <c r="C55" s="86"/>
      <c r="D55" s="86"/>
      <c r="E55" s="87"/>
      <c r="F55" s="6" t="s">
        <v>70</v>
      </c>
    </row>
    <row r="56" spans="2:6" ht="28" customHeight="1" x14ac:dyDescent="0.35">
      <c r="B56" s="97" t="s">
        <v>71</v>
      </c>
      <c r="C56" s="83"/>
      <c r="D56" s="83"/>
      <c r="E56" s="83"/>
      <c r="F56" s="84"/>
    </row>
    <row r="57" spans="2:6" ht="24" customHeight="1" x14ac:dyDescent="0.35">
      <c r="B57" s="2" t="s">
        <v>48</v>
      </c>
      <c r="C57" s="7" t="s">
        <v>49</v>
      </c>
      <c r="D57" s="100" t="s">
        <v>50</v>
      </c>
      <c r="E57" s="83"/>
      <c r="F57" s="84"/>
    </row>
    <row r="58" spans="2:6" ht="28" customHeight="1" x14ac:dyDescent="0.35">
      <c r="B58" s="8" t="s">
        <v>72</v>
      </c>
      <c r="C58" s="9"/>
      <c r="D58" s="82"/>
      <c r="E58" s="83"/>
      <c r="F58" s="84"/>
    </row>
    <row r="59" spans="2:6" ht="28" customHeight="1" x14ac:dyDescent="0.35">
      <c r="B59" s="10" t="s">
        <v>73</v>
      </c>
      <c r="C59" s="9"/>
      <c r="D59" s="94"/>
      <c r="E59" s="83"/>
      <c r="F59" s="84"/>
    </row>
    <row r="60" spans="2:6" ht="28" customHeight="1" x14ac:dyDescent="0.35">
      <c r="B60" s="8" t="s">
        <v>74</v>
      </c>
      <c r="C60" s="9"/>
      <c r="D60" s="82"/>
      <c r="E60" s="83"/>
      <c r="F60" s="84"/>
    </row>
    <row r="61" spans="2:6" ht="28" customHeight="1" x14ac:dyDescent="0.35">
      <c r="B61" s="10" t="s">
        <v>75</v>
      </c>
      <c r="C61" s="9"/>
      <c r="D61" s="94"/>
      <c r="E61" s="83"/>
      <c r="F61" s="84"/>
    </row>
    <row r="62" spans="2:6" ht="28" customHeight="1" x14ac:dyDescent="0.35">
      <c r="B62" s="10" t="s">
        <v>76</v>
      </c>
      <c r="C62" s="9"/>
      <c r="D62" s="94"/>
      <c r="E62" s="83"/>
      <c r="F62" s="84"/>
    </row>
    <row r="63" spans="2:6" ht="28" customHeight="1" x14ac:dyDescent="0.35">
      <c r="B63" s="8" t="s">
        <v>77</v>
      </c>
      <c r="C63" s="9"/>
      <c r="D63" s="82"/>
      <c r="E63" s="83"/>
      <c r="F63" s="84"/>
    </row>
    <row r="64" spans="2:6" ht="28" customHeight="1" x14ac:dyDescent="0.35">
      <c r="B64" s="10" t="s">
        <v>78</v>
      </c>
      <c r="C64" s="9"/>
      <c r="D64" s="94"/>
      <c r="E64" s="83"/>
      <c r="F64" s="84"/>
    </row>
    <row r="65" spans="2:6" ht="28" customHeight="1" x14ac:dyDescent="0.35">
      <c r="B65" s="99" t="s">
        <v>79</v>
      </c>
      <c r="C65" s="83"/>
      <c r="D65" s="83"/>
      <c r="E65" s="83"/>
      <c r="F65" s="84"/>
    </row>
    <row r="66" spans="2:6" ht="28" customHeight="1" x14ac:dyDescent="0.35">
      <c r="B66" s="11" t="s">
        <v>56</v>
      </c>
      <c r="C66" s="68" t="str">
        <f>IF((COUNTIF(C58:C64,"Met")+COUNTIF(C58:C64,"Partial")+COUNTIF(C58:C64,"Missed"))=0,"",ROUND((COUNTIF(C58:C64,"Met")*5+COUNTIF(C58:C64,"Partial")*2.5)/(COUNTIF(C58:C64,"Met")+COUNTIF(C58:C64,"Partial")+COUNTIF(C58:C64,"Missed")),0))</f>
        <v/>
      </c>
      <c r="D66" s="89"/>
      <c r="E66" s="83"/>
      <c r="F66" s="84"/>
    </row>
    <row r="67" spans="2:6" ht="24" customHeight="1" x14ac:dyDescent="0.35">
      <c r="B67" s="13" t="s">
        <v>57</v>
      </c>
      <c r="C67" s="14"/>
      <c r="D67" s="93" t="str">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7" s="83"/>
      <c r="F67" s="84"/>
    </row>
    <row r="68" spans="2:6" ht="36" customHeight="1" x14ac:dyDescent="0.35">
      <c r="B68" s="13" t="s">
        <v>80</v>
      </c>
      <c r="C68" s="90"/>
      <c r="D68" s="83"/>
      <c r="E68" s="83"/>
      <c r="F68" s="84"/>
    </row>
    <row r="69" spans="2:6" ht="18" customHeight="1" x14ac:dyDescent="0.35">
      <c r="B69" s="88" t="s">
        <v>81</v>
      </c>
      <c r="C69" s="86"/>
      <c r="D69" s="86"/>
      <c r="E69" s="87"/>
      <c r="F69" s="6" t="s">
        <v>70</v>
      </c>
    </row>
    <row r="70" spans="2:6" ht="28" customHeight="1" x14ac:dyDescent="0.35">
      <c r="B70" s="97" t="s">
        <v>82</v>
      </c>
      <c r="C70" s="83"/>
      <c r="D70" s="83"/>
      <c r="E70" s="83"/>
      <c r="F70" s="84"/>
    </row>
    <row r="71" spans="2:6" ht="24" customHeight="1" x14ac:dyDescent="0.35">
      <c r="B71" s="2" t="s">
        <v>48</v>
      </c>
      <c r="C71" s="7" t="s">
        <v>49</v>
      </c>
      <c r="D71" s="100" t="s">
        <v>50</v>
      </c>
      <c r="E71" s="83"/>
      <c r="F71" s="84"/>
    </row>
    <row r="72" spans="2:6" ht="28" customHeight="1" x14ac:dyDescent="0.35">
      <c r="B72" s="8" t="s">
        <v>83</v>
      </c>
      <c r="C72" s="9"/>
      <c r="D72" s="82"/>
      <c r="E72" s="83"/>
      <c r="F72" s="84"/>
    </row>
    <row r="73" spans="2:6" ht="28" customHeight="1" x14ac:dyDescent="0.35">
      <c r="B73" s="8" t="s">
        <v>84</v>
      </c>
      <c r="C73" s="9"/>
      <c r="D73" s="82"/>
      <c r="E73" s="83"/>
      <c r="F73" s="84"/>
    </row>
    <row r="74" spans="2:6" ht="28" customHeight="1" x14ac:dyDescent="0.35">
      <c r="B74" s="8"/>
      <c r="C74" s="9"/>
      <c r="D74" s="82"/>
      <c r="E74" s="83"/>
      <c r="F74" s="84"/>
    </row>
    <row r="75" spans="2:6" ht="28" customHeight="1" x14ac:dyDescent="0.35">
      <c r="B75" s="10" t="s">
        <v>85</v>
      </c>
      <c r="C75" s="9"/>
      <c r="D75" s="94"/>
      <c r="E75" s="83"/>
      <c r="F75" s="84"/>
    </row>
    <row r="76" spans="2:6" ht="28" customHeight="1" x14ac:dyDescent="0.35">
      <c r="B76" s="8" t="s">
        <v>86</v>
      </c>
      <c r="C76" s="9"/>
      <c r="D76" s="82"/>
      <c r="E76" s="83"/>
      <c r="F76" s="84"/>
    </row>
    <row r="77" spans="2:6" ht="28" customHeight="1" x14ac:dyDescent="0.35">
      <c r="B77" s="99" t="s">
        <v>87</v>
      </c>
      <c r="C77" s="83"/>
      <c r="D77" s="83"/>
      <c r="E77" s="83"/>
      <c r="F77" s="84"/>
    </row>
    <row r="78" spans="2:6" ht="28" customHeight="1" x14ac:dyDescent="0.35">
      <c r="B78" s="11" t="s">
        <v>56</v>
      </c>
      <c r="C78" s="68" t="str">
        <f>IF((COUNTIF(C72:C76,"Met")+COUNTIF(C72:C76,"Partial")+COUNTIF(C72:C76,"Missed"))=0,"",ROUND((COUNTIF(C72:C76,"Met")*5+COUNTIF(C72:C76,"Partial")*2.5)/(COUNTIF(C72:C76,"Met")+COUNTIF(C72:C76,"Partial")+COUNTIF(C72:C76,"Missed")),0))</f>
        <v/>
      </c>
      <c r="D78" s="89"/>
      <c r="E78" s="83"/>
      <c r="F78" s="84"/>
    </row>
    <row r="79" spans="2:6" ht="24" customHeight="1" x14ac:dyDescent="0.35">
      <c r="B79" s="13" t="s">
        <v>57</v>
      </c>
      <c r="C79" s="14"/>
      <c r="D79" s="93"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83"/>
      <c r="F79" s="84"/>
    </row>
    <row r="80" spans="2:6" ht="36" customHeight="1" x14ac:dyDescent="0.35">
      <c r="B80" s="13" t="s">
        <v>88</v>
      </c>
      <c r="C80" s="90"/>
      <c r="D80" s="83"/>
      <c r="E80" s="83"/>
      <c r="F80" s="84"/>
    </row>
    <row r="81" spans="2:6" ht="18" customHeight="1" x14ac:dyDescent="0.35">
      <c r="B81" s="88" t="s">
        <v>89</v>
      </c>
      <c r="C81" s="86"/>
      <c r="D81" s="86"/>
      <c r="E81" s="87"/>
      <c r="F81" s="6" t="s">
        <v>90</v>
      </c>
    </row>
    <row r="82" spans="2:6" ht="28" customHeight="1" x14ac:dyDescent="0.35">
      <c r="B82" s="97" t="s">
        <v>91</v>
      </c>
      <c r="C82" s="83"/>
      <c r="D82" s="83"/>
      <c r="E82" s="83"/>
      <c r="F82" s="84"/>
    </row>
    <row r="83" spans="2:6" ht="18" customHeight="1" x14ac:dyDescent="0.35">
      <c r="B83" s="2" t="s">
        <v>48</v>
      </c>
      <c r="C83" s="7" t="s">
        <v>49</v>
      </c>
      <c r="D83" s="100" t="s">
        <v>50</v>
      </c>
      <c r="E83" s="83"/>
      <c r="F83" s="84"/>
    </row>
    <row r="84" spans="2:6" ht="28" customHeight="1" x14ac:dyDescent="0.35">
      <c r="B84" s="8" t="s">
        <v>92</v>
      </c>
      <c r="C84" s="9"/>
      <c r="D84" s="82"/>
      <c r="E84" s="83"/>
      <c r="F84" s="84"/>
    </row>
    <row r="85" spans="2:6" ht="28" customHeight="1" x14ac:dyDescent="0.35">
      <c r="B85" s="10" t="s">
        <v>93</v>
      </c>
      <c r="C85" s="9"/>
      <c r="D85" s="94"/>
      <c r="E85" s="83"/>
      <c r="F85" s="84"/>
    </row>
    <row r="86" spans="2:6" ht="28" customHeight="1" x14ac:dyDescent="0.35">
      <c r="B86" s="8" t="s">
        <v>94</v>
      </c>
      <c r="C86" s="9"/>
      <c r="D86" s="82"/>
      <c r="E86" s="83"/>
      <c r="F86" s="84"/>
    </row>
    <row r="87" spans="2:6" ht="28" customHeight="1" x14ac:dyDescent="0.35">
      <c r="B87" s="8" t="s">
        <v>95</v>
      </c>
      <c r="C87" s="9"/>
      <c r="D87" s="82"/>
      <c r="E87" s="83"/>
      <c r="F87" s="84"/>
    </row>
    <row r="88" spans="2:6" ht="28" customHeight="1" x14ac:dyDescent="0.35">
      <c r="B88" s="99" t="s">
        <v>96</v>
      </c>
      <c r="C88" s="83"/>
      <c r="D88" s="83"/>
      <c r="E88" s="83"/>
      <c r="F88" s="84"/>
    </row>
    <row r="89" spans="2:6" ht="28" customHeight="1" x14ac:dyDescent="0.35">
      <c r="B89" s="11" t="s">
        <v>56</v>
      </c>
      <c r="C89" s="68" t="str">
        <f>IF((COUNTIF(C84:C87,"Met")+COUNTIF(C84:C87,"Partial")+COUNTIF(C84:C87,"Missed"))=0,"",ROUND((COUNTIF(C84:C87,"Met")*5+COUNTIF(C84:C87,"Partial")*2.5)/(COUNTIF(C84:C87,"Met")+COUNTIF(C84:C87,"Partial")+COUNTIF(C84:C87,"Missed")),0))</f>
        <v/>
      </c>
      <c r="D89" s="89"/>
      <c r="E89" s="83"/>
      <c r="F89" s="84"/>
    </row>
    <row r="90" spans="2:6" ht="24" customHeight="1" x14ac:dyDescent="0.35">
      <c r="B90" s="13" t="s">
        <v>57</v>
      </c>
      <c r="C90" s="14"/>
      <c r="D90" s="93" t="str">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0" s="83"/>
      <c r="F90" s="84"/>
    </row>
    <row r="91" spans="2:6" ht="36" customHeight="1" x14ac:dyDescent="0.35">
      <c r="B91" s="13" t="s">
        <v>97</v>
      </c>
      <c r="C91" s="90"/>
      <c r="D91" s="83"/>
      <c r="E91" s="83"/>
      <c r="F91" s="84"/>
    </row>
    <row r="92" spans="2:6" ht="20" customHeight="1" x14ac:dyDescent="0.35">
      <c r="B92" s="88" t="s">
        <v>98</v>
      </c>
      <c r="C92" s="86"/>
      <c r="D92" s="86"/>
      <c r="E92" s="86"/>
      <c r="F92" s="87"/>
    </row>
    <row r="93" spans="2:6" ht="20" customHeight="1" x14ac:dyDescent="0.35">
      <c r="B93" s="106" t="s">
        <v>99</v>
      </c>
      <c r="C93" s="107"/>
      <c r="D93" s="67"/>
      <c r="F93" s="6"/>
    </row>
    <row r="94" spans="2:6" ht="45" customHeight="1" x14ac:dyDescent="0.35">
      <c r="B94" s="108"/>
      <c r="C94" s="109"/>
      <c r="D94" s="65"/>
    </row>
    <row r="95" spans="2:6" ht="18" customHeight="1" x14ac:dyDescent="0.35">
      <c r="B95" s="88" t="s">
        <v>100</v>
      </c>
      <c r="C95" s="86"/>
      <c r="D95" s="86"/>
      <c r="E95" s="86"/>
      <c r="F95" s="87"/>
    </row>
    <row r="96" spans="2:6" ht="28" customHeight="1" x14ac:dyDescent="0.35">
      <c r="B96" s="13" t="s">
        <v>101</v>
      </c>
      <c r="C96" s="102"/>
      <c r="D96" s="83"/>
      <c r="E96" s="83"/>
      <c r="F96" s="84"/>
    </row>
    <row r="97" spans="2:6" ht="28" customHeight="1" x14ac:dyDescent="0.35">
      <c r="B97" s="13" t="s">
        <v>102</v>
      </c>
      <c r="C97" s="102"/>
      <c r="D97" s="83"/>
      <c r="E97" s="83"/>
      <c r="F97" s="84"/>
    </row>
    <row r="98" spans="2:6" ht="28" customHeight="1" x14ac:dyDescent="0.35">
      <c r="B98" s="13" t="s">
        <v>103</v>
      </c>
      <c r="C98" s="102"/>
      <c r="D98" s="83"/>
      <c r="E98" s="83"/>
      <c r="F98" s="84"/>
    </row>
    <row r="99" spans="2:6" ht="18" customHeight="1" x14ac:dyDescent="0.35">
      <c r="B99" s="88" t="s">
        <v>104</v>
      </c>
      <c r="C99" s="86"/>
      <c r="D99" s="86"/>
      <c r="E99" s="87"/>
      <c r="F99" s="6" t="s">
        <v>105</v>
      </c>
    </row>
    <row r="100" spans="2:6" ht="28" customHeight="1" x14ac:dyDescent="0.35">
      <c r="B100" s="97" t="s">
        <v>106</v>
      </c>
      <c r="C100" s="83"/>
      <c r="D100" s="83"/>
      <c r="E100" s="83"/>
      <c r="F100" s="84"/>
    </row>
    <row r="101" spans="2:6" ht="28" customHeight="1" x14ac:dyDescent="0.35">
      <c r="B101" s="2" t="s">
        <v>48</v>
      </c>
      <c r="C101" s="7" t="s">
        <v>49</v>
      </c>
      <c r="D101" s="100" t="s">
        <v>50</v>
      </c>
      <c r="E101" s="83"/>
      <c r="F101" s="84"/>
    </row>
    <row r="102" spans="2:6" ht="28" customHeight="1" x14ac:dyDescent="0.35">
      <c r="B102" s="8" t="s">
        <v>107</v>
      </c>
      <c r="C102" s="9"/>
      <c r="D102" s="82"/>
      <c r="E102" s="83"/>
      <c r="F102" s="84"/>
    </row>
    <row r="103" spans="2:6" ht="28" customHeight="1" x14ac:dyDescent="0.35">
      <c r="B103" s="10" t="s">
        <v>108</v>
      </c>
      <c r="C103" s="9"/>
      <c r="D103" s="94"/>
      <c r="E103" s="83"/>
      <c r="F103" s="84"/>
    </row>
    <row r="104" spans="2:6" ht="28" customHeight="1" x14ac:dyDescent="0.35">
      <c r="B104" s="8" t="s">
        <v>109</v>
      </c>
      <c r="C104" s="9"/>
      <c r="D104" s="82"/>
      <c r="E104" s="83"/>
      <c r="F104" s="84"/>
    </row>
    <row r="105" spans="2:6" ht="28" customHeight="1" x14ac:dyDescent="0.35">
      <c r="B105" s="8" t="s">
        <v>110</v>
      </c>
      <c r="C105" s="9"/>
      <c r="D105" s="82"/>
      <c r="E105" s="83"/>
      <c r="F105" s="84"/>
    </row>
    <row r="106" spans="2:6" ht="28" customHeight="1" x14ac:dyDescent="0.35">
      <c r="B106" s="10" t="s">
        <v>111</v>
      </c>
      <c r="C106" s="9"/>
      <c r="D106" s="94"/>
      <c r="E106" s="83"/>
      <c r="F106" s="84"/>
    </row>
    <row r="107" spans="2:6" ht="28" customHeight="1" x14ac:dyDescent="0.35">
      <c r="B107" s="99" t="s">
        <v>112</v>
      </c>
      <c r="C107" s="83"/>
      <c r="D107" s="83"/>
      <c r="E107" s="83"/>
      <c r="F107" s="84"/>
    </row>
    <row r="108" spans="2:6" ht="28" customHeight="1" x14ac:dyDescent="0.35">
      <c r="B108" s="11" t="s">
        <v>56</v>
      </c>
      <c r="C108" s="68" t="str">
        <f>IF((COUNTIF(C102:C106,"Met")+COUNTIF(C102:C106,"Partial")+COUNTIF(C102:C106,"Missed"))=0,"",ROUND((COUNTIF(C102:C106,"Met")*5+COUNTIF(C102:C106,"Partial")*2.5)/(COUNTIF(C102:C106,"Met")+COUNTIF(C102:C106,"Partial")+COUNTIF(C102:C106,"Missed")),0))</f>
        <v/>
      </c>
      <c r="D108" s="89"/>
      <c r="E108" s="83"/>
      <c r="F108" s="84"/>
    </row>
    <row r="109" spans="2:6" ht="24" customHeight="1" x14ac:dyDescent="0.35">
      <c r="B109" s="13" t="s">
        <v>57</v>
      </c>
      <c r="C109" s="14"/>
      <c r="D109" s="93" t="str">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9" s="83"/>
      <c r="F109" s="84"/>
    </row>
    <row r="110" spans="2:6" ht="36" customHeight="1" x14ac:dyDescent="0.35">
      <c r="B110" s="13" t="s">
        <v>113</v>
      </c>
      <c r="C110" s="90"/>
      <c r="D110" s="83"/>
      <c r="E110" s="83"/>
      <c r="F110" s="84"/>
    </row>
    <row r="111" spans="2:6" ht="18" customHeight="1" x14ac:dyDescent="0.35">
      <c r="B111" s="88" t="s">
        <v>114</v>
      </c>
      <c r="C111" s="86"/>
      <c r="D111" s="86"/>
      <c r="E111" s="87"/>
      <c r="F111" s="6" t="s">
        <v>105</v>
      </c>
    </row>
    <row r="112" spans="2:6" ht="28" customHeight="1" x14ac:dyDescent="0.35">
      <c r="B112" s="97" t="s">
        <v>115</v>
      </c>
      <c r="C112" s="83"/>
      <c r="D112" s="83"/>
      <c r="E112" s="83"/>
      <c r="F112" s="84"/>
    </row>
    <row r="113" spans="2:6" ht="36" customHeight="1" x14ac:dyDescent="0.35">
      <c r="B113" s="2" t="s">
        <v>48</v>
      </c>
      <c r="C113" s="7" t="s">
        <v>49</v>
      </c>
      <c r="D113" s="100" t="s">
        <v>50</v>
      </c>
      <c r="E113" s="83"/>
      <c r="F113" s="84"/>
    </row>
    <row r="114" spans="2:6" ht="28" customHeight="1" x14ac:dyDescent="0.35">
      <c r="B114" s="8" t="s">
        <v>116</v>
      </c>
      <c r="C114" s="9"/>
      <c r="D114" s="82"/>
      <c r="E114" s="83"/>
      <c r="F114" s="84"/>
    </row>
    <row r="115" spans="2:6" ht="28" customHeight="1" x14ac:dyDescent="0.35">
      <c r="B115" s="10" t="s">
        <v>117</v>
      </c>
      <c r="C115" s="9"/>
      <c r="D115" s="94"/>
      <c r="E115" s="83"/>
      <c r="F115" s="84"/>
    </row>
    <row r="116" spans="2:6" ht="28" customHeight="1" x14ac:dyDescent="0.35">
      <c r="B116" s="8" t="s">
        <v>118</v>
      </c>
      <c r="C116" s="9"/>
      <c r="D116" s="82"/>
      <c r="E116" s="83"/>
      <c r="F116" s="84"/>
    </row>
    <row r="117" spans="2:6" ht="28" customHeight="1" x14ac:dyDescent="0.35">
      <c r="B117" s="10" t="s">
        <v>119</v>
      </c>
      <c r="C117" s="9"/>
      <c r="D117" s="94"/>
      <c r="E117" s="83"/>
      <c r="F117" s="84"/>
    </row>
    <row r="118" spans="2:6" ht="28" customHeight="1" x14ac:dyDescent="0.35">
      <c r="B118" s="10" t="s">
        <v>120</v>
      </c>
      <c r="C118" s="9"/>
      <c r="D118" s="94"/>
      <c r="E118" s="83"/>
      <c r="F118" s="84"/>
    </row>
    <row r="119" spans="2:6" ht="28" customHeight="1" x14ac:dyDescent="0.35">
      <c r="B119" s="8" t="s">
        <v>121</v>
      </c>
      <c r="C119" s="9"/>
      <c r="D119" s="82"/>
      <c r="E119" s="83"/>
      <c r="F119" s="84"/>
    </row>
    <row r="120" spans="2:6" ht="28" customHeight="1" x14ac:dyDescent="0.35">
      <c r="B120" s="99" t="s">
        <v>122</v>
      </c>
      <c r="C120" s="83"/>
      <c r="D120" s="83"/>
      <c r="E120" s="83"/>
      <c r="F120" s="84"/>
    </row>
    <row r="121" spans="2:6" ht="52" customHeight="1" x14ac:dyDescent="0.35">
      <c r="B121" s="11" t="s">
        <v>56</v>
      </c>
      <c r="C121" s="68" t="str">
        <f>IF((COUNTIF(C114:C119,"Met")+COUNTIF(C114:C119,"Partial")+COUNTIF(C114:C119,"Missed"))=0,"",ROUND((COUNTIF(C114:C119,"Met")*5+COUNTIF(C114:C119,"Partial")*2.5)/(COUNTIF(C114:C119,"Met")+COUNTIF(C114:C119,"Partial")+COUNTIF(C114:C119,"Missed")),0))</f>
        <v/>
      </c>
      <c r="D121" s="89"/>
      <c r="E121" s="83"/>
      <c r="F121" s="84"/>
    </row>
    <row r="122" spans="2:6" ht="24" customHeight="1" x14ac:dyDescent="0.35">
      <c r="B122" s="13" t="s">
        <v>57</v>
      </c>
      <c r="C122" s="14"/>
      <c r="D122" s="93"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83"/>
      <c r="F122" s="84"/>
    </row>
    <row r="123" spans="2:6" ht="36" customHeight="1" x14ac:dyDescent="0.35">
      <c r="B123" s="13" t="s">
        <v>123</v>
      </c>
      <c r="C123" s="90"/>
      <c r="D123" s="83"/>
      <c r="E123" s="83"/>
      <c r="F123" s="84"/>
    </row>
    <row r="124" spans="2:6" ht="30" customHeight="1" x14ac:dyDescent="0.35">
      <c r="B124" s="88" t="s">
        <v>124</v>
      </c>
      <c r="C124" s="86"/>
      <c r="D124" s="86"/>
      <c r="E124" s="86"/>
      <c r="F124" s="87"/>
    </row>
    <row r="125" spans="2:6" ht="28" customHeight="1" x14ac:dyDescent="0.35">
      <c r="B125" s="2" t="s">
        <v>125</v>
      </c>
      <c r="C125" s="91"/>
      <c r="D125" s="83"/>
      <c r="E125" s="83"/>
      <c r="F125" s="84"/>
    </row>
    <row r="126" spans="2:6" ht="52" customHeight="1" x14ac:dyDescent="0.35">
      <c r="B126" s="4" t="s">
        <v>126</v>
      </c>
      <c r="C126" s="95"/>
      <c r="D126" s="83"/>
      <c r="E126" s="83"/>
      <c r="F126" s="84"/>
    </row>
    <row r="127" spans="2:6" ht="52" customHeight="1" x14ac:dyDescent="0.35">
      <c r="B127" s="2" t="s">
        <v>127</v>
      </c>
      <c r="C127" s="90"/>
      <c r="D127" s="83"/>
      <c r="E127" s="83"/>
      <c r="F127" s="84"/>
    </row>
    <row r="128" spans="2:6" ht="26" customHeight="1" x14ac:dyDescent="0.35">
      <c r="B128" s="88" t="s">
        <v>128</v>
      </c>
      <c r="C128" s="86"/>
      <c r="D128" s="86"/>
      <c r="E128" s="86"/>
      <c r="F128" s="87"/>
    </row>
    <row r="129" spans="2:6" ht="30" customHeight="1" x14ac:dyDescent="0.35">
      <c r="B129" s="4" t="s">
        <v>129</v>
      </c>
      <c r="C129" s="9" t="s">
        <v>130</v>
      </c>
      <c r="D129" s="99" t="s">
        <v>131</v>
      </c>
      <c r="E129" s="83"/>
      <c r="F129" s="84"/>
    </row>
    <row r="130" spans="2:6" ht="30" customHeight="1" x14ac:dyDescent="0.35">
      <c r="B130" s="2" t="s">
        <v>132</v>
      </c>
      <c r="C130" s="95" t="s">
        <v>133</v>
      </c>
      <c r="D130" s="84"/>
      <c r="E130" s="103" t="str">
        <f>IF(AND(C129="Yes",OR(C130="None",C130="N.A. — no disconnect")),"⚠ MISSED OWNERSHIP OPPORTUNITY — flag in Customer Ownership and Critical Failures","OK")</f>
        <v>OK</v>
      </c>
      <c r="F130" s="84"/>
    </row>
    <row r="131" spans="2:6" ht="26" customHeight="1" x14ac:dyDescent="0.35">
      <c r="B131" s="92" t="s">
        <v>134</v>
      </c>
      <c r="C131" s="86"/>
      <c r="D131" s="86"/>
      <c r="E131" s="86"/>
      <c r="F131" s="87"/>
    </row>
    <row r="132" spans="2:6" ht="26" customHeight="1" x14ac:dyDescent="0.35">
      <c r="B132" s="1" t="s">
        <v>135</v>
      </c>
      <c r="C132" s="15" t="s">
        <v>136</v>
      </c>
      <c r="D132" s="88" t="s">
        <v>137</v>
      </c>
      <c r="E132" s="86"/>
      <c r="F132" s="87"/>
    </row>
    <row r="133" spans="2:6" ht="26" customHeight="1" x14ac:dyDescent="0.35">
      <c r="B133" s="8" t="s">
        <v>138</v>
      </c>
      <c r="C133" s="9" t="s">
        <v>130</v>
      </c>
      <c r="D133" s="82"/>
      <c r="E133" s="83"/>
      <c r="F133" s="84"/>
    </row>
    <row r="134" spans="2:6" ht="26" customHeight="1" x14ac:dyDescent="0.35">
      <c r="B134" s="10" t="s">
        <v>139</v>
      </c>
      <c r="C134" s="9" t="s">
        <v>130</v>
      </c>
      <c r="D134" s="94"/>
      <c r="E134" s="83"/>
      <c r="F134" s="84"/>
    </row>
    <row r="135" spans="2:6" ht="26" customHeight="1" x14ac:dyDescent="0.35">
      <c r="B135" s="8" t="s">
        <v>140</v>
      </c>
      <c r="C135" s="9" t="s">
        <v>130</v>
      </c>
      <c r="D135" s="82"/>
      <c r="E135" s="83"/>
      <c r="F135" s="84"/>
    </row>
    <row r="136" spans="2:6" ht="26" customHeight="1" x14ac:dyDescent="0.35">
      <c r="B136" s="10" t="s">
        <v>141</v>
      </c>
      <c r="C136" s="9" t="s">
        <v>130</v>
      </c>
      <c r="D136" s="94"/>
      <c r="E136" s="83"/>
      <c r="F136" s="84"/>
    </row>
    <row r="137" spans="2:6" ht="26" customHeight="1" x14ac:dyDescent="0.35">
      <c r="B137" s="8" t="s">
        <v>142</v>
      </c>
      <c r="C137" s="9" t="s">
        <v>130</v>
      </c>
      <c r="D137" s="82"/>
      <c r="E137" s="83"/>
      <c r="F137" s="84"/>
    </row>
    <row r="138" spans="2:6" ht="26" customHeight="1" x14ac:dyDescent="0.35">
      <c r="B138" s="10" t="s">
        <v>143</v>
      </c>
      <c r="C138" s="9" t="s">
        <v>130</v>
      </c>
      <c r="D138" s="94"/>
      <c r="E138" s="83"/>
      <c r="F138" s="84"/>
    </row>
    <row r="139" spans="2:6" ht="26" customHeight="1" x14ac:dyDescent="0.35">
      <c r="B139" s="8" t="s">
        <v>144</v>
      </c>
      <c r="C139" s="9" t="s">
        <v>130</v>
      </c>
      <c r="D139" s="82"/>
      <c r="E139" s="83"/>
      <c r="F139" s="84"/>
    </row>
    <row r="140" spans="2:6" ht="26" customHeight="1" x14ac:dyDescent="0.35">
      <c r="B140" s="10" t="s">
        <v>145</v>
      </c>
      <c r="C140" s="9" t="s">
        <v>130</v>
      </c>
      <c r="D140" s="94"/>
      <c r="E140" s="83"/>
      <c r="F140" s="84"/>
    </row>
    <row r="141" spans="2:6" ht="26" customHeight="1" x14ac:dyDescent="0.35">
      <c r="B141" s="10" t="s">
        <v>146</v>
      </c>
      <c r="C141" s="9" t="s">
        <v>130</v>
      </c>
      <c r="D141" s="94"/>
      <c r="E141" s="83"/>
      <c r="F141" s="84"/>
    </row>
    <row r="142" spans="2:6" ht="26" customHeight="1" x14ac:dyDescent="0.35">
      <c r="B142" s="8" t="s">
        <v>147</v>
      </c>
      <c r="C142" s="9" t="s">
        <v>130</v>
      </c>
      <c r="D142" s="82"/>
      <c r="E142" s="83"/>
      <c r="F142" s="84"/>
    </row>
    <row r="143" spans="2:6" ht="26" customHeight="1" x14ac:dyDescent="0.35">
      <c r="B143" s="8" t="s">
        <v>148</v>
      </c>
      <c r="C143" s="9" t="s">
        <v>130</v>
      </c>
      <c r="D143" s="82"/>
      <c r="E143" s="83"/>
      <c r="F143" s="84"/>
    </row>
    <row r="144" spans="2:6" ht="26" customHeight="1" x14ac:dyDescent="0.35">
      <c r="B144" s="30" t="s">
        <v>149</v>
      </c>
      <c r="C144" s="85" t="str">
        <f>IF(COUNTIF(C133:C143,"Yes")&gt;0,"YES — "&amp;COUNTIF(C133:C143,"Yes")&amp;" condition(s) flagged — automatic review required regardless of weighted score","No critical failures")</f>
        <v>No critical failures</v>
      </c>
      <c r="D144" s="86"/>
      <c r="E144" s="86"/>
      <c r="F144" s="87"/>
    </row>
    <row r="145" spans="2:6" ht="22" customHeight="1" x14ac:dyDescent="0.35">
      <c r="B145" s="92" t="s">
        <v>150</v>
      </c>
      <c r="C145" s="86"/>
      <c r="D145" s="86"/>
      <c r="E145" s="86"/>
      <c r="F145" s="87"/>
    </row>
    <row r="146" spans="2:6" ht="30" customHeight="1" x14ac:dyDescent="0.35">
      <c r="B146" s="99" t="s">
        <v>151</v>
      </c>
      <c r="C146" s="83"/>
      <c r="D146" s="83"/>
      <c r="E146" s="83"/>
      <c r="F146" s="84"/>
    </row>
    <row r="147" spans="2:6" ht="30" customHeight="1" x14ac:dyDescent="0.35">
      <c r="B147" s="1" t="s">
        <v>152</v>
      </c>
      <c r="C147" s="15" t="s">
        <v>153</v>
      </c>
      <c r="D147" s="88" t="s">
        <v>137</v>
      </c>
      <c r="E147" s="86"/>
      <c r="F147" s="87"/>
    </row>
    <row r="148" spans="2:6" ht="26" customHeight="1" x14ac:dyDescent="0.35">
      <c r="B148" s="8" t="s">
        <v>154</v>
      </c>
      <c r="C148" s="9" t="s">
        <v>155</v>
      </c>
      <c r="D148" s="82"/>
      <c r="E148" s="83"/>
      <c r="F148" s="84"/>
    </row>
    <row r="149" spans="2:6" ht="26" customHeight="1" x14ac:dyDescent="0.35">
      <c r="B149" s="8" t="s">
        <v>156</v>
      </c>
      <c r="C149" s="9" t="s">
        <v>155</v>
      </c>
      <c r="D149" s="82"/>
      <c r="E149" s="83"/>
      <c r="F149" s="84"/>
    </row>
    <row r="150" spans="2:6" ht="26" customHeight="1" x14ac:dyDescent="0.35">
      <c r="B150" s="8" t="s">
        <v>157</v>
      </c>
      <c r="C150" s="9" t="s">
        <v>155</v>
      </c>
      <c r="D150" s="82"/>
      <c r="E150" s="83"/>
      <c r="F150" s="84"/>
    </row>
    <row r="151" spans="2:6" ht="32" customHeight="1" x14ac:dyDescent="0.35">
      <c r="B151" s="1" t="s">
        <v>158</v>
      </c>
      <c r="C151" s="15" t="s">
        <v>159</v>
      </c>
      <c r="D151" s="88" t="s">
        <v>137</v>
      </c>
      <c r="E151" s="86"/>
      <c r="F151" s="87"/>
    </row>
    <row r="152" spans="2:6" ht="26" customHeight="1" x14ac:dyDescent="0.35">
      <c r="B152" s="8" t="s">
        <v>160</v>
      </c>
      <c r="C152" s="9" t="s">
        <v>130</v>
      </c>
      <c r="D152" s="82"/>
      <c r="E152" s="83"/>
      <c r="F152" s="84"/>
    </row>
    <row r="153" spans="2:6" ht="26" customHeight="1" x14ac:dyDescent="0.35">
      <c r="B153" s="8" t="s">
        <v>161</v>
      </c>
      <c r="C153" s="9" t="s">
        <v>130</v>
      </c>
      <c r="D153" s="82"/>
      <c r="E153" s="83"/>
      <c r="F153" s="84"/>
    </row>
    <row r="154" spans="2:6" ht="26" customHeight="1" x14ac:dyDescent="0.35">
      <c r="B154" s="8" t="s">
        <v>162</v>
      </c>
      <c r="C154" s="9" t="s">
        <v>130</v>
      </c>
      <c r="D154" s="82"/>
      <c r="E154" s="83"/>
      <c r="F154" s="84"/>
    </row>
    <row r="155" spans="2:6" ht="26" customHeight="1" x14ac:dyDescent="0.35">
      <c r="B155" s="8" t="s">
        <v>163</v>
      </c>
      <c r="C155" s="9" t="s">
        <v>130</v>
      </c>
      <c r="D155" s="82"/>
      <c r="E155" s="83"/>
      <c r="F155" s="84"/>
    </row>
    <row r="156" spans="2:6" ht="26" customHeight="1" x14ac:dyDescent="0.35">
      <c r="B156" s="8" t="s">
        <v>164</v>
      </c>
      <c r="C156" s="9" t="s">
        <v>130</v>
      </c>
      <c r="D156" s="82"/>
      <c r="E156" s="83"/>
      <c r="F156" s="84"/>
    </row>
    <row r="157" spans="2:6" ht="26" customHeight="1" x14ac:dyDescent="0.35">
      <c r="B157" s="8" t="s">
        <v>165</v>
      </c>
      <c r="C157" s="9" t="s">
        <v>130</v>
      </c>
      <c r="D157" s="82"/>
      <c r="E157" s="83"/>
      <c r="F157" s="84"/>
    </row>
    <row r="158" spans="2:6" ht="26" customHeight="1" x14ac:dyDescent="0.35">
      <c r="B158" s="8" t="s">
        <v>166</v>
      </c>
      <c r="C158" s="9" t="s">
        <v>130</v>
      </c>
      <c r="D158" s="82"/>
      <c r="E158" s="83"/>
      <c r="F158" s="84"/>
    </row>
    <row r="159" spans="2:6" ht="26" customHeight="1" x14ac:dyDescent="0.35">
      <c r="B159" s="8" t="s">
        <v>167</v>
      </c>
      <c r="C159" s="9" t="s">
        <v>130</v>
      </c>
      <c r="D159" s="82"/>
      <c r="E159" s="83"/>
      <c r="F159" s="84"/>
    </row>
    <row r="160" spans="2:6" ht="26" customHeight="1" x14ac:dyDescent="0.35">
      <c r="B160" s="8" t="s">
        <v>168</v>
      </c>
      <c r="C160" s="9" t="s">
        <v>130</v>
      </c>
      <c r="D160" s="82"/>
      <c r="E160" s="83"/>
      <c r="F160" s="84"/>
    </row>
    <row r="161" spans="2:6" ht="26" customHeight="1" x14ac:dyDescent="0.35">
      <c r="B161" s="8" t="s">
        <v>169</v>
      </c>
      <c r="C161" s="9" t="s">
        <v>130</v>
      </c>
      <c r="D161" s="82"/>
      <c r="E161" s="83"/>
      <c r="F161" s="84"/>
    </row>
    <row r="162" spans="2:6" ht="26" customHeight="1" x14ac:dyDescent="0.35">
      <c r="B162" s="8" t="s">
        <v>170</v>
      </c>
      <c r="C162" s="9" t="s">
        <v>130</v>
      </c>
      <c r="D162" s="82"/>
      <c r="E162" s="83"/>
      <c r="F162" s="84"/>
    </row>
    <row r="163" spans="2:6" ht="24" customHeight="1" x14ac:dyDescent="0.35">
      <c r="B163" s="30" t="s">
        <v>171</v>
      </c>
      <c r="C163" s="85" t="str">
        <f>IF(OR(C148="No",C149="No",C150="No",COUNTIF(C152:C162,"Yes")&gt;0,COUNTIF(C133:C143,"Yes")&gt;0),"YES — Quality Score forced to 0%","No")</f>
        <v>No</v>
      </c>
      <c r="D163" s="86"/>
      <c r="E163" s="86"/>
      <c r="F163" s="87"/>
    </row>
    <row r="164" spans="2:6" ht="20" customHeight="1" x14ac:dyDescent="0.35">
      <c r="B164" s="104" t="s">
        <v>172</v>
      </c>
      <c r="C164" s="86"/>
      <c r="D164" s="86"/>
      <c r="E164" s="86"/>
      <c r="F164" s="87"/>
    </row>
    <row r="165" spans="2:6" ht="30" customHeight="1" x14ac:dyDescent="0.35">
      <c r="B165" s="101" t="s">
        <v>173</v>
      </c>
      <c r="C165" s="86"/>
      <c r="D165" s="86"/>
      <c r="E165" s="86"/>
      <c r="F165" s="87"/>
    </row>
    <row r="166" spans="2:6" ht="58" customHeight="1" x14ac:dyDescent="0.35">
      <c r="B166" s="90"/>
      <c r="C166" s="83"/>
      <c r="D166" s="83"/>
      <c r="E166" s="83"/>
      <c r="F166" s="84"/>
    </row>
    <row r="167" spans="2:6" ht="30" customHeight="1" x14ac:dyDescent="0.35">
      <c r="B167" s="101" t="s">
        <v>174</v>
      </c>
      <c r="C167" s="86"/>
      <c r="D167" s="86"/>
      <c r="E167" s="86"/>
      <c r="F167" s="87"/>
    </row>
    <row r="168" spans="2:6" ht="24" customHeight="1" x14ac:dyDescent="0.35">
      <c r="B168" s="98" t="s">
        <v>175</v>
      </c>
      <c r="C168" s="83"/>
      <c r="D168" s="83"/>
      <c r="E168" s="83"/>
      <c r="F168" s="84"/>
    </row>
    <row r="169" spans="2:6" ht="32" customHeight="1" x14ac:dyDescent="0.35">
      <c r="B169" s="7" t="s">
        <v>101</v>
      </c>
      <c r="C169" s="90"/>
      <c r="D169" s="83"/>
      <c r="E169" s="83"/>
      <c r="F169" s="84"/>
    </row>
    <row r="170" spans="2:6" ht="32" customHeight="1" x14ac:dyDescent="0.35">
      <c r="B170" s="7" t="s">
        <v>102</v>
      </c>
      <c r="C170" s="90"/>
      <c r="D170" s="83"/>
      <c r="E170" s="83"/>
      <c r="F170" s="84"/>
    </row>
    <row r="171" spans="2:6" ht="32" customHeight="1" x14ac:dyDescent="0.35">
      <c r="B171" s="7" t="s">
        <v>103</v>
      </c>
      <c r="C171" s="90"/>
      <c r="D171" s="83"/>
      <c r="E171" s="83"/>
      <c r="F171" s="84"/>
    </row>
    <row r="172" spans="2:6" ht="24" customHeight="1" x14ac:dyDescent="0.35">
      <c r="B172" s="98" t="s">
        <v>176</v>
      </c>
      <c r="C172" s="83"/>
      <c r="D172" s="83"/>
      <c r="E172" s="83"/>
      <c r="F172" s="84"/>
    </row>
    <row r="173" spans="2:6" ht="32" customHeight="1" x14ac:dyDescent="0.35">
      <c r="B173" s="7" t="s">
        <v>101</v>
      </c>
      <c r="C173" s="90"/>
      <c r="D173" s="83"/>
      <c r="E173" s="83"/>
      <c r="F173" s="84"/>
    </row>
    <row r="174" spans="2:6" ht="32" customHeight="1" x14ac:dyDescent="0.35">
      <c r="B174" s="7" t="s">
        <v>102</v>
      </c>
      <c r="C174" s="90"/>
      <c r="D174" s="83"/>
      <c r="E174" s="83"/>
      <c r="F174" s="84"/>
    </row>
    <row r="175" spans="2:6" ht="32" customHeight="1" x14ac:dyDescent="0.35">
      <c r="B175" s="7" t="s">
        <v>103</v>
      </c>
      <c r="C175" s="90"/>
      <c r="D175" s="83"/>
      <c r="E175" s="83"/>
      <c r="F175" s="84"/>
    </row>
    <row r="176" spans="2:6" ht="24" customHeight="1" x14ac:dyDescent="0.35">
      <c r="B176" s="98" t="s">
        <v>177</v>
      </c>
      <c r="C176" s="83"/>
      <c r="D176" s="83"/>
      <c r="E176" s="83"/>
      <c r="F176" s="84"/>
    </row>
    <row r="177" spans="2:6" ht="58" customHeight="1" x14ac:dyDescent="0.35">
      <c r="B177" s="90"/>
      <c r="C177" s="83"/>
      <c r="D177" s="83"/>
      <c r="E177" s="83"/>
      <c r="F177" s="84"/>
    </row>
    <row r="178" spans="2:6" ht="20" customHeight="1" x14ac:dyDescent="0.35">
      <c r="B178" s="98" t="s">
        <v>178</v>
      </c>
      <c r="C178" s="83"/>
      <c r="D178" s="83"/>
      <c r="E178" s="83"/>
      <c r="F178" s="84"/>
    </row>
    <row r="179" spans="2:6" ht="28" customHeight="1" x14ac:dyDescent="0.35">
      <c r="B179" s="66" t="s">
        <v>101</v>
      </c>
      <c r="C179" s="90"/>
      <c r="D179" s="83"/>
      <c r="E179" s="83"/>
      <c r="F179" s="84"/>
    </row>
    <row r="180" spans="2:6" ht="28" customHeight="1" x14ac:dyDescent="0.35">
      <c r="B180" s="66" t="s">
        <v>102</v>
      </c>
      <c r="C180" s="90"/>
      <c r="D180" s="83"/>
      <c r="E180" s="83"/>
      <c r="F180" s="84"/>
    </row>
    <row r="181" spans="2:6" ht="28" customHeight="1" x14ac:dyDescent="0.35">
      <c r="B181" s="66" t="s">
        <v>103</v>
      </c>
      <c r="C181" s="102"/>
      <c r="D181" s="83"/>
      <c r="E181" s="83"/>
      <c r="F181" s="84"/>
    </row>
    <row r="182" spans="2:6" ht="32" customHeight="1" x14ac:dyDescent="0.35">
      <c r="B182" s="101" t="s">
        <v>179</v>
      </c>
      <c r="C182" s="86"/>
      <c r="D182" s="86"/>
      <c r="E182" s="86"/>
      <c r="F182" s="87"/>
    </row>
    <row r="183" spans="2:6" ht="24" customHeight="1" x14ac:dyDescent="0.35">
      <c r="B183" s="98" t="s">
        <v>180</v>
      </c>
      <c r="C183" s="83"/>
      <c r="D183" s="83"/>
      <c r="E183" s="83"/>
      <c r="F183" s="84"/>
    </row>
    <row r="184" spans="2:6" ht="58" customHeight="1" x14ac:dyDescent="0.35">
      <c r="B184" s="90"/>
      <c r="C184" s="83"/>
      <c r="D184" s="83"/>
      <c r="E184" s="83"/>
      <c r="F184" s="84"/>
    </row>
    <row r="185" spans="2:6" ht="24" customHeight="1" x14ac:dyDescent="0.35">
      <c r="B185" s="98" t="s">
        <v>181</v>
      </c>
      <c r="C185" s="83"/>
      <c r="D185" s="83"/>
      <c r="E185" s="83"/>
      <c r="F185" s="84"/>
    </row>
    <row r="186" spans="2:6" ht="58" customHeight="1" x14ac:dyDescent="0.35">
      <c r="B186" s="90"/>
      <c r="C186" s="83"/>
      <c r="D186" s="83"/>
      <c r="E186" s="83"/>
      <c r="F186" s="84"/>
    </row>
    <row r="187" spans="2:6" ht="24" customHeight="1" x14ac:dyDescent="0.35">
      <c r="B187" s="98" t="s">
        <v>182</v>
      </c>
      <c r="C187" s="83"/>
      <c r="D187" s="83"/>
      <c r="E187" s="83"/>
      <c r="F187" s="84"/>
    </row>
    <row r="188" spans="2:6" ht="58" customHeight="1" x14ac:dyDescent="0.35">
      <c r="B188" s="90"/>
      <c r="C188" s="83"/>
      <c r="D188" s="83"/>
      <c r="E188" s="83"/>
      <c r="F188" s="84"/>
    </row>
    <row r="189" spans="2:6" ht="24" customHeight="1" x14ac:dyDescent="0.35"/>
    <row r="190" spans="2:6" ht="58" customHeight="1" x14ac:dyDescent="0.35"/>
    <row r="191" spans="2:6" ht="20" customHeight="1" x14ac:dyDescent="0.35"/>
    <row r="192" spans="2:6" ht="30" customHeight="1" x14ac:dyDescent="0.35"/>
    <row r="193" ht="58" customHeight="1" x14ac:dyDescent="0.35"/>
    <row r="194" ht="30" customHeight="1" x14ac:dyDescent="0.35"/>
    <row r="195" ht="24" customHeight="1" x14ac:dyDescent="0.35"/>
    <row r="196" ht="32" customHeight="1" x14ac:dyDescent="0.35"/>
    <row r="197" ht="32" customHeight="1" x14ac:dyDescent="0.35"/>
    <row r="198" ht="32" customHeight="1" x14ac:dyDescent="0.35"/>
    <row r="199" ht="24" customHeight="1" x14ac:dyDescent="0.35"/>
    <row r="200" ht="32" customHeight="1" x14ac:dyDescent="0.35"/>
    <row r="201" ht="32" customHeight="1" x14ac:dyDescent="0.35"/>
    <row r="202" ht="32" customHeight="1" x14ac:dyDescent="0.35"/>
    <row r="203" ht="24" customHeight="1" x14ac:dyDescent="0.35"/>
    <row r="204" ht="58" customHeight="1" x14ac:dyDescent="0.35"/>
    <row r="205" ht="20" customHeight="1" x14ac:dyDescent="0.35"/>
    <row r="206" ht="28" customHeight="1" x14ac:dyDescent="0.35"/>
    <row r="207" ht="28" customHeight="1" x14ac:dyDescent="0.35"/>
    <row r="208" ht="28" customHeight="1" x14ac:dyDescent="0.35"/>
    <row r="209" ht="32" customHeight="1" x14ac:dyDescent="0.35"/>
    <row r="210" ht="24" customHeight="1" x14ac:dyDescent="0.35"/>
    <row r="211" ht="58" customHeight="1" x14ac:dyDescent="0.35"/>
    <row r="212" ht="24" customHeight="1" x14ac:dyDescent="0.35"/>
    <row r="213" ht="58" customHeight="1" x14ac:dyDescent="0.35"/>
    <row r="214" ht="24" customHeight="1" x14ac:dyDescent="0.35"/>
    <row r="215" ht="58" customHeight="1" x14ac:dyDescent="0.35"/>
    <row r="216" ht="58" customHeight="1" x14ac:dyDescent="0.35"/>
    <row r="217" ht="24" customHeight="1" x14ac:dyDescent="0.35"/>
    <row r="218" ht="58" customHeight="1" x14ac:dyDescent="0.35"/>
    <row r="219" ht="24" customHeight="1" x14ac:dyDescent="0.35"/>
    <row r="220" ht="58" customHeight="1" x14ac:dyDescent="0.35"/>
  </sheetData>
  <mergeCells count="178">
    <mergeCell ref="E9:F9"/>
    <mergeCell ref="D64:F64"/>
    <mergeCell ref="D38:F38"/>
    <mergeCell ref="C126:F126"/>
    <mergeCell ref="D89:F89"/>
    <mergeCell ref="B182:F182"/>
    <mergeCell ref="C130:D130"/>
    <mergeCell ref="B112:F112"/>
    <mergeCell ref="D79:F79"/>
    <mergeCell ref="E11:F11"/>
    <mergeCell ref="D153:F153"/>
    <mergeCell ref="B111:E111"/>
    <mergeCell ref="D63:F63"/>
    <mergeCell ref="C180:F180"/>
    <mergeCell ref="D90:F90"/>
    <mergeCell ref="B177:F177"/>
    <mergeCell ref="B95:F95"/>
    <mergeCell ref="B33:F33"/>
    <mergeCell ref="B51:F51"/>
    <mergeCell ref="D139:F139"/>
    <mergeCell ref="D52:F52"/>
    <mergeCell ref="C169:F169"/>
    <mergeCell ref="C170:F170"/>
    <mergeCell ref="D72:F72"/>
    <mergeCell ref="D103:F103"/>
    <mergeCell ref="D134:F134"/>
    <mergeCell ref="B77:F77"/>
    <mergeCell ref="E10:F10"/>
    <mergeCell ref="D62:F62"/>
    <mergeCell ref="D118:F118"/>
    <mergeCell ref="D161:F161"/>
    <mergeCell ref="B14:F14"/>
    <mergeCell ref="D114:F114"/>
    <mergeCell ref="C42:F42"/>
    <mergeCell ref="B1:F1"/>
    <mergeCell ref="B81:E81"/>
    <mergeCell ref="D121:F121"/>
    <mergeCell ref="D73:F73"/>
    <mergeCell ref="D113:F113"/>
    <mergeCell ref="E6:F6"/>
    <mergeCell ref="C97:F97"/>
    <mergeCell ref="E15:F15"/>
    <mergeCell ref="B43:E43"/>
    <mergeCell ref="D35:F35"/>
    <mergeCell ref="D50:F50"/>
    <mergeCell ref="D59:F59"/>
    <mergeCell ref="D115:F115"/>
    <mergeCell ref="B93:C94"/>
    <mergeCell ref="D34:F34"/>
    <mergeCell ref="B65:F65"/>
    <mergeCell ref="C80:F80"/>
    <mergeCell ref="E7:F7"/>
    <mergeCell ref="D84:F84"/>
    <mergeCell ref="C12:F12"/>
    <mergeCell ref="D36:F36"/>
    <mergeCell ref="D45:F45"/>
    <mergeCell ref="D101:F101"/>
    <mergeCell ref="B99:E99"/>
    <mergeCell ref="B188:F188"/>
    <mergeCell ref="D104:F104"/>
    <mergeCell ref="D160:F160"/>
    <mergeCell ref="C110:F110"/>
    <mergeCell ref="C181:F181"/>
    <mergeCell ref="E130:F130"/>
    <mergeCell ref="D136:F136"/>
    <mergeCell ref="C91:F91"/>
    <mergeCell ref="D150:F150"/>
    <mergeCell ref="C174:F174"/>
    <mergeCell ref="D122:F122"/>
    <mergeCell ref="C179:F179"/>
    <mergeCell ref="B145:F145"/>
    <mergeCell ref="B178:F178"/>
    <mergeCell ref="D148:F148"/>
    <mergeCell ref="B128:F128"/>
    <mergeCell ref="D138:F138"/>
    <mergeCell ref="B183:F183"/>
    <mergeCell ref="C127:F127"/>
    <mergeCell ref="B164:F164"/>
    <mergeCell ref="D155:F155"/>
    <mergeCell ref="D140:F140"/>
    <mergeCell ref="D149:F149"/>
    <mergeCell ref="D151:F151"/>
    <mergeCell ref="B187:F187"/>
    <mergeCell ref="D109:F109"/>
    <mergeCell ref="E16:F16"/>
    <mergeCell ref="D46:F46"/>
    <mergeCell ref="B124:F124"/>
    <mergeCell ref="D158:F158"/>
    <mergeCell ref="D40:F40"/>
    <mergeCell ref="D108:F108"/>
    <mergeCell ref="D86:F86"/>
    <mergeCell ref="C123:F123"/>
    <mergeCell ref="B31:F31"/>
    <mergeCell ref="B55:E55"/>
    <mergeCell ref="D78:F78"/>
    <mergeCell ref="D87:F87"/>
    <mergeCell ref="B21:F21"/>
    <mergeCell ref="C18:F18"/>
    <mergeCell ref="B39:F39"/>
    <mergeCell ref="D71:F71"/>
    <mergeCell ref="D58:F58"/>
    <mergeCell ref="C68:F68"/>
    <mergeCell ref="B100:F100"/>
    <mergeCell ref="D61:F61"/>
    <mergeCell ref="B165:F165"/>
    <mergeCell ref="D141:F141"/>
    <mergeCell ref="B186:F186"/>
    <mergeCell ref="C54:F54"/>
    <mergeCell ref="B168:F168"/>
    <mergeCell ref="B92:F92"/>
    <mergeCell ref="C173:F173"/>
    <mergeCell ref="D119:F119"/>
    <mergeCell ref="D159:F159"/>
    <mergeCell ref="B20:F20"/>
    <mergeCell ref="B69:E69"/>
    <mergeCell ref="C163:F163"/>
    <mergeCell ref="D105:F105"/>
    <mergeCell ref="D57:F57"/>
    <mergeCell ref="D154:F154"/>
    <mergeCell ref="D41:F41"/>
    <mergeCell ref="B185:F185"/>
    <mergeCell ref="D147:F147"/>
    <mergeCell ref="D162:F162"/>
    <mergeCell ref="B56:F56"/>
    <mergeCell ref="D156:F156"/>
    <mergeCell ref="B167:F167"/>
    <mergeCell ref="B32:E32"/>
    <mergeCell ref="B70:F70"/>
    <mergeCell ref="B176:F176"/>
    <mergeCell ref="D106:F106"/>
    <mergeCell ref="B2:F2"/>
    <mergeCell ref="D37:F37"/>
    <mergeCell ref="D102:F102"/>
    <mergeCell ref="D143:F143"/>
    <mergeCell ref="D152:F152"/>
    <mergeCell ref="B166:F166"/>
    <mergeCell ref="D133:F133"/>
    <mergeCell ref="B44:F44"/>
    <mergeCell ref="D142:F142"/>
    <mergeCell ref="D129:F129"/>
    <mergeCell ref="C17:F17"/>
    <mergeCell ref="E5:F5"/>
    <mergeCell ref="C19:F19"/>
    <mergeCell ref="E4:F4"/>
    <mergeCell ref="D137:F137"/>
    <mergeCell ref="C96:F96"/>
    <mergeCell ref="B120:F120"/>
    <mergeCell ref="B107:F107"/>
    <mergeCell ref="D74:F74"/>
    <mergeCell ref="D83:F83"/>
    <mergeCell ref="D117:F117"/>
    <mergeCell ref="B88:F88"/>
    <mergeCell ref="D157:F157"/>
    <mergeCell ref="C98:F98"/>
    <mergeCell ref="D76:F76"/>
    <mergeCell ref="C144:F144"/>
    <mergeCell ref="D116:F116"/>
    <mergeCell ref="B3:F3"/>
    <mergeCell ref="D66:F66"/>
    <mergeCell ref="B184:F184"/>
    <mergeCell ref="C125:F125"/>
    <mergeCell ref="B131:F131"/>
    <mergeCell ref="D53:F53"/>
    <mergeCell ref="D75:F75"/>
    <mergeCell ref="D47:F47"/>
    <mergeCell ref="E8:F8"/>
    <mergeCell ref="C13:F13"/>
    <mergeCell ref="B172:F172"/>
    <mergeCell ref="C171:F171"/>
    <mergeCell ref="C175:F175"/>
    <mergeCell ref="B82:F82"/>
    <mergeCell ref="D67:F67"/>
    <mergeCell ref="D132:F132"/>
    <mergeCell ref="D85:F85"/>
    <mergeCell ref="B146:F146"/>
    <mergeCell ref="D60:F60"/>
    <mergeCell ref="D135:F135"/>
    <mergeCell ref="D48:F48"/>
  </mergeCells>
  <conditionalFormatting sqref="C20:C24">
    <cfRule type="cellIs" dxfId="141" priority="1" operator="equal">
      <formula>"Met"</formula>
    </cfRule>
    <cfRule type="cellIs" dxfId="140" priority="2" operator="equal">
      <formula>"Partial"</formula>
    </cfRule>
    <cfRule type="cellIs" dxfId="139" priority="3" operator="equal">
      <formula>"Missed"</formula>
    </cfRule>
  </conditionalFormatting>
  <conditionalFormatting sqref="C27">
    <cfRule type="cellIs" dxfId="138" priority="4" operator="lessThanOrEqual">
      <formula>2</formula>
    </cfRule>
    <cfRule type="cellIs" dxfId="137" priority="5" operator="equal">
      <formula>3</formula>
    </cfRule>
    <cfRule type="cellIs" dxfId="136" priority="6" operator="greaterThanOrEqual">
      <formula>4</formula>
    </cfRule>
  </conditionalFormatting>
  <conditionalFormatting sqref="C33:C39">
    <cfRule type="cellIs" dxfId="135" priority="7" operator="equal">
      <formula>"Met"</formula>
    </cfRule>
    <cfRule type="cellIs" dxfId="134" priority="8" operator="equal">
      <formula>"Partial"</formula>
    </cfRule>
    <cfRule type="cellIs" dxfId="133" priority="9" operator="equal">
      <formula>"Missed"</formula>
    </cfRule>
  </conditionalFormatting>
  <conditionalFormatting sqref="C42">
    <cfRule type="cellIs" dxfId="132" priority="10" operator="lessThanOrEqual">
      <formula>2</formula>
    </cfRule>
    <cfRule type="cellIs" dxfId="131" priority="11" operator="equal">
      <formula>3</formula>
    </cfRule>
    <cfRule type="cellIs" dxfId="130" priority="12" operator="greaterThanOrEqual">
      <formula>4</formula>
    </cfRule>
  </conditionalFormatting>
  <conditionalFormatting sqref="C48:C55">
    <cfRule type="cellIs" dxfId="129" priority="13" operator="equal">
      <formula>"Met"</formula>
    </cfRule>
    <cfRule type="cellIs" dxfId="128" priority="14" operator="equal">
      <formula>"Partial"</formula>
    </cfRule>
    <cfRule type="cellIs" dxfId="127" priority="15" operator="equal">
      <formula>"Missed"</formula>
    </cfRule>
  </conditionalFormatting>
  <conditionalFormatting sqref="C58">
    <cfRule type="cellIs" dxfId="126" priority="16" operator="lessThanOrEqual">
      <formula>2</formula>
    </cfRule>
    <cfRule type="cellIs" dxfId="125" priority="17" operator="equal">
      <formula>3</formula>
    </cfRule>
    <cfRule type="cellIs" dxfId="124" priority="18" operator="greaterThanOrEqual">
      <formula>4</formula>
    </cfRule>
  </conditionalFormatting>
  <conditionalFormatting sqref="C64:C71">
    <cfRule type="cellIs" dxfId="123" priority="19" operator="equal">
      <formula>"Met"</formula>
    </cfRule>
    <cfRule type="cellIs" dxfId="122" priority="20" operator="equal">
      <formula>"Partial"</formula>
    </cfRule>
    <cfRule type="cellIs" dxfId="121" priority="21" operator="equal">
      <formula>"Missed"</formula>
    </cfRule>
  </conditionalFormatting>
  <conditionalFormatting sqref="C74">
    <cfRule type="cellIs" dxfId="120" priority="22" operator="lessThanOrEqual">
      <formula>2</formula>
    </cfRule>
    <cfRule type="cellIs" dxfId="119" priority="23" operator="equal">
      <formula>3</formula>
    </cfRule>
    <cfRule type="cellIs" dxfId="118" priority="24" operator="greaterThanOrEqual">
      <formula>4</formula>
    </cfRule>
  </conditionalFormatting>
  <conditionalFormatting sqref="C80:C84">
    <cfRule type="cellIs" dxfId="117" priority="25" operator="equal">
      <formula>"Met"</formula>
    </cfRule>
    <cfRule type="cellIs" dxfId="116" priority="26" operator="equal">
      <formula>"Partial"</formula>
    </cfRule>
    <cfRule type="cellIs" dxfId="115" priority="27" operator="equal">
      <formula>"Missed"</formula>
    </cfRule>
  </conditionalFormatting>
  <conditionalFormatting sqref="C87">
    <cfRule type="cellIs" dxfId="114" priority="28" operator="lessThanOrEqual">
      <formula>2</formula>
    </cfRule>
    <cfRule type="cellIs" dxfId="113" priority="29" operator="equal">
      <formula>3</formula>
    </cfRule>
    <cfRule type="cellIs" dxfId="112" priority="30" operator="greaterThanOrEqual">
      <formula>4</formula>
    </cfRule>
  </conditionalFormatting>
  <conditionalFormatting sqref="C93:C98">
    <cfRule type="cellIs" dxfId="111" priority="31" operator="equal">
      <formula>"Met"</formula>
    </cfRule>
    <cfRule type="cellIs" dxfId="110" priority="32" operator="equal">
      <formula>"Partial"</formula>
    </cfRule>
    <cfRule type="cellIs" dxfId="109" priority="33" operator="equal">
      <formula>"Missed"</formula>
    </cfRule>
  </conditionalFormatting>
  <conditionalFormatting sqref="C101">
    <cfRule type="cellIs" dxfId="108" priority="34" operator="lessThanOrEqual">
      <formula>2</formula>
    </cfRule>
    <cfRule type="cellIs" dxfId="107" priority="35" operator="equal">
      <formula>3</formula>
    </cfRule>
    <cfRule type="cellIs" dxfId="106" priority="36" operator="greaterThanOrEqual">
      <formula>4</formula>
    </cfRule>
  </conditionalFormatting>
  <conditionalFormatting sqref="C107:C113">
    <cfRule type="cellIs" dxfId="105" priority="37" operator="equal">
      <formula>"Met"</formula>
    </cfRule>
    <cfRule type="cellIs" dxfId="104" priority="38" operator="equal">
      <formula>"Partial"</formula>
    </cfRule>
    <cfRule type="cellIs" dxfId="103" priority="39" operator="equal">
      <formula>"Missed"</formula>
    </cfRule>
  </conditionalFormatting>
  <conditionalFormatting sqref="C116">
    <cfRule type="cellIs" dxfId="102" priority="40" operator="lessThanOrEqual">
      <formula>2</formula>
    </cfRule>
    <cfRule type="cellIs" dxfId="101" priority="41" operator="equal">
      <formula>3</formula>
    </cfRule>
    <cfRule type="cellIs" dxfId="100" priority="42" operator="greaterThanOrEqual">
      <formula>4</formula>
    </cfRule>
  </conditionalFormatting>
  <conditionalFormatting sqref="C141:C151">
    <cfRule type="cellIs" dxfId="99" priority="51" operator="equal">
      <formula>"Yes"</formula>
    </cfRule>
  </conditionalFormatting>
  <conditionalFormatting sqref="C152">
    <cfRule type="expression" dxfId="98" priority="53">
      <formula>NOT(ISNUMBER(SEARCH("YES",C152)))</formula>
    </cfRule>
    <cfRule type="expression" dxfId="97" priority="52">
      <formula>ISNUMBER(SEARCH("YES",C152))</formula>
    </cfRule>
  </conditionalFormatting>
  <conditionalFormatting sqref="E128">
    <cfRule type="cellIs" dxfId="96" priority="43" operator="greaterThanOrEqual">
      <formula>0.85</formula>
    </cfRule>
    <cfRule type="cellIs" dxfId="95" priority="44" operator="between">
      <formula>0.7</formula>
      <formula>0.8499</formula>
    </cfRule>
    <cfRule type="cellIs" dxfId="94" priority="45" operator="lessThan">
      <formula>0.7</formula>
    </cfRule>
  </conditionalFormatting>
  <conditionalFormatting sqref="E137">
    <cfRule type="expression" dxfId="93" priority="49">
      <formula>E137&lt;&gt;"OK"</formula>
    </cfRule>
    <cfRule type="expression" dxfId="92" priority="50">
      <formula>E137="OK"</formula>
    </cfRule>
  </conditionalFormatting>
  <conditionalFormatting sqref="F121:F127">
    <cfRule type="cellIs" dxfId="91" priority="46" operator="equal">
      <formula>"Strong"</formula>
    </cfRule>
    <cfRule type="cellIs" dxfId="90" priority="48" operator="equal">
      <formula>"Needs Focus"</formula>
    </cfRule>
    <cfRule type="cellIs" dxfId="89" priority="47" operator="equal">
      <formula>"Developing"</formula>
    </cfRule>
  </conditionalFormatting>
  <dataValidations count="11">
    <dataValidation type="list" allowBlank="1" sqref="C35 C36 C37 C38 C46 C47 C48 C49 C50 C58 C59 C60 C61 C62 C63 C64 C72 C73 C75 C76 C84 C85 C86 C87 C102 C103 C104 C105 C106 C114 C115 C116 C117 C118 C119" xr:uid="{00000000-0002-0000-0100-000000000000}">
      <formula1>"Met,Partial,Missed,N.A."</formula1>
    </dataValidation>
    <dataValidation type="whole" allowBlank="1" sqref="C41 C53 C67 C79 C90 C109 C122" xr:uid="{00000000-0002-0000-0100-000001000000}">
      <formula1>0</formula1>
    </dataValidation>
    <dataValidation type="list" allowBlank="1" sqref="C129 C133:C143 C152:C162 E9" xr:uid="{00000000-0002-0000-0100-000002000000}">
      <formula1>"No,Yes"</formula1>
    </dataValidation>
    <dataValidation type="list" allowBlank="1" sqref="C7" xr:uid="{00000000-0002-0000-0100-000003000000}">
      <formula1>"In-Warranty,Out-of-Warranty,Unknown"</formula1>
    </dataValidation>
    <dataValidation type="list" allowBlank="1" sqref="E6" xr:uid="{00000000-0002-0000-0100-000004000000}">
      <formula1>"Phone,Chat,Email,Social,Other"</formula1>
    </dataValidation>
    <dataValidation type="list" allowBlank="1" sqref="C8" xr:uid="{00000000-0002-0000-0100-000005000000}">
      <formula1>"Technical Issue,Setup/How-To,RMA/Replacement,Billing/Account,Connectivity,Other"</formula1>
    </dataValidation>
    <dataValidation type="list" allowBlank="1" sqref="E11" xr:uid="{00000000-0002-0000-0100-000006000000}">
      <formula1>"Within SLA,Breached,N.A."</formula1>
    </dataValidation>
    <dataValidation type="list" allowBlank="1" sqref="C125" xr:uid="{00000000-0002-0000-0100-000007000000}">
      <formula1>"Successful Resolution,Partial Resolution,Appropriate Escalation,Ownership Gap,Unresolved"</formula1>
    </dataValidation>
    <dataValidation type="list" allowBlank="1" sqref="C126"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100-000009000000}">
      <formula1>"Callback attempt,Follow-up email,Private note documenting actions,Documented why follow-up not possible,None,N.A. — no disconnect"</formula1>
    </dataValidation>
    <dataValidation type="list" allowBlank="1" sqref="C148:C150" xr:uid="{00000000-0002-0000-0100-00000A000000}">
      <formula1>"Yes,No,N.A."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43"/>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137" t="s">
        <v>617</v>
      </c>
      <c r="B1" s="136"/>
      <c r="C1" s="136"/>
      <c r="D1" s="136"/>
      <c r="E1" s="136"/>
    </row>
    <row r="2" spans="1:5" ht="18" customHeight="1" x14ac:dyDescent="0.35">
      <c r="A2" s="139" t="s">
        <v>618</v>
      </c>
      <c r="B2" s="136"/>
      <c r="C2" s="136"/>
      <c r="D2" s="136"/>
      <c r="E2" s="136"/>
    </row>
    <row r="3" spans="1:5" ht="22" customHeight="1" x14ac:dyDescent="0.35">
      <c r="A3" s="69" t="s">
        <v>619</v>
      </c>
      <c r="B3" s="69" t="s">
        <v>48</v>
      </c>
      <c r="C3" s="69" t="s">
        <v>620</v>
      </c>
      <c r="D3" s="69" t="s">
        <v>621</v>
      </c>
      <c r="E3" s="69" t="s">
        <v>622</v>
      </c>
    </row>
    <row r="4" spans="1:5" ht="72" customHeight="1" x14ac:dyDescent="0.35">
      <c r="A4" s="138" t="s">
        <v>623</v>
      </c>
      <c r="B4" s="135" t="s">
        <v>624</v>
      </c>
      <c r="C4" s="70" t="s">
        <v>401</v>
      </c>
      <c r="D4" s="71" t="s">
        <v>625</v>
      </c>
      <c r="E4" s="72" t="s">
        <v>626</v>
      </c>
    </row>
    <row r="5" spans="1:5" ht="72" customHeight="1" x14ac:dyDescent="0.35">
      <c r="A5" s="136"/>
      <c r="B5" s="136"/>
      <c r="C5" s="73" t="s">
        <v>398</v>
      </c>
      <c r="D5" s="74" t="s">
        <v>627</v>
      </c>
      <c r="E5" s="75" t="s">
        <v>628</v>
      </c>
    </row>
    <row r="6" spans="1:5" ht="72" customHeight="1" x14ac:dyDescent="0.35">
      <c r="A6" s="136"/>
      <c r="B6" s="136"/>
      <c r="C6" s="76" t="s">
        <v>440</v>
      </c>
      <c r="D6" s="77" t="s">
        <v>629</v>
      </c>
      <c r="E6" s="78" t="s">
        <v>630</v>
      </c>
    </row>
    <row r="7" spans="1:5" ht="72" customHeight="1" x14ac:dyDescent="0.35">
      <c r="A7" s="136"/>
      <c r="B7" s="136"/>
      <c r="C7" s="79" t="s">
        <v>631</v>
      </c>
      <c r="D7" s="80" t="s">
        <v>632</v>
      </c>
      <c r="E7" s="81"/>
    </row>
    <row r="8" spans="1:5" ht="72" customHeight="1" x14ac:dyDescent="0.35">
      <c r="A8" s="136"/>
      <c r="B8" s="135" t="s">
        <v>52</v>
      </c>
      <c r="C8" s="70" t="s">
        <v>401</v>
      </c>
      <c r="D8" s="71" t="s">
        <v>633</v>
      </c>
      <c r="E8" s="72" t="s">
        <v>634</v>
      </c>
    </row>
    <row r="9" spans="1:5" ht="72" customHeight="1" x14ac:dyDescent="0.35">
      <c r="A9" s="136"/>
      <c r="B9" s="136"/>
      <c r="C9" s="73" t="s">
        <v>398</v>
      </c>
      <c r="D9" s="74" t="s">
        <v>635</v>
      </c>
      <c r="E9" s="75" t="s">
        <v>636</v>
      </c>
    </row>
    <row r="10" spans="1:5" ht="72" customHeight="1" x14ac:dyDescent="0.35">
      <c r="A10" s="136"/>
      <c r="B10" s="136"/>
      <c r="C10" s="76" t="s">
        <v>440</v>
      </c>
      <c r="D10" s="77" t="s">
        <v>637</v>
      </c>
      <c r="E10" s="78" t="s">
        <v>638</v>
      </c>
    </row>
    <row r="11" spans="1:5" ht="72" customHeight="1" x14ac:dyDescent="0.35">
      <c r="A11" s="136"/>
      <c r="B11" s="136"/>
      <c r="C11" s="79" t="s">
        <v>631</v>
      </c>
      <c r="D11" s="80" t="s">
        <v>639</v>
      </c>
      <c r="E11" s="81"/>
    </row>
    <row r="12" spans="1:5" ht="72" customHeight="1" x14ac:dyDescent="0.35">
      <c r="A12" s="136"/>
      <c r="B12" s="135" t="s">
        <v>53</v>
      </c>
      <c r="C12" s="70" t="s">
        <v>401</v>
      </c>
      <c r="D12" s="71" t="s">
        <v>640</v>
      </c>
      <c r="E12" s="72" t="s">
        <v>641</v>
      </c>
    </row>
    <row r="13" spans="1:5" ht="72" customHeight="1" x14ac:dyDescent="0.35">
      <c r="A13" s="136"/>
      <c r="B13" s="136"/>
      <c r="C13" s="73" t="s">
        <v>398</v>
      </c>
      <c r="D13" s="74" t="s">
        <v>642</v>
      </c>
      <c r="E13" s="75" t="s">
        <v>643</v>
      </c>
    </row>
    <row r="14" spans="1:5" ht="72" customHeight="1" x14ac:dyDescent="0.35">
      <c r="A14" s="136"/>
      <c r="B14" s="136"/>
      <c r="C14" s="76" t="s">
        <v>440</v>
      </c>
      <c r="D14" s="77" t="s">
        <v>644</v>
      </c>
      <c r="E14" s="78" t="s">
        <v>645</v>
      </c>
    </row>
    <row r="15" spans="1:5" ht="72" customHeight="1" x14ac:dyDescent="0.35">
      <c r="A15" s="136"/>
      <c r="B15" s="136"/>
      <c r="C15" s="79" t="s">
        <v>631</v>
      </c>
      <c r="D15" s="80" t="s">
        <v>646</v>
      </c>
      <c r="E15" s="81"/>
    </row>
    <row r="16" spans="1:5" ht="72" customHeight="1" x14ac:dyDescent="0.35">
      <c r="A16" s="136"/>
      <c r="B16" s="135" t="s">
        <v>54</v>
      </c>
      <c r="C16" s="70" t="s">
        <v>401</v>
      </c>
      <c r="D16" s="71" t="s">
        <v>647</v>
      </c>
      <c r="E16" s="72" t="s">
        <v>648</v>
      </c>
    </row>
    <row r="17" spans="1:5" ht="72" customHeight="1" x14ac:dyDescent="0.35">
      <c r="A17" s="136"/>
      <c r="B17" s="136"/>
      <c r="C17" s="73" t="s">
        <v>398</v>
      </c>
      <c r="D17" s="74" t="s">
        <v>649</v>
      </c>
      <c r="E17" s="75" t="s">
        <v>650</v>
      </c>
    </row>
    <row r="18" spans="1:5" ht="72" customHeight="1" x14ac:dyDescent="0.35">
      <c r="A18" s="136"/>
      <c r="B18" s="136"/>
      <c r="C18" s="76" t="s">
        <v>440</v>
      </c>
      <c r="D18" s="77" t="s">
        <v>651</v>
      </c>
      <c r="E18" s="78" t="s">
        <v>652</v>
      </c>
    </row>
    <row r="19" spans="1:5" ht="72" customHeight="1" x14ac:dyDescent="0.35">
      <c r="A19" s="136"/>
      <c r="B19" s="136"/>
      <c r="C19" s="79" t="s">
        <v>631</v>
      </c>
      <c r="D19" s="80" t="s">
        <v>653</v>
      </c>
      <c r="E19" s="81"/>
    </row>
    <row r="20" spans="1:5" ht="72" customHeight="1" x14ac:dyDescent="0.35">
      <c r="A20" s="138" t="s">
        <v>654</v>
      </c>
      <c r="B20" s="135" t="s">
        <v>62</v>
      </c>
      <c r="C20" s="70" t="s">
        <v>401</v>
      </c>
      <c r="D20" s="71" t="s">
        <v>655</v>
      </c>
      <c r="E20" s="72" t="s">
        <v>656</v>
      </c>
    </row>
    <row r="21" spans="1:5" ht="72" customHeight="1" x14ac:dyDescent="0.35">
      <c r="A21" s="136"/>
      <c r="B21" s="136"/>
      <c r="C21" s="73" t="s">
        <v>398</v>
      </c>
      <c r="D21" s="74" t="s">
        <v>657</v>
      </c>
      <c r="E21" s="75" t="s">
        <v>658</v>
      </c>
    </row>
    <row r="22" spans="1:5" ht="72" customHeight="1" x14ac:dyDescent="0.35">
      <c r="A22" s="136"/>
      <c r="B22" s="136"/>
      <c r="C22" s="76" t="s">
        <v>440</v>
      </c>
      <c r="D22" s="77" t="s">
        <v>659</v>
      </c>
      <c r="E22" s="78" t="s">
        <v>660</v>
      </c>
    </row>
    <row r="23" spans="1:5" ht="72" customHeight="1" x14ac:dyDescent="0.35">
      <c r="A23" s="136"/>
      <c r="B23" s="136"/>
      <c r="C23" s="79" t="s">
        <v>631</v>
      </c>
      <c r="D23" s="80" t="s">
        <v>661</v>
      </c>
      <c r="E23" s="81"/>
    </row>
    <row r="24" spans="1:5" ht="72" customHeight="1" x14ac:dyDescent="0.35">
      <c r="A24" s="136"/>
      <c r="B24" s="135" t="s">
        <v>63</v>
      </c>
      <c r="C24" s="70" t="s">
        <v>401</v>
      </c>
      <c r="D24" s="71" t="s">
        <v>662</v>
      </c>
      <c r="E24" s="72" t="s">
        <v>663</v>
      </c>
    </row>
    <row r="25" spans="1:5" ht="72" customHeight="1" x14ac:dyDescent="0.35">
      <c r="A25" s="136"/>
      <c r="B25" s="136"/>
      <c r="C25" s="73" t="s">
        <v>398</v>
      </c>
      <c r="D25" s="74" t="s">
        <v>664</v>
      </c>
      <c r="E25" s="75" t="s">
        <v>665</v>
      </c>
    </row>
    <row r="26" spans="1:5" ht="72" customHeight="1" x14ac:dyDescent="0.35">
      <c r="A26" s="136"/>
      <c r="B26" s="136"/>
      <c r="C26" s="76" t="s">
        <v>440</v>
      </c>
      <c r="D26" s="77" t="s">
        <v>666</v>
      </c>
      <c r="E26" s="78" t="s">
        <v>667</v>
      </c>
    </row>
    <row r="27" spans="1:5" ht="72" customHeight="1" x14ac:dyDescent="0.35">
      <c r="A27" s="136"/>
      <c r="B27" s="136"/>
      <c r="C27" s="79" t="s">
        <v>631</v>
      </c>
      <c r="D27" s="80" t="s">
        <v>668</v>
      </c>
      <c r="E27" s="81"/>
    </row>
    <row r="28" spans="1:5" ht="72" customHeight="1" x14ac:dyDescent="0.35">
      <c r="A28" s="136"/>
      <c r="B28" s="135" t="s">
        <v>64</v>
      </c>
      <c r="C28" s="70" t="s">
        <v>401</v>
      </c>
      <c r="D28" s="71" t="s">
        <v>669</v>
      </c>
      <c r="E28" s="72" t="s">
        <v>670</v>
      </c>
    </row>
    <row r="29" spans="1:5" ht="72" customHeight="1" x14ac:dyDescent="0.35">
      <c r="A29" s="136"/>
      <c r="B29" s="136"/>
      <c r="C29" s="73" t="s">
        <v>398</v>
      </c>
      <c r="D29" s="74" t="s">
        <v>671</v>
      </c>
      <c r="E29" s="75" t="s">
        <v>672</v>
      </c>
    </row>
    <row r="30" spans="1:5" ht="72" customHeight="1" x14ac:dyDescent="0.35">
      <c r="A30" s="136"/>
      <c r="B30" s="136"/>
      <c r="C30" s="76" t="s">
        <v>440</v>
      </c>
      <c r="D30" s="77" t="s">
        <v>673</v>
      </c>
      <c r="E30" s="78" t="s">
        <v>674</v>
      </c>
    </row>
    <row r="31" spans="1:5" ht="72" customHeight="1" x14ac:dyDescent="0.35">
      <c r="A31" s="136"/>
      <c r="B31" s="136"/>
      <c r="C31" s="79" t="s">
        <v>631</v>
      </c>
      <c r="D31" s="80" t="s">
        <v>675</v>
      </c>
      <c r="E31" s="81"/>
    </row>
    <row r="32" spans="1:5" ht="72" customHeight="1" x14ac:dyDescent="0.35">
      <c r="A32" s="136"/>
      <c r="B32" s="135" t="s">
        <v>65</v>
      </c>
      <c r="C32" s="70" t="s">
        <v>401</v>
      </c>
      <c r="D32" s="71" t="s">
        <v>676</v>
      </c>
      <c r="E32" s="72" t="s">
        <v>677</v>
      </c>
    </row>
    <row r="33" spans="1:5" ht="72" customHeight="1" x14ac:dyDescent="0.35">
      <c r="A33" s="136"/>
      <c r="B33" s="136"/>
      <c r="C33" s="73" t="s">
        <v>398</v>
      </c>
      <c r="D33" s="74" t="s">
        <v>678</v>
      </c>
      <c r="E33" s="75" t="s">
        <v>679</v>
      </c>
    </row>
    <row r="34" spans="1:5" ht="72" customHeight="1" x14ac:dyDescent="0.35">
      <c r="A34" s="136"/>
      <c r="B34" s="136"/>
      <c r="C34" s="76" t="s">
        <v>440</v>
      </c>
      <c r="D34" s="77" t="s">
        <v>680</v>
      </c>
      <c r="E34" s="78" t="s">
        <v>681</v>
      </c>
    </row>
    <row r="35" spans="1:5" ht="72" customHeight="1" x14ac:dyDescent="0.35">
      <c r="A35" s="136"/>
      <c r="B35" s="136"/>
      <c r="C35" s="79" t="s">
        <v>631</v>
      </c>
      <c r="D35" s="80" t="s">
        <v>682</v>
      </c>
      <c r="E35" s="81"/>
    </row>
    <row r="36" spans="1:5" ht="72" customHeight="1" x14ac:dyDescent="0.35">
      <c r="A36" s="136"/>
      <c r="B36" s="135" t="s">
        <v>66</v>
      </c>
      <c r="C36" s="70" t="s">
        <v>401</v>
      </c>
      <c r="D36" s="71" t="s">
        <v>683</v>
      </c>
      <c r="E36" s="72" t="s">
        <v>684</v>
      </c>
    </row>
    <row r="37" spans="1:5" ht="72" customHeight="1" x14ac:dyDescent="0.35">
      <c r="A37" s="136"/>
      <c r="B37" s="136"/>
      <c r="C37" s="73" t="s">
        <v>398</v>
      </c>
      <c r="D37" s="74" t="s">
        <v>685</v>
      </c>
      <c r="E37" s="75" t="s">
        <v>686</v>
      </c>
    </row>
    <row r="38" spans="1:5" ht="72" customHeight="1" x14ac:dyDescent="0.35">
      <c r="A38" s="136"/>
      <c r="B38" s="136"/>
      <c r="C38" s="76" t="s">
        <v>440</v>
      </c>
      <c r="D38" s="77" t="s">
        <v>687</v>
      </c>
      <c r="E38" s="78" t="s">
        <v>688</v>
      </c>
    </row>
    <row r="39" spans="1:5" ht="72" customHeight="1" x14ac:dyDescent="0.35">
      <c r="A39" s="136"/>
      <c r="B39" s="136"/>
      <c r="C39" s="79" t="s">
        <v>631</v>
      </c>
      <c r="D39" s="80" t="s">
        <v>689</v>
      </c>
      <c r="E39" s="81"/>
    </row>
    <row r="40" spans="1:5" ht="72" customHeight="1" x14ac:dyDescent="0.35">
      <c r="A40" s="138" t="s">
        <v>690</v>
      </c>
      <c r="B40" s="135" t="s">
        <v>72</v>
      </c>
      <c r="C40" s="70" t="s">
        <v>401</v>
      </c>
      <c r="D40" s="71" t="s">
        <v>691</v>
      </c>
      <c r="E40" s="72" t="s">
        <v>692</v>
      </c>
    </row>
    <row r="41" spans="1:5" ht="72" customHeight="1" x14ac:dyDescent="0.35">
      <c r="A41" s="136"/>
      <c r="B41" s="136"/>
      <c r="C41" s="73" t="s">
        <v>398</v>
      </c>
      <c r="D41" s="74" t="s">
        <v>693</v>
      </c>
      <c r="E41" s="75" t="s">
        <v>694</v>
      </c>
    </row>
    <row r="42" spans="1:5" ht="72" customHeight="1" x14ac:dyDescent="0.35">
      <c r="A42" s="136"/>
      <c r="B42" s="136"/>
      <c r="C42" s="76" t="s">
        <v>440</v>
      </c>
      <c r="D42" s="77" t="s">
        <v>695</v>
      </c>
      <c r="E42" s="78" t="s">
        <v>696</v>
      </c>
    </row>
    <row r="43" spans="1:5" ht="72" customHeight="1" x14ac:dyDescent="0.35">
      <c r="A43" s="136"/>
      <c r="B43" s="136"/>
      <c r="C43" s="79" t="s">
        <v>631</v>
      </c>
      <c r="D43" s="80" t="s">
        <v>697</v>
      </c>
      <c r="E43" s="81"/>
    </row>
    <row r="44" spans="1:5" ht="72" customHeight="1" x14ac:dyDescent="0.35">
      <c r="A44" s="136"/>
      <c r="B44" s="135" t="s">
        <v>73</v>
      </c>
      <c r="C44" s="70" t="s">
        <v>401</v>
      </c>
      <c r="D44" s="71" t="s">
        <v>698</v>
      </c>
      <c r="E44" s="72" t="s">
        <v>699</v>
      </c>
    </row>
    <row r="45" spans="1:5" ht="72" customHeight="1" x14ac:dyDescent="0.35">
      <c r="A45" s="136"/>
      <c r="B45" s="136"/>
      <c r="C45" s="73" t="s">
        <v>398</v>
      </c>
      <c r="D45" s="74" t="s">
        <v>700</v>
      </c>
      <c r="E45" s="75" t="s">
        <v>701</v>
      </c>
    </row>
    <row r="46" spans="1:5" ht="72" customHeight="1" x14ac:dyDescent="0.35">
      <c r="A46" s="136"/>
      <c r="B46" s="136"/>
      <c r="C46" s="76" t="s">
        <v>440</v>
      </c>
      <c r="D46" s="77" t="s">
        <v>702</v>
      </c>
      <c r="E46" s="78" t="s">
        <v>703</v>
      </c>
    </row>
    <row r="47" spans="1:5" ht="72" customHeight="1" x14ac:dyDescent="0.35">
      <c r="A47" s="136"/>
      <c r="B47" s="136"/>
      <c r="C47" s="79" t="s">
        <v>631</v>
      </c>
      <c r="D47" s="80" t="s">
        <v>653</v>
      </c>
      <c r="E47" s="81"/>
    </row>
    <row r="48" spans="1:5" ht="72" customHeight="1" x14ac:dyDescent="0.35">
      <c r="A48" s="136"/>
      <c r="B48" s="135" t="s">
        <v>74</v>
      </c>
      <c r="C48" s="70" t="s">
        <v>401</v>
      </c>
      <c r="D48" s="71" t="s">
        <v>704</v>
      </c>
      <c r="E48" s="72" t="s">
        <v>705</v>
      </c>
    </row>
    <row r="49" spans="1:5" ht="72" customHeight="1" x14ac:dyDescent="0.35">
      <c r="A49" s="136"/>
      <c r="B49" s="136"/>
      <c r="C49" s="73" t="s">
        <v>398</v>
      </c>
      <c r="D49" s="74" t="s">
        <v>706</v>
      </c>
      <c r="E49" s="75" t="s">
        <v>707</v>
      </c>
    </row>
    <row r="50" spans="1:5" ht="72" customHeight="1" x14ac:dyDescent="0.35">
      <c r="A50" s="136"/>
      <c r="B50" s="136"/>
      <c r="C50" s="76" t="s">
        <v>440</v>
      </c>
      <c r="D50" s="77" t="s">
        <v>708</v>
      </c>
      <c r="E50" s="78" t="s">
        <v>709</v>
      </c>
    </row>
    <row r="51" spans="1:5" ht="72" customHeight="1" x14ac:dyDescent="0.35">
      <c r="A51" s="136"/>
      <c r="B51" s="136"/>
      <c r="C51" s="79" t="s">
        <v>631</v>
      </c>
      <c r="D51" s="80" t="s">
        <v>653</v>
      </c>
      <c r="E51" s="81"/>
    </row>
    <row r="52" spans="1:5" ht="72" customHeight="1" x14ac:dyDescent="0.35">
      <c r="A52" s="136"/>
      <c r="B52" s="135" t="s">
        <v>75</v>
      </c>
      <c r="C52" s="70" t="s">
        <v>401</v>
      </c>
      <c r="D52" s="71" t="s">
        <v>710</v>
      </c>
      <c r="E52" s="72" t="s">
        <v>711</v>
      </c>
    </row>
    <row r="53" spans="1:5" ht="72" customHeight="1" x14ac:dyDescent="0.35">
      <c r="A53" s="136"/>
      <c r="B53" s="136"/>
      <c r="C53" s="73" t="s">
        <v>398</v>
      </c>
      <c r="D53" s="74" t="s">
        <v>712</v>
      </c>
      <c r="E53" s="75" t="s">
        <v>713</v>
      </c>
    </row>
    <row r="54" spans="1:5" ht="72" customHeight="1" x14ac:dyDescent="0.35">
      <c r="A54" s="136"/>
      <c r="B54" s="136"/>
      <c r="C54" s="76" t="s">
        <v>440</v>
      </c>
      <c r="D54" s="77" t="s">
        <v>714</v>
      </c>
      <c r="E54" s="78" t="s">
        <v>715</v>
      </c>
    </row>
    <row r="55" spans="1:5" ht="72" customHeight="1" x14ac:dyDescent="0.35">
      <c r="A55" s="136"/>
      <c r="B55" s="136"/>
      <c r="C55" s="79" t="s">
        <v>631</v>
      </c>
      <c r="D55" s="80" t="s">
        <v>653</v>
      </c>
      <c r="E55" s="81"/>
    </row>
    <row r="56" spans="1:5" ht="72" customHeight="1" x14ac:dyDescent="0.35">
      <c r="A56" s="136"/>
      <c r="B56" s="135" t="s">
        <v>76</v>
      </c>
      <c r="C56" s="70" t="s">
        <v>401</v>
      </c>
      <c r="D56" s="71" t="s">
        <v>716</v>
      </c>
      <c r="E56" s="72" t="s">
        <v>717</v>
      </c>
    </row>
    <row r="57" spans="1:5" ht="72" customHeight="1" x14ac:dyDescent="0.35">
      <c r="A57" s="136"/>
      <c r="B57" s="136"/>
      <c r="C57" s="73" t="s">
        <v>398</v>
      </c>
      <c r="D57" s="74" t="s">
        <v>718</v>
      </c>
      <c r="E57" s="75" t="s">
        <v>719</v>
      </c>
    </row>
    <row r="58" spans="1:5" ht="72" customHeight="1" x14ac:dyDescent="0.35">
      <c r="A58" s="136"/>
      <c r="B58" s="136"/>
      <c r="C58" s="76" t="s">
        <v>440</v>
      </c>
      <c r="D58" s="77" t="s">
        <v>720</v>
      </c>
      <c r="E58" s="78" t="s">
        <v>721</v>
      </c>
    </row>
    <row r="59" spans="1:5" ht="72" customHeight="1" x14ac:dyDescent="0.35">
      <c r="A59" s="136"/>
      <c r="B59" s="136"/>
      <c r="C59" s="79" t="s">
        <v>631</v>
      </c>
      <c r="D59" s="80" t="s">
        <v>653</v>
      </c>
      <c r="E59" s="81"/>
    </row>
    <row r="60" spans="1:5" ht="72" customHeight="1" x14ac:dyDescent="0.35">
      <c r="A60" s="136"/>
      <c r="B60" s="135" t="s">
        <v>77</v>
      </c>
      <c r="C60" s="70" t="s">
        <v>401</v>
      </c>
      <c r="D60" s="71" t="s">
        <v>722</v>
      </c>
      <c r="E60" s="72" t="s">
        <v>723</v>
      </c>
    </row>
    <row r="61" spans="1:5" ht="72" customHeight="1" x14ac:dyDescent="0.35">
      <c r="A61" s="136"/>
      <c r="B61" s="136"/>
      <c r="C61" s="73" t="s">
        <v>398</v>
      </c>
      <c r="D61" s="74" t="s">
        <v>724</v>
      </c>
      <c r="E61" s="75" t="s">
        <v>725</v>
      </c>
    </row>
    <row r="62" spans="1:5" ht="72" customHeight="1" x14ac:dyDescent="0.35">
      <c r="A62" s="136"/>
      <c r="B62" s="136"/>
      <c r="C62" s="76" t="s">
        <v>440</v>
      </c>
      <c r="D62" s="77" t="s">
        <v>726</v>
      </c>
      <c r="E62" s="78" t="s">
        <v>727</v>
      </c>
    </row>
    <row r="63" spans="1:5" ht="72" customHeight="1" x14ac:dyDescent="0.35">
      <c r="A63" s="136"/>
      <c r="B63" s="136"/>
      <c r="C63" s="79" t="s">
        <v>631</v>
      </c>
      <c r="D63" s="80" t="s">
        <v>728</v>
      </c>
      <c r="E63" s="81"/>
    </row>
    <row r="64" spans="1:5" ht="72" customHeight="1" x14ac:dyDescent="0.35">
      <c r="A64" s="136"/>
      <c r="B64" s="135" t="s">
        <v>729</v>
      </c>
      <c r="C64" s="70" t="s">
        <v>401</v>
      </c>
      <c r="D64" s="71" t="s">
        <v>730</v>
      </c>
      <c r="E64" s="72" t="s">
        <v>731</v>
      </c>
    </row>
    <row r="65" spans="1:5" ht="72" customHeight="1" x14ac:dyDescent="0.35">
      <c r="A65" s="136"/>
      <c r="B65" s="136"/>
      <c r="C65" s="73" t="s">
        <v>398</v>
      </c>
      <c r="D65" s="74" t="s">
        <v>732</v>
      </c>
      <c r="E65" s="75" t="s">
        <v>733</v>
      </c>
    </row>
    <row r="66" spans="1:5" ht="72" customHeight="1" x14ac:dyDescent="0.35">
      <c r="A66" s="136"/>
      <c r="B66" s="136"/>
      <c r="C66" s="76" t="s">
        <v>440</v>
      </c>
      <c r="D66" s="77" t="s">
        <v>734</v>
      </c>
      <c r="E66" s="78" t="s">
        <v>735</v>
      </c>
    </row>
    <row r="67" spans="1:5" ht="72" customHeight="1" x14ac:dyDescent="0.35">
      <c r="A67" s="136"/>
      <c r="B67" s="136"/>
      <c r="C67" s="79" t="s">
        <v>631</v>
      </c>
      <c r="D67" s="80" t="s">
        <v>736</v>
      </c>
      <c r="E67" s="81"/>
    </row>
    <row r="68" spans="1:5" ht="72" customHeight="1" x14ac:dyDescent="0.35">
      <c r="A68" s="138" t="s">
        <v>737</v>
      </c>
      <c r="B68" s="135" t="s">
        <v>83</v>
      </c>
      <c r="C68" s="70" t="s">
        <v>401</v>
      </c>
      <c r="D68" s="71" t="s">
        <v>738</v>
      </c>
      <c r="E68" s="72" t="s">
        <v>739</v>
      </c>
    </row>
    <row r="69" spans="1:5" ht="72" customHeight="1" x14ac:dyDescent="0.35">
      <c r="A69" s="136"/>
      <c r="B69" s="136"/>
      <c r="C69" s="73" t="s">
        <v>398</v>
      </c>
      <c r="D69" s="74" t="s">
        <v>740</v>
      </c>
      <c r="E69" s="75" t="s">
        <v>741</v>
      </c>
    </row>
    <row r="70" spans="1:5" ht="72" customHeight="1" x14ac:dyDescent="0.35">
      <c r="A70" s="136"/>
      <c r="B70" s="136"/>
      <c r="C70" s="76" t="s">
        <v>440</v>
      </c>
      <c r="D70" s="77" t="s">
        <v>742</v>
      </c>
      <c r="E70" s="78" t="s">
        <v>743</v>
      </c>
    </row>
    <row r="71" spans="1:5" ht="72" customHeight="1" x14ac:dyDescent="0.35">
      <c r="A71" s="136"/>
      <c r="B71" s="136"/>
      <c r="C71" s="79" t="s">
        <v>631</v>
      </c>
      <c r="D71" s="80" t="s">
        <v>744</v>
      </c>
      <c r="E71" s="81"/>
    </row>
    <row r="72" spans="1:5" ht="72" customHeight="1" x14ac:dyDescent="0.35">
      <c r="A72" s="136"/>
      <c r="B72" s="135" t="s">
        <v>84</v>
      </c>
      <c r="C72" s="70" t="s">
        <v>401</v>
      </c>
      <c r="D72" s="71" t="s">
        <v>745</v>
      </c>
      <c r="E72" s="72" t="s">
        <v>746</v>
      </c>
    </row>
    <row r="73" spans="1:5" ht="72" customHeight="1" x14ac:dyDescent="0.35">
      <c r="A73" s="136"/>
      <c r="B73" s="136"/>
      <c r="C73" s="73" t="s">
        <v>398</v>
      </c>
      <c r="D73" s="74" t="s">
        <v>747</v>
      </c>
      <c r="E73" s="75" t="s">
        <v>748</v>
      </c>
    </row>
    <row r="74" spans="1:5" ht="72" customHeight="1" x14ac:dyDescent="0.35">
      <c r="A74" s="136"/>
      <c r="B74" s="136"/>
      <c r="C74" s="76" t="s">
        <v>440</v>
      </c>
      <c r="D74" s="77" t="s">
        <v>749</v>
      </c>
      <c r="E74" s="78" t="s">
        <v>750</v>
      </c>
    </row>
    <row r="75" spans="1:5" ht="72" customHeight="1" x14ac:dyDescent="0.35">
      <c r="A75" s="136"/>
      <c r="B75" s="136"/>
      <c r="C75" s="79" t="s">
        <v>631</v>
      </c>
      <c r="D75" s="80" t="s">
        <v>751</v>
      </c>
      <c r="E75" s="81"/>
    </row>
    <row r="76" spans="1:5" ht="72" customHeight="1" x14ac:dyDescent="0.35">
      <c r="A76" s="136"/>
      <c r="B76" s="135" t="s">
        <v>85</v>
      </c>
      <c r="C76" s="70" t="s">
        <v>401</v>
      </c>
      <c r="D76" s="71" t="s">
        <v>752</v>
      </c>
      <c r="E76" s="72" t="s">
        <v>753</v>
      </c>
    </row>
    <row r="77" spans="1:5" ht="72" customHeight="1" x14ac:dyDescent="0.35">
      <c r="A77" s="136"/>
      <c r="B77" s="136"/>
      <c r="C77" s="73" t="s">
        <v>398</v>
      </c>
      <c r="D77" s="74" t="s">
        <v>754</v>
      </c>
      <c r="E77" s="75" t="s">
        <v>755</v>
      </c>
    </row>
    <row r="78" spans="1:5" ht="72" customHeight="1" x14ac:dyDescent="0.35">
      <c r="A78" s="136"/>
      <c r="B78" s="136"/>
      <c r="C78" s="76" t="s">
        <v>440</v>
      </c>
      <c r="D78" s="77" t="s">
        <v>756</v>
      </c>
      <c r="E78" s="78" t="s">
        <v>757</v>
      </c>
    </row>
    <row r="79" spans="1:5" ht="72" customHeight="1" x14ac:dyDescent="0.35">
      <c r="A79" s="136"/>
      <c r="B79" s="136"/>
      <c r="C79" s="79" t="s">
        <v>631</v>
      </c>
      <c r="D79" s="80" t="s">
        <v>758</v>
      </c>
      <c r="E79" s="81"/>
    </row>
    <row r="80" spans="1:5" ht="72" customHeight="1" x14ac:dyDescent="0.35">
      <c r="A80" s="136"/>
      <c r="B80" s="135" t="s">
        <v>86</v>
      </c>
      <c r="C80" s="70" t="s">
        <v>401</v>
      </c>
      <c r="D80" s="71" t="s">
        <v>759</v>
      </c>
      <c r="E80" s="72" t="s">
        <v>760</v>
      </c>
    </row>
    <row r="81" spans="1:5" ht="72" customHeight="1" x14ac:dyDescent="0.35">
      <c r="A81" s="136"/>
      <c r="B81" s="136"/>
      <c r="C81" s="73" t="s">
        <v>398</v>
      </c>
      <c r="D81" s="74" t="s">
        <v>761</v>
      </c>
      <c r="E81" s="75" t="s">
        <v>762</v>
      </c>
    </row>
    <row r="82" spans="1:5" ht="72" customHeight="1" x14ac:dyDescent="0.35">
      <c r="A82" s="136"/>
      <c r="B82" s="136"/>
      <c r="C82" s="76" t="s">
        <v>440</v>
      </c>
      <c r="D82" s="77" t="s">
        <v>763</v>
      </c>
      <c r="E82" s="78" t="s">
        <v>764</v>
      </c>
    </row>
    <row r="83" spans="1:5" ht="72" customHeight="1" x14ac:dyDescent="0.35">
      <c r="A83" s="136"/>
      <c r="B83" s="136"/>
      <c r="C83" s="79" t="s">
        <v>631</v>
      </c>
      <c r="D83" s="80" t="s">
        <v>765</v>
      </c>
      <c r="E83" s="81"/>
    </row>
    <row r="84" spans="1:5" ht="72" customHeight="1" x14ac:dyDescent="0.35">
      <c r="A84" s="138" t="s">
        <v>766</v>
      </c>
      <c r="B84" s="135" t="s">
        <v>92</v>
      </c>
      <c r="C84" s="70" t="s">
        <v>401</v>
      </c>
      <c r="D84" s="71" t="s">
        <v>767</v>
      </c>
      <c r="E84" s="72" t="s">
        <v>768</v>
      </c>
    </row>
    <row r="85" spans="1:5" ht="72" customHeight="1" x14ac:dyDescent="0.35">
      <c r="A85" s="136"/>
      <c r="B85" s="136"/>
      <c r="C85" s="73" t="s">
        <v>398</v>
      </c>
      <c r="D85" s="74" t="s">
        <v>769</v>
      </c>
      <c r="E85" s="75" t="s">
        <v>770</v>
      </c>
    </row>
    <row r="86" spans="1:5" ht="72" customHeight="1" x14ac:dyDescent="0.35">
      <c r="A86" s="136"/>
      <c r="B86" s="136"/>
      <c r="C86" s="76" t="s">
        <v>440</v>
      </c>
      <c r="D86" s="77" t="s">
        <v>771</v>
      </c>
      <c r="E86" s="78" t="s">
        <v>772</v>
      </c>
    </row>
    <row r="87" spans="1:5" ht="72" customHeight="1" x14ac:dyDescent="0.35">
      <c r="A87" s="136"/>
      <c r="B87" s="136"/>
      <c r="C87" s="79" t="s">
        <v>631</v>
      </c>
      <c r="D87" s="80" t="s">
        <v>773</v>
      </c>
      <c r="E87" s="81"/>
    </row>
    <row r="88" spans="1:5" ht="72" customHeight="1" x14ac:dyDescent="0.35">
      <c r="A88" s="136"/>
      <c r="B88" s="135" t="s">
        <v>93</v>
      </c>
      <c r="C88" s="70" t="s">
        <v>401</v>
      </c>
      <c r="D88" s="71" t="s">
        <v>774</v>
      </c>
      <c r="E88" s="72" t="s">
        <v>775</v>
      </c>
    </row>
    <row r="89" spans="1:5" ht="72" customHeight="1" x14ac:dyDescent="0.35">
      <c r="A89" s="136"/>
      <c r="B89" s="136"/>
      <c r="C89" s="73" t="s">
        <v>398</v>
      </c>
      <c r="D89" s="74" t="s">
        <v>776</v>
      </c>
      <c r="E89" s="75" t="s">
        <v>777</v>
      </c>
    </row>
    <row r="90" spans="1:5" ht="72" customHeight="1" x14ac:dyDescent="0.35">
      <c r="A90" s="136"/>
      <c r="B90" s="136"/>
      <c r="C90" s="76" t="s">
        <v>440</v>
      </c>
      <c r="D90" s="77" t="s">
        <v>778</v>
      </c>
      <c r="E90" s="78" t="s">
        <v>779</v>
      </c>
    </row>
    <row r="91" spans="1:5" ht="72" customHeight="1" x14ac:dyDescent="0.35">
      <c r="A91" s="136"/>
      <c r="B91" s="136"/>
      <c r="C91" s="79" t="s">
        <v>631</v>
      </c>
      <c r="D91" s="80" t="s">
        <v>773</v>
      </c>
      <c r="E91" s="81"/>
    </row>
    <row r="92" spans="1:5" ht="72" customHeight="1" x14ac:dyDescent="0.35">
      <c r="A92" s="136"/>
      <c r="B92" s="135" t="s">
        <v>94</v>
      </c>
      <c r="C92" s="70" t="s">
        <v>401</v>
      </c>
      <c r="D92" s="71" t="s">
        <v>780</v>
      </c>
      <c r="E92" s="72" t="s">
        <v>781</v>
      </c>
    </row>
    <row r="93" spans="1:5" ht="72" customHeight="1" x14ac:dyDescent="0.35">
      <c r="A93" s="136"/>
      <c r="B93" s="136"/>
      <c r="C93" s="73" t="s">
        <v>398</v>
      </c>
      <c r="D93" s="74" t="s">
        <v>782</v>
      </c>
      <c r="E93" s="75" t="s">
        <v>783</v>
      </c>
    </row>
    <row r="94" spans="1:5" ht="72" customHeight="1" x14ac:dyDescent="0.35">
      <c r="A94" s="136"/>
      <c r="B94" s="136"/>
      <c r="C94" s="76" t="s">
        <v>440</v>
      </c>
      <c r="D94" s="77" t="s">
        <v>784</v>
      </c>
      <c r="E94" s="78" t="s">
        <v>785</v>
      </c>
    </row>
    <row r="95" spans="1:5" ht="72" customHeight="1" x14ac:dyDescent="0.35">
      <c r="A95" s="136"/>
      <c r="B95" s="136"/>
      <c r="C95" s="79" t="s">
        <v>631</v>
      </c>
      <c r="D95" s="80" t="s">
        <v>773</v>
      </c>
      <c r="E95" s="81"/>
    </row>
    <row r="96" spans="1:5" ht="72" customHeight="1" x14ac:dyDescent="0.35">
      <c r="A96" s="136"/>
      <c r="B96" s="135" t="s">
        <v>95</v>
      </c>
      <c r="C96" s="70" t="s">
        <v>401</v>
      </c>
      <c r="D96" s="71" t="s">
        <v>786</v>
      </c>
      <c r="E96" s="72" t="s">
        <v>787</v>
      </c>
    </row>
    <row r="97" spans="1:5" ht="72" customHeight="1" x14ac:dyDescent="0.35">
      <c r="A97" s="136"/>
      <c r="B97" s="136"/>
      <c r="C97" s="73" t="s">
        <v>398</v>
      </c>
      <c r="D97" s="74" t="s">
        <v>788</v>
      </c>
      <c r="E97" s="75" t="s">
        <v>789</v>
      </c>
    </row>
    <row r="98" spans="1:5" ht="72" customHeight="1" x14ac:dyDescent="0.35">
      <c r="A98" s="136"/>
      <c r="B98" s="136"/>
      <c r="C98" s="76" t="s">
        <v>440</v>
      </c>
      <c r="D98" s="77" t="s">
        <v>790</v>
      </c>
      <c r="E98" s="78" t="s">
        <v>791</v>
      </c>
    </row>
    <row r="99" spans="1:5" ht="72" customHeight="1" x14ac:dyDescent="0.35">
      <c r="A99" s="136"/>
      <c r="B99" s="136"/>
      <c r="C99" s="79" t="s">
        <v>631</v>
      </c>
      <c r="D99" s="80" t="s">
        <v>773</v>
      </c>
      <c r="E99" s="81"/>
    </row>
    <row r="100" spans="1:5" ht="72" customHeight="1" x14ac:dyDescent="0.35">
      <c r="A100" s="138" t="s">
        <v>792</v>
      </c>
      <c r="B100" s="135" t="s">
        <v>107</v>
      </c>
      <c r="C100" s="70" t="s">
        <v>401</v>
      </c>
      <c r="D100" s="71" t="s">
        <v>793</v>
      </c>
      <c r="E100" s="72" t="s">
        <v>794</v>
      </c>
    </row>
    <row r="101" spans="1:5" ht="72" customHeight="1" x14ac:dyDescent="0.35">
      <c r="A101" s="136"/>
      <c r="B101" s="136"/>
      <c r="C101" s="73" t="s">
        <v>398</v>
      </c>
      <c r="D101" s="74" t="s">
        <v>795</v>
      </c>
      <c r="E101" s="75" t="s">
        <v>796</v>
      </c>
    </row>
    <row r="102" spans="1:5" ht="72" customHeight="1" x14ac:dyDescent="0.35">
      <c r="A102" s="136"/>
      <c r="B102" s="136"/>
      <c r="C102" s="76" t="s">
        <v>440</v>
      </c>
      <c r="D102" s="77" t="s">
        <v>797</v>
      </c>
      <c r="E102" s="78" t="s">
        <v>798</v>
      </c>
    </row>
    <row r="103" spans="1:5" ht="72" customHeight="1" x14ac:dyDescent="0.35">
      <c r="A103" s="136"/>
      <c r="B103" s="136"/>
      <c r="C103" s="79" t="s">
        <v>631</v>
      </c>
      <c r="D103" s="80" t="s">
        <v>799</v>
      </c>
      <c r="E103" s="81"/>
    </row>
    <row r="104" spans="1:5" ht="72" customHeight="1" x14ac:dyDescent="0.35">
      <c r="A104" s="136"/>
      <c r="B104" s="135" t="s">
        <v>108</v>
      </c>
      <c r="C104" s="70" t="s">
        <v>401</v>
      </c>
      <c r="D104" s="71" t="s">
        <v>800</v>
      </c>
      <c r="E104" s="72" t="s">
        <v>801</v>
      </c>
    </row>
    <row r="105" spans="1:5" ht="72" customHeight="1" x14ac:dyDescent="0.35">
      <c r="A105" s="136"/>
      <c r="B105" s="136"/>
      <c r="C105" s="73" t="s">
        <v>398</v>
      </c>
      <c r="D105" s="74" t="s">
        <v>802</v>
      </c>
      <c r="E105" s="75" t="s">
        <v>803</v>
      </c>
    </row>
    <row r="106" spans="1:5" ht="72" customHeight="1" x14ac:dyDescent="0.35">
      <c r="A106" s="136"/>
      <c r="B106" s="136"/>
      <c r="C106" s="76" t="s">
        <v>440</v>
      </c>
      <c r="D106" s="77" t="s">
        <v>804</v>
      </c>
      <c r="E106" s="78" t="s">
        <v>805</v>
      </c>
    </row>
    <row r="107" spans="1:5" ht="72" customHeight="1" x14ac:dyDescent="0.35">
      <c r="A107" s="136"/>
      <c r="B107" s="136"/>
      <c r="C107" s="79" t="s">
        <v>631</v>
      </c>
      <c r="D107" s="80" t="s">
        <v>806</v>
      </c>
      <c r="E107" s="81"/>
    </row>
    <row r="108" spans="1:5" ht="72" customHeight="1" x14ac:dyDescent="0.35">
      <c r="A108" s="136"/>
      <c r="B108" s="135" t="s">
        <v>109</v>
      </c>
      <c r="C108" s="70" t="s">
        <v>401</v>
      </c>
      <c r="D108" s="71" t="s">
        <v>807</v>
      </c>
      <c r="E108" s="72" t="s">
        <v>808</v>
      </c>
    </row>
    <row r="109" spans="1:5" ht="72" customHeight="1" x14ac:dyDescent="0.35">
      <c r="A109" s="136"/>
      <c r="B109" s="136"/>
      <c r="C109" s="73" t="s">
        <v>398</v>
      </c>
      <c r="D109" s="74" t="s">
        <v>809</v>
      </c>
      <c r="E109" s="75" t="s">
        <v>810</v>
      </c>
    </row>
    <row r="110" spans="1:5" ht="72" customHeight="1" x14ac:dyDescent="0.35">
      <c r="A110" s="136"/>
      <c r="B110" s="136"/>
      <c r="C110" s="76" t="s">
        <v>440</v>
      </c>
      <c r="D110" s="77" t="s">
        <v>811</v>
      </c>
      <c r="E110" s="78" t="s">
        <v>812</v>
      </c>
    </row>
    <row r="111" spans="1:5" ht="72" customHeight="1" x14ac:dyDescent="0.35">
      <c r="A111" s="136"/>
      <c r="B111" s="136"/>
      <c r="C111" s="79" t="s">
        <v>631</v>
      </c>
      <c r="D111" s="80" t="s">
        <v>813</v>
      </c>
      <c r="E111" s="81"/>
    </row>
    <row r="112" spans="1:5" ht="72" customHeight="1" x14ac:dyDescent="0.35">
      <c r="A112" s="136"/>
      <c r="B112" s="135" t="s">
        <v>110</v>
      </c>
      <c r="C112" s="70" t="s">
        <v>401</v>
      </c>
      <c r="D112" s="71" t="s">
        <v>814</v>
      </c>
      <c r="E112" s="72" t="s">
        <v>815</v>
      </c>
    </row>
    <row r="113" spans="1:5" ht="72" customHeight="1" x14ac:dyDescent="0.35">
      <c r="A113" s="136"/>
      <c r="B113" s="136"/>
      <c r="C113" s="73" t="s">
        <v>398</v>
      </c>
      <c r="D113" s="74" t="s">
        <v>816</v>
      </c>
      <c r="E113" s="75" t="s">
        <v>817</v>
      </c>
    </row>
    <row r="114" spans="1:5" ht="72" customHeight="1" x14ac:dyDescent="0.35">
      <c r="A114" s="136"/>
      <c r="B114" s="136"/>
      <c r="C114" s="76" t="s">
        <v>440</v>
      </c>
      <c r="D114" s="77" t="s">
        <v>818</v>
      </c>
      <c r="E114" s="78" t="s">
        <v>819</v>
      </c>
    </row>
    <row r="115" spans="1:5" ht="72" customHeight="1" x14ac:dyDescent="0.35">
      <c r="A115" s="136"/>
      <c r="B115" s="136"/>
      <c r="C115" s="79" t="s">
        <v>631</v>
      </c>
      <c r="D115" s="80" t="s">
        <v>653</v>
      </c>
      <c r="E115" s="81"/>
    </row>
    <row r="116" spans="1:5" ht="72" customHeight="1" x14ac:dyDescent="0.35">
      <c r="A116" s="136"/>
      <c r="B116" s="135" t="s">
        <v>111</v>
      </c>
      <c r="C116" s="70" t="s">
        <v>401</v>
      </c>
      <c r="D116" s="71" t="s">
        <v>820</v>
      </c>
      <c r="E116" s="72" t="s">
        <v>821</v>
      </c>
    </row>
    <row r="117" spans="1:5" ht="72" customHeight="1" x14ac:dyDescent="0.35">
      <c r="A117" s="136"/>
      <c r="B117" s="136"/>
      <c r="C117" s="73" t="s">
        <v>398</v>
      </c>
      <c r="D117" s="74" t="s">
        <v>822</v>
      </c>
      <c r="E117" s="75" t="s">
        <v>823</v>
      </c>
    </row>
    <row r="118" spans="1:5" ht="72" customHeight="1" x14ac:dyDescent="0.35">
      <c r="A118" s="136"/>
      <c r="B118" s="136"/>
      <c r="C118" s="76" t="s">
        <v>440</v>
      </c>
      <c r="D118" s="77" t="s">
        <v>824</v>
      </c>
      <c r="E118" s="78" t="s">
        <v>825</v>
      </c>
    </row>
    <row r="119" spans="1:5" ht="72" customHeight="1" x14ac:dyDescent="0.35">
      <c r="A119" s="136"/>
      <c r="B119" s="136"/>
      <c r="C119" s="79" t="s">
        <v>631</v>
      </c>
      <c r="D119" s="80" t="s">
        <v>653</v>
      </c>
      <c r="E119" s="81"/>
    </row>
    <row r="120" spans="1:5" ht="72" customHeight="1" x14ac:dyDescent="0.35">
      <c r="A120" s="138" t="s">
        <v>826</v>
      </c>
      <c r="B120" s="135" t="s">
        <v>116</v>
      </c>
      <c r="C120" s="70" t="s">
        <v>401</v>
      </c>
      <c r="D120" s="71" t="s">
        <v>827</v>
      </c>
      <c r="E120" s="72" t="s">
        <v>828</v>
      </c>
    </row>
    <row r="121" spans="1:5" ht="72" customHeight="1" x14ac:dyDescent="0.35">
      <c r="A121" s="136"/>
      <c r="B121" s="136"/>
      <c r="C121" s="73" t="s">
        <v>398</v>
      </c>
      <c r="D121" s="74" t="s">
        <v>829</v>
      </c>
      <c r="E121" s="75" t="s">
        <v>830</v>
      </c>
    </row>
    <row r="122" spans="1:5" ht="72" customHeight="1" x14ac:dyDescent="0.35">
      <c r="A122" s="136"/>
      <c r="B122" s="136"/>
      <c r="C122" s="76" t="s">
        <v>440</v>
      </c>
      <c r="D122" s="77" t="s">
        <v>831</v>
      </c>
      <c r="E122" s="78" t="s">
        <v>832</v>
      </c>
    </row>
    <row r="123" spans="1:5" ht="72" customHeight="1" x14ac:dyDescent="0.35">
      <c r="A123" s="136"/>
      <c r="B123" s="136"/>
      <c r="C123" s="79" t="s">
        <v>631</v>
      </c>
      <c r="D123" s="80" t="s">
        <v>653</v>
      </c>
      <c r="E123" s="81"/>
    </row>
    <row r="124" spans="1:5" ht="72" customHeight="1" x14ac:dyDescent="0.35">
      <c r="A124" s="136"/>
      <c r="B124" s="135" t="s">
        <v>117</v>
      </c>
      <c r="C124" s="70" t="s">
        <v>401</v>
      </c>
      <c r="D124" s="71" t="s">
        <v>833</v>
      </c>
      <c r="E124" s="72" t="s">
        <v>834</v>
      </c>
    </row>
    <row r="125" spans="1:5" ht="72" customHeight="1" x14ac:dyDescent="0.35">
      <c r="A125" s="136"/>
      <c r="B125" s="136"/>
      <c r="C125" s="73" t="s">
        <v>398</v>
      </c>
      <c r="D125" s="74" t="s">
        <v>835</v>
      </c>
      <c r="E125" s="75" t="s">
        <v>836</v>
      </c>
    </row>
    <row r="126" spans="1:5" ht="72" customHeight="1" x14ac:dyDescent="0.35">
      <c r="A126" s="136"/>
      <c r="B126" s="136"/>
      <c r="C126" s="76" t="s">
        <v>440</v>
      </c>
      <c r="D126" s="77" t="s">
        <v>837</v>
      </c>
      <c r="E126" s="78" t="s">
        <v>838</v>
      </c>
    </row>
    <row r="127" spans="1:5" ht="72" customHeight="1" x14ac:dyDescent="0.35">
      <c r="A127" s="136"/>
      <c r="B127" s="136"/>
      <c r="C127" s="79" t="s">
        <v>631</v>
      </c>
      <c r="D127" s="80" t="s">
        <v>839</v>
      </c>
      <c r="E127" s="81"/>
    </row>
    <row r="128" spans="1:5" ht="72" customHeight="1" x14ac:dyDescent="0.35">
      <c r="A128" s="136"/>
      <c r="B128" s="135" t="s">
        <v>118</v>
      </c>
      <c r="C128" s="70" t="s">
        <v>401</v>
      </c>
      <c r="D128" s="71" t="s">
        <v>840</v>
      </c>
      <c r="E128" s="72" t="s">
        <v>841</v>
      </c>
    </row>
    <row r="129" spans="1:5" ht="72" customHeight="1" x14ac:dyDescent="0.35">
      <c r="A129" s="136"/>
      <c r="B129" s="136"/>
      <c r="C129" s="73" t="s">
        <v>398</v>
      </c>
      <c r="D129" s="74" t="s">
        <v>842</v>
      </c>
      <c r="E129" s="75" t="s">
        <v>843</v>
      </c>
    </row>
    <row r="130" spans="1:5" ht="72" customHeight="1" x14ac:dyDescent="0.35">
      <c r="A130" s="136"/>
      <c r="B130" s="136"/>
      <c r="C130" s="76" t="s">
        <v>440</v>
      </c>
      <c r="D130" s="77" t="s">
        <v>844</v>
      </c>
      <c r="E130" s="78" t="s">
        <v>845</v>
      </c>
    </row>
    <row r="131" spans="1:5" ht="72" customHeight="1" x14ac:dyDescent="0.35">
      <c r="A131" s="136"/>
      <c r="B131" s="136"/>
      <c r="C131" s="79" t="s">
        <v>631</v>
      </c>
      <c r="D131" s="80" t="s">
        <v>846</v>
      </c>
      <c r="E131" s="81"/>
    </row>
    <row r="132" spans="1:5" ht="72" customHeight="1" x14ac:dyDescent="0.35">
      <c r="A132" s="136"/>
      <c r="B132" s="135" t="s">
        <v>847</v>
      </c>
      <c r="C132" s="70" t="s">
        <v>401</v>
      </c>
      <c r="D132" s="71" t="s">
        <v>848</v>
      </c>
      <c r="E132" s="72" t="s">
        <v>849</v>
      </c>
    </row>
    <row r="133" spans="1:5" ht="72" customHeight="1" x14ac:dyDescent="0.35">
      <c r="A133" s="136"/>
      <c r="B133" s="136"/>
      <c r="C133" s="73" t="s">
        <v>398</v>
      </c>
      <c r="D133" s="74" t="s">
        <v>850</v>
      </c>
      <c r="E133" s="75" t="s">
        <v>851</v>
      </c>
    </row>
    <row r="134" spans="1:5" ht="72" customHeight="1" x14ac:dyDescent="0.35">
      <c r="A134" s="136"/>
      <c r="B134" s="136"/>
      <c r="C134" s="76" t="s">
        <v>440</v>
      </c>
      <c r="D134" s="77" t="s">
        <v>852</v>
      </c>
      <c r="E134" s="78" t="s">
        <v>853</v>
      </c>
    </row>
    <row r="135" spans="1:5" ht="72" customHeight="1" x14ac:dyDescent="0.35">
      <c r="A135" s="136"/>
      <c r="B135" s="136"/>
      <c r="C135" s="79" t="s">
        <v>631</v>
      </c>
      <c r="D135" s="80" t="s">
        <v>854</v>
      </c>
      <c r="E135" s="81"/>
    </row>
    <row r="136" spans="1:5" ht="72" customHeight="1" x14ac:dyDescent="0.35">
      <c r="A136" s="136"/>
      <c r="B136" s="135" t="s">
        <v>120</v>
      </c>
      <c r="C136" s="70" t="s">
        <v>401</v>
      </c>
      <c r="D136" s="71" t="s">
        <v>855</v>
      </c>
      <c r="E136" s="72" t="s">
        <v>856</v>
      </c>
    </row>
    <row r="137" spans="1:5" ht="72" customHeight="1" x14ac:dyDescent="0.35">
      <c r="A137" s="136"/>
      <c r="B137" s="136"/>
      <c r="C137" s="73" t="s">
        <v>398</v>
      </c>
      <c r="D137" s="74" t="s">
        <v>857</v>
      </c>
      <c r="E137" s="75" t="s">
        <v>858</v>
      </c>
    </row>
    <row r="138" spans="1:5" ht="72" customHeight="1" x14ac:dyDescent="0.35">
      <c r="A138" s="136"/>
      <c r="B138" s="136"/>
      <c r="C138" s="76" t="s">
        <v>440</v>
      </c>
      <c r="D138" s="77" t="s">
        <v>859</v>
      </c>
      <c r="E138" s="78" t="s">
        <v>860</v>
      </c>
    </row>
    <row r="139" spans="1:5" ht="72" customHeight="1" x14ac:dyDescent="0.35">
      <c r="A139" s="136"/>
      <c r="B139" s="136"/>
      <c r="C139" s="79" t="s">
        <v>631</v>
      </c>
      <c r="D139" s="80" t="s">
        <v>861</v>
      </c>
      <c r="E139" s="81"/>
    </row>
    <row r="140" spans="1:5" ht="72" customHeight="1" x14ac:dyDescent="0.35">
      <c r="A140" s="136"/>
      <c r="B140" s="135" t="s">
        <v>121</v>
      </c>
      <c r="C140" s="70" t="s">
        <v>401</v>
      </c>
      <c r="D140" s="71" t="s">
        <v>862</v>
      </c>
      <c r="E140" s="72" t="s">
        <v>863</v>
      </c>
    </row>
    <row r="141" spans="1:5" ht="72" customHeight="1" x14ac:dyDescent="0.35">
      <c r="A141" s="136"/>
      <c r="B141" s="136"/>
      <c r="C141" s="73" t="s">
        <v>398</v>
      </c>
      <c r="D141" s="74" t="s">
        <v>864</v>
      </c>
      <c r="E141" s="75" t="s">
        <v>865</v>
      </c>
    </row>
    <row r="142" spans="1:5" ht="72" customHeight="1" x14ac:dyDescent="0.35">
      <c r="A142" s="136"/>
      <c r="B142" s="136"/>
      <c r="C142" s="76" t="s">
        <v>440</v>
      </c>
      <c r="D142" s="77" t="s">
        <v>866</v>
      </c>
      <c r="E142" s="78" t="s">
        <v>867</v>
      </c>
    </row>
    <row r="143" spans="1:5" ht="72" customHeight="1" x14ac:dyDescent="0.35">
      <c r="A143" s="136"/>
      <c r="B143" s="136"/>
      <c r="C143" s="79" t="s">
        <v>631</v>
      </c>
      <c r="D143" s="80" t="s">
        <v>868</v>
      </c>
      <c r="E143" s="81"/>
    </row>
  </sheetData>
  <mergeCells count="44">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56:B59"/>
    <mergeCell ref="B140:B143"/>
    <mergeCell ref="B12:B15"/>
    <mergeCell ref="B96:B99"/>
    <mergeCell ref="B72:B75"/>
    <mergeCell ref="B44:B47"/>
    <mergeCell ref="B84:B87"/>
    <mergeCell ref="B60:B63"/>
    <mergeCell ref="B40:B43"/>
    <mergeCell ref="B128:B131"/>
    <mergeCell ref="B16:B19"/>
    <mergeCell ref="B32:B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 customHeight="1" x14ac:dyDescent="0.35">
      <c r="B1" s="105" t="s">
        <v>245</v>
      </c>
      <c r="C1" s="87"/>
    </row>
    <row r="3" spans="2:3" x14ac:dyDescent="0.35">
      <c r="B3" s="88" t="s">
        <v>246</v>
      </c>
      <c r="C3" s="87"/>
    </row>
    <row r="4" spans="2:3" ht="72" customHeight="1" x14ac:dyDescent="0.35">
      <c r="B4" s="31" t="s">
        <v>247</v>
      </c>
      <c r="C4" s="8" t="s">
        <v>248</v>
      </c>
    </row>
    <row r="5" spans="2:3" ht="72" customHeight="1" x14ac:dyDescent="0.35">
      <c r="B5" s="32" t="s">
        <v>249</v>
      </c>
      <c r="C5" s="33" t="s">
        <v>250</v>
      </c>
    </row>
    <row r="6" spans="2:3" ht="72" customHeight="1" x14ac:dyDescent="0.35">
      <c r="B6" s="31" t="s">
        <v>251</v>
      </c>
      <c r="C6" s="8" t="s">
        <v>252</v>
      </c>
    </row>
    <row r="7" spans="2:3" ht="72" customHeight="1" x14ac:dyDescent="0.35">
      <c r="B7" s="32" t="s">
        <v>253</v>
      </c>
      <c r="C7" s="33" t="s">
        <v>254</v>
      </c>
    </row>
    <row r="8" spans="2:3" ht="72" customHeight="1" x14ac:dyDescent="0.35">
      <c r="B8" s="31" t="s">
        <v>255</v>
      </c>
      <c r="C8" s="8" t="s">
        <v>256</v>
      </c>
    </row>
    <row r="9" spans="2:3" ht="72" customHeight="1" x14ac:dyDescent="0.35">
      <c r="B9" s="32" t="s">
        <v>257</v>
      </c>
      <c r="C9" s="33" t="s">
        <v>258</v>
      </c>
    </row>
    <row r="11" spans="2:3" x14ac:dyDescent="0.35">
      <c r="B11" s="88" t="s">
        <v>259</v>
      </c>
      <c r="C11" s="87"/>
    </row>
    <row r="12" spans="2:3" ht="58" customHeight="1" x14ac:dyDescent="0.35">
      <c r="B12" s="118" t="s">
        <v>260</v>
      </c>
      <c r="C12" s="84"/>
    </row>
    <row r="13" spans="2:3" x14ac:dyDescent="0.35">
      <c r="B13" s="30" t="s">
        <v>261</v>
      </c>
      <c r="C13" s="30" t="s">
        <v>262</v>
      </c>
    </row>
    <row r="14" spans="2:3" ht="66" customHeight="1" x14ac:dyDescent="0.35">
      <c r="B14" s="34" t="s">
        <v>263</v>
      </c>
      <c r="C14" s="8" t="s">
        <v>264</v>
      </c>
    </row>
    <row r="15" spans="2:3" ht="66" customHeight="1" x14ac:dyDescent="0.35">
      <c r="B15" s="35" t="s">
        <v>265</v>
      </c>
      <c r="C15" s="10" t="s">
        <v>266</v>
      </c>
    </row>
    <row r="16" spans="2:3" ht="66" customHeight="1" x14ac:dyDescent="0.35">
      <c r="B16" s="34" t="s">
        <v>267</v>
      </c>
      <c r="C16" s="8" t="s">
        <v>268</v>
      </c>
    </row>
    <row r="17" spans="2:3" ht="66" customHeight="1" x14ac:dyDescent="0.35">
      <c r="B17" s="35" t="s">
        <v>269</v>
      </c>
      <c r="C17" s="10" t="s">
        <v>270</v>
      </c>
    </row>
    <row r="18" spans="2:3" ht="66" customHeight="1" x14ac:dyDescent="0.35">
      <c r="B18" s="34" t="s">
        <v>271</v>
      </c>
      <c r="C18" s="8" t="s">
        <v>272</v>
      </c>
    </row>
    <row r="19" spans="2:3" ht="66" customHeight="1" x14ac:dyDescent="0.35">
      <c r="B19" s="35" t="s">
        <v>273</v>
      </c>
      <c r="C19" s="10" t="s">
        <v>274</v>
      </c>
    </row>
    <row r="20" spans="2:3" ht="66" customHeight="1" x14ac:dyDescent="0.35">
      <c r="B20" s="34" t="s">
        <v>275</v>
      </c>
      <c r="C20" s="8" t="s">
        <v>276</v>
      </c>
    </row>
    <row r="22" spans="2:3" x14ac:dyDescent="0.35">
      <c r="B22" s="88" t="s">
        <v>277</v>
      </c>
      <c r="C22" s="87"/>
    </row>
    <row r="23" spans="2:3" ht="50" customHeight="1" x14ac:dyDescent="0.35">
      <c r="B23" s="36" t="s">
        <v>278</v>
      </c>
      <c r="C23" s="8" t="s">
        <v>279</v>
      </c>
    </row>
    <row r="24" spans="2:3" ht="50" customHeight="1" x14ac:dyDescent="0.35">
      <c r="B24" s="37" t="s">
        <v>280</v>
      </c>
      <c r="C24" s="33" t="s">
        <v>281</v>
      </c>
    </row>
    <row r="25" spans="2:3" ht="50" customHeight="1" x14ac:dyDescent="0.35">
      <c r="B25" s="36" t="s">
        <v>282</v>
      </c>
      <c r="C25" s="8" t="s">
        <v>283</v>
      </c>
    </row>
    <row r="27" spans="2:3" x14ac:dyDescent="0.35">
      <c r="B27" s="88" t="s">
        <v>284</v>
      </c>
      <c r="C27" s="87"/>
    </row>
    <row r="28" spans="2:3" ht="40" customHeight="1" x14ac:dyDescent="0.35">
      <c r="B28" s="82" t="s">
        <v>285</v>
      </c>
      <c r="C28" s="84"/>
    </row>
    <row r="29" spans="2:3" ht="40" customHeight="1" x14ac:dyDescent="0.35">
      <c r="B29" s="94" t="s">
        <v>286</v>
      </c>
      <c r="C29" s="84"/>
    </row>
    <row r="30" spans="2:3" ht="40" customHeight="1" x14ac:dyDescent="0.35">
      <c r="B30" s="82" t="s">
        <v>287</v>
      </c>
      <c r="C30" s="84"/>
    </row>
    <row r="31" spans="2:3" ht="40" customHeight="1" x14ac:dyDescent="0.35">
      <c r="B31" s="94" t="s">
        <v>288</v>
      </c>
      <c r="C31" s="84"/>
    </row>
    <row r="32" spans="2:3" ht="40" customHeight="1" x14ac:dyDescent="0.35">
      <c r="B32" s="82" t="s">
        <v>289</v>
      </c>
      <c r="C32" s="84"/>
    </row>
    <row r="33" spans="2:3" ht="40" customHeight="1" x14ac:dyDescent="0.35">
      <c r="B33" s="94" t="s">
        <v>290</v>
      </c>
      <c r="C33" s="84"/>
    </row>
    <row r="35" spans="2:3" x14ac:dyDescent="0.35">
      <c r="B35" s="88" t="s">
        <v>291</v>
      </c>
      <c r="C35" s="87"/>
    </row>
    <row r="36" spans="2:3" ht="46" customHeight="1" x14ac:dyDescent="0.35">
      <c r="B36" s="117" t="s">
        <v>292</v>
      </c>
      <c r="C36" s="87"/>
    </row>
    <row r="37" spans="2:3" ht="58" customHeight="1" x14ac:dyDescent="0.35">
      <c r="B37" s="45" t="s">
        <v>293</v>
      </c>
      <c r="C37" s="8" t="s">
        <v>294</v>
      </c>
    </row>
    <row r="38" spans="2:3" ht="52" customHeight="1" x14ac:dyDescent="0.35">
      <c r="B38" s="32" t="s">
        <v>295</v>
      </c>
      <c r="C38" s="10" t="s">
        <v>296</v>
      </c>
    </row>
    <row r="39" spans="2:3" ht="52" customHeight="1" x14ac:dyDescent="0.35">
      <c r="B39" s="32" t="s">
        <v>297</v>
      </c>
      <c r="C39" s="8" t="s">
        <v>298</v>
      </c>
    </row>
    <row r="40" spans="2:3" ht="84" customHeight="1" x14ac:dyDescent="0.35">
      <c r="B40" s="32" t="s">
        <v>299</v>
      </c>
      <c r="C40" s="10" t="s">
        <v>300</v>
      </c>
    </row>
    <row r="41" spans="2:3" ht="52" customHeight="1" x14ac:dyDescent="0.35">
      <c r="B41" s="32" t="s">
        <v>301</v>
      </c>
      <c r="C41" s="8" t="s">
        <v>302</v>
      </c>
    </row>
    <row r="43" spans="2:3" x14ac:dyDescent="0.35">
      <c r="B43" s="88" t="s">
        <v>303</v>
      </c>
      <c r="C43" s="87"/>
    </row>
    <row r="44" spans="2:3" ht="46" customHeight="1" x14ac:dyDescent="0.35">
      <c r="B44" s="117" t="s">
        <v>304</v>
      </c>
      <c r="C44" s="87"/>
    </row>
    <row r="45" spans="2:3" ht="66" customHeight="1" x14ac:dyDescent="0.35">
      <c r="B45" s="32" t="s">
        <v>305</v>
      </c>
      <c r="C45" s="8" t="s">
        <v>306</v>
      </c>
    </row>
    <row r="46" spans="2:3" ht="78" customHeight="1" x14ac:dyDescent="0.35">
      <c r="B46" s="32" t="s">
        <v>307</v>
      </c>
      <c r="C46" s="10" t="s">
        <v>308</v>
      </c>
    </row>
    <row r="47" spans="2:3" ht="70" customHeight="1" x14ac:dyDescent="0.35">
      <c r="B47" s="32" t="s">
        <v>309</v>
      </c>
      <c r="C47" s="8" t="s">
        <v>310</v>
      </c>
    </row>
  </sheetData>
  <mergeCells count="16">
    <mergeCell ref="B1:C1"/>
    <mergeCell ref="B35:C35"/>
    <mergeCell ref="B43:C43"/>
    <mergeCell ref="B12:C12"/>
    <mergeCell ref="B3:C3"/>
    <mergeCell ref="B28:C28"/>
    <mergeCell ref="B22:C22"/>
    <mergeCell ref="B36:C36"/>
    <mergeCell ref="B32:C32"/>
    <mergeCell ref="B31:C31"/>
    <mergeCell ref="B27:C27"/>
    <mergeCell ref="B44:C44"/>
    <mergeCell ref="B30:C30"/>
    <mergeCell ref="B29:C29"/>
    <mergeCell ref="B33:C33"/>
    <mergeCell ref="B11:C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D77"/>
  <sheetViews>
    <sheetView showGridLines="0" workbookViewId="0">
      <pane ySplit="11" topLeftCell="A12" activePane="bottomLeft" state="frozen"/>
      <selection pane="bottomLeft"/>
    </sheetView>
  </sheetViews>
  <sheetFormatPr defaultRowHeight="14.5" x14ac:dyDescent="0.35"/>
  <cols>
    <col min="1" max="1" width="3" customWidth="1"/>
    <col min="2" max="2" width="36" customWidth="1"/>
    <col min="3" max="3" width="52" customWidth="1"/>
    <col min="4" max="4" width="58" customWidth="1"/>
  </cols>
  <sheetData>
    <row r="1" spans="2:4" ht="28" customHeight="1" x14ac:dyDescent="0.35">
      <c r="B1" s="105" t="s">
        <v>311</v>
      </c>
      <c r="C1" s="86"/>
      <c r="D1" s="87"/>
    </row>
    <row r="2" spans="2:4" ht="32" customHeight="1" x14ac:dyDescent="0.35">
      <c r="B2" s="127" t="s">
        <v>312</v>
      </c>
      <c r="C2" s="86"/>
      <c r="D2" s="87"/>
    </row>
    <row r="4" spans="2:4" ht="24" customHeight="1" x14ac:dyDescent="0.35">
      <c r="B4" s="125" t="str">
        <f>"◆  LIVE TEAM SCORECARD  ·  "&amp;IF('Case Tracker'!A56="","(enter a Case ID + journey scores in Case Tracker row 56)",'Case Tracker'!A56)&amp;"  ◆"</f>
        <v>◆  LIVE TEAM SCORECARD  ·  (enter a Case ID + journey scores in Case Tracker row 56)  ◆</v>
      </c>
      <c r="C4" s="122"/>
      <c r="D4" s="123"/>
    </row>
    <row r="5" spans="2:4" ht="16" customHeight="1" x14ac:dyDescent="0.35">
      <c r="B5" s="54" t="s">
        <v>313</v>
      </c>
      <c r="C5" s="54" t="s">
        <v>314</v>
      </c>
      <c r="D5" s="54" t="s">
        <v>315</v>
      </c>
    </row>
    <row r="6" spans="2:4" ht="64" customHeight="1" x14ac:dyDescent="0.35">
      <c r="B6" s="55" t="str">
        <f>'Case Tracker'!G56</f>
        <v/>
      </c>
      <c r="C6" s="56" t="str">
        <f>UPPER('Case Tracker'!H56)</f>
        <v/>
      </c>
      <c r="D6" s="57" t="s">
        <v>316</v>
      </c>
    </row>
    <row r="7" spans="2:4" ht="16" customHeight="1" x14ac:dyDescent="0.35">
      <c r="B7" s="58" t="s">
        <v>317</v>
      </c>
      <c r="C7" s="58" t="s">
        <v>318</v>
      </c>
      <c r="D7" s="58" t="s">
        <v>319</v>
      </c>
    </row>
    <row r="8" spans="2:4" ht="28" customHeight="1" x14ac:dyDescent="0.35">
      <c r="B8" s="59" t="str">
        <f>IF('Case Tracker'!D56="","—",TEXT('Case Tracker'!D56,"0.0%")&amp;"  avg of "&amp;'Case Tracker'!C56&amp;" touches")</f>
        <v>—</v>
      </c>
      <c r="C8" s="60" t="str">
        <f>IF('Case Tracker'!E56="","—",'Case Tracker'!E56&amp;" / 5")</f>
        <v>—</v>
      </c>
      <c r="D8" s="60" t="str">
        <f>IF('Case Tracker'!F56="","—",'Case Tracker'!F56&amp;" / 5")</f>
        <v>—</v>
      </c>
    </row>
    <row r="9" spans="2:4" ht="22" customHeight="1" x14ac:dyDescent="0.35">
      <c r="B9" s="121" t="str">
        <f>IF('Case Tracker'!D56="","Team Score computes once the journey row (Case Tracker row 56) is filled."," = 50% × "&amp;TEXT('Case Tracker'!D56,"0.0%")&amp;"  +  30% × ("&amp;'Case Tracker'!E56&amp;"÷5)  +  20% × ("&amp;'Case Tracker'!F56&amp;"÷5)")</f>
        <v>Team Score computes once the journey row (Case Tracker row 56) is filled.</v>
      </c>
      <c r="C9" s="122"/>
      <c r="D9" s="123"/>
    </row>
    <row r="10" spans="2:4" ht="28" customHeight="1" x14ac:dyDescent="0.35">
      <c r="B10" s="119" t="s">
        <v>320</v>
      </c>
      <c r="C10" s="83"/>
      <c r="D10" s="84"/>
    </row>
    <row r="12" spans="2:4" x14ac:dyDescent="0.35">
      <c r="B12" s="88" t="s">
        <v>321</v>
      </c>
      <c r="C12" s="86"/>
      <c r="D12" s="87"/>
    </row>
    <row r="13" spans="2:4" ht="72" customHeight="1" x14ac:dyDescent="0.35">
      <c r="B13" s="111" t="s">
        <v>322</v>
      </c>
      <c r="C13" s="83"/>
      <c r="D13" s="84"/>
    </row>
    <row r="15" spans="2:4" x14ac:dyDescent="0.35">
      <c r="B15" s="88" t="s">
        <v>323</v>
      </c>
      <c r="C15" s="86"/>
      <c r="D15" s="87"/>
    </row>
    <row r="16" spans="2:4" x14ac:dyDescent="0.35">
      <c r="B16" s="1" t="s">
        <v>324</v>
      </c>
      <c r="C16" s="1" t="s">
        <v>325</v>
      </c>
      <c r="D16" s="1" t="s">
        <v>326</v>
      </c>
    </row>
    <row r="17" spans="2:4" ht="104" customHeight="1" x14ac:dyDescent="0.35">
      <c r="B17" s="48" t="s">
        <v>327</v>
      </c>
      <c r="C17" s="49" t="s">
        <v>328</v>
      </c>
      <c r="D17" s="49"/>
    </row>
    <row r="18" spans="2:4" ht="104" customHeight="1" x14ac:dyDescent="0.35">
      <c r="B18" s="50" t="s">
        <v>329</v>
      </c>
      <c r="C18" s="51" t="s">
        <v>330</v>
      </c>
      <c r="D18" s="51"/>
    </row>
    <row r="19" spans="2:4" ht="104" customHeight="1" x14ac:dyDescent="0.35">
      <c r="B19" s="48" t="s">
        <v>331</v>
      </c>
      <c r="C19" s="49" t="s">
        <v>332</v>
      </c>
      <c r="D19" s="49"/>
    </row>
    <row r="20" spans="2:4" ht="30" customHeight="1" x14ac:dyDescent="0.35">
      <c r="B20" s="124" t="s">
        <v>333</v>
      </c>
      <c r="C20" s="86"/>
      <c r="D20" s="87"/>
    </row>
    <row r="22" spans="2:4" x14ac:dyDescent="0.35">
      <c r="B22" s="88" t="s">
        <v>334</v>
      </c>
      <c r="C22" s="86"/>
      <c r="D22" s="87"/>
    </row>
    <row r="23" spans="2:4" ht="46" customHeight="1" x14ac:dyDescent="0.35">
      <c r="B23" s="48" t="s">
        <v>335</v>
      </c>
      <c r="C23" s="111" t="s">
        <v>336</v>
      </c>
      <c r="D23" s="84"/>
    </row>
    <row r="24" spans="2:4" ht="46" customHeight="1" x14ac:dyDescent="0.35">
      <c r="B24" s="50" t="s">
        <v>337</v>
      </c>
      <c r="C24" s="110" t="s">
        <v>338</v>
      </c>
      <c r="D24" s="84"/>
    </row>
    <row r="25" spans="2:4" ht="46" customHeight="1" x14ac:dyDescent="0.35">
      <c r="B25" s="48" t="s">
        <v>339</v>
      </c>
      <c r="C25" s="111" t="s">
        <v>340</v>
      </c>
      <c r="D25" s="84"/>
    </row>
    <row r="27" spans="2:4" x14ac:dyDescent="0.35">
      <c r="B27" s="88" t="s">
        <v>341</v>
      </c>
      <c r="C27" s="86"/>
      <c r="D27" s="87"/>
    </row>
    <row r="28" spans="2:4" ht="40" customHeight="1" x14ac:dyDescent="0.35">
      <c r="B28" s="120" t="s">
        <v>342</v>
      </c>
      <c r="C28" s="83"/>
      <c r="D28" s="84"/>
    </row>
    <row r="29" spans="2:4" x14ac:dyDescent="0.35">
      <c r="B29" s="1" t="s">
        <v>343</v>
      </c>
      <c r="C29" s="15" t="s">
        <v>344</v>
      </c>
      <c r="D29" s="1" t="s">
        <v>345</v>
      </c>
    </row>
    <row r="30" spans="2:4" ht="44" customHeight="1" x14ac:dyDescent="0.35">
      <c r="B30" s="48" t="s">
        <v>346</v>
      </c>
      <c r="C30" s="61" t="str">
        <f>IFERROR(ROUND(AVERAGE('Case Tracker'!E5:E49),2),"")</f>
        <v/>
      </c>
      <c r="D30" s="49"/>
    </row>
    <row r="31" spans="2:4" ht="44" customHeight="1" x14ac:dyDescent="0.35">
      <c r="B31" s="50" t="s">
        <v>347</v>
      </c>
      <c r="C31" s="62" t="str">
        <f>IFERROR(ROUND(AVERAGE('Case Tracker'!F5:F49),2),"")</f>
        <v/>
      </c>
      <c r="D31" s="51"/>
    </row>
    <row r="32" spans="2:4" ht="44" customHeight="1" x14ac:dyDescent="0.35">
      <c r="B32" s="48" t="s">
        <v>348</v>
      </c>
      <c r="C32" s="61" t="str">
        <f>IFERROR(ROUND(AVERAGE('Case Tracker'!G5:G49),2),"")</f>
        <v/>
      </c>
      <c r="D32" s="49"/>
    </row>
    <row r="33" spans="2:4" ht="44" customHeight="1" x14ac:dyDescent="0.35">
      <c r="B33" s="50" t="s">
        <v>349</v>
      </c>
      <c r="C33" s="62" t="str">
        <f>IFERROR(ROUND(AVERAGE('Case Tracker'!H5:H49),2),"")</f>
        <v/>
      </c>
      <c r="D33" s="51"/>
    </row>
    <row r="34" spans="2:4" ht="44" customHeight="1" x14ac:dyDescent="0.35">
      <c r="B34" s="48" t="s">
        <v>350</v>
      </c>
      <c r="C34" s="61" t="str">
        <f>IFERROR(ROUND(AVERAGE('Case Tracker'!I5:I49),2),"")</f>
        <v/>
      </c>
      <c r="D34" s="49"/>
    </row>
    <row r="35" spans="2:4" ht="44" customHeight="1" x14ac:dyDescent="0.35">
      <c r="B35" s="50" t="s">
        <v>351</v>
      </c>
      <c r="C35" s="62" t="str">
        <f>IFERROR(ROUND(AVERAGE('Case Tracker'!J5:J49),2),"")</f>
        <v/>
      </c>
      <c r="D35" s="51"/>
    </row>
    <row r="36" spans="2:4" ht="44" customHeight="1" x14ac:dyDescent="0.35">
      <c r="B36" s="48" t="s">
        <v>352</v>
      </c>
      <c r="C36" s="61" t="str">
        <f>IFERROR(ROUND(AVERAGE('Case Tracker'!K5:K49),2),"")</f>
        <v/>
      </c>
      <c r="D36" s="49"/>
    </row>
    <row r="37" spans="2:4" ht="44" customHeight="1" x14ac:dyDescent="0.35">
      <c r="B37" s="114" t="s">
        <v>353</v>
      </c>
      <c r="C37" s="86"/>
      <c r="D37" s="87"/>
    </row>
    <row r="39" spans="2:4" x14ac:dyDescent="0.35">
      <c r="B39" s="92" t="s">
        <v>354</v>
      </c>
      <c r="C39" s="86"/>
      <c r="D39" s="87"/>
    </row>
    <row r="40" spans="2:4" x14ac:dyDescent="0.35">
      <c r="B40" s="1" t="s">
        <v>355</v>
      </c>
      <c r="C40" s="1" t="s">
        <v>356</v>
      </c>
      <c r="D40" s="1" t="s">
        <v>357</v>
      </c>
    </row>
    <row r="41" spans="2:4" ht="88" customHeight="1" x14ac:dyDescent="0.35">
      <c r="B41" s="48"/>
      <c r="C41" s="49"/>
      <c r="D41" s="49"/>
    </row>
    <row r="42" spans="2:4" ht="88" customHeight="1" x14ac:dyDescent="0.35">
      <c r="B42" s="50"/>
      <c r="C42" s="51"/>
      <c r="D42" s="51"/>
    </row>
    <row r="43" spans="2:4" ht="88" customHeight="1" x14ac:dyDescent="0.35">
      <c r="B43" s="48"/>
      <c r="C43" s="49"/>
      <c r="D43" s="49"/>
    </row>
    <row r="44" spans="2:4" ht="88" customHeight="1" x14ac:dyDescent="0.35">
      <c r="B44" s="50"/>
      <c r="C44" s="51"/>
      <c r="D44" s="51"/>
    </row>
    <row r="45" spans="2:4" ht="88" customHeight="1" x14ac:dyDescent="0.35">
      <c r="B45" s="48"/>
      <c r="C45" s="49"/>
      <c r="D45" s="49"/>
    </row>
    <row r="46" spans="2:4" ht="88" customHeight="1" x14ac:dyDescent="0.35">
      <c r="B46" s="50"/>
      <c r="C46" s="51"/>
      <c r="D46" s="51"/>
    </row>
    <row r="47" spans="2:4" ht="88" customHeight="1" x14ac:dyDescent="0.35">
      <c r="B47" s="48"/>
      <c r="C47" s="49"/>
      <c r="D47" s="49"/>
    </row>
    <row r="48" spans="2:4" ht="88" customHeight="1" x14ac:dyDescent="0.35">
      <c r="B48" s="50"/>
      <c r="C48" s="51"/>
      <c r="D48" s="51"/>
    </row>
    <row r="50" spans="2:4" x14ac:dyDescent="0.35">
      <c r="B50" s="88" t="s">
        <v>358</v>
      </c>
      <c r="C50" s="86"/>
      <c r="D50" s="87"/>
    </row>
    <row r="51" spans="2:4" ht="40" customHeight="1" x14ac:dyDescent="0.35">
      <c r="B51" s="52" t="s">
        <v>359</v>
      </c>
      <c r="C51" s="111" t="s">
        <v>360</v>
      </c>
      <c r="D51" s="84"/>
    </row>
    <row r="52" spans="2:4" ht="40" customHeight="1" x14ac:dyDescent="0.35">
      <c r="B52" s="53" t="s">
        <v>361</v>
      </c>
      <c r="C52" s="110" t="s">
        <v>362</v>
      </c>
      <c r="D52" s="84"/>
    </row>
    <row r="53" spans="2:4" ht="40" customHeight="1" x14ac:dyDescent="0.35">
      <c r="B53" s="52" t="s">
        <v>363</v>
      </c>
      <c r="C53" s="111" t="s">
        <v>364</v>
      </c>
      <c r="D53" s="84"/>
    </row>
    <row r="54" spans="2:4" ht="40" customHeight="1" x14ac:dyDescent="0.35">
      <c r="B54" s="53" t="s">
        <v>365</v>
      </c>
      <c r="C54" s="110" t="s">
        <v>366</v>
      </c>
      <c r="D54" s="84"/>
    </row>
    <row r="55" spans="2:4" ht="40" customHeight="1" x14ac:dyDescent="0.35">
      <c r="B55" s="52" t="s">
        <v>367</v>
      </c>
      <c r="C55" s="111" t="s">
        <v>368</v>
      </c>
      <c r="D55" s="84"/>
    </row>
    <row r="56" spans="2:4" ht="40" customHeight="1" x14ac:dyDescent="0.35">
      <c r="B56" s="53" t="s">
        <v>369</v>
      </c>
      <c r="C56" s="110" t="s">
        <v>370</v>
      </c>
      <c r="D56" s="84"/>
    </row>
    <row r="58" spans="2:4" ht="36" customHeight="1" x14ac:dyDescent="0.35">
      <c r="B58" s="114" t="s">
        <v>371</v>
      </c>
      <c r="C58" s="86"/>
      <c r="D58" s="87"/>
    </row>
    <row r="60" spans="2:4" ht="22" customHeight="1" x14ac:dyDescent="0.35">
      <c r="B60" s="88" t="s">
        <v>372</v>
      </c>
      <c r="C60" s="86"/>
      <c r="D60" s="87"/>
    </row>
    <row r="61" spans="2:4" ht="32" customHeight="1" x14ac:dyDescent="0.35">
      <c r="B61" s="117" t="s">
        <v>373</v>
      </c>
      <c r="C61" s="86"/>
      <c r="D61" s="87"/>
    </row>
    <row r="62" spans="2:4" ht="34" customHeight="1" x14ac:dyDescent="0.35">
      <c r="B62" s="126"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86"/>
      <c r="D62" s="87"/>
    </row>
    <row r="63" spans="2:4" ht="24" customHeight="1" x14ac:dyDescent="0.35">
      <c r="B63" s="63" t="s">
        <v>374</v>
      </c>
      <c r="C63" s="64" t="s">
        <v>375</v>
      </c>
      <c r="D63" s="64" t="s">
        <v>376</v>
      </c>
    </row>
    <row r="64" spans="2:4" x14ac:dyDescent="0.35">
      <c r="B64" s="10" t="str">
        <f>IF('Case Tracker'!C5="","",'Case Tracker'!D5&amp;" - "&amp;'Case Tracker'!C5)</f>
        <v/>
      </c>
      <c r="C64" s="25" t="str">
        <f>IF('Case Tracker'!C5="","",'Case Tracker'!O5)</f>
        <v/>
      </c>
      <c r="D64" s="25" t="str">
        <f>IF('Case Tracker'!C5="","",'Case Tracker'!P5)</f>
        <v/>
      </c>
    </row>
    <row r="65" spans="2:4" x14ac:dyDescent="0.35">
      <c r="B65" s="8" t="str">
        <f>IF('Case Tracker'!C6="","",'Case Tracker'!D6&amp;" - "&amp;'Case Tracker'!C6)</f>
        <v/>
      </c>
      <c r="C65" s="20" t="str">
        <f>IF('Case Tracker'!C6="","",'Case Tracker'!O6)</f>
        <v/>
      </c>
      <c r="D65" s="20" t="str">
        <f>IF('Case Tracker'!C6="","",'Case Tracker'!P6)</f>
        <v/>
      </c>
    </row>
    <row r="66" spans="2:4" x14ac:dyDescent="0.35">
      <c r="B66" s="10" t="str">
        <f>IF('Case Tracker'!C7="","",'Case Tracker'!D7&amp;" - "&amp;'Case Tracker'!C7)</f>
        <v/>
      </c>
      <c r="C66" s="25" t="str">
        <f>IF('Case Tracker'!C7="","",'Case Tracker'!O7)</f>
        <v/>
      </c>
      <c r="D66" s="25" t="str">
        <f>IF('Case Tracker'!C7="","",'Case Tracker'!P7)</f>
        <v/>
      </c>
    </row>
    <row r="67" spans="2:4" x14ac:dyDescent="0.35">
      <c r="B67" s="8" t="str">
        <f>IF('Case Tracker'!C8="","",'Case Tracker'!D8&amp;" - "&amp;'Case Tracker'!C8)</f>
        <v/>
      </c>
      <c r="C67" s="20" t="str">
        <f>IF('Case Tracker'!C8="","",'Case Tracker'!O8)</f>
        <v/>
      </c>
      <c r="D67" s="20" t="str">
        <f>IF('Case Tracker'!C8="","",'Case Tracker'!P8)</f>
        <v/>
      </c>
    </row>
    <row r="68" spans="2:4" x14ac:dyDescent="0.35">
      <c r="B68" s="10" t="str">
        <f>IF('Case Tracker'!C9="","",'Case Tracker'!D9&amp;" - "&amp;'Case Tracker'!C9)</f>
        <v/>
      </c>
      <c r="C68" s="25" t="str">
        <f>IF('Case Tracker'!C9="","",'Case Tracker'!O9)</f>
        <v/>
      </c>
      <c r="D68" s="25" t="str">
        <f>IF('Case Tracker'!C9="","",'Case Tracker'!P9)</f>
        <v/>
      </c>
    </row>
    <row r="69" spans="2:4" x14ac:dyDescent="0.35">
      <c r="B69" s="8" t="str">
        <f>IF('Case Tracker'!C10="","",'Case Tracker'!D10&amp;" - "&amp;'Case Tracker'!C10)</f>
        <v/>
      </c>
      <c r="C69" s="20" t="str">
        <f>IF('Case Tracker'!C10="","",'Case Tracker'!O10)</f>
        <v/>
      </c>
      <c r="D69" s="20" t="str">
        <f>IF('Case Tracker'!C10="","",'Case Tracker'!P10)</f>
        <v/>
      </c>
    </row>
    <row r="70" spans="2:4" x14ac:dyDescent="0.35">
      <c r="B70" s="10" t="str">
        <f>IF('Case Tracker'!C11="","",'Case Tracker'!D11&amp;" - "&amp;'Case Tracker'!C11)</f>
        <v/>
      </c>
      <c r="C70" s="25" t="str">
        <f>IF('Case Tracker'!C11="","",'Case Tracker'!O11)</f>
        <v/>
      </c>
      <c r="D70" s="25" t="str">
        <f>IF('Case Tracker'!C11="","",'Case Tracker'!P11)</f>
        <v/>
      </c>
    </row>
    <row r="71" spans="2:4" x14ac:dyDescent="0.35">
      <c r="B71" s="8" t="str">
        <f>IF('Case Tracker'!C12="","",'Case Tracker'!D12&amp;" - "&amp;'Case Tracker'!C12)</f>
        <v/>
      </c>
      <c r="C71" s="20" t="str">
        <f>IF('Case Tracker'!C12="","",'Case Tracker'!O12)</f>
        <v/>
      </c>
      <c r="D71" s="20" t="str">
        <f>IF('Case Tracker'!C12="","",'Case Tracker'!P12)</f>
        <v/>
      </c>
    </row>
    <row r="72" spans="2:4" x14ac:dyDescent="0.35">
      <c r="B72" s="10" t="str">
        <f>IF('Case Tracker'!C13="","",'Case Tracker'!D13&amp;" - "&amp;'Case Tracker'!C13)</f>
        <v/>
      </c>
      <c r="C72" s="25" t="str">
        <f>IF('Case Tracker'!C13="","",'Case Tracker'!O13)</f>
        <v/>
      </c>
      <c r="D72" s="25" t="str">
        <f>IF('Case Tracker'!C13="","",'Case Tracker'!P13)</f>
        <v/>
      </c>
    </row>
    <row r="73" spans="2:4" x14ac:dyDescent="0.35">
      <c r="B73" s="8" t="str">
        <f>IF('Case Tracker'!C14="","",'Case Tracker'!D14&amp;" - "&amp;'Case Tracker'!C14)</f>
        <v/>
      </c>
      <c r="C73" s="20" t="str">
        <f>IF('Case Tracker'!C14="","",'Case Tracker'!O14)</f>
        <v/>
      </c>
      <c r="D73" s="20" t="str">
        <f>IF('Case Tracker'!C14="","",'Case Tracker'!P14)</f>
        <v/>
      </c>
    </row>
    <row r="74" spans="2:4" x14ac:dyDescent="0.35">
      <c r="B74" s="10" t="str">
        <f>IF('Case Tracker'!C15="","",'Case Tracker'!D15&amp;" - "&amp;'Case Tracker'!C15)</f>
        <v/>
      </c>
      <c r="C74" s="25" t="str">
        <f>IF('Case Tracker'!C15="","",'Case Tracker'!O15)</f>
        <v/>
      </c>
      <c r="D74" s="25" t="str">
        <f>IF('Case Tracker'!C15="","",'Case Tracker'!P15)</f>
        <v/>
      </c>
    </row>
    <row r="75" spans="2:4" x14ac:dyDescent="0.35">
      <c r="B75" s="8" t="str">
        <f>IF('Case Tracker'!C16="","",'Case Tracker'!D16&amp;" - "&amp;'Case Tracker'!C16)</f>
        <v/>
      </c>
      <c r="C75" s="20" t="str">
        <f>IF('Case Tracker'!C16="","",'Case Tracker'!O16)</f>
        <v/>
      </c>
      <c r="D75" s="20" t="str">
        <f>IF('Case Tracker'!C16="","",'Case Tracker'!P16)</f>
        <v/>
      </c>
    </row>
    <row r="76" spans="2:4" x14ac:dyDescent="0.35">
      <c r="B76" s="10" t="str">
        <f>IF('Case Tracker'!C17="","",'Case Tracker'!D17&amp;" - "&amp;'Case Tracker'!C17)</f>
        <v/>
      </c>
      <c r="C76" s="25" t="str">
        <f>IF('Case Tracker'!C17="","",'Case Tracker'!O17)</f>
        <v/>
      </c>
      <c r="D76" s="25" t="str">
        <f>IF('Case Tracker'!C17="","",'Case Tracker'!P17)</f>
        <v/>
      </c>
    </row>
    <row r="77" spans="2:4" ht="40" customHeight="1" x14ac:dyDescent="0.35">
      <c r="B77" s="99" t="s">
        <v>377</v>
      </c>
      <c r="C77" s="83"/>
      <c r="D77" s="84"/>
    </row>
  </sheetData>
  <mergeCells count="29">
    <mergeCell ref="B77:D77"/>
    <mergeCell ref="B2:D2"/>
    <mergeCell ref="B62:D62"/>
    <mergeCell ref="C23:D23"/>
    <mergeCell ref="B22:D22"/>
    <mergeCell ref="B58:D58"/>
    <mergeCell ref="B27:D27"/>
    <mergeCell ref="C53:D53"/>
    <mergeCell ref="C51:D51"/>
    <mergeCell ref="B4:D4"/>
    <mergeCell ref="B50:D50"/>
    <mergeCell ref="B12:D12"/>
    <mergeCell ref="C52:D52"/>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s>
  <conditionalFormatting sqref="B6">
    <cfRule type="cellIs" dxfId="88" priority="3" operator="greaterThanOrEqual">
      <formula>0.85</formula>
    </cfRule>
    <cfRule type="cellIs" dxfId="87" priority="4" operator="between">
      <formula>0.7</formula>
      <formula>0.8499</formula>
    </cfRule>
    <cfRule type="cellIs" dxfId="86" priority="5" operator="lessThan">
      <formula>0.7</formula>
    </cfRule>
  </conditionalFormatting>
  <conditionalFormatting sqref="C30:C36">
    <cfRule type="cellIs" dxfId="85" priority="6" operator="lessThan">
      <formula>2.75</formula>
    </cfRule>
    <cfRule type="cellIs" dxfId="84" priority="7" operator="between">
      <formula>2.75</formula>
      <formula>3.49</formula>
    </cfRule>
    <cfRule type="cellIs" dxfId="83" priority="8" operator="greaterThanOrEqual">
      <formula>3.5</formula>
    </cfRule>
  </conditionalFormatting>
  <conditionalFormatting sqref="C64:C76">
    <cfRule type="cellIs" dxfId="82" priority="9" operator="equal">
      <formula>"Resolver"</formula>
    </cfRule>
    <cfRule type="cellIs" dxfId="81" priority="10" operator="equal">
      <formula>"Progress Builder"</formula>
    </cfRule>
    <cfRule type="cellIs" dxfId="80" priority="11" operator="equal">
      <formula>"Maintainer"</formula>
    </cfRule>
    <cfRule type="cellIs" dxfId="79" priority="12" operator="equal">
      <formula>"Regression Contributor"</formula>
    </cfRule>
  </conditionalFormatting>
  <conditionalFormatting sqref="D64:D76">
    <cfRule type="cellIs" dxfId="78" priority="13" operator="greaterThanOrEqual">
      <formula>4</formula>
    </cfRule>
    <cfRule type="cellIs" dxfId="77" priority="14" operator="between">
      <formula>2</formula>
      <formula>3</formula>
    </cfRule>
    <cfRule type="cellIs" dxfId="76" priority="15" operator="lessThanOrEqual">
      <formula>1</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170"/>
  <sheetViews>
    <sheetView showGridLines="0" workbookViewId="0">
      <pane ySplit="2" topLeftCell="A3" activePane="bottomLeft" state="frozen"/>
      <selection pane="bottomLef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2:6" ht="28" customHeight="1" x14ac:dyDescent="0.35">
      <c r="B1" s="129" t="s">
        <v>378</v>
      </c>
      <c r="C1" s="86"/>
      <c r="D1" s="86"/>
      <c r="E1" s="86"/>
      <c r="F1" s="87"/>
    </row>
    <row r="2" spans="2:6" ht="18" customHeight="1" x14ac:dyDescent="0.35">
      <c r="B2" s="96" t="s">
        <v>1</v>
      </c>
      <c r="C2" s="86"/>
      <c r="D2" s="86"/>
      <c r="E2" s="86"/>
      <c r="F2" s="87"/>
    </row>
    <row r="4" spans="2:6" x14ac:dyDescent="0.35">
      <c r="B4" s="88" t="s">
        <v>2</v>
      </c>
      <c r="C4" s="86"/>
      <c r="D4" s="86"/>
      <c r="E4" s="86"/>
      <c r="F4" s="87"/>
    </row>
    <row r="5" spans="2:6" ht="29" customHeight="1" x14ac:dyDescent="0.35">
      <c r="B5" s="2" t="s">
        <v>3</v>
      </c>
      <c r="C5" s="3" t="s">
        <v>379</v>
      </c>
      <c r="D5" s="4" t="s">
        <v>4</v>
      </c>
      <c r="E5" s="95" t="s">
        <v>380</v>
      </c>
      <c r="F5" s="84"/>
    </row>
    <row r="6" spans="2:6" ht="29" customHeight="1" x14ac:dyDescent="0.35">
      <c r="B6" s="2" t="s">
        <v>5</v>
      </c>
      <c r="C6" s="3" t="s">
        <v>381</v>
      </c>
      <c r="D6" s="4" t="s">
        <v>6</v>
      </c>
      <c r="E6" s="95" t="s">
        <v>382</v>
      </c>
      <c r="F6" s="84"/>
    </row>
    <row r="7" spans="2:6" x14ac:dyDescent="0.35">
      <c r="B7" s="2" t="s">
        <v>7</v>
      </c>
      <c r="C7" s="3" t="s">
        <v>383</v>
      </c>
      <c r="D7" s="4" t="s">
        <v>8</v>
      </c>
      <c r="E7" s="95" t="s">
        <v>384</v>
      </c>
      <c r="F7" s="84"/>
    </row>
    <row r="8" spans="2:6" x14ac:dyDescent="0.35">
      <c r="B8" s="2" t="s">
        <v>9</v>
      </c>
      <c r="C8" s="3" t="s">
        <v>385</v>
      </c>
      <c r="D8" s="4" t="s">
        <v>10</v>
      </c>
      <c r="E8" s="95" t="s">
        <v>386</v>
      </c>
      <c r="F8" s="84"/>
    </row>
    <row r="9" spans="2:6" ht="29" customHeight="1" x14ac:dyDescent="0.35">
      <c r="B9" s="2" t="s">
        <v>11</v>
      </c>
      <c r="C9" s="3" t="s">
        <v>387</v>
      </c>
      <c r="D9" s="4" t="s">
        <v>12</v>
      </c>
      <c r="E9" s="95" t="s">
        <v>388</v>
      </c>
      <c r="F9" s="84"/>
    </row>
    <row r="10" spans="2:6" ht="29" customHeight="1" x14ac:dyDescent="0.35">
      <c r="B10" s="2" t="s">
        <v>13</v>
      </c>
      <c r="C10" s="3" t="s">
        <v>389</v>
      </c>
      <c r="D10" s="4" t="s">
        <v>14</v>
      </c>
      <c r="E10" s="95" t="s">
        <v>155</v>
      </c>
      <c r="F10" s="84"/>
    </row>
    <row r="11" spans="2:6" ht="29" customHeight="1" x14ac:dyDescent="0.35">
      <c r="B11" s="2" t="s">
        <v>15</v>
      </c>
      <c r="C11" s="3" t="s">
        <v>390</v>
      </c>
      <c r="D11" s="4" t="s">
        <v>16</v>
      </c>
      <c r="E11" s="95" t="s">
        <v>391</v>
      </c>
      <c r="F11" s="84"/>
    </row>
    <row r="12" spans="2:6" x14ac:dyDescent="0.35">
      <c r="B12" s="2" t="s">
        <v>17</v>
      </c>
      <c r="C12" s="3" t="s">
        <v>392</v>
      </c>
      <c r="D12" s="4" t="s">
        <v>18</v>
      </c>
      <c r="E12" s="95" t="s">
        <v>393</v>
      </c>
      <c r="F12" s="84"/>
    </row>
    <row r="13" spans="2:6" ht="58" customHeight="1" x14ac:dyDescent="0.35">
      <c r="B13" s="4" t="s">
        <v>19</v>
      </c>
      <c r="C13" s="90" t="s">
        <v>394</v>
      </c>
      <c r="D13" s="83"/>
      <c r="E13" s="83"/>
      <c r="F13" s="84"/>
    </row>
    <row r="14" spans="2:6" ht="46" customHeight="1" x14ac:dyDescent="0.35">
      <c r="B14" s="4" t="s">
        <v>20</v>
      </c>
      <c r="C14" s="90" t="s">
        <v>395</v>
      </c>
      <c r="D14" s="83"/>
      <c r="E14" s="83"/>
      <c r="F14" s="84"/>
    </row>
    <row r="16" spans="2:6" x14ac:dyDescent="0.35">
      <c r="B16" s="104" t="s">
        <v>396</v>
      </c>
      <c r="C16" s="86"/>
      <c r="D16" s="86"/>
      <c r="E16" s="86"/>
      <c r="F16" s="87"/>
    </row>
    <row r="17" spans="2:6" ht="18" customHeight="1" x14ac:dyDescent="0.35">
      <c r="B17" s="88" t="s">
        <v>45</v>
      </c>
      <c r="C17" s="86"/>
      <c r="D17" s="86"/>
      <c r="E17" s="87"/>
      <c r="F17" s="6" t="s">
        <v>46</v>
      </c>
    </row>
    <row r="18" spans="2:6" ht="28" customHeight="1" x14ac:dyDescent="0.35">
      <c r="B18" s="128" t="s">
        <v>47</v>
      </c>
      <c r="C18" s="83"/>
      <c r="D18" s="83"/>
      <c r="E18" s="83"/>
      <c r="F18" s="84"/>
    </row>
    <row r="19" spans="2:6" x14ac:dyDescent="0.35">
      <c r="B19" s="2" t="s">
        <v>48</v>
      </c>
      <c r="C19" s="7" t="s">
        <v>49</v>
      </c>
      <c r="D19" s="100" t="s">
        <v>50</v>
      </c>
      <c r="E19" s="83"/>
      <c r="F19" s="84"/>
    </row>
    <row r="20" spans="2:6" ht="28" customHeight="1" x14ac:dyDescent="0.35">
      <c r="B20" s="8" t="s">
        <v>397</v>
      </c>
      <c r="C20" s="9" t="s">
        <v>398</v>
      </c>
      <c r="D20" s="82" t="s">
        <v>399</v>
      </c>
      <c r="E20" s="83"/>
      <c r="F20" s="84"/>
    </row>
    <row r="21" spans="2:6" ht="28" customHeight="1" x14ac:dyDescent="0.35">
      <c r="B21" s="10" t="s">
        <v>400</v>
      </c>
      <c r="C21" s="9" t="s">
        <v>401</v>
      </c>
      <c r="D21" s="94" t="s">
        <v>402</v>
      </c>
      <c r="E21" s="83"/>
      <c r="F21" s="84"/>
    </row>
    <row r="22" spans="2:6" ht="28" customHeight="1" x14ac:dyDescent="0.35">
      <c r="B22" s="8" t="s">
        <v>403</v>
      </c>
      <c r="C22" s="9" t="s">
        <v>398</v>
      </c>
      <c r="D22" s="82" t="s">
        <v>404</v>
      </c>
      <c r="E22" s="83"/>
      <c r="F22" s="84"/>
    </row>
    <row r="23" spans="2:6" ht="28" customHeight="1" x14ac:dyDescent="0.35">
      <c r="B23" s="10" t="s">
        <v>53</v>
      </c>
      <c r="C23" s="9" t="s">
        <v>398</v>
      </c>
      <c r="D23" s="94" t="s">
        <v>405</v>
      </c>
      <c r="E23" s="83"/>
      <c r="F23" s="84"/>
    </row>
    <row r="24" spans="2:6" ht="28" customHeight="1" x14ac:dyDescent="0.35">
      <c r="B24" s="8" t="s">
        <v>54</v>
      </c>
      <c r="C24" s="9" t="s">
        <v>401</v>
      </c>
      <c r="D24" s="82" t="s">
        <v>406</v>
      </c>
      <c r="E24" s="83"/>
      <c r="F24" s="84"/>
    </row>
    <row r="25" spans="2:6" ht="28" customHeight="1" x14ac:dyDescent="0.35">
      <c r="B25" s="99" t="s">
        <v>55</v>
      </c>
      <c r="C25" s="83"/>
      <c r="D25" s="83"/>
      <c r="E25" s="83"/>
      <c r="F25" s="84"/>
    </row>
    <row r="26" spans="2:6" x14ac:dyDescent="0.35">
      <c r="B26" s="11" t="s">
        <v>407</v>
      </c>
      <c r="C26" s="12">
        <f>IF((COUNTIF(C20:C24,"Met")+COUNTIF(C20:C24,"Partial")+COUNTIF(C20:C24,"Missed"))=0,"",ROUND((COUNTIF(C20:C24,"Met")*5+COUNTIF(C20:C24,"Partial")*2.5)/(COUNTIF(C20:C24,"Met")+COUNTIF(C20:C24,"Partial")+COUNTIF(C20:C24,"Missed")),1))</f>
        <v>3.5</v>
      </c>
      <c r="D26" s="89"/>
      <c r="E26" s="83"/>
      <c r="F26" s="84"/>
    </row>
    <row r="27" spans="2:6" ht="24" customHeight="1" x14ac:dyDescent="0.35">
      <c r="B27" s="13" t="s">
        <v>408</v>
      </c>
      <c r="C27" s="14">
        <v>3</v>
      </c>
      <c r="D27" s="93" t="str">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27" s="83"/>
      <c r="F27" s="84"/>
    </row>
    <row r="28" spans="2:6" ht="36" customHeight="1" x14ac:dyDescent="0.35">
      <c r="B28" s="13" t="s">
        <v>409</v>
      </c>
      <c r="C28" s="90" t="s">
        <v>410</v>
      </c>
      <c r="D28" s="83"/>
      <c r="E28" s="83"/>
      <c r="F28" s="84"/>
    </row>
    <row r="30" spans="2:6" ht="18" customHeight="1" x14ac:dyDescent="0.35">
      <c r="B30" s="88" t="s">
        <v>59</v>
      </c>
      <c r="C30" s="86"/>
      <c r="D30" s="86"/>
      <c r="E30" s="87"/>
      <c r="F30" s="6" t="s">
        <v>60</v>
      </c>
    </row>
    <row r="31" spans="2:6" ht="28" customHeight="1" x14ac:dyDescent="0.35">
      <c r="B31" s="128" t="s">
        <v>61</v>
      </c>
      <c r="C31" s="83"/>
      <c r="D31" s="83"/>
      <c r="E31" s="83"/>
      <c r="F31" s="84"/>
    </row>
    <row r="32" spans="2:6" x14ac:dyDescent="0.35">
      <c r="B32" s="2" t="s">
        <v>48</v>
      </c>
      <c r="C32" s="7" t="s">
        <v>49</v>
      </c>
      <c r="D32" s="100" t="s">
        <v>50</v>
      </c>
      <c r="E32" s="83"/>
      <c r="F32" s="84"/>
    </row>
    <row r="33" spans="2:6" ht="28" customHeight="1" x14ac:dyDescent="0.35">
      <c r="B33" s="8" t="s">
        <v>411</v>
      </c>
      <c r="C33" s="9" t="s">
        <v>401</v>
      </c>
      <c r="D33" s="82" t="s">
        <v>412</v>
      </c>
      <c r="E33" s="83"/>
      <c r="F33" s="84"/>
    </row>
    <row r="34" spans="2:6" ht="28" customHeight="1" x14ac:dyDescent="0.35">
      <c r="B34" s="10" t="s">
        <v>413</v>
      </c>
      <c r="C34" s="9" t="s">
        <v>401</v>
      </c>
      <c r="D34" s="94" t="s">
        <v>414</v>
      </c>
      <c r="E34" s="83"/>
      <c r="F34" s="84"/>
    </row>
    <row r="35" spans="2:6" ht="28" customHeight="1" x14ac:dyDescent="0.35">
      <c r="B35" s="8" t="s">
        <v>415</v>
      </c>
      <c r="C35" s="9" t="s">
        <v>401</v>
      </c>
      <c r="D35" s="82" t="s">
        <v>416</v>
      </c>
      <c r="E35" s="83"/>
      <c r="F35" s="84"/>
    </row>
    <row r="36" spans="2:6" ht="28" customHeight="1" x14ac:dyDescent="0.35">
      <c r="B36" s="10" t="s">
        <v>417</v>
      </c>
      <c r="C36" s="9" t="s">
        <v>401</v>
      </c>
      <c r="D36" s="94" t="s">
        <v>418</v>
      </c>
      <c r="E36" s="83"/>
      <c r="F36" s="84"/>
    </row>
    <row r="37" spans="2:6" ht="28" customHeight="1" x14ac:dyDescent="0.35">
      <c r="B37" s="8" t="s">
        <v>419</v>
      </c>
      <c r="C37" s="9" t="s">
        <v>401</v>
      </c>
      <c r="D37" s="82" t="s">
        <v>420</v>
      </c>
      <c r="E37" s="83"/>
      <c r="F37" s="84"/>
    </row>
    <row r="38" spans="2:6" ht="28" customHeight="1" x14ac:dyDescent="0.35">
      <c r="B38" s="10" t="s">
        <v>421</v>
      </c>
      <c r="C38" s="9" t="s">
        <v>398</v>
      </c>
      <c r="D38" s="94" t="s">
        <v>422</v>
      </c>
      <c r="E38" s="83"/>
      <c r="F38" s="84"/>
    </row>
    <row r="39" spans="2:6" ht="28" customHeight="1" x14ac:dyDescent="0.35">
      <c r="B39" s="8" t="s">
        <v>423</v>
      </c>
      <c r="C39" s="9" t="s">
        <v>398</v>
      </c>
      <c r="D39" s="82" t="s">
        <v>424</v>
      </c>
      <c r="E39" s="83"/>
      <c r="F39" s="84"/>
    </row>
    <row r="40" spans="2:6" ht="28" customHeight="1" x14ac:dyDescent="0.35">
      <c r="B40" s="99" t="s">
        <v>67</v>
      </c>
      <c r="C40" s="83"/>
      <c r="D40" s="83"/>
      <c r="E40" s="83"/>
      <c r="F40" s="84"/>
    </row>
    <row r="41" spans="2:6" x14ac:dyDescent="0.35">
      <c r="B41" s="11" t="s">
        <v>407</v>
      </c>
      <c r="C41" s="12">
        <f>IF((COUNTIF(C33:C39,"Met")+COUNTIF(C33:C39,"Partial")+COUNTIF(C33:C39,"Missed"))=0,"",ROUND((COUNTIF(C33:C39,"Met")*5+COUNTIF(C33:C39,"Partial")*2.5)/(COUNTIF(C33:C39,"Met")+COUNTIF(C33:C39,"Partial")+COUNTIF(C33:C39,"Missed")),1))</f>
        <v>4.3</v>
      </c>
      <c r="D41" s="89"/>
      <c r="E41" s="83"/>
      <c r="F41" s="84"/>
    </row>
    <row r="42" spans="2:6" ht="24" customHeight="1" x14ac:dyDescent="0.35">
      <c r="B42" s="13" t="s">
        <v>408</v>
      </c>
      <c r="C42" s="14">
        <v>4</v>
      </c>
      <c r="D42" s="93" t="str">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2" s="83"/>
      <c r="F42" s="84"/>
    </row>
    <row r="43" spans="2:6" ht="36" customHeight="1" x14ac:dyDescent="0.35">
      <c r="B43" s="13" t="s">
        <v>409</v>
      </c>
      <c r="C43" s="90" t="s">
        <v>425</v>
      </c>
      <c r="D43" s="83"/>
      <c r="E43" s="83"/>
      <c r="F43" s="84"/>
    </row>
    <row r="45" spans="2:6" ht="18" customHeight="1" x14ac:dyDescent="0.35">
      <c r="B45" s="88" t="s">
        <v>69</v>
      </c>
      <c r="C45" s="86"/>
      <c r="D45" s="86"/>
      <c r="E45" s="87"/>
      <c r="F45" s="6" t="s">
        <v>70</v>
      </c>
    </row>
    <row r="46" spans="2:6" ht="28" customHeight="1" x14ac:dyDescent="0.35">
      <c r="B46" s="128" t="s">
        <v>71</v>
      </c>
      <c r="C46" s="83"/>
      <c r="D46" s="83"/>
      <c r="E46" s="83"/>
      <c r="F46" s="84"/>
    </row>
    <row r="47" spans="2:6" x14ac:dyDescent="0.35">
      <c r="B47" s="2" t="s">
        <v>48</v>
      </c>
      <c r="C47" s="7" t="s">
        <v>49</v>
      </c>
      <c r="D47" s="100" t="s">
        <v>50</v>
      </c>
      <c r="E47" s="83"/>
      <c r="F47" s="84"/>
    </row>
    <row r="48" spans="2:6" ht="28" customHeight="1" x14ac:dyDescent="0.35">
      <c r="B48" s="8" t="s">
        <v>72</v>
      </c>
      <c r="C48" s="9" t="s">
        <v>398</v>
      </c>
      <c r="D48" s="82" t="s">
        <v>426</v>
      </c>
      <c r="E48" s="83"/>
      <c r="F48" s="84"/>
    </row>
    <row r="49" spans="2:6" ht="28" customHeight="1" x14ac:dyDescent="0.35">
      <c r="B49" s="10" t="s">
        <v>427</v>
      </c>
      <c r="C49" s="9" t="s">
        <v>401</v>
      </c>
      <c r="D49" s="94" t="s">
        <v>428</v>
      </c>
      <c r="E49" s="83"/>
      <c r="F49" s="84"/>
    </row>
    <row r="50" spans="2:6" ht="28" customHeight="1" x14ac:dyDescent="0.35">
      <c r="B50" s="8" t="s">
        <v>429</v>
      </c>
      <c r="C50" s="9" t="s">
        <v>398</v>
      </c>
      <c r="D50" s="82" t="s">
        <v>430</v>
      </c>
      <c r="E50" s="83"/>
      <c r="F50" s="84"/>
    </row>
    <row r="51" spans="2:6" ht="28" customHeight="1" x14ac:dyDescent="0.35">
      <c r="B51" s="10" t="s">
        <v>431</v>
      </c>
      <c r="C51" s="9" t="s">
        <v>401</v>
      </c>
      <c r="D51" s="94" t="s">
        <v>432</v>
      </c>
      <c r="E51" s="83"/>
      <c r="F51" s="84"/>
    </row>
    <row r="52" spans="2:6" ht="28" customHeight="1" x14ac:dyDescent="0.35">
      <c r="B52" s="8" t="s">
        <v>433</v>
      </c>
      <c r="C52" s="9" t="s">
        <v>398</v>
      </c>
      <c r="D52" s="82" t="s">
        <v>434</v>
      </c>
      <c r="E52" s="83"/>
      <c r="F52" s="84"/>
    </row>
    <row r="53" spans="2:6" ht="28" customHeight="1" x14ac:dyDescent="0.35">
      <c r="B53" s="10" t="s">
        <v>435</v>
      </c>
      <c r="C53" s="9" t="s">
        <v>398</v>
      </c>
      <c r="D53" s="94" t="s">
        <v>436</v>
      </c>
      <c r="E53" s="83"/>
      <c r="F53" s="84"/>
    </row>
    <row r="54" spans="2:6" ht="28" customHeight="1" x14ac:dyDescent="0.35">
      <c r="B54" s="8" t="s">
        <v>437</v>
      </c>
      <c r="C54" s="9" t="s">
        <v>401</v>
      </c>
      <c r="D54" s="82" t="s">
        <v>438</v>
      </c>
      <c r="E54" s="83"/>
      <c r="F54" s="84"/>
    </row>
    <row r="55" spans="2:6" ht="28" customHeight="1" x14ac:dyDescent="0.35">
      <c r="B55" s="10" t="s">
        <v>439</v>
      </c>
      <c r="C55" s="9" t="s">
        <v>440</v>
      </c>
      <c r="D55" s="94" t="s">
        <v>441</v>
      </c>
      <c r="E55" s="83"/>
      <c r="F55" s="84"/>
    </row>
    <row r="56" spans="2:6" ht="28" customHeight="1" x14ac:dyDescent="0.35">
      <c r="B56" s="99" t="s">
        <v>79</v>
      </c>
      <c r="C56" s="83"/>
      <c r="D56" s="83"/>
      <c r="E56" s="83"/>
      <c r="F56" s="84"/>
    </row>
    <row r="57" spans="2:6" x14ac:dyDescent="0.35">
      <c r="B57" s="11" t="s">
        <v>407</v>
      </c>
      <c r="C57" s="12">
        <f>IF((COUNTIF(C48:C55,"Met")+COUNTIF(C48:C55,"Partial")+COUNTIF(C48:C55,"Missed"))=0,"",ROUND((COUNTIF(C48:C55,"Met")*5+COUNTIF(C48:C55,"Partial")*2.5)/(COUNTIF(C48:C55,"Met")+COUNTIF(C48:C55,"Partial")+COUNTIF(C48:C55,"Missed")),1))</f>
        <v>3.1</v>
      </c>
      <c r="D57" s="89"/>
      <c r="E57" s="83"/>
      <c r="F57" s="84"/>
    </row>
    <row r="58" spans="2:6" ht="24" customHeight="1" x14ac:dyDescent="0.35">
      <c r="B58" s="13" t="s">
        <v>408</v>
      </c>
      <c r="C58" s="14">
        <v>3</v>
      </c>
      <c r="D58" s="93" t="str">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8" s="83"/>
      <c r="F58" s="84"/>
    </row>
    <row r="59" spans="2:6" ht="36" customHeight="1" x14ac:dyDescent="0.35">
      <c r="B59" s="13" t="s">
        <v>409</v>
      </c>
      <c r="C59" s="90" t="s">
        <v>442</v>
      </c>
      <c r="D59" s="83"/>
      <c r="E59" s="83"/>
      <c r="F59" s="84"/>
    </row>
    <row r="61" spans="2:6" ht="18" customHeight="1" x14ac:dyDescent="0.35">
      <c r="B61" s="88" t="s">
        <v>81</v>
      </c>
      <c r="C61" s="86"/>
      <c r="D61" s="86"/>
      <c r="E61" s="87"/>
      <c r="F61" s="6" t="s">
        <v>70</v>
      </c>
    </row>
    <row r="62" spans="2:6" ht="28" customHeight="1" x14ac:dyDescent="0.35">
      <c r="B62" s="128" t="s">
        <v>82</v>
      </c>
      <c r="C62" s="83"/>
      <c r="D62" s="83"/>
      <c r="E62" s="83"/>
      <c r="F62" s="84"/>
    </row>
    <row r="63" spans="2:6" x14ac:dyDescent="0.35">
      <c r="B63" s="2" t="s">
        <v>48</v>
      </c>
      <c r="C63" s="7" t="s">
        <v>49</v>
      </c>
      <c r="D63" s="100" t="s">
        <v>50</v>
      </c>
      <c r="E63" s="83"/>
      <c r="F63" s="84"/>
    </row>
    <row r="64" spans="2:6" ht="28" customHeight="1" x14ac:dyDescent="0.35">
      <c r="B64" s="8" t="s">
        <v>443</v>
      </c>
      <c r="C64" s="9" t="s">
        <v>398</v>
      </c>
      <c r="D64" s="82" t="s">
        <v>444</v>
      </c>
      <c r="E64" s="83"/>
      <c r="F64" s="84"/>
    </row>
    <row r="65" spans="2:6" ht="28" customHeight="1" x14ac:dyDescent="0.35">
      <c r="B65" s="10" t="s">
        <v>445</v>
      </c>
      <c r="C65" s="9" t="s">
        <v>401</v>
      </c>
      <c r="D65" s="94" t="s">
        <v>446</v>
      </c>
      <c r="E65" s="83"/>
      <c r="F65" s="84"/>
    </row>
    <row r="66" spans="2:6" ht="28" customHeight="1" x14ac:dyDescent="0.35">
      <c r="B66" s="8" t="s">
        <v>447</v>
      </c>
      <c r="C66" s="9" t="s">
        <v>440</v>
      </c>
      <c r="D66" s="82" t="s">
        <v>448</v>
      </c>
      <c r="E66" s="83"/>
      <c r="F66" s="84"/>
    </row>
    <row r="67" spans="2:6" ht="28" customHeight="1" x14ac:dyDescent="0.35">
      <c r="B67" s="10" t="s">
        <v>449</v>
      </c>
      <c r="C67" s="9" t="s">
        <v>398</v>
      </c>
      <c r="D67" s="94" t="s">
        <v>450</v>
      </c>
      <c r="E67" s="83"/>
      <c r="F67" s="84"/>
    </row>
    <row r="68" spans="2:6" ht="28" customHeight="1" x14ac:dyDescent="0.35">
      <c r="B68" s="8" t="s">
        <v>451</v>
      </c>
      <c r="C68" s="9" t="s">
        <v>401</v>
      </c>
      <c r="D68" s="82" t="s">
        <v>452</v>
      </c>
      <c r="E68" s="83"/>
      <c r="F68" s="84"/>
    </row>
    <row r="69" spans="2:6" ht="28" customHeight="1" x14ac:dyDescent="0.35">
      <c r="B69" s="10" t="s">
        <v>453</v>
      </c>
      <c r="C69" s="9" t="s">
        <v>398</v>
      </c>
      <c r="D69" s="94" t="s">
        <v>454</v>
      </c>
      <c r="E69" s="83"/>
      <c r="F69" s="84"/>
    </row>
    <row r="70" spans="2:6" ht="28" customHeight="1" x14ac:dyDescent="0.35">
      <c r="B70" s="8" t="s">
        <v>455</v>
      </c>
      <c r="C70" s="9" t="s">
        <v>456</v>
      </c>
      <c r="D70" s="82" t="s">
        <v>457</v>
      </c>
      <c r="E70" s="83"/>
      <c r="F70" s="84"/>
    </row>
    <row r="71" spans="2:6" ht="28" customHeight="1" x14ac:dyDescent="0.35">
      <c r="B71" s="10" t="s">
        <v>458</v>
      </c>
      <c r="C71" s="9" t="s">
        <v>440</v>
      </c>
      <c r="D71" s="94" t="s">
        <v>459</v>
      </c>
      <c r="E71" s="83"/>
      <c r="F71" s="84"/>
    </row>
    <row r="72" spans="2:6" ht="28" customHeight="1" x14ac:dyDescent="0.35">
      <c r="B72" s="99" t="s">
        <v>87</v>
      </c>
      <c r="C72" s="83"/>
      <c r="D72" s="83"/>
      <c r="E72" s="83"/>
      <c r="F72" s="84"/>
    </row>
    <row r="73" spans="2:6" x14ac:dyDescent="0.35">
      <c r="B73" s="11" t="s">
        <v>407</v>
      </c>
      <c r="C73" s="12">
        <f>IF((COUNTIF(C64:C71,"Met")+COUNTIF(C64:C71,"Partial")+COUNTIF(C64:C71,"Missed"))=0,"",ROUND((COUNTIF(C64:C71,"Met")*5+COUNTIF(C64:C71,"Partial")*2.5)/(COUNTIF(C64:C71,"Met")+COUNTIF(C64:C71,"Partial")+COUNTIF(C64:C71,"Missed")),1))</f>
        <v>2.5</v>
      </c>
      <c r="D73" s="89"/>
      <c r="E73" s="83"/>
      <c r="F73" s="84"/>
    </row>
    <row r="74" spans="2:6" ht="24" customHeight="1" x14ac:dyDescent="0.35">
      <c r="B74" s="13" t="s">
        <v>408</v>
      </c>
      <c r="C74" s="14">
        <v>1</v>
      </c>
      <c r="D74" s="93" t="str">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4" s="83"/>
      <c r="F74" s="84"/>
    </row>
    <row r="75" spans="2:6" ht="36" customHeight="1" x14ac:dyDescent="0.35">
      <c r="B75" s="13" t="s">
        <v>409</v>
      </c>
      <c r="C75" s="90" t="s">
        <v>460</v>
      </c>
      <c r="D75" s="83"/>
      <c r="E75" s="83"/>
      <c r="F75" s="84"/>
    </row>
    <row r="77" spans="2:6" ht="18" customHeight="1" x14ac:dyDescent="0.35">
      <c r="B77" s="88" t="s">
        <v>89</v>
      </c>
      <c r="C77" s="86"/>
      <c r="D77" s="86"/>
      <c r="E77" s="87"/>
      <c r="F77" s="6" t="s">
        <v>90</v>
      </c>
    </row>
    <row r="78" spans="2:6" ht="28" customHeight="1" x14ac:dyDescent="0.35">
      <c r="B78" s="128" t="s">
        <v>91</v>
      </c>
      <c r="C78" s="83"/>
      <c r="D78" s="83"/>
      <c r="E78" s="83"/>
      <c r="F78" s="84"/>
    </row>
    <row r="79" spans="2:6" x14ac:dyDescent="0.35">
      <c r="B79" s="2" t="s">
        <v>48</v>
      </c>
      <c r="C79" s="7" t="s">
        <v>49</v>
      </c>
      <c r="D79" s="100" t="s">
        <v>50</v>
      </c>
      <c r="E79" s="83"/>
      <c r="F79" s="84"/>
    </row>
    <row r="80" spans="2:6" ht="28" customHeight="1" x14ac:dyDescent="0.35">
      <c r="B80" s="8" t="s">
        <v>461</v>
      </c>
      <c r="C80" s="9" t="s">
        <v>456</v>
      </c>
      <c r="D80" s="82" t="s">
        <v>462</v>
      </c>
      <c r="E80" s="83"/>
      <c r="F80" s="84"/>
    </row>
    <row r="81" spans="2:6" ht="28" customHeight="1" x14ac:dyDescent="0.35">
      <c r="B81" s="10" t="s">
        <v>463</v>
      </c>
      <c r="C81" s="9" t="s">
        <v>440</v>
      </c>
      <c r="D81" s="94" t="s">
        <v>464</v>
      </c>
      <c r="E81" s="83"/>
      <c r="F81" s="84"/>
    </row>
    <row r="82" spans="2:6" ht="28" customHeight="1" x14ac:dyDescent="0.35">
      <c r="B82" s="8" t="s">
        <v>465</v>
      </c>
      <c r="C82" s="9" t="s">
        <v>456</v>
      </c>
      <c r="D82" s="82" t="s">
        <v>466</v>
      </c>
      <c r="E82" s="83"/>
      <c r="F82" s="84"/>
    </row>
    <row r="83" spans="2:6" ht="28" customHeight="1" x14ac:dyDescent="0.35">
      <c r="B83" s="10" t="s">
        <v>467</v>
      </c>
      <c r="C83" s="9" t="s">
        <v>440</v>
      </c>
      <c r="D83" s="94" t="s">
        <v>468</v>
      </c>
      <c r="E83" s="83"/>
      <c r="F83" s="84"/>
    </row>
    <row r="84" spans="2:6" ht="28" customHeight="1" x14ac:dyDescent="0.35">
      <c r="B84" s="8" t="s">
        <v>469</v>
      </c>
      <c r="C84" s="9" t="s">
        <v>440</v>
      </c>
      <c r="D84" s="82" t="s">
        <v>470</v>
      </c>
      <c r="E84" s="83"/>
      <c r="F84" s="84"/>
    </row>
    <row r="85" spans="2:6" ht="28" customHeight="1" x14ac:dyDescent="0.35">
      <c r="B85" s="99" t="s">
        <v>96</v>
      </c>
      <c r="C85" s="83"/>
      <c r="D85" s="83"/>
      <c r="E85" s="83"/>
      <c r="F85" s="84"/>
    </row>
    <row r="86" spans="2:6" x14ac:dyDescent="0.35">
      <c r="B86" s="11" t="s">
        <v>407</v>
      </c>
      <c r="C86" s="12">
        <f>IF((COUNTIF(C80:C84,"Met")+COUNTIF(C80:C84,"Partial")+COUNTIF(C80:C84,"Missed"))=0,"",ROUND((COUNTIF(C80:C84,"Met")*5+COUNTIF(C80:C84,"Partial")*2.5)/(COUNTIF(C80:C84,"Met")+COUNTIF(C80:C84,"Partial")+COUNTIF(C80:C84,"Missed")),1))</f>
        <v>0</v>
      </c>
      <c r="D86" s="89"/>
      <c r="E86" s="83"/>
      <c r="F86" s="84"/>
    </row>
    <row r="87" spans="2:6" ht="24" customHeight="1" x14ac:dyDescent="0.35">
      <c r="B87" s="13" t="s">
        <v>408</v>
      </c>
      <c r="C87" s="14">
        <v>1</v>
      </c>
      <c r="D87" s="93" t="str">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7" s="83"/>
      <c r="F87" s="84"/>
    </row>
    <row r="88" spans="2:6" ht="36" customHeight="1" x14ac:dyDescent="0.35">
      <c r="B88" s="13" t="s">
        <v>409</v>
      </c>
      <c r="C88" s="90" t="s">
        <v>471</v>
      </c>
      <c r="D88" s="83"/>
      <c r="E88" s="83"/>
      <c r="F88" s="84"/>
    </row>
    <row r="90" spans="2:6" ht="18" customHeight="1" x14ac:dyDescent="0.35">
      <c r="B90" s="88" t="s">
        <v>104</v>
      </c>
      <c r="C90" s="86"/>
      <c r="D90" s="86"/>
      <c r="E90" s="87"/>
      <c r="F90" s="6" t="s">
        <v>105</v>
      </c>
    </row>
    <row r="91" spans="2:6" ht="28" customHeight="1" x14ac:dyDescent="0.35">
      <c r="B91" s="128" t="s">
        <v>106</v>
      </c>
      <c r="C91" s="83"/>
      <c r="D91" s="83"/>
      <c r="E91" s="83"/>
      <c r="F91" s="84"/>
    </row>
    <row r="92" spans="2:6" x14ac:dyDescent="0.35">
      <c r="B92" s="2" t="s">
        <v>48</v>
      </c>
      <c r="C92" s="7" t="s">
        <v>49</v>
      </c>
      <c r="D92" s="100" t="s">
        <v>50</v>
      </c>
      <c r="E92" s="83"/>
      <c r="F92" s="84"/>
    </row>
    <row r="93" spans="2:6" ht="28" customHeight="1" x14ac:dyDescent="0.35">
      <c r="B93" s="8" t="s">
        <v>472</v>
      </c>
      <c r="C93" s="9" t="s">
        <v>398</v>
      </c>
      <c r="D93" s="82" t="s">
        <v>473</v>
      </c>
      <c r="E93" s="83"/>
      <c r="F93" s="84"/>
    </row>
    <row r="94" spans="2:6" ht="28" customHeight="1" x14ac:dyDescent="0.35">
      <c r="B94" s="10" t="s">
        <v>474</v>
      </c>
      <c r="C94" s="9" t="s">
        <v>401</v>
      </c>
      <c r="D94" s="94" t="s">
        <v>475</v>
      </c>
      <c r="E94" s="83"/>
      <c r="F94" s="84"/>
    </row>
    <row r="95" spans="2:6" ht="28" customHeight="1" x14ac:dyDescent="0.35">
      <c r="B95" s="8" t="s">
        <v>476</v>
      </c>
      <c r="C95" s="9" t="s">
        <v>398</v>
      </c>
      <c r="D95" s="82" t="s">
        <v>477</v>
      </c>
      <c r="E95" s="83"/>
      <c r="F95" s="84"/>
    </row>
    <row r="96" spans="2:6" ht="28" customHeight="1" x14ac:dyDescent="0.35">
      <c r="B96" s="10" t="s">
        <v>478</v>
      </c>
      <c r="C96" s="9" t="s">
        <v>401</v>
      </c>
      <c r="D96" s="94" t="s">
        <v>479</v>
      </c>
      <c r="E96" s="83"/>
      <c r="F96" s="84"/>
    </row>
    <row r="97" spans="2:6" ht="28" customHeight="1" x14ac:dyDescent="0.35">
      <c r="B97" s="8" t="s">
        <v>480</v>
      </c>
      <c r="C97" s="9" t="s">
        <v>440</v>
      </c>
      <c r="D97" s="82" t="s">
        <v>481</v>
      </c>
      <c r="E97" s="83"/>
      <c r="F97" s="84"/>
    </row>
    <row r="98" spans="2:6" ht="28" customHeight="1" x14ac:dyDescent="0.35">
      <c r="B98" s="10" t="s">
        <v>482</v>
      </c>
      <c r="C98" s="9" t="s">
        <v>440</v>
      </c>
      <c r="D98" s="94" t="s">
        <v>483</v>
      </c>
      <c r="E98" s="83"/>
      <c r="F98" s="84"/>
    </row>
    <row r="99" spans="2:6" ht="28" customHeight="1" x14ac:dyDescent="0.35">
      <c r="B99" s="99" t="s">
        <v>112</v>
      </c>
      <c r="C99" s="83"/>
      <c r="D99" s="83"/>
      <c r="E99" s="83"/>
      <c r="F99" s="84"/>
    </row>
    <row r="100" spans="2:6" x14ac:dyDescent="0.35">
      <c r="B100" s="11" t="s">
        <v>407</v>
      </c>
      <c r="C100" s="12">
        <f>IF((COUNTIF(C93:C98,"Met")+COUNTIF(C93:C98,"Partial")+COUNTIF(C93:C98,"Missed"))=0,"",ROUND((COUNTIF(C93:C98,"Met")*5+COUNTIF(C93:C98,"Partial")*2.5)/(COUNTIF(C93:C98,"Met")+COUNTIF(C93:C98,"Partial")+COUNTIF(C93:C98,"Missed")),1))</f>
        <v>2.5</v>
      </c>
      <c r="D100" s="89"/>
      <c r="E100" s="83"/>
      <c r="F100" s="84"/>
    </row>
    <row r="101" spans="2:6" ht="24" customHeight="1" x14ac:dyDescent="0.35">
      <c r="B101" s="13" t="s">
        <v>408</v>
      </c>
      <c r="C101" s="14">
        <v>2</v>
      </c>
      <c r="D101" s="93" t="str">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1" s="83"/>
      <c r="F101" s="84"/>
    </row>
    <row r="102" spans="2:6" ht="36" customHeight="1" x14ac:dyDescent="0.35">
      <c r="B102" s="13" t="s">
        <v>409</v>
      </c>
      <c r="C102" s="90" t="s">
        <v>484</v>
      </c>
      <c r="D102" s="83"/>
      <c r="E102" s="83"/>
      <c r="F102" s="84"/>
    </row>
    <row r="104" spans="2:6" ht="18" customHeight="1" x14ac:dyDescent="0.35">
      <c r="B104" s="88" t="s">
        <v>114</v>
      </c>
      <c r="C104" s="86"/>
      <c r="D104" s="86"/>
      <c r="E104" s="87"/>
      <c r="F104" s="6" t="s">
        <v>105</v>
      </c>
    </row>
    <row r="105" spans="2:6" ht="28" customHeight="1" x14ac:dyDescent="0.35">
      <c r="B105" s="128" t="s">
        <v>115</v>
      </c>
      <c r="C105" s="83"/>
      <c r="D105" s="83"/>
      <c r="E105" s="83"/>
      <c r="F105" s="84"/>
    </row>
    <row r="106" spans="2:6" x14ac:dyDescent="0.35">
      <c r="B106" s="2" t="s">
        <v>48</v>
      </c>
      <c r="C106" s="7" t="s">
        <v>49</v>
      </c>
      <c r="D106" s="100" t="s">
        <v>50</v>
      </c>
      <c r="E106" s="83"/>
      <c r="F106" s="84"/>
    </row>
    <row r="107" spans="2:6" ht="28" customHeight="1" x14ac:dyDescent="0.35">
      <c r="B107" s="8" t="s">
        <v>485</v>
      </c>
      <c r="C107" s="9" t="s">
        <v>401</v>
      </c>
      <c r="D107" s="82" t="s">
        <v>486</v>
      </c>
      <c r="E107" s="83"/>
      <c r="F107" s="84"/>
    </row>
    <row r="108" spans="2:6" ht="28" customHeight="1" x14ac:dyDescent="0.35">
      <c r="B108" s="10" t="s">
        <v>487</v>
      </c>
      <c r="C108" s="9" t="s">
        <v>401</v>
      </c>
      <c r="D108" s="94" t="s">
        <v>488</v>
      </c>
      <c r="E108" s="83"/>
      <c r="F108" s="84"/>
    </row>
    <row r="109" spans="2:6" ht="28" customHeight="1" x14ac:dyDescent="0.35">
      <c r="B109" s="8" t="s">
        <v>489</v>
      </c>
      <c r="C109" s="9" t="s">
        <v>401</v>
      </c>
      <c r="D109" s="82" t="s">
        <v>490</v>
      </c>
      <c r="E109" s="83"/>
      <c r="F109" s="84"/>
    </row>
    <row r="110" spans="2:6" ht="28" customHeight="1" x14ac:dyDescent="0.35">
      <c r="B110" s="10" t="s">
        <v>491</v>
      </c>
      <c r="C110" s="9" t="s">
        <v>398</v>
      </c>
      <c r="D110" s="94" t="s">
        <v>492</v>
      </c>
      <c r="E110" s="83"/>
      <c r="F110" s="84"/>
    </row>
    <row r="111" spans="2:6" ht="28" customHeight="1" x14ac:dyDescent="0.35">
      <c r="B111" s="8" t="s">
        <v>493</v>
      </c>
      <c r="C111" s="9" t="s">
        <v>440</v>
      </c>
      <c r="D111" s="82" t="s">
        <v>494</v>
      </c>
      <c r="E111" s="83"/>
      <c r="F111" s="84"/>
    </row>
    <row r="112" spans="2:6" ht="28" customHeight="1" x14ac:dyDescent="0.35">
      <c r="B112" s="10" t="s">
        <v>495</v>
      </c>
      <c r="C112" s="9" t="s">
        <v>398</v>
      </c>
      <c r="D112" s="94" t="s">
        <v>496</v>
      </c>
      <c r="E112" s="83"/>
      <c r="F112" s="84"/>
    </row>
    <row r="113" spans="2:6" ht="28" customHeight="1" x14ac:dyDescent="0.35">
      <c r="B113" s="8" t="s">
        <v>497</v>
      </c>
      <c r="C113" s="9" t="s">
        <v>440</v>
      </c>
      <c r="D113" s="82" t="s">
        <v>498</v>
      </c>
      <c r="E113" s="83"/>
      <c r="F113" s="84"/>
    </row>
    <row r="114" spans="2:6" ht="28" customHeight="1" x14ac:dyDescent="0.35">
      <c r="B114" s="99" t="s">
        <v>122</v>
      </c>
      <c r="C114" s="83"/>
      <c r="D114" s="83"/>
      <c r="E114" s="83"/>
      <c r="F114" s="84"/>
    </row>
    <row r="115" spans="2:6" x14ac:dyDescent="0.35">
      <c r="B115" s="11" t="s">
        <v>407</v>
      </c>
      <c r="C115" s="12">
        <f>IF((COUNTIF(C107:C113,"Met")+COUNTIF(C107:C113,"Partial")+COUNTIF(C107:C113,"Missed"))=0,"",ROUND((COUNTIF(C107:C113,"Met")*5+COUNTIF(C107:C113,"Partial")*2.5)/(COUNTIF(C107:C113,"Met")+COUNTIF(C107:C113,"Partial")+COUNTIF(C107:C113,"Missed")),1))</f>
        <v>2.9</v>
      </c>
      <c r="D115" s="89"/>
      <c r="E115" s="83"/>
      <c r="F115" s="84"/>
    </row>
    <row r="116" spans="2:6" ht="24" customHeight="1" x14ac:dyDescent="0.35">
      <c r="B116" s="13" t="s">
        <v>408</v>
      </c>
      <c r="C116" s="14">
        <v>2</v>
      </c>
      <c r="D116" s="93" t="str">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6" s="83"/>
      <c r="F116" s="84"/>
    </row>
    <row r="117" spans="2:6" ht="36" customHeight="1" x14ac:dyDescent="0.35">
      <c r="B117" s="13" t="s">
        <v>409</v>
      </c>
      <c r="C117" s="90" t="s">
        <v>499</v>
      </c>
      <c r="D117" s="83"/>
      <c r="E117" s="83"/>
      <c r="F117" s="84"/>
    </row>
    <row r="119" spans="2:6" x14ac:dyDescent="0.35">
      <c r="B119" s="104" t="s">
        <v>500</v>
      </c>
      <c r="C119" s="86"/>
      <c r="D119" s="86"/>
      <c r="E119" s="86"/>
      <c r="F119" s="87"/>
    </row>
    <row r="120" spans="2:6" x14ac:dyDescent="0.35">
      <c r="B120" s="15" t="s">
        <v>31</v>
      </c>
      <c r="C120" s="15" t="s">
        <v>32</v>
      </c>
      <c r="D120" s="15" t="s">
        <v>33</v>
      </c>
      <c r="E120" s="15" t="s">
        <v>34</v>
      </c>
      <c r="F120" s="15" t="s">
        <v>35</v>
      </c>
    </row>
    <row r="121" spans="2:6" x14ac:dyDescent="0.35">
      <c r="B121" s="16" t="s">
        <v>36</v>
      </c>
      <c r="C121" s="17">
        <v>0.3</v>
      </c>
      <c r="D121" s="18">
        <f>C27</f>
        <v>3</v>
      </c>
      <c r="E121" s="19">
        <f t="shared" ref="E121:E127" si="0">IF(D121="","",(D121/5)*C121)</f>
        <v>0.18</v>
      </c>
      <c r="F121" s="20" t="str">
        <f t="shared" ref="F121:F127" si="1">IF(D121="","",IF(D121&gt;=4,"Strong",IF(D121=3,"Developing","Needs Focus")))</f>
        <v>Developing</v>
      </c>
    </row>
    <row r="122" spans="2:6" x14ac:dyDescent="0.35">
      <c r="B122" s="21" t="s">
        <v>37</v>
      </c>
      <c r="C122" s="22">
        <v>0.2</v>
      </c>
      <c r="D122" s="23">
        <f>C42</f>
        <v>4</v>
      </c>
      <c r="E122" s="24">
        <f t="shared" si="0"/>
        <v>0.16000000000000003</v>
      </c>
      <c r="F122" s="25" t="str">
        <f t="shared" si="1"/>
        <v>Strong</v>
      </c>
    </row>
    <row r="123" spans="2:6" x14ac:dyDescent="0.35">
      <c r="B123" s="16" t="s">
        <v>38</v>
      </c>
      <c r="C123" s="17">
        <v>0.15</v>
      </c>
      <c r="D123" s="18">
        <f>C58</f>
        <v>3</v>
      </c>
      <c r="E123" s="19">
        <f t="shared" si="0"/>
        <v>0.09</v>
      </c>
      <c r="F123" s="20" t="str">
        <f t="shared" si="1"/>
        <v>Developing</v>
      </c>
    </row>
    <row r="124" spans="2:6" x14ac:dyDescent="0.35">
      <c r="B124" s="21" t="s">
        <v>39</v>
      </c>
      <c r="C124" s="22">
        <v>0.15</v>
      </c>
      <c r="D124" s="23">
        <f>C74</f>
        <v>1</v>
      </c>
      <c r="E124" s="24">
        <f t="shared" si="0"/>
        <v>0.03</v>
      </c>
      <c r="F124" s="25" t="str">
        <f t="shared" si="1"/>
        <v>Needs Focus</v>
      </c>
    </row>
    <row r="125" spans="2:6" x14ac:dyDescent="0.35">
      <c r="B125" s="16" t="s">
        <v>40</v>
      </c>
      <c r="C125" s="17">
        <v>0.1</v>
      </c>
      <c r="D125" s="18">
        <f>C87</f>
        <v>1</v>
      </c>
      <c r="E125" s="19">
        <f t="shared" si="0"/>
        <v>2.0000000000000004E-2</v>
      </c>
      <c r="F125" s="20" t="str">
        <f t="shared" si="1"/>
        <v>Needs Focus</v>
      </c>
    </row>
    <row r="126" spans="2:6" x14ac:dyDescent="0.35">
      <c r="B126" s="21" t="s">
        <v>41</v>
      </c>
      <c r="C126" s="22">
        <v>0.05</v>
      </c>
      <c r="D126" s="23">
        <f>C101</f>
        <v>2</v>
      </c>
      <c r="E126" s="24">
        <f t="shared" si="0"/>
        <v>2.0000000000000004E-2</v>
      </c>
      <c r="F126" s="25" t="str">
        <f t="shared" si="1"/>
        <v>Needs Focus</v>
      </c>
    </row>
    <row r="127" spans="2:6" x14ac:dyDescent="0.35">
      <c r="B127" s="16" t="s">
        <v>42</v>
      </c>
      <c r="C127" s="17">
        <v>0.05</v>
      </c>
      <c r="D127" s="18">
        <f>C116</f>
        <v>2</v>
      </c>
      <c r="E127" s="19">
        <f t="shared" si="0"/>
        <v>2.0000000000000004E-2</v>
      </c>
      <c r="F127" s="20" t="str">
        <f t="shared" si="1"/>
        <v>Needs Focus</v>
      </c>
    </row>
    <row r="128" spans="2:6" ht="24" customHeight="1" x14ac:dyDescent="0.35">
      <c r="B128" s="5" t="s">
        <v>43</v>
      </c>
      <c r="C128" s="26">
        <f>SUM(C121:C127)</f>
        <v>1</v>
      </c>
      <c r="D128" s="27"/>
      <c r="E128" s="28">
        <f>SUM(E121:E127)</f>
        <v>0.52000000000000013</v>
      </c>
      <c r="F128" s="29" t="str">
        <f>IF(E128="","",IF(E128&gt;=0.85,"MEETS / EXCEEDS",IF(E128&gt;=0.7,"DEVELOPING","NEEDS IMPROVEMENT")))</f>
        <v>NEEDS IMPROVEMENT</v>
      </c>
    </row>
    <row r="130" spans="2:6" x14ac:dyDescent="0.35">
      <c r="B130" s="88" t="s">
        <v>124</v>
      </c>
      <c r="C130" s="86"/>
      <c r="D130" s="86"/>
      <c r="E130" s="86"/>
      <c r="F130" s="87"/>
    </row>
    <row r="131" spans="2:6" x14ac:dyDescent="0.35">
      <c r="B131" s="2" t="s">
        <v>125</v>
      </c>
      <c r="C131" s="91" t="s">
        <v>501</v>
      </c>
      <c r="D131" s="83"/>
      <c r="E131" s="83"/>
      <c r="F131" s="84"/>
    </row>
    <row r="132" spans="2:6" x14ac:dyDescent="0.35">
      <c r="B132" s="4" t="s">
        <v>126</v>
      </c>
      <c r="C132" s="95" t="s">
        <v>502</v>
      </c>
      <c r="D132" s="83"/>
      <c r="E132" s="83"/>
      <c r="F132" s="84"/>
    </row>
    <row r="133" spans="2:6" ht="52" customHeight="1" x14ac:dyDescent="0.35">
      <c r="B133" s="2" t="s">
        <v>127</v>
      </c>
      <c r="C133" s="90" t="s">
        <v>503</v>
      </c>
      <c r="D133" s="83"/>
      <c r="E133" s="83"/>
      <c r="F133" s="84"/>
    </row>
    <row r="135" spans="2:6" x14ac:dyDescent="0.35">
      <c r="B135" s="88" t="s">
        <v>128</v>
      </c>
      <c r="C135" s="86"/>
      <c r="D135" s="86"/>
      <c r="E135" s="86"/>
      <c r="F135" s="87"/>
    </row>
    <row r="136" spans="2:6" x14ac:dyDescent="0.35">
      <c r="B136" s="4" t="s">
        <v>129</v>
      </c>
      <c r="C136" s="9" t="s">
        <v>130</v>
      </c>
      <c r="D136" s="99" t="s">
        <v>131</v>
      </c>
      <c r="E136" s="83"/>
      <c r="F136" s="84"/>
    </row>
    <row r="137" spans="2:6" ht="30" customHeight="1" x14ac:dyDescent="0.35">
      <c r="B137" s="2" t="s">
        <v>132</v>
      </c>
      <c r="C137" s="95" t="s">
        <v>133</v>
      </c>
      <c r="D137" s="84"/>
      <c r="E137" s="103" t="str">
        <f>IF(AND(C136="Yes",OR(C137="None",C137="N.A. — no disconnect")),"⚠ MISSED OWNERSHIP OPPORTUNITY — flag in Customer Ownership and Critical Failures","OK")</f>
        <v>OK</v>
      </c>
      <c r="F137" s="84"/>
    </row>
    <row r="139" spans="2:6" x14ac:dyDescent="0.35">
      <c r="B139" s="92" t="s">
        <v>134</v>
      </c>
      <c r="C139" s="86"/>
      <c r="D139" s="86"/>
      <c r="E139" s="86"/>
      <c r="F139" s="87"/>
    </row>
    <row r="140" spans="2:6" x14ac:dyDescent="0.35">
      <c r="B140" s="1" t="s">
        <v>135</v>
      </c>
      <c r="C140" s="15" t="s">
        <v>136</v>
      </c>
      <c r="D140" s="88" t="s">
        <v>137</v>
      </c>
      <c r="E140" s="86"/>
      <c r="F140" s="87"/>
    </row>
    <row r="141" spans="2:6" ht="26" customHeight="1" x14ac:dyDescent="0.35">
      <c r="B141" s="8" t="s">
        <v>138</v>
      </c>
      <c r="C141" s="9" t="s">
        <v>130</v>
      </c>
      <c r="D141" s="82"/>
      <c r="E141" s="83"/>
      <c r="F141" s="84"/>
    </row>
    <row r="142" spans="2:6" ht="26" customHeight="1" x14ac:dyDescent="0.35">
      <c r="B142" s="10" t="s">
        <v>139</v>
      </c>
      <c r="C142" s="9" t="s">
        <v>130</v>
      </c>
      <c r="D142" s="94"/>
      <c r="E142" s="83"/>
      <c r="F142" s="84"/>
    </row>
    <row r="143" spans="2:6" ht="26" customHeight="1" x14ac:dyDescent="0.35">
      <c r="B143" s="8" t="s">
        <v>140</v>
      </c>
      <c r="C143" s="9" t="s">
        <v>130</v>
      </c>
      <c r="D143" s="82"/>
      <c r="E143" s="83"/>
      <c r="F143" s="84"/>
    </row>
    <row r="144" spans="2:6" ht="26" customHeight="1" x14ac:dyDescent="0.35">
      <c r="B144" s="10" t="s">
        <v>141</v>
      </c>
      <c r="C144" s="9" t="s">
        <v>130</v>
      </c>
      <c r="D144" s="94"/>
      <c r="E144" s="83"/>
      <c r="F144" s="84"/>
    </row>
    <row r="145" spans="2:6" ht="26" customHeight="1" x14ac:dyDescent="0.35">
      <c r="B145" s="8" t="s">
        <v>142</v>
      </c>
      <c r="C145" s="9" t="s">
        <v>155</v>
      </c>
      <c r="D145" s="82" t="s">
        <v>504</v>
      </c>
      <c r="E145" s="83"/>
      <c r="F145" s="84"/>
    </row>
    <row r="146" spans="2:6" ht="26" customHeight="1" x14ac:dyDescent="0.35">
      <c r="B146" s="10" t="s">
        <v>143</v>
      </c>
      <c r="C146" s="9" t="s">
        <v>130</v>
      </c>
      <c r="D146" s="94"/>
      <c r="E146" s="83"/>
      <c r="F146" s="84"/>
    </row>
    <row r="147" spans="2:6" ht="26" customHeight="1" x14ac:dyDescent="0.35">
      <c r="B147" s="8" t="s">
        <v>144</v>
      </c>
      <c r="C147" s="9" t="s">
        <v>130</v>
      </c>
      <c r="D147" s="82"/>
      <c r="E147" s="83"/>
      <c r="F147" s="84"/>
    </row>
    <row r="148" spans="2:6" ht="26" customHeight="1" x14ac:dyDescent="0.35">
      <c r="B148" s="10" t="s">
        <v>145</v>
      </c>
      <c r="C148" s="9" t="s">
        <v>130</v>
      </c>
      <c r="D148" s="94"/>
      <c r="E148" s="83"/>
      <c r="F148" s="84"/>
    </row>
    <row r="149" spans="2:6" ht="26" customHeight="1" x14ac:dyDescent="0.35">
      <c r="B149" s="8" t="s">
        <v>505</v>
      </c>
      <c r="C149" s="9" t="s">
        <v>130</v>
      </c>
      <c r="D149" s="82"/>
      <c r="E149" s="83"/>
      <c r="F149" s="84"/>
    </row>
    <row r="150" spans="2:6" ht="26" customHeight="1" x14ac:dyDescent="0.35">
      <c r="B150" s="10" t="s">
        <v>146</v>
      </c>
      <c r="C150" s="9" t="s">
        <v>155</v>
      </c>
      <c r="D150" s="94" t="s">
        <v>506</v>
      </c>
      <c r="E150" s="83"/>
      <c r="F150" s="84"/>
    </row>
    <row r="151" spans="2:6" ht="26" customHeight="1" x14ac:dyDescent="0.35">
      <c r="B151" s="8" t="s">
        <v>147</v>
      </c>
      <c r="C151" s="9" t="s">
        <v>155</v>
      </c>
      <c r="D151" s="82" t="s">
        <v>507</v>
      </c>
      <c r="E151" s="83"/>
      <c r="F151" s="84"/>
    </row>
    <row r="152" spans="2:6" x14ac:dyDescent="0.35">
      <c r="B152" s="30" t="s">
        <v>149</v>
      </c>
      <c r="C152" s="85" t="str">
        <f>IF(COUNTIF(C141:C151,"Yes")&gt;0,"YES — "&amp;COUNTIF(C141:C151,"Yes")&amp;" condition(s) flagged — automatic review required regardless of weighted score","No critical failures")</f>
        <v>YES — 3 condition(s) flagged — automatic review required regardless of weighted score</v>
      </c>
      <c r="D152" s="86"/>
      <c r="E152" s="86"/>
      <c r="F152" s="87"/>
    </row>
    <row r="154" spans="2:6" x14ac:dyDescent="0.35">
      <c r="B154" s="104" t="s">
        <v>508</v>
      </c>
      <c r="C154" s="86"/>
      <c r="D154" s="86"/>
      <c r="E154" s="86"/>
      <c r="F154" s="87"/>
    </row>
    <row r="155" spans="2:6" x14ac:dyDescent="0.35">
      <c r="B155" s="88" t="s">
        <v>509</v>
      </c>
      <c r="C155" s="86"/>
      <c r="D155" s="86"/>
      <c r="E155" s="86"/>
      <c r="F155" s="87"/>
    </row>
    <row r="156" spans="2:6" ht="32" customHeight="1" x14ac:dyDescent="0.35">
      <c r="B156" s="7" t="s">
        <v>101</v>
      </c>
      <c r="C156" s="90" t="s">
        <v>510</v>
      </c>
      <c r="D156" s="83"/>
      <c r="E156" s="83"/>
      <c r="F156" s="84"/>
    </row>
    <row r="157" spans="2:6" ht="32" customHeight="1" x14ac:dyDescent="0.35">
      <c r="B157" s="7" t="s">
        <v>102</v>
      </c>
      <c r="C157" s="90" t="s">
        <v>511</v>
      </c>
      <c r="D157" s="83"/>
      <c r="E157" s="83"/>
      <c r="F157" s="84"/>
    </row>
    <row r="158" spans="2:6" ht="32" customHeight="1" x14ac:dyDescent="0.35">
      <c r="B158" s="7" t="s">
        <v>103</v>
      </c>
      <c r="C158" s="90" t="s">
        <v>512</v>
      </c>
      <c r="D158" s="83"/>
      <c r="E158" s="83"/>
      <c r="F158" s="84"/>
    </row>
    <row r="159" spans="2:6" x14ac:dyDescent="0.35">
      <c r="B159" s="88" t="s">
        <v>513</v>
      </c>
      <c r="C159" s="86"/>
      <c r="D159" s="86"/>
      <c r="E159" s="86"/>
      <c r="F159" s="87"/>
    </row>
    <row r="160" spans="2:6" ht="32" customHeight="1" x14ac:dyDescent="0.35">
      <c r="B160" s="7" t="s">
        <v>101</v>
      </c>
      <c r="C160" s="90" t="s">
        <v>514</v>
      </c>
      <c r="D160" s="83"/>
      <c r="E160" s="83"/>
      <c r="F160" s="84"/>
    </row>
    <row r="161" spans="2:6" ht="32" customHeight="1" x14ac:dyDescent="0.35">
      <c r="B161" s="7" t="s">
        <v>102</v>
      </c>
      <c r="C161" s="90" t="s">
        <v>515</v>
      </c>
      <c r="D161" s="83"/>
      <c r="E161" s="83"/>
      <c r="F161" s="84"/>
    </row>
    <row r="162" spans="2:6" ht="32" customHeight="1" x14ac:dyDescent="0.35">
      <c r="B162" s="7" t="s">
        <v>103</v>
      </c>
      <c r="C162" s="90" t="s">
        <v>516</v>
      </c>
      <c r="D162" s="83"/>
      <c r="E162" s="83"/>
      <c r="F162" s="84"/>
    </row>
    <row r="163" spans="2:6" x14ac:dyDescent="0.35">
      <c r="B163" s="88" t="s">
        <v>517</v>
      </c>
      <c r="C163" s="86"/>
      <c r="D163" s="86"/>
      <c r="E163" s="86"/>
      <c r="F163" s="87"/>
    </row>
    <row r="164" spans="2:6" ht="58" customHeight="1" x14ac:dyDescent="0.35">
      <c r="B164" s="90" t="s">
        <v>518</v>
      </c>
      <c r="C164" s="83"/>
      <c r="D164" s="83"/>
      <c r="E164" s="83"/>
      <c r="F164" s="84"/>
    </row>
    <row r="165" spans="2:6" x14ac:dyDescent="0.35">
      <c r="B165" s="88" t="s">
        <v>519</v>
      </c>
      <c r="C165" s="86"/>
      <c r="D165" s="86"/>
      <c r="E165" s="86"/>
      <c r="F165" s="87"/>
    </row>
    <row r="166" spans="2:6" ht="70" customHeight="1" x14ac:dyDescent="0.35">
      <c r="B166" s="90" t="s">
        <v>520</v>
      </c>
      <c r="C166" s="83"/>
      <c r="D166" s="83"/>
      <c r="E166" s="83"/>
      <c r="F166" s="84"/>
    </row>
    <row r="167" spans="2:6" x14ac:dyDescent="0.35">
      <c r="B167" s="88" t="s">
        <v>521</v>
      </c>
      <c r="C167" s="86"/>
      <c r="D167" s="86"/>
      <c r="E167" s="86"/>
      <c r="F167" s="87"/>
    </row>
    <row r="168" spans="2:6" ht="58" customHeight="1" x14ac:dyDescent="0.35">
      <c r="B168" s="90" t="s">
        <v>522</v>
      </c>
      <c r="C168" s="83"/>
      <c r="D168" s="83"/>
      <c r="E168" s="83"/>
      <c r="F168" s="84"/>
    </row>
    <row r="169" spans="2:6" x14ac:dyDescent="0.35">
      <c r="B169" s="88" t="s">
        <v>523</v>
      </c>
      <c r="C169" s="86"/>
      <c r="D169" s="86"/>
      <c r="E169" s="86"/>
      <c r="F169" s="87"/>
    </row>
    <row r="170" spans="2:6" ht="58" customHeight="1" x14ac:dyDescent="0.35">
      <c r="B170" s="90" t="s">
        <v>524</v>
      </c>
      <c r="C170" s="83"/>
      <c r="D170" s="83"/>
      <c r="E170" s="83"/>
      <c r="F170" s="84"/>
    </row>
  </sheetData>
  <mergeCells count="149">
    <mergeCell ref="B169:F169"/>
    <mergeCell ref="C59:F59"/>
    <mergeCell ref="D52:F52"/>
    <mergeCell ref="D49:F49"/>
    <mergeCell ref="B165:F165"/>
    <mergeCell ref="B30:E30"/>
    <mergeCell ref="D141:F141"/>
    <mergeCell ref="D70:F70"/>
    <mergeCell ref="D48:F48"/>
    <mergeCell ref="B155:F155"/>
    <mergeCell ref="C131:F131"/>
    <mergeCell ref="B130:F130"/>
    <mergeCell ref="D112:F112"/>
    <mergeCell ref="C156:F156"/>
    <mergeCell ref="B119:F119"/>
    <mergeCell ref="D64:F64"/>
    <mergeCell ref="D38:F38"/>
    <mergeCell ref="D98:F98"/>
    <mergeCell ref="B78:F78"/>
    <mergeCell ref="D79:F79"/>
    <mergeCell ref="C117:F117"/>
    <mergeCell ref="B40:F40"/>
    <mergeCell ref="D63:F63"/>
    <mergeCell ref="D81:F81"/>
    <mergeCell ref="C75:F75"/>
    <mergeCell ref="D65:F65"/>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E10:F10"/>
    <mergeCell ref="E9:F9"/>
    <mergeCell ref="D24:F24"/>
    <mergeCell ref="E11:F11"/>
    <mergeCell ref="D26:F26"/>
    <mergeCell ref="D19:F19"/>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4:F4"/>
    <mergeCell ref="C132:F132"/>
    <mergeCell ref="B62:F62"/>
    <mergeCell ref="D136:F136"/>
    <mergeCell ref="D150:F150"/>
    <mergeCell ref="D145:F145"/>
    <mergeCell ref="D32:F32"/>
    <mergeCell ref="D97:F97"/>
    <mergeCell ref="B31:F31"/>
    <mergeCell ref="B46:F46"/>
    <mergeCell ref="D87:F87"/>
    <mergeCell ref="C102:F102"/>
    <mergeCell ref="D71:F71"/>
    <mergeCell ref="D58:F58"/>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B16:F16"/>
    <mergeCell ref="D116:F116"/>
    <mergeCell ref="B25:F25"/>
    <mergeCell ref="D66:F66"/>
    <mergeCell ref="D53:F53"/>
    <mergeCell ref="D47:F47"/>
    <mergeCell ref="E8:F8"/>
    <mergeCell ref="B18:F18"/>
    <mergeCell ref="C161:F161"/>
    <mergeCell ref="C13:F13"/>
    <mergeCell ref="B45:E45"/>
    <mergeCell ref="D69:F69"/>
    <mergeCell ref="D100:F100"/>
    <mergeCell ref="D109:F109"/>
    <mergeCell ref="B61:E61"/>
    <mergeCell ref="D111:F111"/>
    <mergeCell ref="B85:F85"/>
    <mergeCell ref="D108:F108"/>
    <mergeCell ref="D21:F21"/>
    <mergeCell ref="D86:F86"/>
    <mergeCell ref="D95:F95"/>
    <mergeCell ref="B159:F159"/>
    <mergeCell ref="C157:F157"/>
  </mergeCells>
  <conditionalFormatting sqref="C20:C24">
    <cfRule type="cellIs" dxfId="75" priority="1" operator="equal">
      <formula>"Met"</formula>
    </cfRule>
    <cfRule type="cellIs" dxfId="74" priority="2" operator="equal">
      <formula>"Partial"</formula>
    </cfRule>
    <cfRule type="cellIs" dxfId="73" priority="3" operator="equal">
      <formula>"Missed"</formula>
    </cfRule>
  </conditionalFormatting>
  <conditionalFormatting sqref="C27">
    <cfRule type="cellIs" dxfId="72" priority="4" operator="lessThanOrEqual">
      <formula>2</formula>
    </cfRule>
    <cfRule type="cellIs" dxfId="71" priority="5" operator="equal">
      <formula>3</formula>
    </cfRule>
    <cfRule type="cellIs" dxfId="70" priority="6" operator="greaterThanOrEqual">
      <formula>4</formula>
    </cfRule>
  </conditionalFormatting>
  <conditionalFormatting sqref="C33:C39">
    <cfRule type="cellIs" dxfId="69" priority="7" operator="equal">
      <formula>"Met"</formula>
    </cfRule>
    <cfRule type="cellIs" dxfId="68" priority="8" operator="equal">
      <formula>"Partial"</formula>
    </cfRule>
    <cfRule type="cellIs" dxfId="67" priority="9" operator="equal">
      <formula>"Missed"</formula>
    </cfRule>
  </conditionalFormatting>
  <conditionalFormatting sqref="C42">
    <cfRule type="cellIs" dxfId="66" priority="10" operator="lessThanOrEqual">
      <formula>2</formula>
    </cfRule>
    <cfRule type="cellIs" dxfId="65" priority="11" operator="equal">
      <formula>3</formula>
    </cfRule>
    <cfRule type="cellIs" dxfId="64" priority="12" operator="greaterThanOrEqual">
      <formula>4</formula>
    </cfRule>
  </conditionalFormatting>
  <conditionalFormatting sqref="C48:C55">
    <cfRule type="cellIs" dxfId="63" priority="13" operator="equal">
      <formula>"Met"</formula>
    </cfRule>
    <cfRule type="cellIs" dxfId="62" priority="14" operator="equal">
      <formula>"Partial"</formula>
    </cfRule>
    <cfRule type="cellIs" dxfId="61" priority="15" operator="equal">
      <formula>"Missed"</formula>
    </cfRule>
  </conditionalFormatting>
  <conditionalFormatting sqref="C58">
    <cfRule type="cellIs" dxfId="60" priority="16" operator="lessThanOrEqual">
      <formula>2</formula>
    </cfRule>
    <cfRule type="cellIs" dxfId="59" priority="17" operator="equal">
      <formula>3</formula>
    </cfRule>
    <cfRule type="cellIs" dxfId="58" priority="18" operator="greaterThanOrEqual">
      <formula>4</formula>
    </cfRule>
  </conditionalFormatting>
  <conditionalFormatting sqref="C64:C71">
    <cfRule type="cellIs" dxfId="57" priority="19" operator="equal">
      <formula>"Met"</formula>
    </cfRule>
    <cfRule type="cellIs" dxfId="56" priority="20" operator="equal">
      <formula>"Partial"</formula>
    </cfRule>
    <cfRule type="cellIs" dxfId="55" priority="21" operator="equal">
      <formula>"Missed"</formula>
    </cfRule>
  </conditionalFormatting>
  <conditionalFormatting sqref="C74">
    <cfRule type="cellIs" dxfId="54" priority="22" operator="lessThanOrEqual">
      <formula>2</formula>
    </cfRule>
    <cfRule type="cellIs" dxfId="53" priority="23" operator="equal">
      <formula>3</formula>
    </cfRule>
    <cfRule type="cellIs" dxfId="52" priority="24" operator="greaterThanOrEqual">
      <formula>4</formula>
    </cfRule>
  </conditionalFormatting>
  <conditionalFormatting sqref="C80:C84">
    <cfRule type="cellIs" dxfId="51" priority="25" operator="equal">
      <formula>"Met"</formula>
    </cfRule>
    <cfRule type="cellIs" dxfId="50" priority="26" operator="equal">
      <formula>"Partial"</formula>
    </cfRule>
    <cfRule type="cellIs" dxfId="49" priority="27" operator="equal">
      <formula>"Missed"</formula>
    </cfRule>
  </conditionalFormatting>
  <conditionalFormatting sqref="C87">
    <cfRule type="cellIs" dxfId="48" priority="28" operator="lessThanOrEqual">
      <formula>2</formula>
    </cfRule>
    <cfRule type="cellIs" dxfId="47" priority="29" operator="equal">
      <formula>3</formula>
    </cfRule>
    <cfRule type="cellIs" dxfId="46" priority="30" operator="greaterThanOrEqual">
      <formula>4</formula>
    </cfRule>
  </conditionalFormatting>
  <conditionalFormatting sqref="C93:C98">
    <cfRule type="cellIs" dxfId="45" priority="31" operator="equal">
      <formula>"Met"</formula>
    </cfRule>
    <cfRule type="cellIs" dxfId="44" priority="32" operator="equal">
      <formula>"Partial"</formula>
    </cfRule>
    <cfRule type="cellIs" dxfId="43" priority="33" operator="equal">
      <formula>"Missed"</formula>
    </cfRule>
  </conditionalFormatting>
  <conditionalFormatting sqref="C101">
    <cfRule type="cellIs" dxfId="42" priority="34" operator="lessThanOrEqual">
      <formula>2</formula>
    </cfRule>
    <cfRule type="cellIs" dxfId="41" priority="35" operator="equal">
      <formula>3</formula>
    </cfRule>
    <cfRule type="cellIs" dxfId="40" priority="36" operator="greaterThanOrEqual">
      <formula>4</formula>
    </cfRule>
  </conditionalFormatting>
  <conditionalFormatting sqref="C107:C113">
    <cfRule type="cellIs" dxfId="39" priority="37" operator="equal">
      <formula>"Met"</formula>
    </cfRule>
    <cfRule type="cellIs" dxfId="38" priority="38" operator="equal">
      <formula>"Partial"</formula>
    </cfRule>
    <cfRule type="cellIs" dxfId="37" priority="39" operator="equal">
      <formula>"Missed"</formula>
    </cfRule>
  </conditionalFormatting>
  <conditionalFormatting sqref="C116">
    <cfRule type="cellIs" dxfId="36" priority="40" operator="lessThanOrEqual">
      <formula>2</formula>
    </cfRule>
    <cfRule type="cellIs" dxfId="35" priority="41" operator="equal">
      <formula>3</formula>
    </cfRule>
    <cfRule type="cellIs" dxfId="34" priority="42" operator="greaterThanOrEqual">
      <formula>4</formula>
    </cfRule>
  </conditionalFormatting>
  <conditionalFormatting sqref="C141:C151">
    <cfRule type="cellIs" dxfId="33" priority="51" operator="equal">
      <formula>"Yes"</formula>
    </cfRule>
  </conditionalFormatting>
  <conditionalFormatting sqref="C152">
    <cfRule type="expression" dxfId="32" priority="53">
      <formula>NOT(ISNUMBER(SEARCH("YES",C152)))</formula>
    </cfRule>
    <cfRule type="expression" dxfId="31" priority="52">
      <formula>ISNUMBER(SEARCH("YES",C152))</formula>
    </cfRule>
  </conditionalFormatting>
  <conditionalFormatting sqref="E128">
    <cfRule type="cellIs" dxfId="30" priority="43" operator="greaterThanOrEqual">
      <formula>0.85</formula>
    </cfRule>
    <cfRule type="cellIs" dxfId="29" priority="44" operator="between">
      <formula>0.7</formula>
      <formula>0.8499</formula>
    </cfRule>
    <cfRule type="cellIs" dxfId="28" priority="45" operator="lessThan">
      <formula>0.7</formula>
    </cfRule>
  </conditionalFormatting>
  <conditionalFormatting sqref="E137">
    <cfRule type="expression" dxfId="27" priority="49">
      <formula>E137&lt;&gt;"OK"</formula>
    </cfRule>
    <cfRule type="expression" dxfId="26" priority="50">
      <formula>E137="OK"</formula>
    </cfRule>
  </conditionalFormatting>
  <conditionalFormatting sqref="F121:F127">
    <cfRule type="cellIs" dxfId="25" priority="46" operator="equal">
      <formula>"Strong"</formula>
    </cfRule>
    <cfRule type="cellIs" dxfId="24" priority="48" operator="equal">
      <formula>"Needs Focus"</formula>
    </cfRule>
    <cfRule type="cellIs" dxfId="23" priority="47" operator="equal">
      <formula>"Developing"</formula>
    </cfRule>
  </conditionalFormatting>
  <dataValidations count="10">
    <dataValidation type="list" allowBlank="1" sqref="C20 C21 C22 C23 C24 C33 C34 C35 C36 C37 C38 C39 C48 C49 C50 C51 C52 C53 C54 C55 C64 C65 C66 C67 C68 C69 C70 C71 C80 C81 C82 C83 C84 C93 C94 C95 C96 C97 C98 C107 C108 C109 C110 C111 C112 C113" xr:uid="{00000000-0002-0000-0400-000000000000}">
      <formula1>"Met,Partial,Missed,N.A."</formula1>
    </dataValidation>
    <dataValidation type="whole" allowBlank="1" showErrorMessage="1" errorTitle="Invalid score" error="Enter a whole number from 0 to 5." sqref="C27 C42 C58 C74 C87 C101 C116" xr:uid="{00000000-0002-0000-0400-000001000000}">
      <formula1>0</formula1>
      <formula2>5</formula2>
    </dataValidation>
    <dataValidation type="list" allowBlank="1" sqref="C136 C141 C142 C143 C144 C145 C146 C147 C148 C149 C150 C151 E10" xr:uid="{00000000-0002-0000-0400-000002000000}">
      <formula1>"No,Yes"</formula1>
    </dataValidation>
    <dataValidation type="list" allowBlank="1" sqref="C8" xr:uid="{00000000-0002-0000-0400-000003000000}">
      <formula1>"In-Warranty,Out-of-Warranty,Unknown"</formula1>
    </dataValidation>
    <dataValidation type="list" allowBlank="1" sqref="E7" xr:uid="{00000000-0002-0000-0400-000004000000}">
      <formula1>"Phone,Chat,Email,Social,Other"</formula1>
    </dataValidation>
    <dataValidation type="list" allowBlank="1" sqref="C9" xr:uid="{00000000-0002-0000-0400-000005000000}">
      <formula1>"Technical Issue,Setup/How-To,RMA/Replacement,Billing/Account,Connectivity,Other"</formula1>
    </dataValidation>
    <dataValidation type="list" allowBlank="1" sqref="E12" xr:uid="{00000000-0002-0000-0400-000006000000}">
      <formula1>"Within SLA,Breached,N.A."</formula1>
    </dataValidation>
    <dataValidation type="list" allowBlank="1" sqref="C131" xr:uid="{00000000-0002-0000-0400-000007000000}">
      <formula1>"Successful Resolution,Partial Resolution,Appropriate Escalation,Ownership Gap,Unresolved"</formula1>
    </dataValidation>
    <dataValidation type="list" allowBlank="1" sqref="C132" xr:uid="{00000000-0002-0000-04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7" xr:uid="{00000000-0002-0000-0400-000009000000}">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60"/>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6" width="14" customWidth="1"/>
  </cols>
  <sheetData>
    <row r="1" spans="1:16" ht="26" customHeight="1" x14ac:dyDescent="0.35">
      <c r="A1" s="105" t="s">
        <v>525</v>
      </c>
      <c r="B1" s="86"/>
      <c r="C1" s="86"/>
      <c r="D1" s="86"/>
      <c r="E1" s="86"/>
      <c r="F1" s="86"/>
      <c r="G1" s="86"/>
      <c r="H1" s="86"/>
      <c r="I1" s="86"/>
      <c r="J1" s="86"/>
      <c r="K1" s="86"/>
      <c r="L1" s="86"/>
      <c r="M1" s="86"/>
      <c r="N1" s="86"/>
      <c r="O1" s="86"/>
      <c r="P1" s="87"/>
    </row>
    <row r="2" spans="1:16" ht="16" customHeight="1" x14ac:dyDescent="0.35">
      <c r="A2" s="134" t="s">
        <v>526</v>
      </c>
      <c r="B2" s="86"/>
      <c r="C2" s="86"/>
      <c r="D2" s="86"/>
      <c r="E2" s="86"/>
      <c r="F2" s="86"/>
      <c r="G2" s="86"/>
      <c r="H2" s="86"/>
      <c r="I2" s="86"/>
      <c r="J2" s="86"/>
      <c r="K2" s="86"/>
      <c r="L2" s="86"/>
      <c r="M2" s="86"/>
      <c r="N2" s="86"/>
      <c r="O2" s="86"/>
      <c r="P2" s="87"/>
    </row>
    <row r="3" spans="1:16" ht="24" customHeight="1" x14ac:dyDescent="0.35">
      <c r="A3" s="131"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86"/>
      <c r="C3" s="86"/>
      <c r="D3" s="86"/>
      <c r="E3" s="86"/>
      <c r="F3" s="86"/>
      <c r="G3" s="86"/>
      <c r="H3" s="86"/>
      <c r="I3" s="86"/>
      <c r="J3" s="86"/>
      <c r="K3" s="86"/>
      <c r="L3" s="86"/>
      <c r="M3" s="86"/>
      <c r="N3" s="86"/>
      <c r="O3" s="86"/>
      <c r="P3" s="87"/>
    </row>
    <row r="4" spans="1:16" ht="30" customHeight="1" x14ac:dyDescent="0.35">
      <c r="A4" s="38" t="s">
        <v>527</v>
      </c>
      <c r="B4" s="38" t="s">
        <v>528</v>
      </c>
      <c r="C4" s="38" t="s">
        <v>529</v>
      </c>
      <c r="D4" s="38" t="s">
        <v>530</v>
      </c>
      <c r="E4" s="38" t="s">
        <v>531</v>
      </c>
      <c r="F4" s="38" t="s">
        <v>532</v>
      </c>
      <c r="G4" s="38" t="s">
        <v>533</v>
      </c>
      <c r="H4" s="38" t="s">
        <v>534</v>
      </c>
      <c r="I4" s="38" t="s">
        <v>535</v>
      </c>
      <c r="J4" s="38" t="s">
        <v>536</v>
      </c>
      <c r="K4" s="38" t="s">
        <v>537</v>
      </c>
      <c r="L4" s="38" t="s">
        <v>34</v>
      </c>
      <c r="M4" s="38" t="s">
        <v>538</v>
      </c>
      <c r="N4" s="38" t="s">
        <v>539</v>
      </c>
      <c r="O4" s="64" t="s">
        <v>375</v>
      </c>
      <c r="P4" s="64" t="s">
        <v>376</v>
      </c>
    </row>
    <row r="5" spans="1:16" ht="40" customHeight="1" x14ac:dyDescent="0.35">
      <c r="A5" s="39"/>
      <c r="B5" s="39"/>
      <c r="C5" s="39"/>
      <c r="D5" s="39"/>
      <c r="E5" s="39"/>
      <c r="F5" s="39"/>
      <c r="G5" s="39"/>
      <c r="H5" s="39"/>
      <c r="I5" s="39"/>
      <c r="J5" s="39"/>
      <c r="K5" s="39"/>
      <c r="L5" s="40" t="str">
        <f t="shared" ref="L5:L49" si="0">IF((COUNT(E5)+COUNT(F5)+COUNT(G5)+COUNT(H5)+COUNT(I5)+COUNT(J5)+COUNT(K5))=0,"",IFERROR(E5/5*0.3,0)+IFERROR(F5/5*0.2,0)+IFERROR(G5/5*0.15,0)+IFERROR(H5/5*0.15,0)+IFERROR(I5/5*0.1,0)+IFERROR(J5/5*0.05,0)+IFERROR(K5/5*0.05,0))</f>
        <v/>
      </c>
      <c r="M5" s="20" t="str">
        <f t="shared" ref="M5:M49" si="1">IF(L5="","",IF(L5&gt;=0.85,"Meets/Exceeds",IF(L5&gt;=0.7,"Developing","Needs Improv.")))</f>
        <v/>
      </c>
      <c r="N5" s="8"/>
      <c r="O5" s="20"/>
      <c r="P5" s="20"/>
    </row>
    <row r="6" spans="1:16" ht="40" customHeight="1" x14ac:dyDescent="0.35">
      <c r="A6" s="39"/>
      <c r="B6" s="39"/>
      <c r="C6" s="39"/>
      <c r="D6" s="39"/>
      <c r="E6" s="39"/>
      <c r="F6" s="39"/>
      <c r="G6" s="39"/>
      <c r="H6" s="39"/>
      <c r="I6" s="39"/>
      <c r="J6" s="39"/>
      <c r="K6" s="39"/>
      <c r="L6" s="41" t="str">
        <f t="shared" si="0"/>
        <v/>
      </c>
      <c r="M6" s="25" t="str">
        <f t="shared" si="1"/>
        <v/>
      </c>
      <c r="N6" s="10"/>
      <c r="O6" s="25"/>
      <c r="P6" s="25"/>
    </row>
    <row r="7" spans="1:16" ht="40" customHeight="1" x14ac:dyDescent="0.35">
      <c r="A7" s="39"/>
      <c r="B7" s="39"/>
      <c r="C7" s="39"/>
      <c r="D7" s="39"/>
      <c r="E7" s="39"/>
      <c r="F7" s="39"/>
      <c r="G7" s="39"/>
      <c r="H7" s="39"/>
      <c r="I7" s="39"/>
      <c r="J7" s="39"/>
      <c r="K7" s="39"/>
      <c r="L7" s="40" t="str">
        <f t="shared" si="0"/>
        <v/>
      </c>
      <c r="M7" s="20" t="str">
        <f t="shared" si="1"/>
        <v/>
      </c>
      <c r="N7" s="8"/>
      <c r="O7" s="20"/>
      <c r="P7" s="20"/>
    </row>
    <row r="8" spans="1:16" ht="40" customHeight="1" x14ac:dyDescent="0.35">
      <c r="A8" s="39"/>
      <c r="B8" s="39"/>
      <c r="C8" s="39"/>
      <c r="D8" s="39"/>
      <c r="E8" s="39"/>
      <c r="F8" s="39"/>
      <c r="G8" s="39"/>
      <c r="H8" s="39"/>
      <c r="I8" s="39"/>
      <c r="J8" s="39"/>
      <c r="K8" s="39"/>
      <c r="L8" s="41" t="str">
        <f t="shared" si="0"/>
        <v/>
      </c>
      <c r="M8" s="25" t="str">
        <f t="shared" si="1"/>
        <v/>
      </c>
      <c r="N8" s="10"/>
      <c r="O8" s="25"/>
      <c r="P8" s="25"/>
    </row>
    <row r="9" spans="1:16" ht="40" customHeight="1" x14ac:dyDescent="0.35">
      <c r="A9" s="39"/>
      <c r="B9" s="39"/>
      <c r="C9" s="39"/>
      <c r="D9" s="39"/>
      <c r="E9" s="39"/>
      <c r="F9" s="39"/>
      <c r="G9" s="39"/>
      <c r="H9" s="39"/>
      <c r="I9" s="39"/>
      <c r="J9" s="39"/>
      <c r="K9" s="39"/>
      <c r="L9" s="40" t="str">
        <f t="shared" si="0"/>
        <v/>
      </c>
      <c r="M9" s="20" t="str">
        <f t="shared" si="1"/>
        <v/>
      </c>
      <c r="N9" s="8"/>
      <c r="O9" s="20"/>
      <c r="P9" s="20"/>
    </row>
    <row r="10" spans="1:16" ht="40" customHeight="1" x14ac:dyDescent="0.35">
      <c r="A10" s="39"/>
      <c r="B10" s="39"/>
      <c r="C10" s="39"/>
      <c r="D10" s="39"/>
      <c r="E10" s="39"/>
      <c r="F10" s="39"/>
      <c r="G10" s="39"/>
      <c r="H10" s="39"/>
      <c r="I10" s="39"/>
      <c r="J10" s="39"/>
      <c r="K10" s="39"/>
      <c r="L10" s="41" t="str">
        <f t="shared" si="0"/>
        <v/>
      </c>
      <c r="M10" s="25" t="str">
        <f t="shared" si="1"/>
        <v/>
      </c>
      <c r="N10" s="10"/>
      <c r="O10" s="25"/>
      <c r="P10" s="25"/>
    </row>
    <row r="11" spans="1:16" ht="40" customHeight="1" x14ac:dyDescent="0.35">
      <c r="A11" s="39"/>
      <c r="B11" s="39"/>
      <c r="C11" s="39"/>
      <c r="D11" s="39"/>
      <c r="E11" s="39"/>
      <c r="F11" s="39"/>
      <c r="G11" s="39"/>
      <c r="H11" s="39"/>
      <c r="I11" s="39"/>
      <c r="J11" s="39"/>
      <c r="K11" s="39"/>
      <c r="L11" s="40" t="str">
        <f t="shared" si="0"/>
        <v/>
      </c>
      <c r="M11" s="20" t="str">
        <f t="shared" si="1"/>
        <v/>
      </c>
      <c r="N11" s="8"/>
      <c r="O11" s="20"/>
      <c r="P11" s="20"/>
    </row>
    <row r="12" spans="1:16" ht="40" customHeight="1" x14ac:dyDescent="0.35">
      <c r="A12" s="39"/>
      <c r="B12" s="39"/>
      <c r="C12" s="39"/>
      <c r="D12" s="39"/>
      <c r="E12" s="39"/>
      <c r="F12" s="39"/>
      <c r="G12" s="39"/>
      <c r="H12" s="39"/>
      <c r="I12" s="39"/>
      <c r="J12" s="39"/>
      <c r="K12" s="39"/>
      <c r="L12" s="41" t="str">
        <f t="shared" si="0"/>
        <v/>
      </c>
      <c r="M12" s="25" t="str">
        <f t="shared" si="1"/>
        <v/>
      </c>
      <c r="N12" s="10"/>
      <c r="O12" s="25"/>
      <c r="P12" s="25"/>
    </row>
    <row r="13" spans="1:16" ht="40" customHeight="1" x14ac:dyDescent="0.35">
      <c r="A13" s="39"/>
      <c r="B13" s="39"/>
      <c r="C13" s="39"/>
      <c r="D13" s="39"/>
      <c r="E13" s="39"/>
      <c r="F13" s="39"/>
      <c r="G13" s="39"/>
      <c r="H13" s="39"/>
      <c r="I13" s="39"/>
      <c r="J13" s="39"/>
      <c r="K13" s="39"/>
      <c r="L13" s="40" t="str">
        <f t="shared" si="0"/>
        <v/>
      </c>
      <c r="M13" s="20" t="str">
        <f t="shared" si="1"/>
        <v/>
      </c>
      <c r="N13" s="8"/>
      <c r="O13" s="20"/>
      <c r="P13" s="20"/>
    </row>
    <row r="14" spans="1:16" ht="40" customHeight="1" x14ac:dyDescent="0.35">
      <c r="A14" s="39"/>
      <c r="B14" s="39"/>
      <c r="C14" s="39"/>
      <c r="D14" s="39"/>
      <c r="E14" s="39"/>
      <c r="F14" s="39"/>
      <c r="G14" s="39"/>
      <c r="H14" s="39"/>
      <c r="I14" s="39"/>
      <c r="J14" s="39"/>
      <c r="K14" s="39"/>
      <c r="L14" s="41" t="str">
        <f t="shared" si="0"/>
        <v/>
      </c>
      <c r="M14" s="25" t="str">
        <f t="shared" si="1"/>
        <v/>
      </c>
      <c r="N14" s="10"/>
      <c r="O14" s="25"/>
      <c r="P14" s="25"/>
    </row>
    <row r="15" spans="1:16" ht="40" customHeight="1" x14ac:dyDescent="0.35">
      <c r="A15" s="39"/>
      <c r="B15" s="39"/>
      <c r="C15" s="39"/>
      <c r="D15" s="39"/>
      <c r="E15" s="39"/>
      <c r="F15" s="39"/>
      <c r="G15" s="39"/>
      <c r="H15" s="39"/>
      <c r="I15" s="39"/>
      <c r="J15" s="39"/>
      <c r="K15" s="39"/>
      <c r="L15" s="40" t="str">
        <f t="shared" si="0"/>
        <v/>
      </c>
      <c r="M15" s="20" t="str">
        <f t="shared" si="1"/>
        <v/>
      </c>
      <c r="N15" s="8"/>
      <c r="O15" s="20"/>
      <c r="P15" s="20"/>
    </row>
    <row r="16" spans="1:16" ht="40" customHeight="1" x14ac:dyDescent="0.35">
      <c r="A16" s="39"/>
      <c r="B16" s="39"/>
      <c r="C16" s="39"/>
      <c r="D16" s="39"/>
      <c r="E16" s="39"/>
      <c r="F16" s="39"/>
      <c r="G16" s="39"/>
      <c r="H16" s="39"/>
      <c r="I16" s="39"/>
      <c r="J16" s="39"/>
      <c r="K16" s="39"/>
      <c r="L16" s="41" t="str">
        <f t="shared" si="0"/>
        <v/>
      </c>
      <c r="M16" s="25" t="str">
        <f t="shared" si="1"/>
        <v/>
      </c>
      <c r="N16" s="10"/>
      <c r="O16" s="25"/>
      <c r="P16" s="25"/>
    </row>
    <row r="17" spans="1:16" ht="40" customHeight="1" x14ac:dyDescent="0.35">
      <c r="A17" s="39"/>
      <c r="B17" s="39"/>
      <c r="C17" s="39"/>
      <c r="D17" s="39"/>
      <c r="E17" s="39"/>
      <c r="F17" s="39"/>
      <c r="G17" s="39"/>
      <c r="H17" s="39"/>
      <c r="I17" s="39"/>
      <c r="J17" s="39"/>
      <c r="K17" s="39"/>
      <c r="L17" s="40" t="str">
        <f t="shared" si="0"/>
        <v/>
      </c>
      <c r="M17" s="20" t="str">
        <f t="shared" si="1"/>
        <v/>
      </c>
      <c r="N17" s="8"/>
      <c r="O17" s="20"/>
      <c r="P17" s="20"/>
    </row>
    <row r="18" spans="1:16" x14ac:dyDescent="0.35">
      <c r="A18" s="39"/>
      <c r="B18" s="39"/>
      <c r="C18" s="39"/>
      <c r="D18" s="39"/>
      <c r="E18" s="39"/>
      <c r="F18" s="39"/>
      <c r="G18" s="39"/>
      <c r="H18" s="39"/>
      <c r="I18" s="39"/>
      <c r="J18" s="39"/>
      <c r="K18" s="39"/>
      <c r="L18" s="41" t="str">
        <f t="shared" si="0"/>
        <v/>
      </c>
      <c r="M18" s="25" t="str">
        <f t="shared" si="1"/>
        <v/>
      </c>
      <c r="N18" s="10"/>
      <c r="O18" s="25"/>
      <c r="P18" s="25"/>
    </row>
    <row r="19" spans="1:16" x14ac:dyDescent="0.35">
      <c r="A19" s="39"/>
      <c r="B19" s="39"/>
      <c r="C19" s="39"/>
      <c r="D19" s="39"/>
      <c r="E19" s="39"/>
      <c r="F19" s="39"/>
      <c r="G19" s="39"/>
      <c r="H19" s="39"/>
      <c r="I19" s="39"/>
      <c r="J19" s="39"/>
      <c r="K19" s="39"/>
      <c r="L19" s="40" t="str">
        <f t="shared" si="0"/>
        <v/>
      </c>
      <c r="M19" s="20" t="str">
        <f t="shared" si="1"/>
        <v/>
      </c>
      <c r="N19" s="8"/>
      <c r="O19" s="20"/>
      <c r="P19" s="20"/>
    </row>
    <row r="20" spans="1:16" x14ac:dyDescent="0.35">
      <c r="A20" s="39"/>
      <c r="B20" s="39"/>
      <c r="C20" s="39"/>
      <c r="D20" s="39"/>
      <c r="E20" s="39"/>
      <c r="F20" s="39"/>
      <c r="G20" s="39"/>
      <c r="H20" s="39"/>
      <c r="I20" s="39"/>
      <c r="J20" s="39"/>
      <c r="K20" s="39"/>
      <c r="L20" s="41" t="str">
        <f t="shared" si="0"/>
        <v/>
      </c>
      <c r="M20" s="25" t="str">
        <f t="shared" si="1"/>
        <v/>
      </c>
      <c r="N20" s="10"/>
      <c r="O20" s="25"/>
      <c r="P20" s="25"/>
    </row>
    <row r="21" spans="1:16" x14ac:dyDescent="0.35">
      <c r="A21" s="39"/>
      <c r="B21" s="39"/>
      <c r="C21" s="39"/>
      <c r="D21" s="39"/>
      <c r="E21" s="39"/>
      <c r="F21" s="39"/>
      <c r="G21" s="39"/>
      <c r="H21" s="39"/>
      <c r="I21" s="39"/>
      <c r="J21" s="39"/>
      <c r="K21" s="39"/>
      <c r="L21" s="40" t="str">
        <f t="shared" si="0"/>
        <v/>
      </c>
      <c r="M21" s="20" t="str">
        <f t="shared" si="1"/>
        <v/>
      </c>
      <c r="N21" s="8"/>
      <c r="O21" s="20"/>
      <c r="P21" s="20"/>
    </row>
    <row r="22" spans="1:16" x14ac:dyDescent="0.35">
      <c r="A22" s="39"/>
      <c r="B22" s="39"/>
      <c r="C22" s="39"/>
      <c r="D22" s="39"/>
      <c r="E22" s="39"/>
      <c r="F22" s="39"/>
      <c r="G22" s="39"/>
      <c r="H22" s="39"/>
      <c r="I22" s="39"/>
      <c r="J22" s="39"/>
      <c r="K22" s="39"/>
      <c r="L22" s="41" t="str">
        <f t="shared" si="0"/>
        <v/>
      </c>
      <c r="M22" s="25" t="str">
        <f t="shared" si="1"/>
        <v/>
      </c>
      <c r="N22" s="10"/>
      <c r="O22" s="25"/>
      <c r="P22" s="25"/>
    </row>
    <row r="23" spans="1:16" x14ac:dyDescent="0.35">
      <c r="A23" s="39"/>
      <c r="B23" s="39"/>
      <c r="C23" s="39"/>
      <c r="D23" s="39"/>
      <c r="E23" s="39"/>
      <c r="F23" s="39"/>
      <c r="G23" s="39"/>
      <c r="H23" s="39"/>
      <c r="I23" s="39"/>
      <c r="J23" s="39"/>
      <c r="K23" s="39"/>
      <c r="L23" s="40" t="str">
        <f t="shared" si="0"/>
        <v/>
      </c>
      <c r="M23" s="20" t="str">
        <f t="shared" si="1"/>
        <v/>
      </c>
      <c r="N23" s="8"/>
      <c r="O23" s="20"/>
      <c r="P23" s="20"/>
    </row>
    <row r="24" spans="1:16" x14ac:dyDescent="0.35">
      <c r="A24" s="39"/>
      <c r="B24" s="39"/>
      <c r="C24" s="39"/>
      <c r="D24" s="39"/>
      <c r="E24" s="39"/>
      <c r="F24" s="39"/>
      <c r="G24" s="39"/>
      <c r="H24" s="39"/>
      <c r="I24" s="39"/>
      <c r="J24" s="39"/>
      <c r="K24" s="39"/>
      <c r="L24" s="41" t="str">
        <f t="shared" si="0"/>
        <v/>
      </c>
      <c r="M24" s="25" t="str">
        <f t="shared" si="1"/>
        <v/>
      </c>
      <c r="N24" s="10"/>
      <c r="O24" s="25"/>
      <c r="P24" s="25"/>
    </row>
    <row r="25" spans="1:16" x14ac:dyDescent="0.35">
      <c r="A25" s="39"/>
      <c r="B25" s="39"/>
      <c r="C25" s="39"/>
      <c r="D25" s="39"/>
      <c r="E25" s="39"/>
      <c r="F25" s="39"/>
      <c r="G25" s="39"/>
      <c r="H25" s="39"/>
      <c r="I25" s="39"/>
      <c r="J25" s="39"/>
      <c r="K25" s="39"/>
      <c r="L25" s="40" t="str">
        <f t="shared" si="0"/>
        <v/>
      </c>
      <c r="M25" s="20" t="str">
        <f t="shared" si="1"/>
        <v/>
      </c>
      <c r="N25" s="8"/>
      <c r="O25" s="20"/>
      <c r="P25" s="20"/>
    </row>
    <row r="26" spans="1:16" x14ac:dyDescent="0.35">
      <c r="A26" s="39"/>
      <c r="B26" s="39"/>
      <c r="C26" s="39"/>
      <c r="D26" s="39"/>
      <c r="E26" s="39"/>
      <c r="F26" s="39"/>
      <c r="G26" s="39"/>
      <c r="H26" s="39"/>
      <c r="I26" s="39"/>
      <c r="J26" s="39"/>
      <c r="K26" s="39"/>
      <c r="L26" s="41" t="str">
        <f t="shared" si="0"/>
        <v/>
      </c>
      <c r="M26" s="25" t="str">
        <f t="shared" si="1"/>
        <v/>
      </c>
      <c r="N26" s="10"/>
      <c r="O26" s="25"/>
      <c r="P26" s="25"/>
    </row>
    <row r="27" spans="1:16" x14ac:dyDescent="0.35">
      <c r="A27" s="39"/>
      <c r="B27" s="39"/>
      <c r="C27" s="39"/>
      <c r="D27" s="39"/>
      <c r="E27" s="39"/>
      <c r="F27" s="39"/>
      <c r="G27" s="39"/>
      <c r="H27" s="39"/>
      <c r="I27" s="39"/>
      <c r="J27" s="39"/>
      <c r="K27" s="39"/>
      <c r="L27" s="40" t="str">
        <f t="shared" si="0"/>
        <v/>
      </c>
      <c r="M27" s="20" t="str">
        <f t="shared" si="1"/>
        <v/>
      </c>
      <c r="N27" s="8"/>
      <c r="O27" s="20"/>
      <c r="P27" s="20"/>
    </row>
    <row r="28" spans="1:16" x14ac:dyDescent="0.35">
      <c r="A28" s="39"/>
      <c r="B28" s="39"/>
      <c r="C28" s="39"/>
      <c r="D28" s="39"/>
      <c r="E28" s="39"/>
      <c r="F28" s="39"/>
      <c r="G28" s="39"/>
      <c r="H28" s="39"/>
      <c r="I28" s="39"/>
      <c r="J28" s="39"/>
      <c r="K28" s="39"/>
      <c r="L28" s="41" t="str">
        <f t="shared" si="0"/>
        <v/>
      </c>
      <c r="M28" s="25" t="str">
        <f t="shared" si="1"/>
        <v/>
      </c>
      <c r="N28" s="10"/>
      <c r="O28" s="25"/>
      <c r="P28" s="25"/>
    </row>
    <row r="29" spans="1:16" x14ac:dyDescent="0.35">
      <c r="A29" s="39"/>
      <c r="B29" s="39"/>
      <c r="C29" s="39"/>
      <c r="D29" s="39"/>
      <c r="E29" s="39"/>
      <c r="F29" s="39"/>
      <c r="G29" s="39"/>
      <c r="H29" s="39"/>
      <c r="I29" s="39"/>
      <c r="J29" s="39"/>
      <c r="K29" s="39"/>
      <c r="L29" s="40" t="str">
        <f t="shared" si="0"/>
        <v/>
      </c>
      <c r="M29" s="20" t="str">
        <f t="shared" si="1"/>
        <v/>
      </c>
      <c r="N29" s="8"/>
      <c r="O29" s="20"/>
      <c r="P29" s="20"/>
    </row>
    <row r="30" spans="1:16" x14ac:dyDescent="0.35">
      <c r="A30" s="39"/>
      <c r="B30" s="39"/>
      <c r="C30" s="39"/>
      <c r="D30" s="39"/>
      <c r="E30" s="39"/>
      <c r="F30" s="39"/>
      <c r="G30" s="39"/>
      <c r="H30" s="39"/>
      <c r="I30" s="39"/>
      <c r="J30" s="39"/>
      <c r="K30" s="39"/>
      <c r="L30" s="41" t="str">
        <f t="shared" si="0"/>
        <v/>
      </c>
      <c r="M30" s="25" t="str">
        <f t="shared" si="1"/>
        <v/>
      </c>
      <c r="N30" s="10"/>
      <c r="O30" s="25"/>
      <c r="P30" s="25"/>
    </row>
    <row r="31" spans="1:16" x14ac:dyDescent="0.35">
      <c r="A31" s="39"/>
      <c r="B31" s="39"/>
      <c r="C31" s="39"/>
      <c r="D31" s="39"/>
      <c r="E31" s="39"/>
      <c r="F31" s="39"/>
      <c r="G31" s="39"/>
      <c r="H31" s="39"/>
      <c r="I31" s="39"/>
      <c r="J31" s="39"/>
      <c r="K31" s="39"/>
      <c r="L31" s="40" t="str">
        <f t="shared" si="0"/>
        <v/>
      </c>
      <c r="M31" s="20" t="str">
        <f t="shared" si="1"/>
        <v/>
      </c>
      <c r="N31" s="8"/>
      <c r="O31" s="20"/>
      <c r="P31" s="20"/>
    </row>
    <row r="32" spans="1:16" x14ac:dyDescent="0.35">
      <c r="A32" s="39"/>
      <c r="B32" s="39"/>
      <c r="C32" s="39"/>
      <c r="D32" s="39"/>
      <c r="E32" s="39"/>
      <c r="F32" s="39"/>
      <c r="G32" s="39"/>
      <c r="H32" s="39"/>
      <c r="I32" s="39"/>
      <c r="J32" s="39"/>
      <c r="K32" s="39"/>
      <c r="L32" s="41" t="str">
        <f t="shared" si="0"/>
        <v/>
      </c>
      <c r="M32" s="25" t="str">
        <f t="shared" si="1"/>
        <v/>
      </c>
      <c r="N32" s="10"/>
      <c r="O32" s="25"/>
      <c r="P32" s="25"/>
    </row>
    <row r="33" spans="1:16" x14ac:dyDescent="0.35">
      <c r="A33" s="39"/>
      <c r="B33" s="39"/>
      <c r="C33" s="39"/>
      <c r="D33" s="39"/>
      <c r="E33" s="39"/>
      <c r="F33" s="39"/>
      <c r="G33" s="39"/>
      <c r="H33" s="39"/>
      <c r="I33" s="39"/>
      <c r="J33" s="39"/>
      <c r="K33" s="39"/>
      <c r="L33" s="40" t="str">
        <f t="shared" si="0"/>
        <v/>
      </c>
      <c r="M33" s="20" t="str">
        <f t="shared" si="1"/>
        <v/>
      </c>
      <c r="N33" s="8"/>
      <c r="O33" s="20"/>
      <c r="P33" s="20"/>
    </row>
    <row r="34" spans="1:16" x14ac:dyDescent="0.35">
      <c r="A34" s="39"/>
      <c r="B34" s="39"/>
      <c r="C34" s="39"/>
      <c r="D34" s="39"/>
      <c r="E34" s="39"/>
      <c r="F34" s="39"/>
      <c r="G34" s="39"/>
      <c r="H34" s="39"/>
      <c r="I34" s="39"/>
      <c r="J34" s="39"/>
      <c r="K34" s="39"/>
      <c r="L34" s="41" t="str">
        <f t="shared" si="0"/>
        <v/>
      </c>
      <c r="M34" s="25" t="str">
        <f t="shared" si="1"/>
        <v/>
      </c>
      <c r="N34" s="10"/>
      <c r="O34" s="25"/>
      <c r="P34" s="25"/>
    </row>
    <row r="35" spans="1:16" x14ac:dyDescent="0.35">
      <c r="A35" s="39"/>
      <c r="B35" s="39"/>
      <c r="C35" s="39"/>
      <c r="D35" s="39"/>
      <c r="E35" s="39"/>
      <c r="F35" s="39"/>
      <c r="G35" s="39"/>
      <c r="H35" s="39"/>
      <c r="I35" s="39"/>
      <c r="J35" s="39"/>
      <c r="K35" s="39"/>
      <c r="L35" s="40" t="str">
        <f t="shared" si="0"/>
        <v/>
      </c>
      <c r="M35" s="20" t="str">
        <f t="shared" si="1"/>
        <v/>
      </c>
      <c r="N35" s="8"/>
      <c r="O35" s="20"/>
      <c r="P35" s="20"/>
    </row>
    <row r="36" spans="1:16" x14ac:dyDescent="0.35">
      <c r="A36" s="39"/>
      <c r="B36" s="39"/>
      <c r="C36" s="39"/>
      <c r="D36" s="39"/>
      <c r="E36" s="39"/>
      <c r="F36" s="39"/>
      <c r="G36" s="39"/>
      <c r="H36" s="39"/>
      <c r="I36" s="39"/>
      <c r="J36" s="39"/>
      <c r="K36" s="39"/>
      <c r="L36" s="41" t="str">
        <f t="shared" si="0"/>
        <v/>
      </c>
      <c r="M36" s="25" t="str">
        <f t="shared" si="1"/>
        <v/>
      </c>
      <c r="N36" s="10"/>
      <c r="O36" s="25"/>
      <c r="P36" s="25"/>
    </row>
    <row r="37" spans="1:16" x14ac:dyDescent="0.35">
      <c r="A37" s="39"/>
      <c r="B37" s="39"/>
      <c r="C37" s="39"/>
      <c r="D37" s="39"/>
      <c r="E37" s="39"/>
      <c r="F37" s="39"/>
      <c r="G37" s="39"/>
      <c r="H37" s="39"/>
      <c r="I37" s="39"/>
      <c r="J37" s="39"/>
      <c r="K37" s="39"/>
      <c r="L37" s="40" t="str">
        <f t="shared" si="0"/>
        <v/>
      </c>
      <c r="M37" s="20" t="str">
        <f t="shared" si="1"/>
        <v/>
      </c>
      <c r="N37" s="8"/>
      <c r="O37" s="20"/>
      <c r="P37" s="20"/>
    </row>
    <row r="38" spans="1:16" x14ac:dyDescent="0.35">
      <c r="A38" s="39"/>
      <c r="B38" s="39"/>
      <c r="C38" s="39"/>
      <c r="D38" s="39"/>
      <c r="E38" s="39"/>
      <c r="F38" s="39"/>
      <c r="G38" s="39"/>
      <c r="H38" s="39"/>
      <c r="I38" s="39"/>
      <c r="J38" s="39"/>
      <c r="K38" s="39"/>
      <c r="L38" s="41" t="str">
        <f t="shared" si="0"/>
        <v/>
      </c>
      <c r="M38" s="25" t="str">
        <f t="shared" si="1"/>
        <v/>
      </c>
      <c r="N38" s="10"/>
      <c r="O38" s="25"/>
      <c r="P38" s="25"/>
    </row>
    <row r="39" spans="1:16" x14ac:dyDescent="0.35">
      <c r="A39" s="39"/>
      <c r="B39" s="39"/>
      <c r="C39" s="39"/>
      <c r="D39" s="39"/>
      <c r="E39" s="39"/>
      <c r="F39" s="39"/>
      <c r="G39" s="39"/>
      <c r="H39" s="39"/>
      <c r="I39" s="39"/>
      <c r="J39" s="39"/>
      <c r="K39" s="39"/>
      <c r="L39" s="40" t="str">
        <f t="shared" si="0"/>
        <v/>
      </c>
      <c r="M39" s="20" t="str">
        <f t="shared" si="1"/>
        <v/>
      </c>
      <c r="N39" s="8"/>
      <c r="O39" s="20"/>
      <c r="P39" s="20"/>
    </row>
    <row r="40" spans="1:16" x14ac:dyDescent="0.35">
      <c r="A40" s="39"/>
      <c r="B40" s="39"/>
      <c r="C40" s="39"/>
      <c r="D40" s="39"/>
      <c r="E40" s="39"/>
      <c r="F40" s="39"/>
      <c r="G40" s="39"/>
      <c r="H40" s="39"/>
      <c r="I40" s="39"/>
      <c r="J40" s="39"/>
      <c r="K40" s="39"/>
      <c r="L40" s="41" t="str">
        <f t="shared" si="0"/>
        <v/>
      </c>
      <c r="M40" s="25" t="str">
        <f t="shared" si="1"/>
        <v/>
      </c>
      <c r="N40" s="10"/>
      <c r="O40" s="25"/>
      <c r="P40" s="25"/>
    </row>
    <row r="41" spans="1:16" x14ac:dyDescent="0.35">
      <c r="A41" s="39"/>
      <c r="B41" s="39"/>
      <c r="C41" s="39"/>
      <c r="D41" s="39"/>
      <c r="E41" s="39"/>
      <c r="F41" s="39"/>
      <c r="G41" s="39"/>
      <c r="H41" s="39"/>
      <c r="I41" s="39"/>
      <c r="J41" s="39"/>
      <c r="K41" s="39"/>
      <c r="L41" s="40" t="str">
        <f t="shared" si="0"/>
        <v/>
      </c>
      <c r="M41" s="20" t="str">
        <f t="shared" si="1"/>
        <v/>
      </c>
      <c r="N41" s="8"/>
      <c r="O41" s="20"/>
      <c r="P41" s="20"/>
    </row>
    <row r="42" spans="1:16" x14ac:dyDescent="0.35">
      <c r="A42" s="39"/>
      <c r="B42" s="39"/>
      <c r="C42" s="39"/>
      <c r="D42" s="39"/>
      <c r="E42" s="39"/>
      <c r="F42" s="39"/>
      <c r="G42" s="39"/>
      <c r="H42" s="39"/>
      <c r="I42" s="39"/>
      <c r="J42" s="39"/>
      <c r="K42" s="39"/>
      <c r="L42" s="41" t="str">
        <f t="shared" si="0"/>
        <v/>
      </c>
      <c r="M42" s="25" t="str">
        <f t="shared" si="1"/>
        <v/>
      </c>
      <c r="N42" s="10"/>
      <c r="O42" s="25"/>
      <c r="P42" s="25"/>
    </row>
    <row r="43" spans="1:16" x14ac:dyDescent="0.35">
      <c r="A43" s="39"/>
      <c r="B43" s="39"/>
      <c r="C43" s="39"/>
      <c r="D43" s="39"/>
      <c r="E43" s="39"/>
      <c r="F43" s="39"/>
      <c r="G43" s="39"/>
      <c r="H43" s="39"/>
      <c r="I43" s="39"/>
      <c r="J43" s="39"/>
      <c r="K43" s="39"/>
      <c r="L43" s="40" t="str">
        <f t="shared" si="0"/>
        <v/>
      </c>
      <c r="M43" s="20" t="str">
        <f t="shared" si="1"/>
        <v/>
      </c>
      <c r="N43" s="8"/>
      <c r="O43" s="20"/>
      <c r="P43" s="20"/>
    </row>
    <row r="44" spans="1:16" x14ac:dyDescent="0.35">
      <c r="A44" s="39"/>
      <c r="B44" s="39"/>
      <c r="C44" s="39"/>
      <c r="D44" s="39"/>
      <c r="E44" s="39"/>
      <c r="F44" s="39"/>
      <c r="G44" s="39"/>
      <c r="H44" s="39"/>
      <c r="I44" s="39"/>
      <c r="J44" s="39"/>
      <c r="K44" s="39"/>
      <c r="L44" s="41" t="str">
        <f t="shared" si="0"/>
        <v/>
      </c>
      <c r="M44" s="25" t="str">
        <f t="shared" si="1"/>
        <v/>
      </c>
      <c r="N44" s="10"/>
      <c r="O44" s="25"/>
      <c r="P44" s="25"/>
    </row>
    <row r="45" spans="1:16" x14ac:dyDescent="0.35">
      <c r="A45" s="39"/>
      <c r="B45" s="39"/>
      <c r="C45" s="39"/>
      <c r="D45" s="39"/>
      <c r="E45" s="39"/>
      <c r="F45" s="39"/>
      <c r="G45" s="39"/>
      <c r="H45" s="39"/>
      <c r="I45" s="39"/>
      <c r="J45" s="39"/>
      <c r="K45" s="39"/>
      <c r="L45" s="40" t="str">
        <f t="shared" si="0"/>
        <v/>
      </c>
      <c r="M45" s="20" t="str">
        <f t="shared" si="1"/>
        <v/>
      </c>
      <c r="N45" s="8"/>
      <c r="O45" s="20"/>
      <c r="P45" s="20"/>
    </row>
    <row r="46" spans="1:16" x14ac:dyDescent="0.35">
      <c r="A46" s="39"/>
      <c r="B46" s="39"/>
      <c r="C46" s="39"/>
      <c r="D46" s="39"/>
      <c r="E46" s="39"/>
      <c r="F46" s="39"/>
      <c r="G46" s="39"/>
      <c r="H46" s="39"/>
      <c r="I46" s="39"/>
      <c r="J46" s="39"/>
      <c r="K46" s="39"/>
      <c r="L46" s="41" t="str">
        <f t="shared" si="0"/>
        <v/>
      </c>
      <c r="M46" s="25" t="str">
        <f t="shared" si="1"/>
        <v/>
      </c>
      <c r="N46" s="10"/>
      <c r="O46" s="25"/>
      <c r="P46" s="25"/>
    </row>
    <row r="47" spans="1:16" x14ac:dyDescent="0.35">
      <c r="A47" s="39"/>
      <c r="B47" s="39"/>
      <c r="C47" s="39"/>
      <c r="D47" s="39"/>
      <c r="E47" s="39"/>
      <c r="F47" s="39"/>
      <c r="G47" s="39"/>
      <c r="H47" s="39"/>
      <c r="I47" s="39"/>
      <c r="J47" s="39"/>
      <c r="K47" s="39"/>
      <c r="L47" s="40" t="str">
        <f t="shared" si="0"/>
        <v/>
      </c>
      <c r="M47" s="20" t="str">
        <f t="shared" si="1"/>
        <v/>
      </c>
      <c r="N47" s="8"/>
      <c r="O47" s="20"/>
      <c r="P47" s="20"/>
    </row>
    <row r="48" spans="1:16" x14ac:dyDescent="0.35">
      <c r="A48" s="39"/>
      <c r="B48" s="39"/>
      <c r="C48" s="39"/>
      <c r="D48" s="39"/>
      <c r="E48" s="39"/>
      <c r="F48" s="39"/>
      <c r="G48" s="39"/>
      <c r="H48" s="39"/>
      <c r="I48" s="39"/>
      <c r="J48" s="39"/>
      <c r="K48" s="39"/>
      <c r="L48" s="41" t="str">
        <f t="shared" si="0"/>
        <v/>
      </c>
      <c r="M48" s="25" t="str">
        <f t="shared" si="1"/>
        <v/>
      </c>
      <c r="N48" s="10"/>
      <c r="O48" s="25"/>
      <c r="P48" s="25"/>
    </row>
    <row r="49" spans="1:16" x14ac:dyDescent="0.35">
      <c r="A49" s="39"/>
      <c r="B49" s="39"/>
      <c r="C49" s="39"/>
      <c r="D49" s="39"/>
      <c r="E49" s="39"/>
      <c r="F49" s="39"/>
      <c r="G49" s="39"/>
      <c r="H49" s="39"/>
      <c r="I49" s="39"/>
      <c r="J49" s="39"/>
      <c r="K49" s="39"/>
      <c r="L49" s="40" t="str">
        <f t="shared" si="0"/>
        <v/>
      </c>
      <c r="M49" s="20" t="str">
        <f t="shared" si="1"/>
        <v/>
      </c>
      <c r="N49" s="8"/>
      <c r="O49" s="20"/>
      <c r="P49" s="20"/>
    </row>
    <row r="51" spans="1:16" ht="15.5" customHeight="1" x14ac:dyDescent="0.35">
      <c r="A51" s="104" t="s">
        <v>540</v>
      </c>
      <c r="B51" s="86"/>
      <c r="C51" s="86"/>
      <c r="D51" s="87"/>
      <c r="E51" s="42" t="str">
        <f t="shared" ref="E51:L51" si="2">IFERROR(AVERAGE(E5:E49),"")</f>
        <v/>
      </c>
      <c r="F51" s="42" t="str">
        <f t="shared" si="2"/>
        <v/>
      </c>
      <c r="G51" s="42" t="str">
        <f t="shared" si="2"/>
        <v/>
      </c>
      <c r="H51" s="42" t="str">
        <f t="shared" si="2"/>
        <v/>
      </c>
      <c r="I51" s="42" t="str">
        <f t="shared" si="2"/>
        <v/>
      </c>
      <c r="J51" s="42" t="str">
        <f t="shared" si="2"/>
        <v/>
      </c>
      <c r="K51" s="42" t="str">
        <f t="shared" si="2"/>
        <v/>
      </c>
      <c r="L51" s="43" t="str">
        <f t="shared" si="2"/>
        <v/>
      </c>
      <c r="M51" s="27"/>
      <c r="N51" s="44" t="s">
        <v>541</v>
      </c>
    </row>
    <row r="53" spans="1:16" ht="22" customHeight="1" x14ac:dyDescent="0.35">
      <c r="A53" s="129" t="s">
        <v>542</v>
      </c>
      <c r="B53" s="86"/>
      <c r="C53" s="86"/>
      <c r="D53" s="86"/>
      <c r="E53" s="86"/>
      <c r="F53" s="86"/>
      <c r="G53" s="86"/>
      <c r="H53" s="86"/>
      <c r="I53" s="86"/>
      <c r="J53" s="86"/>
      <c r="K53" s="86"/>
      <c r="L53" s="86"/>
      <c r="M53" s="86"/>
      <c r="N53" s="86"/>
      <c r="O53" s="86"/>
      <c r="P53" s="87"/>
    </row>
    <row r="54" spans="1:16" ht="32" customHeight="1" x14ac:dyDescent="0.35">
      <c r="A54" s="132" t="s">
        <v>543</v>
      </c>
      <c r="B54" s="86"/>
      <c r="C54" s="86"/>
      <c r="D54" s="86"/>
      <c r="E54" s="86"/>
      <c r="F54" s="86"/>
      <c r="G54" s="86"/>
      <c r="H54" s="86"/>
      <c r="I54" s="86"/>
      <c r="J54" s="86"/>
      <c r="K54" s="86"/>
      <c r="L54" s="86"/>
      <c r="M54" s="86"/>
      <c r="N54" s="86"/>
      <c r="O54" s="86"/>
      <c r="P54" s="87"/>
    </row>
    <row r="55" spans="1:16" ht="26" customHeight="1" x14ac:dyDescent="0.35">
      <c r="A55" s="133" t="s">
        <v>544</v>
      </c>
      <c r="B55" s="87"/>
      <c r="C55" s="15" t="s">
        <v>545</v>
      </c>
      <c r="D55" s="38" t="s">
        <v>546</v>
      </c>
      <c r="E55" s="38" t="s">
        <v>547</v>
      </c>
      <c r="F55" s="38" t="s">
        <v>548</v>
      </c>
      <c r="G55" s="38" t="s">
        <v>313</v>
      </c>
      <c r="H55" s="15" t="s">
        <v>35</v>
      </c>
      <c r="I55" s="88" t="s">
        <v>549</v>
      </c>
      <c r="J55" s="86"/>
      <c r="K55" s="86"/>
      <c r="L55" s="86"/>
      <c r="M55" s="86"/>
      <c r="N55" s="87"/>
    </row>
    <row r="56" spans="1:16" ht="48" customHeight="1" x14ac:dyDescent="0.35">
      <c r="A56" s="130"/>
      <c r="B56" s="84"/>
      <c r="C56" s="25" t="str">
        <f>IF(A56="","",COUNTIF(B5:B49,A56))</f>
        <v/>
      </c>
      <c r="D56" s="24" t="str">
        <f>IF(A56="","",IFERROR(AVERAGEIF(B5:B49,A56,L5:L49),""))</f>
        <v/>
      </c>
      <c r="E56" s="9"/>
      <c r="F56" s="9"/>
      <c r="G56" s="46" t="str">
        <f>IF(OR(A56="",D56="",E56="",F56=""),"",0.5*D56+0.3*(E56/5)+0.2*(F56/5))</f>
        <v/>
      </c>
      <c r="H56" s="25" t="str">
        <f>IF(G56="","",IF(G56&gt;=0.85,"Meets/Exceeds",IF(G56&gt;=0.7,"Developing","Needs Improvement")))</f>
        <v/>
      </c>
      <c r="I56" s="94"/>
      <c r="J56" s="83"/>
      <c r="K56" s="83"/>
      <c r="L56" s="83"/>
      <c r="M56" s="83"/>
      <c r="N56" s="84"/>
    </row>
    <row r="57" spans="1:16" ht="28" customHeight="1" x14ac:dyDescent="0.35">
      <c r="A57" s="95"/>
      <c r="B57" s="84"/>
      <c r="C57" s="25" t="str">
        <f>IF(A57="","",COUNTIF(B5:B49,A57))</f>
        <v/>
      </c>
      <c r="D57" s="24" t="str">
        <f>IF(A57="","",IFERROR(AVERAGEIF(B5:B49,A57,L5:L49),""))</f>
        <v/>
      </c>
      <c r="E57" s="9"/>
      <c r="F57" s="9"/>
      <c r="G57" s="46" t="str">
        <f>IF(OR(A57="",D57="",E57="",F57=""),"",0.5*D57+0.3*(E57/5)+0.2*(F57/5))</f>
        <v/>
      </c>
      <c r="H57" s="25" t="str">
        <f>IF(G57="","",IF(G57&gt;=0.85,"Meets/Exceeds",IF(G57&gt;=0.7,"Developing","Needs Improv.")))</f>
        <v/>
      </c>
      <c r="I57" s="90"/>
      <c r="J57" s="83"/>
      <c r="K57" s="83"/>
      <c r="L57" s="83"/>
      <c r="M57" s="83"/>
      <c r="N57" s="84"/>
    </row>
    <row r="58" spans="1:16" ht="28" customHeight="1" x14ac:dyDescent="0.35">
      <c r="A58" s="95"/>
      <c r="B58" s="84"/>
      <c r="C58" s="20" t="str">
        <f>IF(A58="","",COUNTIF(B5:B49,A58))</f>
        <v/>
      </c>
      <c r="D58" s="19" t="str">
        <f>IF(A58="","",IFERROR(AVERAGEIF(B5:B49,A58,L5:L49),""))</f>
        <v/>
      </c>
      <c r="E58" s="9"/>
      <c r="F58" s="9"/>
      <c r="G58" s="47" t="str">
        <f>IF(OR(A58="",D58="",E58="",F58=""),"",0.5*D58+0.3*(E58/5)+0.2*(F58/5))</f>
        <v/>
      </c>
      <c r="H58" s="20" t="str">
        <f>IF(G58="","",IF(G58&gt;=0.85,"Meets/Exceeds",IF(G58&gt;=0.7,"Developing","Needs Improv.")))</f>
        <v/>
      </c>
      <c r="I58" s="90"/>
      <c r="J58" s="83"/>
      <c r="K58" s="83"/>
      <c r="L58" s="83"/>
      <c r="M58" s="83"/>
      <c r="N58" s="84"/>
    </row>
    <row r="59" spans="1:16" ht="28" customHeight="1" x14ac:dyDescent="0.35">
      <c r="A59" s="95"/>
      <c r="B59" s="84"/>
      <c r="C59" s="25" t="str">
        <f>IF(A59="","",COUNTIF(B5:B49,A59))</f>
        <v/>
      </c>
      <c r="D59" s="24" t="str">
        <f>IF(A59="","",IFERROR(AVERAGEIF(B5:B49,A59,L5:L49),""))</f>
        <v/>
      </c>
      <c r="E59" s="9"/>
      <c r="F59" s="9"/>
      <c r="G59" s="46" t="str">
        <f>IF(OR(A59="",D59="",E59="",F59=""),"",0.5*D59+0.3*(E59/5)+0.2*(F59/5))</f>
        <v/>
      </c>
      <c r="H59" s="25" t="str">
        <f>IF(G59="","",IF(G59&gt;=0.85,"Meets/Exceeds",IF(G59&gt;=0.7,"Developing","Needs Improv.")))</f>
        <v/>
      </c>
      <c r="I59" s="90"/>
      <c r="J59" s="83"/>
      <c r="K59" s="83"/>
      <c r="L59" s="83"/>
      <c r="M59" s="83"/>
      <c r="N59" s="84"/>
    </row>
    <row r="60" spans="1:16" ht="28" customHeight="1" x14ac:dyDescent="0.35">
      <c r="A60" s="99" t="s">
        <v>550</v>
      </c>
      <c r="B60" s="83"/>
      <c r="C60" s="83"/>
      <c r="D60" s="83"/>
      <c r="E60" s="83"/>
      <c r="F60" s="83"/>
      <c r="G60" s="83"/>
      <c r="H60" s="83"/>
      <c r="I60" s="83"/>
      <c r="J60" s="83"/>
      <c r="K60" s="83"/>
      <c r="L60" s="83"/>
      <c r="M60" s="83"/>
      <c r="N60" s="84"/>
    </row>
  </sheetData>
  <mergeCells count="17">
    <mergeCell ref="A60:N60"/>
    <mergeCell ref="I56:N56"/>
    <mergeCell ref="A3:P3"/>
    <mergeCell ref="A51:D51"/>
    <mergeCell ref="A54:P54"/>
    <mergeCell ref="I58:N58"/>
    <mergeCell ref="A58:B58"/>
    <mergeCell ref="A55:B55"/>
    <mergeCell ref="I57:N57"/>
    <mergeCell ref="A59:B59"/>
    <mergeCell ref="I55:N55"/>
    <mergeCell ref="I59:N59"/>
    <mergeCell ref="A1:P1"/>
    <mergeCell ref="A57:B57"/>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xr:uid="{00000000-0002-0000-0500-000000000000}">
      <formula1>0</formula1>
      <formula2>5</formula2>
    </dataValidation>
    <dataValidation type="whole" allowBlank="1" showErrorMessage="1" errorTitle="Invalid score" error="Enter 0 to 5 (anchors on Multi-Touch Guide)." sqref="E56:F56 E57:F57 E58:F58 E59:F59" xr:uid="{00000000-0002-0000-0500-000001000000}">
      <formula1>0</formula1>
      <formula2>5</formula2>
    </dataValidation>
    <dataValidation type="list" allowBlank="1" showErrorMessage="1" errorTitle="Invalid type" error="Pick Resolver, Progress Builder, Maintainer, Breaker, or N/A." sqref="O5:O49" xr:uid="{00000000-0002-0000-0500-000002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500-000003000000}">
      <formula1>0</formula1>
      <formula2>5</formula2>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7"/>
  <sheetViews>
    <sheetView workbookViewId="0"/>
  </sheetViews>
  <sheetFormatPr defaultRowHeight="14.5" x14ac:dyDescent="0.35"/>
  <cols>
    <col min="1" max="8" width="34" customWidth="1"/>
  </cols>
  <sheetData>
    <row r="1" spans="1:10" x14ac:dyDescent="0.35">
      <c r="A1" t="s">
        <v>22</v>
      </c>
      <c r="B1" t="s">
        <v>551</v>
      </c>
      <c r="C1" t="s">
        <v>552</v>
      </c>
      <c r="D1" t="s">
        <v>553</v>
      </c>
      <c r="E1" t="s">
        <v>554</v>
      </c>
      <c r="F1" t="s">
        <v>555</v>
      </c>
      <c r="G1" t="s">
        <v>556</v>
      </c>
      <c r="J1" t="s">
        <v>557</v>
      </c>
    </row>
    <row r="2" spans="1:10" x14ac:dyDescent="0.35">
      <c r="A2" t="s">
        <v>558</v>
      </c>
      <c r="B2" t="s">
        <v>559</v>
      </c>
      <c r="C2" t="s">
        <v>560</v>
      </c>
      <c r="D2" t="s">
        <v>561</v>
      </c>
      <c r="E2" t="s">
        <v>561</v>
      </c>
      <c r="F2" t="s">
        <v>561</v>
      </c>
      <c r="G2" t="s">
        <v>561</v>
      </c>
    </row>
    <row r="3" spans="1:10" x14ac:dyDescent="0.35">
      <c r="A3" t="s">
        <v>562</v>
      </c>
      <c r="B3" t="s">
        <v>563</v>
      </c>
      <c r="C3" t="s">
        <v>564</v>
      </c>
      <c r="D3" t="s">
        <v>565</v>
      </c>
      <c r="E3" t="s">
        <v>566</v>
      </c>
      <c r="F3" t="s">
        <v>567</v>
      </c>
      <c r="G3" t="s">
        <v>568</v>
      </c>
    </row>
    <row r="4" spans="1:10" x14ac:dyDescent="0.35">
      <c r="A4" t="s">
        <v>569</v>
      </c>
      <c r="B4" t="s">
        <v>570</v>
      </c>
      <c r="C4" t="s">
        <v>571</v>
      </c>
      <c r="D4" t="s">
        <v>572</v>
      </c>
      <c r="E4" t="s">
        <v>573</v>
      </c>
      <c r="F4" t="s">
        <v>574</v>
      </c>
      <c r="G4" t="s">
        <v>575</v>
      </c>
    </row>
    <row r="5" spans="1:10" x14ac:dyDescent="0.35">
      <c r="A5" t="s">
        <v>576</v>
      </c>
      <c r="B5" t="s">
        <v>577</v>
      </c>
      <c r="C5" t="s">
        <v>578</v>
      </c>
      <c r="D5" t="s">
        <v>7</v>
      </c>
      <c r="E5" t="s">
        <v>579</v>
      </c>
      <c r="F5" t="s">
        <v>580</v>
      </c>
      <c r="G5" t="s">
        <v>581</v>
      </c>
    </row>
    <row r="6" spans="1:10" x14ac:dyDescent="0.35">
      <c r="A6" t="s">
        <v>582</v>
      </c>
      <c r="C6" t="s">
        <v>583</v>
      </c>
      <c r="D6" t="s">
        <v>584</v>
      </c>
      <c r="E6" t="s">
        <v>585</v>
      </c>
      <c r="F6" t="s">
        <v>586</v>
      </c>
      <c r="G6" t="s">
        <v>587</v>
      </c>
    </row>
    <row r="7" spans="1:10" x14ac:dyDescent="0.35">
      <c r="A7" t="s">
        <v>588</v>
      </c>
      <c r="C7" t="s">
        <v>589</v>
      </c>
      <c r="E7" t="s">
        <v>590</v>
      </c>
      <c r="F7" t="s">
        <v>591</v>
      </c>
      <c r="G7" t="s">
        <v>592</v>
      </c>
    </row>
    <row r="8" spans="1:10" x14ac:dyDescent="0.35">
      <c r="A8" t="s">
        <v>593</v>
      </c>
      <c r="C8" t="s">
        <v>594</v>
      </c>
      <c r="E8" t="s">
        <v>595</v>
      </c>
      <c r="F8" t="s">
        <v>596</v>
      </c>
      <c r="G8" t="s">
        <v>597</v>
      </c>
    </row>
    <row r="9" spans="1:10" x14ac:dyDescent="0.35">
      <c r="A9" t="s">
        <v>598</v>
      </c>
      <c r="E9" t="s">
        <v>599</v>
      </c>
      <c r="F9" t="s">
        <v>600</v>
      </c>
      <c r="G9" t="s">
        <v>601</v>
      </c>
    </row>
    <row r="10" spans="1:10" x14ac:dyDescent="0.35">
      <c r="A10" t="s">
        <v>602</v>
      </c>
      <c r="E10" t="s">
        <v>603</v>
      </c>
      <c r="G10" t="s">
        <v>604</v>
      </c>
    </row>
    <row r="11" spans="1:10" x14ac:dyDescent="0.35">
      <c r="A11" t="s">
        <v>605</v>
      </c>
      <c r="E11" t="s">
        <v>606</v>
      </c>
    </row>
    <row r="12" spans="1:10" x14ac:dyDescent="0.35">
      <c r="A12" t="s">
        <v>607</v>
      </c>
      <c r="E12" t="s">
        <v>608</v>
      </c>
    </row>
    <row r="13" spans="1:10" x14ac:dyDescent="0.35">
      <c r="A13" t="s">
        <v>609</v>
      </c>
      <c r="E13" t="s">
        <v>610</v>
      </c>
    </row>
    <row r="14" spans="1:10" x14ac:dyDescent="0.35">
      <c r="A14" t="s">
        <v>611</v>
      </c>
      <c r="E14" t="s">
        <v>612</v>
      </c>
    </row>
    <row r="15" spans="1:10" x14ac:dyDescent="0.35">
      <c r="A15" t="s">
        <v>613</v>
      </c>
      <c r="E15" t="s">
        <v>614</v>
      </c>
    </row>
    <row r="16" spans="1:10" x14ac:dyDescent="0.35">
      <c r="A16" t="s">
        <v>615</v>
      </c>
    </row>
    <row r="17" spans="1:1" x14ac:dyDescent="0.35">
      <c r="A17" t="s">
        <v>616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Quick Start</vt:lpstr>
      <vt:lpstr>Scoring Form</vt:lpstr>
      <vt:lpstr>Scoring Guide</vt:lpstr>
      <vt:lpstr>Multi-Touch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2026-06-17T06:18:38Z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