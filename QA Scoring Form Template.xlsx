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4BD92CE8-2792-4B00-A1B6-4630FF54DA8E}" xr6:coauthVersionLast="47" xr6:coauthVersionMax="47" xr10:uidLastSave="{00000000-0000-0000-0000-000000000000}"/>
  <bookViews>
    <workbookView xWindow="20370" yWindow="-120" windowWidth="29040" windowHeight="15720" activeTab="1" xr2:uid="{00000000-000D-0000-FFFF-FFFF00000000}"/>
  </bookViews>
  <sheets>
    <sheet name="Quick Start" sheetId="1" r:id="rId1"/>
    <sheet name="Scoring Form" sheetId="2" r:id="rId2"/>
    <sheet name="Scoring Guide" sheetId="3" r:id="rId3"/>
    <sheet name="Multi-Touch Guide" sheetId="4" r:id="rId4"/>
    <sheet name="Auto-Zero Guide" sheetId="5" r:id="rId5"/>
    <sheet name="Team Scoring" sheetId="6" r:id="rId6"/>
    <sheet name="Example (Filled)" sheetId="7" r:id="rId7"/>
    <sheet name="Case Tracker" sheetId="8" r:id="rId8"/>
    <sheet name="Lists" sheetId="9"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8" l="1"/>
  <c r="G59" i="8" s="1"/>
  <c r="H59" i="8" s="1"/>
  <c r="C59" i="8"/>
  <c r="D58" i="8"/>
  <c r="G58" i="8" s="1"/>
  <c r="H58" i="8" s="1"/>
  <c r="C58" i="8"/>
  <c r="D57" i="8"/>
  <c r="G57" i="8" s="1"/>
  <c r="H57" i="8" s="1"/>
  <c r="C57" i="8"/>
  <c r="D56" i="8"/>
  <c r="B8" i="6" s="1"/>
  <c r="C56" i="8"/>
  <c r="L51" i="8"/>
  <c r="K51" i="8"/>
  <c r="J51" i="8"/>
  <c r="I51" i="8"/>
  <c r="H51" i="8"/>
  <c r="G51" i="8"/>
  <c r="F51" i="8"/>
  <c r="E51" i="8"/>
  <c r="L49" i="8"/>
  <c r="M49" i="8" s="1"/>
  <c r="L48" i="8"/>
  <c r="M48" i="8" s="1"/>
  <c r="M47" i="8"/>
  <c r="L47" i="8"/>
  <c r="M46" i="8"/>
  <c r="L46" i="8"/>
  <c r="L45" i="8"/>
  <c r="M45" i="8" s="1"/>
  <c r="L44" i="8"/>
  <c r="M44" i="8" s="1"/>
  <c r="L43" i="8"/>
  <c r="M43" i="8" s="1"/>
  <c r="L42" i="8"/>
  <c r="M42" i="8" s="1"/>
  <c r="L41" i="8"/>
  <c r="M41" i="8" s="1"/>
  <c r="M40" i="8"/>
  <c r="L40" i="8"/>
  <c r="M39" i="8"/>
  <c r="L39" i="8"/>
  <c r="L38" i="8"/>
  <c r="M38" i="8" s="1"/>
  <c r="L37" i="8"/>
  <c r="M37" i="8" s="1"/>
  <c r="L36" i="8"/>
  <c r="M36" i="8" s="1"/>
  <c r="L35" i="8"/>
  <c r="M35" i="8" s="1"/>
  <c r="L34" i="8"/>
  <c r="M34" i="8" s="1"/>
  <c r="M33" i="8"/>
  <c r="L33" i="8"/>
  <c r="M32" i="8"/>
  <c r="L32" i="8"/>
  <c r="L31" i="8"/>
  <c r="M31" i="8" s="1"/>
  <c r="L30" i="8"/>
  <c r="M30" i="8" s="1"/>
  <c r="L29" i="8"/>
  <c r="M29" i="8" s="1"/>
  <c r="L28" i="8"/>
  <c r="M28" i="8" s="1"/>
  <c r="L27" i="8"/>
  <c r="M27" i="8" s="1"/>
  <c r="M26" i="8"/>
  <c r="L26" i="8"/>
  <c r="M25" i="8"/>
  <c r="L25" i="8"/>
  <c r="L24" i="8"/>
  <c r="M24" i="8" s="1"/>
  <c r="L23" i="8"/>
  <c r="M23" i="8" s="1"/>
  <c r="L22" i="8"/>
  <c r="M22" i="8" s="1"/>
  <c r="L21" i="8"/>
  <c r="M21" i="8" s="1"/>
  <c r="L20" i="8"/>
  <c r="M20" i="8" s="1"/>
  <c r="M19" i="8"/>
  <c r="L19" i="8"/>
  <c r="M18" i="8"/>
  <c r="L18" i="8"/>
  <c r="L17" i="8"/>
  <c r="M17" i="8" s="1"/>
  <c r="L16" i="8"/>
  <c r="M16" i="8" s="1"/>
  <c r="L15" i="8"/>
  <c r="M15" i="8" s="1"/>
  <c r="L14" i="8"/>
  <c r="M14" i="8" s="1"/>
  <c r="L13" i="8"/>
  <c r="M13" i="8" s="1"/>
  <c r="M12" i="8"/>
  <c r="L12" i="8"/>
  <c r="M11" i="8"/>
  <c r="L11" i="8"/>
  <c r="L10" i="8"/>
  <c r="M10" i="8" s="1"/>
  <c r="L9" i="8"/>
  <c r="M9" i="8" s="1"/>
  <c r="L8" i="8"/>
  <c r="M8" i="8" s="1"/>
  <c r="L7" i="8"/>
  <c r="M7" i="8" s="1"/>
  <c r="L6" i="8"/>
  <c r="M6" i="8" s="1"/>
  <c r="M5" i="8"/>
  <c r="L5" i="8"/>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D8" i="6"/>
  <c r="C8" i="6"/>
  <c r="B4" i="6"/>
  <c r="C167" i="2"/>
  <c r="C144" i="2"/>
  <c r="C143" i="2"/>
  <c r="C142" i="2"/>
  <c r="C141" i="2"/>
  <c r="C140" i="2"/>
  <c r="C139" i="2"/>
  <c r="C138" i="2"/>
  <c r="C137" i="2"/>
  <c r="E134" i="2"/>
  <c r="C125" i="2"/>
  <c r="D30" i="2" s="1"/>
  <c r="C112" i="2"/>
  <c r="D113" i="2" s="1"/>
  <c r="C93" i="2"/>
  <c r="D94" i="2" s="1"/>
  <c r="C82" i="2"/>
  <c r="D83" i="2" s="1"/>
  <c r="C69" i="2"/>
  <c r="D26" i="2" s="1"/>
  <c r="C55" i="2"/>
  <c r="D56" i="2" s="1"/>
  <c r="C43" i="2"/>
  <c r="D44" i="2" s="1"/>
  <c r="C161" i="7"/>
  <c r="C160" i="7"/>
  <c r="C159" i="7"/>
  <c r="C158" i="7"/>
  <c r="C157" i="7"/>
  <c r="C156" i="7"/>
  <c r="C155" i="7"/>
  <c r="C154" i="7"/>
  <c r="E150" i="7"/>
  <c r="E141" i="7"/>
  <c r="D141" i="7"/>
  <c r="F141" i="7" s="1"/>
  <c r="D140" i="7"/>
  <c r="F140" i="7" s="1"/>
  <c r="D139" i="7"/>
  <c r="E139" i="7" s="1"/>
  <c r="D138" i="7"/>
  <c r="F138" i="7" s="1"/>
  <c r="D137" i="7"/>
  <c r="E137" i="7" s="1"/>
  <c r="D136" i="7"/>
  <c r="E136" i="7" s="1"/>
  <c r="D135" i="7"/>
  <c r="F135" i="7" s="1"/>
  <c r="D129" i="7"/>
  <c r="C128" i="7"/>
  <c r="D114" i="7"/>
  <c r="C113" i="7"/>
  <c r="D93" i="7"/>
  <c r="C92" i="7"/>
  <c r="D80" i="7"/>
  <c r="C79" i="7"/>
  <c r="D65" i="7"/>
  <c r="C64" i="7"/>
  <c r="D49" i="7"/>
  <c r="C48" i="7"/>
  <c r="D35" i="7"/>
  <c r="C34" i="7"/>
  <c r="E140" i="7" l="1"/>
  <c r="E135" i="7"/>
  <c r="B147" i="2"/>
  <c r="F26" i="2"/>
  <c r="C26" i="2"/>
  <c r="B146" i="2"/>
  <c r="D28" i="2"/>
  <c r="D24" i="2"/>
  <c r="C24" i="2" s="1"/>
  <c r="D25" i="2"/>
  <c r="D70" i="2"/>
  <c r="D27" i="2"/>
  <c r="E27" i="2" s="1"/>
  <c r="E30" i="2"/>
  <c r="C30" i="2"/>
  <c r="F30" i="2"/>
  <c r="F136" i="7"/>
  <c r="F28" i="2"/>
  <c r="E138" i="7"/>
  <c r="E25" i="2"/>
  <c r="D29" i="2"/>
  <c r="B9" i="6"/>
  <c r="D126" i="2"/>
  <c r="G56" i="8"/>
  <c r="F137" i="7"/>
  <c r="F139" i="7"/>
  <c r="E26" i="2"/>
  <c r="E142" i="7" l="1"/>
  <c r="F142" i="7" s="1"/>
  <c r="F25" i="2"/>
  <c r="C25" i="2"/>
  <c r="F24" i="2"/>
  <c r="E28" i="2"/>
  <c r="C28" i="2"/>
  <c r="E24" i="2"/>
  <c r="C27" i="2"/>
  <c r="F27" i="2"/>
  <c r="E31" i="2"/>
  <c r="F31" i="2" s="1"/>
  <c r="F29" i="2"/>
  <c r="E29" i="2"/>
  <c r="C29" i="2"/>
  <c r="H56" i="8"/>
  <c r="C6" i="6" s="1"/>
  <c r="B6" i="6"/>
  <c r="C3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1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<sst xmlns="http://schemas.openxmlformats.org/spreadsheetml/2006/main" count="1437" uniqueCount="921">
  <si>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</si>
  <si>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</si>
  <si>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</si>
  <si>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</si>
  <si>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</si>
  <si>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</si>
  <si>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</si>
  <si>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Agent Level</t>
  </si>
  <si>
    <t>L2 / CAT</t>
  </si>
  <si>
    <t>Touch # (multi-touch case)</t>
  </si>
  <si>
    <t>13 of 13 (final)</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</si>
  <si>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</si>
  <si>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</si>
  <si>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</si>
  <si>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</si>
  <si>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</si>
  <si>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</si>
  <si>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</si>
  <si>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</si>
  <si>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</si>
  <si>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</si>
  <si>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</si>
  <si>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</si>
  <si>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</si>
  <si>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</si>
  <si>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</si>
  <si>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</si>
  <si>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Prior touches reviewed?</t>
  </si>
  <si>
    <t>Yes</t>
  </si>
  <si>
    <t>CSAT / Survey result</t>
  </si>
  <si>
    <t>1 / 5 — Resolution Rate: No</t>
  </si>
  <si>
    <t>FCR / total contacts</t>
  </si>
  <si>
    <t>4+ contacts (survey); 13+ recorded touches</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</si>
  <si>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</si>
  <si>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</si>
  <si>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</si>
  <si>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</si>
  <si>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</si>
  <si>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</si>
  <si>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</si>
  <si>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Audit / Review Type</t>
  </si>
  <si>
    <t>Targeted (Critical Failure)</t>
  </si>
  <si>
    <t>Contact iteration (repeat contact)</t>
  </si>
  <si>
    <t>13th touch; yes — repeat contact</t>
  </si>
  <si>
    <t>Resolution status — detailed</t>
  </si>
  <si>
    <t>Ownership Gap</t>
  </si>
  <si>
    <t>Primary root-cause domain</t>
  </si>
  <si>
    <t>Agent Behavior</t>
  </si>
  <si>
    <t>Process driver (if any)</t>
  </si>
  <si>
    <t>Case closure (premature RESOLVED) and callback commitment management</t>
  </si>
  <si>
    <t>Product driver (if any)</t>
  </si>
  <si>
    <t>Mixed-generation mesh stability — WHW03 + MX4200 in 7,000 sq ft home without topology consult</t>
  </si>
  <si>
    <t>System / tooling driver (if any)</t>
  </si>
  <si>
    <t>N.A.</t>
  </si>
  <si>
    <t>Root-cause / contact-driver notes   (feeds Team Scoring → Team Opportunities Identified)</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</si>
  <si>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</si>
  <si>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</si>
  <si>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</si>
  <si>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</si>
  <si>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</si>
  <si>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</si>
  <si>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</si>
  <si>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</si>
  <si>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</si>
  <si>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Partial</t>
  </si>
  <si>
    <t>Internet restored May 18 (482-530 Mbps down); but primary complaint — streaming stability — never confirmed; TV still flashing red at session end; case closed RESOLVED May 19 without a documented reason or customer confirmation</t>
  </si>
  <si>
    <t>Completed reasonable troubleshooting before reaching a conclusion</t>
  </si>
  <si>
    <t>Met</t>
  </si>
  <si>
    <t>Confirmed modem install, isolated fault away from ISP to MX4200 parent node before acting</t>
  </si>
  <si>
    <t>Resolution path was appropriate for the situation and warranty status</t>
  </si>
  <si>
    <t>Restoration path correct; closure path was not — RESOLVED set on a known-unresolved in-warranty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</si>
  <si>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</si>
  <si>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</si>
  <si>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</si>
  <si>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</si>
  <si>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auto score; type 0–5 to override</t>
  </si>
  <si>
    <t>Override reason (if overridden)</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</si>
  <si>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</si>
  <si>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</si>
  <si>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</si>
  <si>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2. TECHNICAL ACCURACY</t>
  </si>
  <si>
    <t>Weight: 20%</t>
  </si>
  <si>
    <t>Objective: Evaluate the quality of troubleshooting and technical guidance.</t>
  </si>
  <si>
    <t>Correctly identified the symptoms and asked relevant diagnostic questions</t>
  </si>
  <si>
    <t>Correctly framed issue as wireless coverage/stability, not internet speed; verified inventory (6× MX4200), modem state, and node placement before troubleshooting</t>
  </si>
  <si>
    <t>Identified the root cause (or likely cause) when possible</t>
  </si>
  <si>
    <t>Overlap node (16267, -18 dBm) correctly identified; stability root cause left unconfirmed at close</t>
  </si>
  <si>
    <t>Followed a logical troubleshooting process</t>
  </si>
  <si>
    <t>Logical narrowing: modem supplying internet → fault domain = parent node config</t>
  </si>
  <si>
    <t>Available tools were used efficiently and appropriately</t>
  </si>
  <si>
    <t>ZOHO remote session 480107042; RSSI per node documented: 04512 -68, 02733 -61, 02853 -56, 16475 -59 dBm</t>
  </si>
  <si>
    <t>Gave technically accurate information; no unsupported conclusions</t>
  </si>
  <si>
    <t>Speed and topology explanations accurate. AT&amp;T SSID disabling — a prior touch's open isolation step — was never confirmed during this session; treated as resolved without validation</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</si>
  <si>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</si>
  <si>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</si>
  <si>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</si>
  <si>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</si>
  <si>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</si>
  <si>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</si>
  <si>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 before the window lapsed</t>
  </si>
  <si>
    <t>Agent maintained call control and troubleshooting flow</t>
  </si>
  <si>
    <t>Drove a focused 3h26m session; investigation: 'more focused than earlier contacts'</t>
  </si>
  <si>
    <t>Used language appropriate to the customer's level and confirmed understanding throughout</t>
  </si>
  <si>
    <t>Investigation: 'simplify technical explanations' and 'strengthen recap and final action ownership' — terms like RSSI/SSID unexplained; customer confirmation of next steps not consistently sought</t>
  </si>
  <si>
    <t>Actively listened and showed comprehension throughout the interaction/s</t>
  </si>
  <si>
    <t>Questions tied to isolation; no redundant re-asking of inherited facts; built on prior RSSI findings</t>
  </si>
  <si>
    <t>Managed time well, with clear transitions between steps</t>
  </si>
  <si>
    <t>Session ran ~6 PM to 11 PM for an 80-year-old couple; no checkpoint offered to pause and resume the next day</t>
  </si>
  <si>
    <t>Handled difficult moments when needed to maintain call control</t>
  </si>
  <si>
    <t>Stayed professional and focused with an exhausted, frustrated customer throughout a marathon session</t>
  </si>
  <si>
    <t>Adjusted communication for the customer's accessibility needs (hearing, vision, language barrier, age, cognitive)</t>
  </si>
  <si>
    <t>Missed</t>
  </si>
  <si>
    <t>Hearing-difficulty adaptation cited as opportunity by investigation for this and 3 prior agents; pace and jargon unchanged despite documented hearing aids and age 80+</t>
  </si>
  <si>
    <t>⚠ High performance: customer always knows what is happening and the agent drives the call confidently. One instruction at a time for customers who need it.</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</si>
  <si>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</si>
  <si>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</si>
  <si>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4. CUSTOMER OWNERSHIP</t>
  </si>
  <si>
    <t>Objective: Measure the degree to which the agent accepted responsibility for moving the customer forward.</t>
  </si>
  <si>
    <t>Took accountability for the customer's outcome and avoided unnecessary transfers</t>
  </si>
  <si>
    <t>Claimed the queue, drove the session, attempted callbacks and emails — but premature RESOLVED closure ultimately undermined accountability; no unnecessary transfers at L2</t>
  </si>
  <si>
    <t>Followed through on all commitments made during the interaction</t>
  </si>
  <si>
    <t>Agreed 4-5 PM CT callback May 19 — missed; calls placed at 5:42 and 6:06 PM (42-66 min late); customer: 'you called at 5:45 — 1 and 3/4 hours late'</t>
  </si>
  <si>
    <t>Clearly set customer expectations for next steps and realistic timelines</t>
  </si>
  <si>
    <t>Knew 4-5 PM window conflicted with TC/OM meetings (private notes 13:48/14:42) yet did not renegotiate in advance; replacement plan after missed callback required customer to propose a new time</t>
  </si>
  <si>
    <t>Completed required disconnect follow-up and met callback commitments within the agreed window</t>
  </si>
  <si>
    <t>No disconnect on this touch; agreed 4-5 PM CT callback window missed — calls placed 42-66 min late without prior renegotiation; conflicting explanations in notes ('meeting' vs 'engaged with another task')</t>
  </si>
  <si>
    <t>⚠ Automatic deductions: no documented follow-up after disconnect; unclear next steps; passing responsibility without context; failure to complete promised actions; missed or late callbacks without proactive renegotiation.</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</si>
  <si>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</si>
  <si>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</si>
  <si>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</si>
  <si>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</si>
  <si>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</si>
  <si>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</si>
  <si>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No technical escalation needed or submitted — Eric Marbella is the L2 endpoint</t>
  </si>
  <si>
    <t>Identified a valid reason to escalate</t>
  </si>
  <si>
    <t>May 19, 3:33 PM customer email: 'I would like to talk to your management, before I talk to a lawyer' — a textbook management/legal-risk trigger; not identified as requiring escalation</t>
  </si>
  <si>
    <t>Provided complete escalation details using the correct escalation path</t>
  </si>
  <si>
    <t>No management / DSAT escalation submitted; TC Marc Baynos consulted about how to word the reply, not about escalating the complaint</t>
  </si>
  <si>
    <t>Clearly explained why escalation was necessary and what would happen next.</t>
  </si>
  <si>
    <t>Final email never acknowledged the management request or explained any escalation step</t>
  </si>
  <si>
    <t>⚠ Low score: premature, avoidable, poorly documented, used as a substitute for troubleshooting — or a warranted escalation (incl. a customer's management request) that was NOT made.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</si>
  <si>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</si>
  <si>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</si>
  <si>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ESCALATION FOLLOW-UP   ·   Complete only if an escalation was submitted</t>
  </si>
  <si>
    <t>What did the receiving agent / Level 2 do to resolve or advance this case?</t>
  </si>
  <si>
    <t>N.A. — Eric Marbella is the L2 endpoint; no technical escalation was submitted on this touch. The warranted management/complaint escalation was not submitted until PMO intervened May 27.</t>
  </si>
  <si>
    <t>L1 learning points from this escalation outcome</t>
  </si>
  <si>
    <t>1.</t>
  </si>
  <si>
    <t>N.A. — escalation was not completed by the agent on this touch.</t>
  </si>
  <si>
    <t>2.</t>
  </si>
  <si>
    <t>3.</t>
  </si>
  <si>
    <t>6. CUSTOMER EXPERIENCE</t>
  </si>
  <si>
    <t>Weight: 5%</t>
  </si>
  <si>
    <t>Objective: Measure the overall customer experience delivered during the interaction.</t>
  </si>
  <si>
    <t>Demonstrated empathy including for repeat-contact fatigue</t>
  </si>
  <si>
    <t>Apologies sent, but investigation: 'acknowledge customer effort and fatigue more explicitly' — 20-30 hrs invested, no dinner, age 80, hearing aids; empathy was present but insufficient to the situation</t>
  </si>
  <si>
    <t>Stayed professional throughout and maintained patience, even under pressure</t>
  </si>
  <si>
    <t>Courteous and calm in all calls and emails; patient through a 3h26m session with a frustrated customer</t>
  </si>
  <si>
    <t>Agent matched the customer's tone, pace, level, and energy</t>
  </si>
  <si>
    <t>Some simplification, but pace and jargon largely unadjusted for hearing difficulty; RSSI/SSID not explained; no slower delivery or check-in for comprehension</t>
  </si>
  <si>
    <t>Minimized customer effort</t>
  </si>
  <si>
    <t>11 PM finish for an 80-year-old couple, then customer expected to propose a new time after the missed callback; survey: 'almost impossible to get a technician who can help'</t>
  </si>
  <si>
    <t>Maintained customer understanding and engagement</t>
  </si>
  <si>
    <t>CSAT 1/5; 'worst customer service I have ever had'; customer scrapped Linksys equipment for Eero</t>
  </si>
  <si>
    <t>⚠ Negative indicators: dismissive responses; robotic interactions; frustration escalation caused by agent behavior; marathon sessions pushed onto vulnerable customers without offering to pause and resume.</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</si>
  <si>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</si>
  <si>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</si>
  <si>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7. DOCUMENTATION &amp; NOTES</t>
  </si>
  <si>
    <t>Objective: Ensure future agents can quickly understand the case. Purpose is continuity, not compliance.</t>
  </si>
  <si>
    <t>Recorded customer issue summary</t>
  </si>
  <si>
    <t>Issue, modem-replacement context, and 7-week history captured on claim</t>
  </si>
  <si>
    <t>Documented troubleshooting steps</t>
  </si>
  <si>
    <t>Session note: speeds, 4 child nodes configured, RSSI per node, overlap node identified, sequence reboot declined</t>
  </si>
  <si>
    <t>Noted key findings</t>
  </si>
  <si>
    <t>Key findings recorded including overlap node 16267 at -18 dBm and per-node RSSI values</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</si>
  <si>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</si>
  <si>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</si>
  <si>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Documented next steps and follow-ups</t>
  </si>
  <si>
    <t>Callback agreement noted; post-miss plan vague — final email only asked customer to 'reply with preferred date/time'</t>
  </si>
  <si>
    <t>Updated ticket status accurately</t>
  </si>
  <si>
    <t>RESOLVED set May 19 on a known-unresolved case — 5th premature closure on this ticket; NTE requested by investigation; survey 3 days later confirmed Resolution Rate = No</t>
  </si>
  <si>
    <t>⚠ Documentation supports outcomes but should not outweigh troubleshooting quality, communication, or ownership. Notes must carry the FULL history — including pre-ticket contacts — so no agent treats a long-running case as new.</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</si>
  <si>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</si>
  <si>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</si>
  <si>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</si>
  <si>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</si>
  <si>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</si>
  <si>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</si>
  <si>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</si>
  <si>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</si>
  <si>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</si>
  <si>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30%</t>
  </si>
  <si>
    <t>Technical Accuracy</t>
  </si>
  <si>
    <t>20%</t>
  </si>
  <si>
    <t>Communication &amp; Call Control</t>
  </si>
  <si>
    <t>15%</t>
  </si>
  <si>
    <t>Customer Ownership</t>
  </si>
  <si>
    <t>Escalation Judgment</t>
  </si>
  <si>
    <t>10%</t>
  </si>
  <si>
    <t>Customer Experience</t>
  </si>
  <si>
    <t>5%</t>
  </si>
  <si>
    <t>Documentation &amp; Notes</t>
  </si>
  <si>
    <t>WEIGHTED TOTAL SCORE</t>
  </si>
  <si>
    <t>100%</t>
  </si>
  <si>
    <t>4 · RESOLUTION OUTCOME</t>
  </si>
  <si>
    <t>Outcome classification</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</si>
  <si>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</si>
  <si>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</si>
  <si>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</si>
  <si>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</si>
  <si>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</si>
  <si>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</si>
  <si>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</si>
  <si>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</si>
  <si>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</si>
  <si>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</si>
  <si>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</si>
  <si>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</si>
  <si>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</si>
  <si>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</si>
  <si>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</si>
  <si>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</si>
  <si>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</si>
  <si>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</si>
  <si>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</si>
  <si>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</si>
  <si>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</si>
  <si>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</si>
  <si>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</si>
  <si>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</si>
  <si>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</si>
  <si>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</si>
  <si>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</si>
  <si>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</si>
  <si>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</si>
  <si>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</si>
  <si>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</si>
  <si>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</si>
  <si>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</si>
  <si>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</si>
  <si>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</si>
  <si>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</si>
  <si>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</si>
  <si>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</si>
  <si>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</si>
  <si>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</si>
  <si>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</si>
  <si>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</si>
  <si>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</si>
  <si>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</si>
  <si>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</si>
  <si>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</si>
  <si>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</si>
  <si>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</si>
  <si>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</si>
  <si>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</si>
  <si>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</si>
  <si>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</si>
  <si>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</si>
  <si>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</si>
  <si>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</si>
  <si>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</si>
  <si>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</si>
  <si>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</si>
  <si>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</si>
  <si>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</si>
  <si>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</si>
  <si>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</si>
  <si>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</si>
  <si>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</si>
  <si>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</si>
  <si>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</si>
  <si>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</si>
  <si>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</si>
  <si>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</si>
  <si>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</si>
  <si>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</si>
  <si>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</si>
  <si>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</si>
  <si>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</si>
  <si>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</si>
  <si>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</si>
  <si>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</si>
  <si>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</si>
  <si>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</si>
  <si>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</si>
  <si>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</si>
  <si>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</si>
  <si>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</si>
  <si>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</si>
  <si>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</si>
  <si>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</si>
  <si>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</si>
  <si>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</si>
  <si>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</si>
  <si>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</si>
  <si>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</si>
  <si>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</si>
  <si>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</si>
  <si>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</si>
  <si>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</si>
  <si>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</si>
  <si>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</si>
  <si>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</si>
  <si>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</si>
  <si>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</si>
  <si>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</si>
  <si>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</si>
  <si>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</si>
  <si>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</si>
  <si>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</si>
  <si>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</si>
  <si>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</si>
  <si>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</si>
  <si>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</si>
  <si>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</si>
  <si>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I · CASE INFORMATION</t>
  </si>
  <si>
    <t>Total case time</t>
  </si>
  <si>
    <t>CLASSIFICATION &amp; ROOT-CAUSE   (added from the 360 Form model)</t>
  </si>
  <si>
    <t>II · SCORE SUMMARY</t>
  </si>
  <si>
    <t>III · CATEGORY ASSESSMENTS</t>
  </si>
  <si>
    <t>Wt</t>
  </si>
  <si>
    <t>FINAL SCORE — leave blank to use the auto score; type 0–5 to override</t>
  </si>
  <si>
    <t>Captured agent reasoning - escalation justification, offline recommendations provided by colleagues and other support POCs especially if no private notes applicable to step/action.</t>
  </si>
  <si>
    <t>IV · RESOLUTION OUTCOME</t>
  </si>
  <si>
    <t>V · DISCONNECTED CALL FOLLOW-UP</t>
  </si>
  <si>
    <t>VI · COACHING FLAGS   ·   Auto-populated from Partial and Missed ratings   ·   Each flagged item requires a coaching or review action</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</si>
  <si>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</si>
  <si>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</si>
  <si>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</si>
  <si>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</si>
  <si>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</si>
  <si>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</si>
  <si>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</si>
  <si>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</si>
  <si>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</si>
  <si>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</si>
  <si>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</si>
  <si>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</si>
  <si>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</si>
  <si>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</si>
  <si>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</si>
  <si>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</si>
  <si>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</si>
  <si>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</si>
  <si>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</si>
  <si>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</si>
  <si>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</si>
  <si>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</si>
  <si>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</si>
  <si>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</si>
  <si>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</si>
  <si>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</si>
  <si>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</si>
  <si>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</si>
  <si>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</si>
  <si>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</si>
  <si>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</si>
  <si>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</si>
  <si>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</si>
  <si>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</si>
  <si>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</si>
  <si>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</si>
  <si>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</si>
  <si>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</si>
  <si>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</si>
  <si>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</si>
  <si>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</si>
  <si>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</si>
  <si>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</si>
  <si>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</si>
  <si>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</si>
  <si>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</si>
  <si>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</si>
  <si>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</si>
  <si>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</si>
  <si>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</si>
  <si>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</si>
  <si>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</si>
  <si>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</si>
  <si>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</si>
  <si>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</si>
  <si>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</si>
  <si>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</si>
  <si>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</si>
  <si>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</si>
  <si>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</si>
  <si>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</si>
  <si>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</si>
  <si>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</si>
  <si>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</si>
  <si>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</si>
  <si>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</si>
  <si>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</si>
  <si>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</si>
  <si>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</si>
  <si>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</si>
  <si>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</si>
  <si>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</si>
  <si>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</si>
  <si>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</si>
  <si>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</si>
  <si>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</si>
  <si>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</si>
  <si>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</si>
  <si>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</si>
  <si>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</si>
  <si>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</si>
  <si>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</si>
  <si>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</si>
  <si>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</si>
  <si>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</si>
  <si>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</si>
  <si>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</si>
  <si>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</si>
  <si>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</si>
  <si>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</si>
  <si>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</si>
  <si>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</si>
  <si>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</si>
  <si>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</si>
  <si>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</si>
  <si>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</si>
  <si>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</si>
  <si>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</si>
  <si>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</si>
  <si>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</si>
  <si>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</si>
  <si>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</si>
  <si>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</si>
  <si>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</si>
  <si>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</si>
  <si>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</si>
  <si>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</si>
  <si>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</si>
  <si>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</si>
  <si>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</si>
  <si>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</si>
  <si>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</si>
  <si>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</si>
  <si>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</si>
  <si>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</si>
  <si>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</si>
  <si>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</si>
  <si>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</si>
  <si>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</si>
  <si>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</si>
  <si>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</si>
  <si>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</si>
  <si>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</si>
  <si>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</si>
  <si>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</si>
  <si>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</si>
  <si>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</si>
  <si>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</si>
  <si>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</si>
  <si>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</si>
  <si>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</si>
  <si>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</si>
  <si>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</si>
  <si>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</si>
  <si>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</si>
  <si>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</si>
  <si>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</si>
  <si>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</si>
  <si>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</si>
  <si>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</si>
  <si>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</si>
  <si>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</si>
  <si>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</si>
  <si>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</si>
  <si>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</si>
  <si>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</si>
  <si>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</si>
  <si>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</si>
  <si>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</si>
  <si>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</si>
  <si>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</si>
  <si>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</si>
  <si>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</si>
  <si>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</si>
  <si>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</si>
  <si>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</si>
  <si>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</si>
  <si>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</si>
  <si>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</si>
  <si>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</si>
  <si>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</si>
  <si>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</si>
  <si>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</si>
  <si>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</si>
  <si>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</si>
  <si>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</si>
  <si>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</si>
  <si>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</si>
  <si>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</si>
  <si>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</si>
  <si>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</si>
  <si>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</si>
  <si>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</si>
  <si>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</si>
  <si>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</si>
  <si>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</si>
  <si>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</si>
  <si>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</si>
  <si>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</si>
  <si>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</si>
  <si>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</si>
  <si>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</si>
  <si>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</si>
  <si>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</si>
  <si>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</si>
  <si>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</si>
  <si>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</si>
  <si>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</si>
  <si>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</si>
  <si>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</si>
  <si>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</si>
  <si>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</si>
  <si>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</si>
  <si>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</si>
  <si>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</si>
  <si>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</si>
  <si>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</si>
  <si>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</si>
  <si>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</si>
  <si>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</si>
  <si>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</si>
  <si>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</si>
  <si>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</si>
  <si>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</si>
  <si>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</si>
  <si>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</si>
  <si>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</si>
  <si>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</si>
  <si>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</si>
  <si>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</si>
  <si>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</si>
  <si>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</si>
  <si>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</si>
  <si>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</si>
  <si>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</si>
  <si>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</si>
  <si>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</si>
  <si>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</si>
  <si>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</si>
  <si>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</si>
  <si>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</si>
  <si>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</si>
  <si>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</si>
  <si>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</si>
  <si>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</si>
  <si>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</si>
  <si>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</si>
  <si>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</si>
  <si>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</si>
  <si>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</si>
  <si>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</si>
  <si>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</si>
  <si>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</si>
  <si>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</si>
  <si>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</si>
  <si>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</si>
  <si>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</si>
  <si>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</si>
  <si>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</si>
  <si>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</si>
  <si>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</si>
  <si>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</si>
  <si>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</si>
  <si>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</si>
  <si>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</si>
  <si>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</si>
  <si>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</si>
  <si>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</si>
  <si>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</si>
  <si>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</si>
  <si>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</si>
  <si>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</si>
  <si>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</si>
  <si>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</si>
  <si>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</si>
  <si>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</si>
  <si>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</si>
  <si>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</si>
  <si>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</si>
  <si>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</si>
  <si>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</si>
  <si>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</si>
  <si>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</si>
  <si>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</si>
  <si>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</si>
  <si>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</si>
  <si>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</si>
  <si>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</si>
  <si>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</si>
  <si>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</si>
  <si>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</si>
  <si>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</si>
  <si>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</si>
  <si>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</si>
  <si>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</si>
  <si>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</si>
  <si>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</si>
  <si>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</si>
  <si>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</si>
  <si>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</si>
  <si>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</si>
  <si>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</si>
  <si>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</si>
  <si>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</si>
  <si>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</si>
  <si>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</si>
  <si>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</si>
  <si>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</si>
  <si>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</si>
  <si>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</si>
  <si>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</si>
  <si>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</si>
  <si>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</si>
  <si>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</si>
  <si>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</si>
  <si>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</si>
  <si>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</si>
  <si>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</si>
  <si>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</si>
  <si>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</si>
  <si>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</si>
  <si>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</si>
  <si>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</si>
  <si>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</si>
  <si>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</si>
  <si>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</si>
  <si>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</si>
  <si>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</si>
  <si>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</si>
  <si>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</si>
  <si>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</si>
  <si>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</si>
  <si>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</si>
  <si>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</si>
  <si>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</si>
  <si>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</si>
  <si>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</si>
  <si>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</si>
  <si>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</si>
  <si>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</si>
  <si>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</si>
  <si>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</si>
  <si>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</si>
  <si>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</si>
  <si>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</si>
  <si>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</si>
  <si>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</si>
  <si>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</si>
  <si>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</si>
  <si>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</si>
  <si>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</si>
  <si>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</si>
  <si>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</si>
  <si>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</si>
  <si>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</si>
  <si>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</si>
  <si>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</si>
  <si>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</si>
  <si>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</si>
  <si>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</si>
  <si>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</si>
  <si>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</si>
  <si>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</si>
  <si>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</si>
  <si>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</si>
  <si>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</si>
  <si>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</si>
  <si>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</si>
  <si>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</si>
  <si>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</si>
  <si>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</si>
  <si>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</si>
  <si>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</si>
  <si>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</si>
  <si>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</si>
  <si>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</si>
  <si>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</si>
  <si>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</si>
  <si>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</si>
  <si>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</si>
  <si>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</si>
  <si>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</si>
  <si>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</si>
  <si>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</si>
  <si>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</si>
  <si>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</si>
  <si>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</si>
  <si>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</si>
  <si>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</si>
  <si>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</si>
  <si>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</si>
  <si>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</si>
  <si>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</si>
  <si>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</si>
  <si>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</si>
  <si>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</si>
  <si>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</si>
  <si>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</si>
  <si>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</si>
  <si>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</si>
  <si>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</si>
  <si>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</si>
  <si>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</si>
  <si>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</si>
  <si>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</si>
  <si>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</si>
  <si>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</si>
  <si>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</si>
  <si>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</si>
  <si>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</si>
  <si>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</si>
  <si>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</si>
  <si>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</si>
  <si>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</si>
  <si>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</si>
  <si>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</si>
  <si>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</si>
  <si>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</si>
  <si>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</si>
  <si>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</si>
  <si>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</si>
  <si>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</si>
  <si>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</si>
  <si>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</si>
  <si>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</si>
  <si>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</si>
  <si>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</si>
  <si>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</si>
  <si>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</si>
  <si>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</si>
  <si>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</si>
  <si>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</si>
  <si>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</si>
  <si>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</si>
  <si>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</si>
  <si>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</si>
  <si>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</si>
  <si>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</si>
  <si>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</si>
  <si>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</si>
  <si>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</si>
  <si>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</si>
  <si>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</si>
  <si>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</si>
  <si>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</si>
  <si>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</si>
  <si>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</si>
  <si>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</si>
  <si>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</si>
  <si>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</si>
  <si>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</si>
  <si>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</si>
  <si>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</si>
  <si>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</si>
  <si>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</si>
  <si>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</si>
  <si>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</si>
  <si>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</si>
  <si>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</si>
  <si>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</si>
  <si>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</si>
  <si>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</si>
  <si>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</si>
  <si>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</si>
  <si>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</si>
  <si>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</si>
  <si>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</si>
  <si>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</si>
  <si>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</si>
  <si>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</si>
  <si>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</si>
  <si>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</si>
  <si>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</si>
  <si>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</si>
  <si>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</si>
  <si>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</si>
  <si>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</si>
  <si>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</si>
  <si>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</si>
  <si>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</si>
  <si>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</si>
  <si>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</si>
  <si>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</si>
  <si>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</si>
  <si>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</si>
  <si>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</si>
  <si>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</si>
  <si>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</si>
  <si>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</si>
  <si>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</si>
  <si>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</si>
  <si>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</si>
  <si>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</si>
  <si>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</si>
  <si>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</si>
  <si>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</si>
  <si>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</si>
  <si>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</si>
  <si>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</si>
  <si>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</si>
  <si>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</si>
  <si>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</si>
  <si>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</si>
  <si>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</si>
  <si>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</si>
  <si>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</si>
  <si>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</si>
  <si>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</si>
  <si>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</si>
  <si>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</si>
  <si>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</si>
  <si>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</si>
  <si>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</si>
  <si>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</si>
  <si>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</si>
  <si>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</si>
  <si>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</si>
  <si>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</si>
  <si>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</si>
  <si>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</si>
  <si>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</si>
  <si>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</si>
  <si>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</si>
  <si>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</si>
  <si>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</si>
  <si>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</si>
  <si>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</si>
  <si>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</si>
  <si>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</si>
  <si>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</si>
  <si>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</si>
  <si>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</si>
  <si>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</si>
  <si>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</si>
  <si>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</si>
  <si>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</si>
  <si>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</si>
  <si>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</si>
  <si>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</si>
  <si>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</si>
  <si>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</si>
  <si>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</si>
  <si>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</si>
  <si>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</si>
  <si>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</si>
  <si>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</si>
  <si>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</si>
  <si>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</si>
  <si>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</si>
  <si>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</si>
  <si>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</si>
  <si>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</si>
  <si>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</si>
  <si>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</si>
  <si>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</si>
  <si>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</si>
  <si>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</si>
  <si>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</si>
  <si>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</si>
  <si>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</si>
  <si>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</si>
  <si>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</si>
  <si>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</si>
  <si>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</si>
  <si>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</si>
  <si>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</si>
  <si>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</si>
  <si>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</si>
  <si>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</si>
  <si>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</si>
  <si>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</si>
  <si>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</si>
  <si>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</si>
  <si>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</si>
  <si>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</si>
  <si>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</si>
  <si>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</si>
  <si>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</si>
  <si>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</si>
  <si>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</si>
  <si>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</si>
  <si>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</si>
  <si>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</si>
  <si>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</si>
  <si>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</si>
  <si>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</si>
  <si>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</si>
  <si>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</si>
  <si>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</si>
  <si>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</si>
  <si>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</si>
  <si>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</si>
  <si>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</si>
  <si>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</si>
  <si>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</si>
  <si>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</si>
  <si>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</si>
  <si>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</si>
  <si>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</si>
  <si>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</si>
  <si>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</si>
  <si>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</si>
  <si>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</si>
  <si>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</si>
  <si>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</si>
  <si>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</si>
  <si>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</si>
  <si>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</si>
  <si>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</si>
  <si>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</si>
  <si>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ZOHO remote session (480107042) used for direct troubleshooting; issue worked hands-on — no generic KB sent in lieu of investigation</t>
  </si>
  <si>
    <t>Product is In-Warranty — indicator not applicable to this case</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</si>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</sst>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4"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s>
  <fills count="36">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8">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8" xfId="0" applyBorder="1"/>
    <xf numFmtId="0" fontId="0" fillId="0" borderId="19" xfId="0" applyBorder="1"/>
    <xf numFmtId="0" fontId="5" fillId="20" borderId="20" xfId="0" applyFont="1" applyFill="1" applyBorder="1" applyAlignment="1">
      <alignment horizontal="left" vertical="center" wrapText="1"/>
    </xf>
    <xf numFmtId="0" fontId="7" fillId="23" borderId="18" xfId="0" applyFont="1" applyFill="1" applyBorder="1" applyAlignment="1">
      <alignment horizontal="center" vertical="center"/>
    </xf>
    <xf numFmtId="0" fontId="5" fillId="20" borderId="18" xfId="0" applyFont="1" applyFill="1" applyBorder="1" applyAlignment="1">
      <alignment horizontal="left" vertical="center" wrapText="1"/>
    </xf>
    <xf numFmtId="0" fontId="5" fillId="19" borderId="20" xfId="0" applyFont="1" applyFill="1" applyBorder="1" applyAlignment="1">
      <alignment horizontal="left" vertical="center" wrapText="1"/>
    </xf>
    <xf numFmtId="0" fontId="7" fillId="17" borderId="18" xfId="0" applyFont="1" applyFill="1" applyBorder="1" applyAlignment="1">
      <alignment horizontal="center" vertical="center"/>
    </xf>
    <xf numFmtId="0" fontId="5" fillId="19" borderId="18" xfId="0" applyFont="1" applyFill="1" applyBorder="1" applyAlignment="1">
      <alignment horizontal="left" vertical="center" wrapText="1"/>
    </xf>
    <xf numFmtId="0" fontId="3" fillId="3" borderId="1" xfId="0" applyFont="1" applyFill="1" applyBorder="1" applyAlignment="1">
      <alignment horizontal="left" vertical="center"/>
    </xf>
    <xf numFmtId="0" fontId="0" fillId="0" borderId="3" xfId="0" applyBorder="1"/>
    <xf numFmtId="0" fontId="0" fillId="0" borderId="4" xfId="0" applyBorder="1"/>
    <xf numFmtId="0" fontId="22" fillId="6" borderId="14" xfId="0" applyFont="1" applyFill="1" applyBorder="1" applyAlignment="1">
      <alignment horizontal="left" vertical="center" wrapText="1"/>
    </xf>
    <xf numFmtId="0" fontId="0" fillId="0" borderId="15" xfId="0" applyBorder="1"/>
    <xf numFmtId="0" fontId="0" fillId="0" borderId="16" xfId="0" applyBorder="1"/>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0" fillId="6" borderId="14" xfId="0" applyFill="1" applyBorder="1"/>
    <xf numFmtId="0" fontId="5" fillId="19" borderId="14" xfId="0" applyFont="1" applyFill="1" applyBorder="1" applyAlignment="1">
      <alignment horizontal="left" vertical="center" wrapText="1"/>
    </xf>
    <xf numFmtId="0" fontId="5" fillId="7"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4" fillId="25" borderId="14" xfId="0" applyFont="1" applyFill="1" applyBorder="1" applyAlignment="1">
      <alignment horizontal="left" vertical="center"/>
    </xf>
    <xf numFmtId="0" fontId="5" fillId="17" borderId="14" xfId="0" applyFont="1" applyFill="1" applyBorder="1" applyAlignment="1">
      <alignment horizontal="left" vertical="center" wrapText="1"/>
    </xf>
    <xf numFmtId="0" fontId="3" fillId="11" borderId="1" xfId="0" applyFont="1" applyFill="1" applyBorder="1" applyAlignment="1">
      <alignment horizontal="left" vertical="center"/>
    </xf>
    <xf numFmtId="0" fontId="5" fillId="23"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2" fillId="2" borderId="1" xfId="0" applyFont="1" applyFill="1" applyBorder="1" applyAlignment="1">
      <alignment horizontal="center" vertical="center"/>
    </xf>
    <xf numFmtId="0" fontId="5" fillId="20" borderId="14" xfId="0" applyFont="1" applyFill="1" applyBorder="1" applyAlignment="1">
      <alignment horizontal="left" vertical="center" wrapText="1"/>
    </xf>
    <xf numFmtId="0" fontId="38" fillId="23" borderId="14" xfId="0" applyFont="1" applyFill="1" applyBorder="1" applyAlignment="1">
      <alignment horizontal="left" vertical="center" wrapText="1"/>
    </xf>
    <xf numFmtId="0" fontId="4" fillId="25"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5" fillId="5" borderId="14" xfId="0" applyFont="1" applyFill="1" applyBorder="1" applyAlignment="1">
      <alignment horizontal="left" vertical="center"/>
    </xf>
    <xf numFmtId="0" fontId="7" fillId="23" borderId="14" xfId="0" applyFont="1" applyFill="1" applyBorder="1" applyAlignment="1">
      <alignment horizontal="center" vertical="center"/>
    </xf>
    <xf numFmtId="0" fontId="10" fillId="6" borderId="14" xfId="0" applyFont="1" applyFill="1" applyBorder="1" applyAlignment="1">
      <alignment horizontal="left" vertical="center" wrapText="1"/>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4" fillId="4" borderId="14" xfId="0" applyFont="1" applyFill="1" applyBorder="1" applyAlignment="1">
      <alignment horizontal="left" vertical="center"/>
    </xf>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23" borderId="14" xfId="0" applyFont="1" applyFill="1" applyBorder="1" applyAlignment="1">
      <alignment horizontal="left" vertical="center"/>
    </xf>
    <xf numFmtId="0" fontId="35" fillId="22" borderId="14" xfId="0" applyFont="1" applyFill="1" applyBorder="1" applyAlignment="1">
      <alignment horizontal="center" vertical="center" wrapText="1"/>
    </xf>
    <xf numFmtId="0" fontId="6" fillId="6" borderId="1" xfId="0" applyFont="1" applyFill="1" applyBorder="1" applyAlignment="1">
      <alignment horizontal="left" vertical="top" wrapText="1"/>
    </xf>
    <xf numFmtId="0" fontId="3" fillId="3" borderId="1" xfId="0" applyFont="1" applyFill="1" applyBorder="1" applyAlignment="1">
      <alignment horizontal="left" vertical="top"/>
    </xf>
    <xf numFmtId="0" fontId="5" fillId="7" borderId="14" xfId="0" applyFont="1" applyFill="1" applyBorder="1" applyAlignment="1">
      <alignment horizontal="left" vertical="top" wrapText="1"/>
    </xf>
    <xf numFmtId="0" fontId="5" fillId="8" borderId="14"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23" fillId="11" borderId="0" xfId="0" applyFont="1" applyFill="1" applyAlignment="1">
      <alignment horizontal="center" vertical="center" wrapText="1"/>
    </xf>
    <xf numFmtId="0" fontId="0" fillId="0" borderId="0" xfId="0"/>
    <xf numFmtId="0" fontId="25" fillId="14" borderId="14" xfId="0" applyFont="1" applyFill="1" applyBorder="1" applyAlignment="1">
      <alignment horizontal="center" vertical="center" wrapText="1"/>
    </xf>
    <xf numFmtId="0" fontId="24" fillId="12" borderId="0" xfId="0" applyFont="1" applyFill="1" applyAlignment="1">
      <alignment horizontal="center" vertical="center" wrapText="1"/>
    </xf>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13" fillId="10"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2" fillId="2" borderId="1" xfId="0" applyFont="1" applyFill="1" applyBorder="1" applyAlignment="1">
      <alignment horizontal="center"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60" fillId="25" borderId="0" xfId="0" applyFont="1" applyFill="1" applyAlignment="1">
      <alignment horizontal="left" vertical="center" wrapText="1"/>
    </xf>
    <xf numFmtId="0" fontId="60" fillId="6" borderId="0" xfId="0" applyFont="1" applyFill="1" applyAlignment="1">
      <alignment horizontal="left" vertical="center" wrapText="1"/>
    </xf>
    <xf numFmtId="0" fontId="61" fillId="19" borderId="0" xfId="0" applyFont="1" applyFill="1" applyAlignment="1">
      <alignment horizontal="left" vertical="center" wrapText="1"/>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58" fillId="11" borderId="0" xfId="0" applyFont="1" applyFill="1" applyAlignment="1">
      <alignment horizontal="left" vertical="center"/>
    </xf>
    <xf numFmtId="0" fontId="62" fillId="20" borderId="0" xfId="0" applyFont="1" applyFill="1" applyAlignment="1">
      <alignment horizontal="left" vertical="center" wrapText="1"/>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7" fillId="11" borderId="0" xfId="0" applyFont="1" applyFill="1" applyAlignment="1">
      <alignment horizontal="center" vertical="center"/>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1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5" fillId="5" borderId="14" xfId="0" applyFont="1" applyFill="1" applyBorder="1" applyAlignment="1">
      <alignment horizontal="left" vertical="center" wrapText="1"/>
    </xf>
    <xf numFmtId="0" fontId="3" fillId="3" borderId="1" xfId="0" applyFont="1" applyFill="1" applyBorder="1" applyAlignment="1">
      <alignment horizontal="center" vertical="center"/>
    </xf>
  </cellXfs>
  <cellStyles count="1">
    <cellStyle name="Normal" xfId="0" builtinId="0"/>
  </cellStyles>
  <dxfs count="81">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220" t="s">
        <v>253</v>
      </c>
      <c r="C1" s="177"/>
    </row>
    <row r="2" spans="2:3" ht="30" customHeight="1" x14ac:dyDescent="0.25">
      <c r="B2" s="222" t="s">
        <v>254</v>
      </c>
      <c r="C2" s="177"/>
    </row>
    <row r="4" spans="2:3" x14ac:dyDescent="0.25">
      <c r="B4" s="217" t="s">
        <v>255</v>
      </c>
      <c r="C4" s="177"/>
    </row>
    <row r="5" spans="2:3" ht="44.1" customHeight="1" x14ac:dyDescent="0.25">
      <c r="B5" s="31" t="s">
        <v>256</v>
      </c>
      <c r="C5" s="32" t="s">
        <v>257</v>
      </c>
    </row>
    <row r="6" spans="2:3" ht="44.1" customHeight="1" x14ac:dyDescent="0.25">
      <c r="B6" s="33" t="s">
        <v>258</v>
      </c>
      <c r="C6" s="34" t="s">
        <v>259</v>
      </c>
    </row>
    <row r="7" spans="2:3" ht="44.1" customHeight="1" x14ac:dyDescent="0.25">
      <c r="B7" s="31" t="s">
        <v>260</v>
      </c>
      <c r="C7" s="32" t="s">
        <v>261</v>
      </c>
    </row>
    <row r="8" spans="2:3" ht="44.1" customHeight="1" x14ac:dyDescent="0.25">
      <c r="B8" s="33" t="s">
        <v>262</v>
      </c>
      <c r="C8" s="34" t="s">
        <v>263</v>
      </c>
    </row>
    <row r="9" spans="2:3" ht="44.1" customHeight="1" x14ac:dyDescent="0.25">
      <c r="B9" s="31" t="s">
        <v>264</v>
      </c>
      <c r="C9" s="32" t="s">
        <v>265</v>
      </c>
    </row>
    <row r="10" spans="2:3" ht="44.1" customHeight="1" x14ac:dyDescent="0.25">
      <c r="B10" s="33" t="s">
        <v>266</v>
      </c>
      <c r="C10" s="34" t="s">
        <v>267</v>
      </c>
    </row>
    <row r="12" spans="2:3" x14ac:dyDescent="0.25">
      <c r="B12" s="217" t="s">
        <v>268</v>
      </c>
      <c r="C12" s="177"/>
    </row>
    <row r="13" spans="2:3" ht="45.95" customHeight="1" x14ac:dyDescent="0.25">
      <c r="B13" s="31" t="s">
        <v>269</v>
      </c>
      <c r="C13" s="32" t="s">
        <v>270</v>
      </c>
    </row>
    <row r="14" spans="2:3" ht="45.95" customHeight="1" x14ac:dyDescent="0.25">
      <c r="B14" s="33" t="s">
        <v>271</v>
      </c>
      <c r="C14" s="34" t="s">
        <v>272</v>
      </c>
    </row>
    <row r="15" spans="2:3" ht="45.95" customHeight="1" x14ac:dyDescent="0.25">
      <c r="B15" s="31" t="s">
        <v>273</v>
      </c>
      <c r="C15" s="32" t="s">
        <v>274</v>
      </c>
    </row>
    <row r="16" spans="2:3" ht="45.95" customHeight="1" x14ac:dyDescent="0.25">
      <c r="B16" s="33" t="s">
        <v>275</v>
      </c>
      <c r="C16" s="34" t="s">
        <v>276</v>
      </c>
    </row>
    <row r="17" spans="2:3" ht="45.95" customHeight="1" x14ac:dyDescent="0.25">
      <c r="B17" s="31" t="s">
        <v>277</v>
      </c>
      <c r="C17" s="32" t="s">
        <v>278</v>
      </c>
    </row>
    <row r="18" spans="2:3" ht="45.95" customHeight="1" x14ac:dyDescent="0.25">
      <c r="B18" s="33" t="s">
        <v>279</v>
      </c>
      <c r="C18" s="34" t="s">
        <v>280</v>
      </c>
    </row>
    <row r="19" spans="2:3" ht="45.95" customHeight="1" x14ac:dyDescent="0.25">
      <c r="B19" s="31" t="s">
        <v>281</v>
      </c>
      <c r="C19" s="32" t="s">
        <v>282</v>
      </c>
    </row>
    <row r="20" spans="2:3" ht="45.95" customHeight="1" x14ac:dyDescent="0.25">
      <c r="B20" s="33" t="s">
        <v>283</v>
      </c>
      <c r="C20" s="34" t="s">
        <v>284</v>
      </c>
    </row>
    <row r="22" spans="2:3" x14ac:dyDescent="0.25">
      <c r="B22" s="217" t="s">
        <v>285</v>
      </c>
      <c r="C22" s="177"/>
    </row>
    <row r="23" spans="2:3" ht="54" customHeight="1" x14ac:dyDescent="0.25">
      <c r="B23" s="31" t="s">
        <v>286</v>
      </c>
      <c r="C23" s="32" t="s">
        <v>287</v>
      </c>
    </row>
    <row r="24" spans="2:3" ht="54" customHeight="1" x14ac:dyDescent="0.25">
      <c r="B24" s="33" t="s">
        <v>288</v>
      </c>
      <c r="C24" s="34" t="s">
        <v>289</v>
      </c>
    </row>
    <row r="25" spans="2:3" ht="54" customHeight="1" x14ac:dyDescent="0.25">
      <c r="B25" s="31" t="s">
        <v>290</v>
      </c>
      <c r="C25" s="32" t="s">
        <v>291</v>
      </c>
    </row>
    <row r="27" spans="2:3" x14ac:dyDescent="0.25">
      <c r="B27" s="217" t="s">
        <v>292</v>
      </c>
      <c r="C27" s="177"/>
    </row>
    <row r="28" spans="2:3" ht="39.950000000000003" customHeight="1" x14ac:dyDescent="0.25">
      <c r="B28" s="31" t="s">
        <v>293</v>
      </c>
      <c r="C28" s="32" t="s">
        <v>294</v>
      </c>
    </row>
    <row r="29" spans="2:3" ht="39.950000000000003" customHeight="1" x14ac:dyDescent="0.25">
      <c r="B29" s="33" t="s">
        <v>295</v>
      </c>
      <c r="C29" s="34" t="s">
        <v>296</v>
      </c>
    </row>
    <row r="30" spans="2:3" ht="39.950000000000003" customHeight="1" x14ac:dyDescent="0.25">
      <c r="B30" s="31" t="s">
        <v>297</v>
      </c>
      <c r="C30" s="32" t="s">
        <v>298</v>
      </c>
    </row>
    <row r="31" spans="2:3" ht="39.950000000000003" customHeight="1" x14ac:dyDescent="0.25">
      <c r="B31" s="33" t="s">
        <v>299</v>
      </c>
      <c r="C31" s="34" t="s">
        <v>300</v>
      </c>
    </row>
    <row r="32" spans="2:3" ht="39.950000000000003" customHeight="1" x14ac:dyDescent="0.25">
      <c r="B32" s="31" t="s">
        <v>301</v>
      </c>
      <c r="C32" s="32" t="s">
        <v>302</v>
      </c>
    </row>
    <row r="33" spans="2:3" ht="39.950000000000003" customHeight="1" x14ac:dyDescent="0.25">
      <c r="B33" s="33" t="s">
        <v>303</v>
      </c>
      <c r="C33" s="34" t="s">
        <v>304</v>
      </c>
    </row>
    <row r="35" spans="2:3" x14ac:dyDescent="0.25">
      <c r="B35" s="221" t="s">
        <v>305</v>
      </c>
      <c r="C35" s="177"/>
    </row>
    <row r="36" spans="2:3" ht="26.1" customHeight="1" x14ac:dyDescent="0.25">
      <c r="B36" s="218" t="s">
        <v>306</v>
      </c>
      <c r="C36" s="180"/>
    </row>
    <row r="37" spans="2:3" ht="26.1" customHeight="1" x14ac:dyDescent="0.25">
      <c r="B37" s="219" t="s">
        <v>307</v>
      </c>
      <c r="C37" s="180"/>
    </row>
    <row r="38" spans="2:3" ht="26.1" customHeight="1" x14ac:dyDescent="0.25">
      <c r="B38" s="218" t="s">
        <v>308</v>
      </c>
      <c r="C38" s="180"/>
    </row>
    <row r="39" spans="2:3" ht="26.1" customHeight="1" x14ac:dyDescent="0.25">
      <c r="B39" s="219" t="s">
        <v>309</v>
      </c>
      <c r="C39" s="180"/>
    </row>
    <row r="40" spans="2:3" ht="26.1" customHeight="1" x14ac:dyDescent="0.25">
      <c r="B40" s="218" t="s">
        <v>310</v>
      </c>
      <c r="C40" s="180"/>
    </row>
    <row r="41" spans="2:3" ht="26.1" customHeight="1" x14ac:dyDescent="0.25">
      <c r="B41" s="219" t="s">
        <v>311</v>
      </c>
      <c r="C41" s="180"/>
    </row>
    <row r="42" spans="2:3" ht="26.1" customHeight="1" x14ac:dyDescent="0.25">
      <c r="B42" s="218" t="s">
        <v>312</v>
      </c>
      <c r="C42" s="180"/>
    </row>
    <row r="43" spans="2:3" ht="26.1" customHeight="1" x14ac:dyDescent="0.25">
      <c r="B43" s="219" t="s">
        <v>313</v>
      </c>
      <c r="C43" s="180"/>
    </row>
    <row r="45" spans="2:3" ht="30" customHeight="1" x14ac:dyDescent="0.25">
      <c r="B45" s="216" t="s">
        <v>314</v>
      </c>
      <c r="C45" s="177"/>
    </row>
  </sheetData>
  <mergeCells count="16">
    <mergeCell ref="B1:C1"/>
    <mergeCell ref="B35:C35"/>
    <mergeCell ref="B4:C4"/>
    <mergeCell ref="B43:C43"/>
    <mergeCell ref="B12:C12"/>
    <mergeCell ref="B42:C42"/>
    <mergeCell ref="B2:C2"/>
    <mergeCell ref="B45:C45"/>
    <mergeCell ref="B22:C22"/>
    <mergeCell ref="B36:C36"/>
    <mergeCell ref="B40:C40"/>
    <mergeCell ref="B27:C27"/>
    <mergeCell ref="B39:C39"/>
    <mergeCell ref="B38:C38"/>
    <mergeCell ref="B37:C37"/>
    <mergeCell ref="B41:C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5"/>
  <sheetViews>
    <sheetView showGridLines="0" tabSelected="1" workbookViewId="0">
      <pane ySplit="2" topLeftCell="A183" activePane="bottomLeft" state="frozen"/>
      <selection pane="bottomLeft" activeCell="B191" sqref="B191:F191"/>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7.95" customHeight="1" x14ac:dyDescent="0.25">
      <c r="B1" s="209" t="s">
        <v>315</v>
      </c>
      <c r="C1" s="176"/>
      <c r="D1" s="176"/>
      <c r="E1" s="176"/>
      <c r="F1" s="177"/>
    </row>
    <row r="2" spans="2:6" ht="18" customHeight="1" x14ac:dyDescent="0.25">
      <c r="B2" s="192" t="s">
        <v>1</v>
      </c>
      <c r="C2" s="176"/>
      <c r="D2" s="176"/>
      <c r="E2" s="176"/>
      <c r="F2" s="177"/>
    </row>
    <row r="3" spans="2:6" x14ac:dyDescent="0.25">
      <c r="B3" s="175" t="s">
        <v>316</v>
      </c>
      <c r="C3" s="176"/>
      <c r="D3" s="176"/>
      <c r="E3" s="176"/>
      <c r="F3" s="177"/>
    </row>
    <row r="4" spans="2:6" ht="29.1" customHeight="1" x14ac:dyDescent="0.25">
      <c r="B4" s="2" t="s">
        <v>3</v>
      </c>
      <c r="C4" s="3"/>
      <c r="D4" s="4" t="s">
        <v>5</v>
      </c>
      <c r="E4" s="197"/>
      <c r="F4" s="180"/>
    </row>
    <row r="5" spans="2:6" ht="29.1" customHeight="1" x14ac:dyDescent="0.25">
      <c r="B5" s="68" t="s">
        <v>7</v>
      </c>
      <c r="C5" s="69"/>
      <c r="D5" s="92"/>
      <c r="E5" s="93"/>
      <c r="F5" s="94"/>
    </row>
    <row r="6" spans="2:6" ht="29.1" customHeight="1" x14ac:dyDescent="0.25">
      <c r="B6" s="60" t="s">
        <v>11</v>
      </c>
      <c r="C6" s="70"/>
      <c r="D6" s="67" t="s">
        <v>13</v>
      </c>
      <c r="E6" s="186"/>
      <c r="F6" s="180"/>
    </row>
    <row r="7" spans="2:6" ht="29.1" customHeight="1" x14ac:dyDescent="0.25">
      <c r="B7" s="60" t="s">
        <v>15</v>
      </c>
      <c r="C7" s="70"/>
      <c r="D7" s="67" t="s">
        <v>17</v>
      </c>
      <c r="E7" s="186"/>
      <c r="F7" s="180"/>
    </row>
    <row r="8" spans="2:6" ht="29.1" customHeight="1" x14ac:dyDescent="0.25">
      <c r="B8" s="60" t="s">
        <v>19</v>
      </c>
      <c r="C8" s="70"/>
      <c r="D8" s="67" t="s">
        <v>21</v>
      </c>
      <c r="E8" s="186"/>
      <c r="F8" s="180"/>
    </row>
    <row r="9" spans="2:6" ht="29.1" customHeight="1" x14ac:dyDescent="0.25">
      <c r="B9" s="60" t="s">
        <v>23</v>
      </c>
      <c r="C9" s="70"/>
      <c r="D9" s="67" t="s">
        <v>25</v>
      </c>
      <c r="E9" s="186"/>
      <c r="F9" s="180"/>
    </row>
    <row r="10" spans="2:6" ht="29.1" customHeight="1" x14ac:dyDescent="0.25">
      <c r="B10" s="60" t="s">
        <v>9</v>
      </c>
      <c r="C10" s="70"/>
      <c r="D10" s="67" t="s">
        <v>27</v>
      </c>
      <c r="E10" s="186"/>
      <c r="F10" s="180"/>
    </row>
    <row r="11" spans="2:6" ht="29.1" customHeight="1" x14ac:dyDescent="0.25">
      <c r="B11" s="60" t="s">
        <v>29</v>
      </c>
      <c r="C11" s="70"/>
      <c r="D11" s="67" t="s">
        <v>31</v>
      </c>
      <c r="E11" s="186"/>
      <c r="F11" s="180"/>
    </row>
    <row r="12" spans="2:6" ht="29.1" customHeight="1" x14ac:dyDescent="0.25">
      <c r="B12" s="60" t="s">
        <v>317</v>
      </c>
      <c r="C12" s="70"/>
      <c r="D12" s="67" t="s">
        <v>33</v>
      </c>
      <c r="E12" s="186"/>
      <c r="F12" s="180"/>
    </row>
    <row r="13" spans="2:6" ht="57.95" customHeight="1" x14ac:dyDescent="0.25">
      <c r="B13" s="67" t="s">
        <v>35</v>
      </c>
      <c r="C13" s="188"/>
      <c r="D13" s="179"/>
      <c r="E13" s="179"/>
      <c r="F13" s="180"/>
    </row>
    <row r="14" spans="2:6" ht="45.95" customHeight="1" x14ac:dyDescent="0.25">
      <c r="B14" s="67" t="s">
        <v>37</v>
      </c>
      <c r="C14" s="188"/>
      <c r="D14" s="179"/>
      <c r="E14" s="179"/>
      <c r="F14" s="180"/>
    </row>
    <row r="15" spans="2:6" ht="45.95" customHeight="1" x14ac:dyDescent="0.25">
      <c r="B15" s="175" t="s">
        <v>318</v>
      </c>
      <c r="C15" s="176"/>
      <c r="D15" s="176"/>
      <c r="E15" s="176"/>
      <c r="F15" s="177"/>
    </row>
    <row r="16" spans="2:6" ht="57.95" customHeight="1" x14ac:dyDescent="0.25">
      <c r="B16" s="60" t="s">
        <v>40</v>
      </c>
      <c r="C16" s="70"/>
      <c r="D16" s="67" t="s">
        <v>42</v>
      </c>
      <c r="E16" s="186"/>
      <c r="F16" s="180"/>
    </row>
    <row r="17" spans="2:6" ht="29.1" customHeight="1" x14ac:dyDescent="0.25">
      <c r="B17" s="60" t="s">
        <v>44</v>
      </c>
      <c r="C17" s="70"/>
      <c r="D17" s="67" t="s">
        <v>46</v>
      </c>
      <c r="E17" s="186"/>
      <c r="F17" s="180"/>
    </row>
    <row r="18" spans="2:6" ht="29.1" customHeight="1" x14ac:dyDescent="0.25">
      <c r="B18" s="60" t="s">
        <v>48</v>
      </c>
      <c r="C18" s="186"/>
      <c r="D18" s="179"/>
      <c r="E18" s="179"/>
      <c r="F18" s="180"/>
    </row>
    <row r="19" spans="2:6" x14ac:dyDescent="0.25">
      <c r="B19" s="60" t="s">
        <v>50</v>
      </c>
      <c r="C19" s="186"/>
      <c r="D19" s="179"/>
      <c r="E19" s="179"/>
      <c r="F19" s="180"/>
    </row>
    <row r="20" spans="2:6" x14ac:dyDescent="0.25">
      <c r="B20" s="60" t="s">
        <v>52</v>
      </c>
      <c r="C20" s="186"/>
      <c r="D20" s="179"/>
      <c r="E20" s="179"/>
      <c r="F20" s="180"/>
    </row>
    <row r="21" spans="2:6" x14ac:dyDescent="0.25">
      <c r="B21" s="205" t="s">
        <v>54</v>
      </c>
      <c r="C21" s="179"/>
      <c r="D21" s="179"/>
      <c r="E21" s="179"/>
      <c r="F21" s="180"/>
    </row>
    <row r="22" spans="2:6" ht="18" customHeight="1" x14ac:dyDescent="0.25">
      <c r="B22" s="189" t="s">
        <v>319</v>
      </c>
      <c r="C22" s="176"/>
      <c r="D22" s="176"/>
      <c r="E22" s="176"/>
      <c r="F22" s="177"/>
    </row>
    <row r="23" spans="2:6" ht="18" customHeight="1" x14ac:dyDescent="0.25">
      <c r="B23" s="9" t="s">
        <v>185</v>
      </c>
      <c r="C23" s="9" t="s">
        <v>186</v>
      </c>
      <c r="D23" s="9" t="s">
        <v>187</v>
      </c>
      <c r="E23" s="9" t="s">
        <v>188</v>
      </c>
      <c r="F23" s="9" t="s">
        <v>189</v>
      </c>
    </row>
    <row r="24" spans="2:6" ht="27.95" customHeight="1" x14ac:dyDescent="0.25">
      <c r="B24" s="72" t="s">
        <v>190</v>
      </c>
      <c r="C24" s="73" t="str">
        <f>IF(D24="","",0.3/SUMPRODUCT(($D$24:$D$30&lt;&gt;"")*{0.3;0.2;0.15;0.15;0.1;0.05;0.05}))</f>
        <v/>
      </c>
      <c r="D24" s="74" t="str">
        <f>IF(C44="",C43,C44)</f>
        <v/>
      </c>
      <c r="E24" s="75" t="str">
        <f t="shared" ref="E24:E30" si="0">IF(D24="","",(D24/5)*C24)</f>
        <v/>
      </c>
      <c r="F24" s="76" t="str">
        <f t="shared" ref="F24:F30" si="1">IF(D24="","",IF(D24&gt;=4,"Strong",IF(D24=3,"Developing","Needs Focus")))</f>
        <v/>
      </c>
    </row>
    <row r="25" spans="2:6" ht="27.95" customHeight="1" x14ac:dyDescent="0.25">
      <c r="B25" s="77" t="s">
        <v>192</v>
      </c>
      <c r="C25" s="78" t="str">
        <f>IF(D25="","",0.2/SUMPRODUCT(($D$24:$D$30&lt;&gt;"")*{0.3;0.2;0.15;0.15;0.1;0.05;0.05}))</f>
        <v/>
      </c>
      <c r="D25" s="79" t="str">
        <f>IF(C56="",C55,C56)</f>
        <v/>
      </c>
      <c r="E25" s="80" t="str">
        <f t="shared" si="0"/>
        <v/>
      </c>
      <c r="F25" s="81" t="str">
        <f t="shared" si="1"/>
        <v/>
      </c>
    </row>
    <row r="26" spans="2:6" ht="27.95" customHeight="1" x14ac:dyDescent="0.25">
      <c r="B26" s="72" t="s">
        <v>194</v>
      </c>
      <c r="C26" s="73" t="str">
        <f>IF(D26="","",0.15/SUMPRODUCT(($D$24:$D$30&lt;&gt;"")*{0.3;0.2;0.15;0.15;0.1;0.05;0.05}))</f>
        <v/>
      </c>
      <c r="D26" s="74" t="str">
        <f>IF(C70="",C69,C70)</f>
        <v/>
      </c>
      <c r="E26" s="75" t="str">
        <f t="shared" si="0"/>
        <v/>
      </c>
      <c r="F26" s="76" t="str">
        <f t="shared" si="1"/>
        <v/>
      </c>
    </row>
    <row r="27" spans="2:6" ht="27.95" customHeight="1" x14ac:dyDescent="0.25">
      <c r="B27" s="77" t="s">
        <v>196</v>
      </c>
      <c r="C27" s="78" t="str">
        <f>IF(D27="","",0.15/SUMPRODUCT(($D$24:$D$30&lt;&gt;"")*{0.3;0.2;0.15;0.15;0.1;0.05;0.05}))</f>
        <v/>
      </c>
      <c r="D27" s="79" t="str">
        <f>IF(C83="",C82,C83)</f>
        <v/>
      </c>
      <c r="E27" s="80" t="str">
        <f t="shared" si="0"/>
        <v/>
      </c>
      <c r="F27" s="81" t="str">
        <f t="shared" si="1"/>
        <v/>
      </c>
    </row>
    <row r="28" spans="2:6" ht="27.95" customHeight="1" x14ac:dyDescent="0.25">
      <c r="B28" s="72" t="s">
        <v>197</v>
      </c>
      <c r="C28" s="73" t="str">
        <f>IF(D28="","",0.1/SUMPRODUCT(($D$24:$D$30&lt;&gt;"")*{0.3;0.2;0.15;0.15;0.1;0.05;0.05}))</f>
        <v/>
      </c>
      <c r="D28" s="74" t="str">
        <f>IF(C94="",C93,C94)</f>
        <v/>
      </c>
      <c r="E28" s="75" t="str">
        <f t="shared" si="0"/>
        <v/>
      </c>
      <c r="F28" s="76" t="str">
        <f t="shared" si="1"/>
        <v/>
      </c>
    </row>
    <row r="29" spans="2:6" ht="27.95" customHeight="1" x14ac:dyDescent="0.25">
      <c r="B29" s="77" t="s">
        <v>199</v>
      </c>
      <c r="C29" s="78" t="str">
        <f>IF(D29="","",0.05/SUMPRODUCT(($D$24:$D$30&lt;&gt;"")*{0.3;0.2;0.15;0.15;0.1;0.05;0.05}))</f>
        <v/>
      </c>
      <c r="D29" s="79" t="str">
        <f>IF(C113="",C112,C113)</f>
        <v/>
      </c>
      <c r="E29" s="80" t="str">
        <f t="shared" si="0"/>
        <v/>
      </c>
      <c r="F29" s="81" t="str">
        <f t="shared" si="1"/>
        <v/>
      </c>
    </row>
    <row r="30" spans="2:6" ht="27.95" customHeight="1" x14ac:dyDescent="0.25">
      <c r="B30" s="72" t="s">
        <v>201</v>
      </c>
      <c r="C30" s="73" t="str">
        <f>IF(D30="","",0.05/SUMPRODUCT(($D$24:$D$30&lt;&gt;"")*{0.3;0.2;0.15;0.15;0.1;0.05;0.05}))</f>
        <v/>
      </c>
      <c r="D30" s="74" t="str">
        <f>IF(C126="",C125,C126)</f>
        <v/>
      </c>
      <c r="E30" s="75" t="str">
        <f t="shared" si="0"/>
        <v/>
      </c>
      <c r="F30" s="76" t="str">
        <f t="shared" si="1"/>
        <v/>
      </c>
    </row>
    <row r="31" spans="2:6" ht="24" customHeight="1" x14ac:dyDescent="0.25">
      <c r="B31" s="71" t="s">
        <v>202</v>
      </c>
      <c r="C31" s="82">
        <f>SUM(C24:C30)</f>
        <v>0</v>
      </c>
      <c r="D31" s="83"/>
      <c r="E31" s="84" t="str">
        <f>IF(AND(COUNT(D24:D30)=0,NOT(OR(C152="No",C153="No",C154="No",COUNTIF(C156:C166,"Yes")&gt;0))),"",IF(OR(C152="No",C153="No",C154="No",COUNTIF(C156:C166,"Yes")&gt;0),0,SUM(E24:E30)))</f>
        <v/>
      </c>
      <c r="F31" s="85" t="str">
        <f>IF(E31="","",IF(OR(C152="No",C153="No",C154="No",COUNTIF(C156:C166,"Yes")&gt;0),"AUTO-ZERO (0%)",IF(E31&gt;=0.85,"MEETS / EXCEEDS",IF(E31&gt;=0.7,"DEVELOPING","NEEDS IMPROVEMENT"))))</f>
        <v/>
      </c>
    </row>
    <row r="32" spans="2:6" ht="24" customHeight="1" x14ac:dyDescent="0.25">
      <c r="B32" s="189" t="s">
        <v>320</v>
      </c>
      <c r="C32" s="176"/>
      <c r="D32" s="176"/>
      <c r="E32" s="176"/>
      <c r="F32" s="177"/>
    </row>
    <row r="33" spans="2:8" ht="18" customHeight="1" x14ac:dyDescent="0.25">
      <c r="B33" s="175" t="s">
        <v>57</v>
      </c>
      <c r="C33" s="176"/>
      <c r="D33" s="176"/>
      <c r="E33" s="177"/>
      <c r="F33" s="5" t="s">
        <v>58</v>
      </c>
    </row>
    <row r="34" spans="2:8" ht="27.95" customHeight="1" x14ac:dyDescent="0.25">
      <c r="B34" s="178" t="s">
        <v>59</v>
      </c>
      <c r="C34" s="179"/>
      <c r="D34" s="179"/>
      <c r="E34" s="179"/>
      <c r="F34" s="180"/>
    </row>
    <row r="35" spans="2:8" ht="18" customHeight="1" x14ac:dyDescent="0.25">
      <c r="B35" s="60" t="s">
        <v>60</v>
      </c>
      <c r="C35" s="86" t="s">
        <v>61</v>
      </c>
      <c r="D35" s="205" t="s">
        <v>62</v>
      </c>
      <c r="E35" s="179"/>
      <c r="F35" s="180"/>
      <c r="H35" s="137" t="s">
        <v>321</v>
      </c>
    </row>
    <row r="36" spans="2:8" ht="27.95" customHeight="1" x14ac:dyDescent="0.25">
      <c r="B36" s="61" t="s">
        <v>63</v>
      </c>
      <c r="C36" s="87"/>
      <c r="D36" s="185"/>
      <c r="E36" s="179"/>
      <c r="F36" s="180"/>
      <c r="H36" s="144">
        <v>3</v>
      </c>
    </row>
    <row r="37" spans="2:8" ht="27.95" customHeight="1" x14ac:dyDescent="0.25">
      <c r="B37" s="88" t="s">
        <v>66</v>
      </c>
      <c r="C37" s="87"/>
      <c r="D37" s="184"/>
      <c r="E37" s="179"/>
      <c r="F37" s="180"/>
      <c r="H37" s="144">
        <v>2</v>
      </c>
    </row>
    <row r="38" spans="2:8" ht="27.95" customHeight="1" x14ac:dyDescent="0.25">
      <c r="B38" s="61" t="s">
        <v>69</v>
      </c>
      <c r="C38" s="87"/>
      <c r="D38" s="185"/>
      <c r="E38" s="179"/>
      <c r="F38" s="180"/>
      <c r="H38" s="144">
        <v>1</v>
      </c>
    </row>
    <row r="39" spans="2:8" ht="27.95" customHeight="1" x14ac:dyDescent="0.25">
      <c r="B39" s="88" t="s">
        <v>71</v>
      </c>
      <c r="C39" s="87"/>
      <c r="D39" s="184"/>
      <c r="E39" s="179"/>
      <c r="F39" s="180"/>
      <c r="H39" s="144">
        <v>2</v>
      </c>
    </row>
    <row r="40" spans="2:8" ht="27.95" customHeight="1" x14ac:dyDescent="0.25">
      <c r="B40" s="172" t="s">
        <v>912</v>
      </c>
      <c r="C40" s="173"/>
      <c r="D40" s="174"/>
      <c r="E40" s="167"/>
      <c r="F40" s="168"/>
      <c r="H40" s="144"/>
    </row>
    <row r="41" spans="2:8" ht="27.95" customHeight="1" x14ac:dyDescent="0.25">
      <c r="B41" s="172" t="s">
        <v>913</v>
      </c>
      <c r="C41" s="173"/>
      <c r="D41" s="174"/>
      <c r="E41" s="167"/>
      <c r="F41" s="168"/>
      <c r="H41" s="144"/>
    </row>
    <row r="42" spans="2:8" ht="27.95" customHeight="1" x14ac:dyDescent="0.25">
      <c r="B42" s="191" t="s">
        <v>73</v>
      </c>
      <c r="C42" s="179"/>
      <c r="D42" s="179"/>
      <c r="E42" s="179"/>
      <c r="F42" s="180"/>
    </row>
    <row r="43" spans="2:8" ht="27.95" customHeight="1" x14ac:dyDescent="0.25">
      <c r="B43" s="89" t="s">
        <v>74</v>
      </c>
      <c r="C43" s="90" t="str">
        <f>IF(SUMPRODUCT(((C36:C39="Met")+(C36:C39="Partial")+(C36:C39="Missed"))*H36:H39)=0,"",ROUND((5*SUMPRODUCT((C36:C39="Met")*H36:H39)+2.5*SUMPRODUCT((C36:C39="Partial")*H36:H39))/SUMPRODUCT(((C36:C39="Met")+(C36:C39="Partial")+(C36:C39="Missed"))*H36:H39),0))</f>
        <v/>
      </c>
      <c r="D43" s="183"/>
      <c r="E43" s="179"/>
      <c r="F43" s="180"/>
    </row>
    <row r="44" spans="2:8" ht="24" customHeight="1" x14ac:dyDescent="0.25">
      <c r="B44" s="62" t="s">
        <v>322</v>
      </c>
      <c r="C44" s="91"/>
      <c r="D44" s="199"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179"/>
      <c r="F44" s="180"/>
    </row>
    <row r="45" spans="2:8" ht="36" customHeight="1" x14ac:dyDescent="0.25">
      <c r="B45" s="139" t="s">
        <v>76</v>
      </c>
      <c r="C45" s="188"/>
      <c r="D45" s="179"/>
      <c r="E45" s="179"/>
      <c r="F45" s="180"/>
    </row>
    <row r="46" spans="2:8" ht="18" customHeight="1" x14ac:dyDescent="0.25">
      <c r="B46" s="175" t="s">
        <v>80</v>
      </c>
      <c r="C46" s="176"/>
      <c r="D46" s="176"/>
      <c r="E46" s="177"/>
      <c r="F46" s="5" t="s">
        <v>81</v>
      </c>
    </row>
    <row r="47" spans="2:8" ht="27.95" customHeight="1" x14ac:dyDescent="0.25">
      <c r="B47" s="178" t="s">
        <v>82</v>
      </c>
      <c r="C47" s="179"/>
      <c r="D47" s="179"/>
      <c r="E47" s="179"/>
      <c r="F47" s="180"/>
    </row>
    <row r="48" spans="2:8" ht="36" customHeight="1" x14ac:dyDescent="0.25">
      <c r="B48" s="60" t="s">
        <v>60</v>
      </c>
      <c r="C48" s="86" t="s">
        <v>61</v>
      </c>
      <c r="D48" s="205" t="s">
        <v>62</v>
      </c>
      <c r="E48" s="179"/>
      <c r="F48" s="180"/>
      <c r="H48" s="137" t="s">
        <v>321</v>
      </c>
    </row>
    <row r="49" spans="2:8" ht="27.95" customHeight="1" x14ac:dyDescent="0.25">
      <c r="B49" s="61" t="s">
        <v>83</v>
      </c>
      <c r="C49" s="87"/>
      <c r="D49" s="185"/>
      <c r="E49" s="179"/>
      <c r="F49" s="180"/>
      <c r="H49" s="144">
        <v>3</v>
      </c>
    </row>
    <row r="50" spans="2:8" ht="27.95" customHeight="1" x14ac:dyDescent="0.25">
      <c r="B50" s="88" t="s">
        <v>85</v>
      </c>
      <c r="C50" s="87"/>
      <c r="D50" s="184"/>
      <c r="E50" s="179"/>
      <c r="F50" s="180"/>
      <c r="H50" s="144">
        <v>3</v>
      </c>
    </row>
    <row r="51" spans="2:8" ht="27.95" customHeight="1" x14ac:dyDescent="0.25">
      <c r="B51" s="61" t="s">
        <v>87</v>
      </c>
      <c r="C51" s="87"/>
      <c r="D51" s="185"/>
      <c r="E51" s="179"/>
      <c r="F51" s="180"/>
      <c r="H51" s="144">
        <v>1</v>
      </c>
    </row>
    <row r="52" spans="2:8" ht="27.95" customHeight="1" x14ac:dyDescent="0.25">
      <c r="B52" s="61" t="s">
        <v>89</v>
      </c>
      <c r="C52" s="87"/>
      <c r="D52" s="61"/>
      <c r="H52" s="144">
        <v>1</v>
      </c>
    </row>
    <row r="53" spans="2:8" ht="27.95" customHeight="1" x14ac:dyDescent="0.25">
      <c r="B53" s="61" t="s">
        <v>91</v>
      </c>
      <c r="C53" s="87"/>
      <c r="D53" s="185"/>
      <c r="E53" s="179"/>
      <c r="F53" s="180"/>
      <c r="H53" s="144">
        <v>2</v>
      </c>
    </row>
    <row r="54" spans="2:8" ht="27.95" customHeight="1" x14ac:dyDescent="0.25">
      <c r="B54" s="191" t="s">
        <v>93</v>
      </c>
      <c r="C54" s="179"/>
      <c r="D54" s="179"/>
      <c r="E54" s="179"/>
      <c r="F54" s="180"/>
    </row>
    <row r="55" spans="2:8" ht="27.95" customHeight="1" x14ac:dyDescent="0.25">
      <c r="B55" s="89" t="s">
        <v>74</v>
      </c>
      <c r="C55" s="90" t="str">
        <f>IF(SUMPRODUCT(((C49:C53="Met")+(C49:C53="Partial")+(C49:C53="Missed"))*H49:H53)=0,"",ROUND((5*SUMPRODUCT((C49:C53="Met")*H49:H53)+2.5*SUMPRODUCT((C49:C53="Partial")*H49:H53))/SUMPRODUCT(((C49:C53="Met")+(C49:C53="Partial")+(C49:C53="Missed"))*H49:H53),0))</f>
        <v/>
      </c>
      <c r="D55" s="183"/>
      <c r="E55" s="179"/>
      <c r="F55" s="180"/>
    </row>
    <row r="56" spans="2:8" ht="24" customHeight="1" x14ac:dyDescent="0.25">
      <c r="B56" s="62" t="s">
        <v>322</v>
      </c>
      <c r="C56" s="91"/>
      <c r="D56" s="199" t="str">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6" s="179"/>
      <c r="F56" s="180"/>
    </row>
    <row r="57" spans="2:8" ht="36" customHeight="1" x14ac:dyDescent="0.25">
      <c r="B57" s="139" t="s">
        <v>76</v>
      </c>
      <c r="C57" s="188"/>
      <c r="D57" s="179"/>
      <c r="E57" s="179"/>
      <c r="F57" s="180"/>
    </row>
    <row r="58" spans="2:8" ht="18" customHeight="1" x14ac:dyDescent="0.25">
      <c r="B58" s="175" t="s">
        <v>95</v>
      </c>
      <c r="C58" s="176"/>
      <c r="D58" s="176"/>
      <c r="E58" s="177"/>
      <c r="F58" s="5" t="s">
        <v>96</v>
      </c>
    </row>
    <row r="59" spans="2:8" ht="27.95" customHeight="1" x14ac:dyDescent="0.25">
      <c r="B59" s="178" t="s">
        <v>97</v>
      </c>
      <c r="C59" s="179"/>
      <c r="D59" s="179"/>
      <c r="E59" s="179"/>
      <c r="F59" s="180"/>
    </row>
    <row r="60" spans="2:8" ht="24" customHeight="1" x14ac:dyDescent="0.25">
      <c r="B60" s="60" t="s">
        <v>60</v>
      </c>
      <c r="C60" s="86" t="s">
        <v>61</v>
      </c>
      <c r="D60" s="205" t="s">
        <v>62</v>
      </c>
      <c r="E60" s="179"/>
      <c r="F60" s="180"/>
      <c r="H60" s="137" t="s">
        <v>321</v>
      </c>
    </row>
    <row r="61" spans="2:8" ht="27.95" customHeight="1" x14ac:dyDescent="0.25">
      <c r="B61" s="61" t="s">
        <v>98</v>
      </c>
      <c r="C61" s="87"/>
      <c r="D61" s="185"/>
      <c r="E61" s="179"/>
      <c r="F61" s="180"/>
      <c r="H61" s="144">
        <v>1</v>
      </c>
    </row>
    <row r="62" spans="2:8" ht="27.95" customHeight="1" x14ac:dyDescent="0.25">
      <c r="B62" s="88" t="s">
        <v>100</v>
      </c>
      <c r="C62" s="87"/>
      <c r="D62" s="184"/>
      <c r="E62" s="179"/>
      <c r="F62" s="180"/>
      <c r="H62" s="144">
        <v>3</v>
      </c>
    </row>
    <row r="63" spans="2:8" ht="27.95" customHeight="1" x14ac:dyDescent="0.25">
      <c r="B63" s="61" t="s">
        <v>102</v>
      </c>
      <c r="C63" s="87"/>
      <c r="D63" s="185"/>
      <c r="E63" s="179"/>
      <c r="F63" s="180"/>
      <c r="H63" s="144">
        <v>2</v>
      </c>
    </row>
    <row r="64" spans="2:8" ht="27.95" customHeight="1" x14ac:dyDescent="0.25">
      <c r="B64" s="88" t="s">
        <v>104</v>
      </c>
      <c r="C64" s="87"/>
      <c r="D64" s="184"/>
      <c r="E64" s="179"/>
      <c r="F64" s="180"/>
      <c r="H64" s="144">
        <v>3</v>
      </c>
    </row>
    <row r="65" spans="2:8" ht="27.95" customHeight="1" x14ac:dyDescent="0.25">
      <c r="B65" s="88" t="s">
        <v>106</v>
      </c>
      <c r="C65" s="87"/>
      <c r="D65" s="184"/>
      <c r="E65" s="179"/>
      <c r="F65" s="180"/>
      <c r="H65" s="144">
        <v>1</v>
      </c>
    </row>
    <row r="66" spans="2:8" ht="27.95" customHeight="1" x14ac:dyDescent="0.25">
      <c r="B66" s="61" t="s">
        <v>108</v>
      </c>
      <c r="C66" s="87"/>
      <c r="D66" s="185"/>
      <c r="E66" s="179"/>
      <c r="F66" s="180"/>
      <c r="H66" s="144">
        <v>1</v>
      </c>
    </row>
    <row r="67" spans="2:8" ht="27.95" customHeight="1" x14ac:dyDescent="0.25">
      <c r="B67" s="88" t="s">
        <v>110</v>
      </c>
      <c r="C67" s="87"/>
      <c r="D67" s="184"/>
      <c r="E67" s="179"/>
      <c r="F67" s="180"/>
      <c r="H67" s="144">
        <v>1</v>
      </c>
    </row>
    <row r="68" spans="2:8" ht="27.95" customHeight="1" x14ac:dyDescent="0.25">
      <c r="B68" s="191" t="s">
        <v>113</v>
      </c>
      <c r="C68" s="179"/>
      <c r="D68" s="179"/>
      <c r="E68" s="179"/>
      <c r="F68" s="180"/>
    </row>
    <row r="69" spans="2:8" ht="27.95" customHeight="1" x14ac:dyDescent="0.25">
      <c r="B69" s="89" t="s">
        <v>74</v>
      </c>
      <c r="C69" s="90" t="str">
        <f>IF(SUMPRODUCT(((C61:C67="Met")+(C61:C67="Partial")+(C61:C67="Missed"))*H61:H67)=0,"",ROUND((5*SUMPRODUCT((C61:C67="Met")*H61:H67)+2.5*SUMPRODUCT((C61:C67="Partial")*H61:H67))/SUMPRODUCT(((C61:C67="Met")+(C61:C67="Partial")+(C61:C67="Missed"))*H61:H67),0))</f>
        <v/>
      </c>
      <c r="D69" s="183"/>
      <c r="E69" s="179"/>
      <c r="F69" s="180"/>
    </row>
    <row r="70" spans="2:8" ht="24" customHeight="1" x14ac:dyDescent="0.25">
      <c r="B70" s="62" t="s">
        <v>322</v>
      </c>
      <c r="C70" s="91"/>
      <c r="D70" s="199"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179"/>
      <c r="F70" s="180"/>
    </row>
    <row r="71" spans="2:8" ht="36" customHeight="1" x14ac:dyDescent="0.25">
      <c r="B71" s="139" t="s">
        <v>76</v>
      </c>
      <c r="C71" s="188"/>
      <c r="D71" s="179"/>
      <c r="E71" s="179"/>
      <c r="F71" s="180"/>
    </row>
    <row r="72" spans="2:8" ht="18" customHeight="1" x14ac:dyDescent="0.25">
      <c r="B72" s="175" t="s">
        <v>116</v>
      </c>
      <c r="C72" s="176"/>
      <c r="D72" s="176"/>
      <c r="E72" s="177"/>
      <c r="F72" s="5" t="s">
        <v>96</v>
      </c>
    </row>
    <row r="73" spans="2:8" ht="27.95" customHeight="1" x14ac:dyDescent="0.25">
      <c r="B73" s="178" t="s">
        <v>117</v>
      </c>
      <c r="C73" s="179"/>
      <c r="D73" s="179"/>
      <c r="E73" s="179"/>
      <c r="F73" s="180"/>
    </row>
    <row r="74" spans="2:8" ht="24" customHeight="1" x14ac:dyDescent="0.25">
      <c r="B74" s="60" t="s">
        <v>60</v>
      </c>
      <c r="C74" s="86" t="s">
        <v>61</v>
      </c>
      <c r="D74" s="205" t="s">
        <v>62</v>
      </c>
      <c r="E74" s="179"/>
      <c r="F74" s="180"/>
      <c r="H74" s="137" t="s">
        <v>321</v>
      </c>
    </row>
    <row r="75" spans="2:8" ht="27.95" customHeight="1" x14ac:dyDescent="0.25">
      <c r="B75" s="61" t="s">
        <v>118</v>
      </c>
      <c r="C75" s="87"/>
      <c r="D75" s="185"/>
      <c r="E75" s="179"/>
      <c r="F75" s="180"/>
      <c r="H75" s="144">
        <v>3</v>
      </c>
    </row>
    <row r="76" spans="2:8" ht="27.95" customHeight="1" x14ac:dyDescent="0.25">
      <c r="B76" s="61" t="s">
        <v>120</v>
      </c>
      <c r="C76" s="87"/>
      <c r="D76" s="185"/>
      <c r="E76" s="179"/>
      <c r="F76" s="180"/>
      <c r="H76" s="144">
        <v>2</v>
      </c>
    </row>
    <row r="77" spans="2:8" ht="27.95" customHeight="1" x14ac:dyDescent="0.25">
      <c r="B77" s="100" t="s">
        <v>122</v>
      </c>
      <c r="C77" s="129"/>
      <c r="D77" s="184"/>
      <c r="E77" s="179"/>
      <c r="F77" s="180"/>
      <c r="H77" s="144">
        <v>2</v>
      </c>
    </row>
    <row r="78" spans="2:8" ht="27.95" customHeight="1" x14ac:dyDescent="0.25">
      <c r="B78" s="130" t="s">
        <v>124</v>
      </c>
      <c r="C78" s="129"/>
      <c r="D78" s="193"/>
      <c r="E78" s="179"/>
      <c r="F78" s="180"/>
      <c r="H78" s="144">
        <v>1</v>
      </c>
    </row>
    <row r="79" spans="2:8" ht="27.95" customHeight="1" x14ac:dyDescent="0.25">
      <c r="B79" s="169" t="s">
        <v>914</v>
      </c>
      <c r="C79" s="170"/>
      <c r="D79" s="171"/>
      <c r="E79" s="167"/>
      <c r="F79" s="168"/>
      <c r="H79" s="144"/>
    </row>
    <row r="80" spans="2:8" ht="27.95" customHeight="1" x14ac:dyDescent="0.25">
      <c r="B80" s="169" t="s">
        <v>915</v>
      </c>
      <c r="C80" s="170"/>
      <c r="D80" s="171"/>
      <c r="E80" s="167"/>
      <c r="F80" s="168"/>
      <c r="H80" s="144"/>
    </row>
    <row r="81" spans="2:8" ht="27.95" customHeight="1" x14ac:dyDescent="0.25">
      <c r="B81" s="196" t="s">
        <v>126</v>
      </c>
      <c r="C81" s="179"/>
      <c r="D81" s="179"/>
      <c r="E81" s="179"/>
      <c r="F81" s="180"/>
    </row>
    <row r="82" spans="2:8" ht="27.95" customHeight="1" x14ac:dyDescent="0.25">
      <c r="B82" s="131" t="s">
        <v>74</v>
      </c>
      <c r="C82" s="132" t="str">
        <f>IF(SUMPRODUCT(((C75:C78="Met")+(C75:C78="Partial")+(C75:C78="Missed"))*H75:H78)=0,"",ROUND((5*SUMPRODUCT((C75:C78="Met")*H75:H78)+2.5*SUMPRODUCT((C75:C78="Partial")*H75:H78))/SUMPRODUCT(((C75:C78="Met")+(C75:C78="Partial")+(C75:C78="Missed"))*H75:H78),0))</f>
        <v/>
      </c>
      <c r="D82" s="183"/>
      <c r="E82" s="179"/>
      <c r="F82" s="180"/>
    </row>
    <row r="83" spans="2:8" ht="24" customHeight="1" x14ac:dyDescent="0.25">
      <c r="B83" s="133" t="s">
        <v>322</v>
      </c>
      <c r="C83" s="134"/>
      <c r="D83" s="199" t="str">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3" s="179"/>
      <c r="F83" s="180"/>
    </row>
    <row r="84" spans="2:8" ht="36" customHeight="1" x14ac:dyDescent="0.25">
      <c r="B84" s="140" t="s">
        <v>76</v>
      </c>
      <c r="C84" s="190"/>
      <c r="D84" s="179"/>
      <c r="E84" s="179"/>
      <c r="F84" s="180"/>
    </row>
    <row r="85" spans="2:8" ht="18" customHeight="1" x14ac:dyDescent="0.25">
      <c r="B85" s="175" t="s">
        <v>129</v>
      </c>
      <c r="C85" s="176"/>
      <c r="D85" s="176"/>
      <c r="E85" s="177"/>
      <c r="F85" s="5" t="s">
        <v>130</v>
      </c>
    </row>
    <row r="86" spans="2:8" ht="27.95" customHeight="1" x14ac:dyDescent="0.25">
      <c r="B86" s="178" t="s">
        <v>131</v>
      </c>
      <c r="C86" s="179"/>
      <c r="D86" s="179"/>
      <c r="E86" s="179"/>
      <c r="F86" s="180"/>
    </row>
    <row r="87" spans="2:8" ht="18" customHeight="1" x14ac:dyDescent="0.25">
      <c r="B87" s="136" t="s">
        <v>60</v>
      </c>
      <c r="C87" s="137" t="s">
        <v>61</v>
      </c>
      <c r="D87" s="187" t="s">
        <v>62</v>
      </c>
      <c r="E87" s="179"/>
      <c r="F87" s="180"/>
      <c r="H87" s="137" t="s">
        <v>321</v>
      </c>
    </row>
    <row r="88" spans="2:8" ht="27.95" customHeight="1" x14ac:dyDescent="0.25">
      <c r="B88" s="130" t="s">
        <v>132</v>
      </c>
      <c r="C88" s="129"/>
      <c r="D88" s="193"/>
      <c r="E88" s="179"/>
      <c r="F88" s="180"/>
      <c r="H88" s="144">
        <v>3</v>
      </c>
    </row>
    <row r="89" spans="2:8" ht="27.95" customHeight="1" x14ac:dyDescent="0.25">
      <c r="B89" s="100" t="s">
        <v>916</v>
      </c>
      <c r="C89" s="129"/>
      <c r="D89" s="184"/>
      <c r="E89" s="179"/>
      <c r="F89" s="180"/>
      <c r="H89" s="144">
        <v>2</v>
      </c>
    </row>
    <row r="90" spans="2:8" ht="27.95" customHeight="1" x14ac:dyDescent="0.25">
      <c r="B90" s="130" t="s">
        <v>136</v>
      </c>
      <c r="C90" s="129"/>
      <c r="D90" s="193"/>
      <c r="E90" s="179"/>
      <c r="F90" s="180"/>
      <c r="H90" s="144">
        <v>3</v>
      </c>
    </row>
    <row r="91" spans="2:8" ht="27.95" customHeight="1" x14ac:dyDescent="0.25">
      <c r="B91" s="130" t="s">
        <v>138</v>
      </c>
      <c r="C91" s="129"/>
      <c r="D91" s="193"/>
      <c r="E91" s="179"/>
      <c r="F91" s="180"/>
      <c r="H91" s="144">
        <v>1</v>
      </c>
    </row>
    <row r="92" spans="2:8" ht="27.95" customHeight="1" x14ac:dyDescent="0.25">
      <c r="B92" s="196" t="s">
        <v>140</v>
      </c>
      <c r="C92" s="179"/>
      <c r="D92" s="179"/>
      <c r="E92" s="179"/>
      <c r="F92" s="180"/>
    </row>
    <row r="93" spans="2:8" ht="27.95" customHeight="1" x14ac:dyDescent="0.25">
      <c r="B93" s="131" t="s">
        <v>74</v>
      </c>
      <c r="C93" s="132" t="str">
        <f>IF(SUMPRODUCT(((C88:C91="Met")+(C88:C91="Partial")+(C88:C91="Missed"))*H88:H91)=0,"",ROUND((5*SUMPRODUCT((C88:C91="Met")*H88:H91)+2.5*SUMPRODUCT((C88:C91="Partial")*H88:H91))/SUMPRODUCT(((C88:C91="Met")+(C88:C91="Partial")+(C88:C91="Missed"))*H88:H91),0))</f>
        <v/>
      </c>
      <c r="D93" s="183"/>
      <c r="E93" s="179"/>
      <c r="F93" s="180"/>
    </row>
    <row r="94" spans="2:8" ht="24" customHeight="1" x14ac:dyDescent="0.25">
      <c r="B94" s="133" t="s">
        <v>322</v>
      </c>
      <c r="C94" s="134"/>
      <c r="D94" s="199" t="str">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4" s="179"/>
      <c r="F94" s="180"/>
    </row>
    <row r="95" spans="2:8" ht="36" customHeight="1" x14ac:dyDescent="0.25">
      <c r="B95" s="140" t="s">
        <v>76</v>
      </c>
      <c r="C95" s="190"/>
      <c r="D95" s="179"/>
      <c r="E95" s="179"/>
      <c r="F95" s="180"/>
    </row>
    <row r="96" spans="2:8" ht="20.100000000000001" customHeight="1" x14ac:dyDescent="0.25">
      <c r="B96" s="175" t="s">
        <v>143</v>
      </c>
      <c r="C96" s="176"/>
      <c r="D96" s="176"/>
      <c r="E96" s="176"/>
      <c r="F96" s="177"/>
    </row>
    <row r="97" spans="2:8" ht="20.100000000000001" customHeight="1" x14ac:dyDescent="0.25">
      <c r="B97" s="210" t="s">
        <v>144</v>
      </c>
      <c r="C97" s="211"/>
      <c r="D97" s="101"/>
      <c r="F97" s="5"/>
    </row>
    <row r="98" spans="2:8" ht="45" customHeight="1" x14ac:dyDescent="0.25">
      <c r="B98" s="212"/>
      <c r="C98" s="213"/>
      <c r="D98" s="102"/>
      <c r="F98" s="5"/>
    </row>
    <row r="99" spans="2:8" ht="18" customHeight="1" x14ac:dyDescent="0.25">
      <c r="B99" s="175" t="s">
        <v>146</v>
      </c>
      <c r="C99" s="176"/>
      <c r="D99" s="176"/>
      <c r="E99" s="176"/>
      <c r="F99" s="177"/>
    </row>
    <row r="100" spans="2:8" ht="27.95" customHeight="1" x14ac:dyDescent="0.25">
      <c r="B100" s="133" t="s">
        <v>147</v>
      </c>
      <c r="C100" s="198"/>
      <c r="D100" s="179"/>
      <c r="E100" s="179"/>
      <c r="F100" s="180"/>
    </row>
    <row r="101" spans="2:8" ht="27.95" customHeight="1" x14ac:dyDescent="0.25">
      <c r="B101" s="133" t="s">
        <v>149</v>
      </c>
      <c r="C101" s="198"/>
      <c r="D101" s="179"/>
      <c r="E101" s="179"/>
      <c r="F101" s="180"/>
    </row>
    <row r="102" spans="2:8" ht="27.95" customHeight="1" x14ac:dyDescent="0.25">
      <c r="B102" s="133" t="s">
        <v>150</v>
      </c>
      <c r="C102" s="198"/>
      <c r="D102" s="179"/>
      <c r="E102" s="179"/>
      <c r="F102" s="180"/>
    </row>
    <row r="103" spans="2:8" ht="18" customHeight="1" x14ac:dyDescent="0.25">
      <c r="B103" s="175" t="s">
        <v>151</v>
      </c>
      <c r="C103" s="176"/>
      <c r="D103" s="176"/>
      <c r="E103" s="177"/>
      <c r="F103" s="5" t="s">
        <v>152</v>
      </c>
    </row>
    <row r="104" spans="2:8" ht="27.95" customHeight="1" x14ac:dyDescent="0.25">
      <c r="B104" s="178" t="s">
        <v>153</v>
      </c>
      <c r="C104" s="179"/>
      <c r="D104" s="179"/>
      <c r="E104" s="179"/>
      <c r="F104" s="180"/>
    </row>
    <row r="105" spans="2:8" ht="27.95" customHeight="1" x14ac:dyDescent="0.25">
      <c r="B105" s="136" t="s">
        <v>60</v>
      </c>
      <c r="C105" s="137" t="s">
        <v>61</v>
      </c>
      <c r="D105" s="187" t="s">
        <v>62</v>
      </c>
      <c r="E105" s="179"/>
      <c r="F105" s="180"/>
      <c r="H105" s="137" t="s">
        <v>321</v>
      </c>
    </row>
    <row r="106" spans="2:8" ht="27.95" customHeight="1" x14ac:dyDescent="0.25">
      <c r="B106" s="130" t="s">
        <v>154</v>
      </c>
      <c r="C106" s="129"/>
      <c r="D106" s="193"/>
      <c r="E106" s="179"/>
      <c r="F106" s="180"/>
      <c r="H106" s="144">
        <v>2</v>
      </c>
    </row>
    <row r="107" spans="2:8" ht="27.95" customHeight="1" x14ac:dyDescent="0.25">
      <c r="B107" s="100" t="s">
        <v>156</v>
      </c>
      <c r="C107" s="129"/>
      <c r="D107" s="184"/>
      <c r="E107" s="179"/>
      <c r="F107" s="180"/>
      <c r="H107" s="144">
        <v>3</v>
      </c>
    </row>
    <row r="108" spans="2:8" ht="27.95" customHeight="1" x14ac:dyDescent="0.25">
      <c r="B108" s="130" t="s">
        <v>158</v>
      </c>
      <c r="C108" s="129"/>
      <c r="D108" s="193"/>
      <c r="E108" s="179"/>
      <c r="F108" s="180"/>
      <c r="H108" s="144">
        <v>1</v>
      </c>
    </row>
    <row r="109" spans="2:8" ht="27.95" customHeight="1" x14ac:dyDescent="0.25">
      <c r="B109" s="130" t="s">
        <v>160</v>
      </c>
      <c r="C109" s="129"/>
      <c r="D109" s="193"/>
      <c r="E109" s="179"/>
      <c r="F109" s="180"/>
      <c r="H109" s="144">
        <v>1</v>
      </c>
    </row>
    <row r="110" spans="2:8" ht="27.95" customHeight="1" x14ac:dyDescent="0.25">
      <c r="B110" s="100" t="s">
        <v>162</v>
      </c>
      <c r="C110" s="129"/>
      <c r="D110" s="184"/>
      <c r="E110" s="179"/>
      <c r="F110" s="180"/>
      <c r="H110" s="144">
        <v>2</v>
      </c>
    </row>
    <row r="111" spans="2:8" ht="27.95" customHeight="1" x14ac:dyDescent="0.25">
      <c r="B111" s="196" t="s">
        <v>164</v>
      </c>
      <c r="C111" s="179"/>
      <c r="D111" s="179"/>
      <c r="E111" s="179"/>
      <c r="F111" s="180"/>
    </row>
    <row r="112" spans="2:8" ht="27.95" customHeight="1" x14ac:dyDescent="0.25">
      <c r="B112" s="131" t="s">
        <v>74</v>
      </c>
      <c r="C112" s="132" t="str">
        <f>IF(SUMPRODUCT(((C106:C110="Met")+(C106:C110="Partial")+(C106:C110="Missed"))*H106:H110)=0,"",ROUND((5*SUMPRODUCT((C106:C110="Met")*H106:H110)+2.5*SUMPRODUCT((C106:C110="Partial")*H106:H110))/SUMPRODUCT(((C106:C110="Met")+(C106:C110="Partial")+(C106:C110="Missed"))*H106:H110),0))</f>
        <v/>
      </c>
      <c r="D112" s="183"/>
      <c r="E112" s="179"/>
      <c r="F112" s="180"/>
    </row>
    <row r="113" spans="2:8" ht="24" customHeight="1" x14ac:dyDescent="0.25">
      <c r="B113" s="133" t="s">
        <v>322</v>
      </c>
      <c r="C113" s="134"/>
      <c r="D113" s="199" t="str">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3" s="179"/>
      <c r="F113" s="180"/>
    </row>
    <row r="114" spans="2:8" ht="36" customHeight="1" x14ac:dyDescent="0.25">
      <c r="B114" s="140" t="s">
        <v>76</v>
      </c>
      <c r="C114" s="190"/>
      <c r="D114" s="179"/>
      <c r="E114" s="179"/>
      <c r="F114" s="180"/>
    </row>
    <row r="115" spans="2:8" ht="18" customHeight="1" x14ac:dyDescent="0.25">
      <c r="B115" s="175" t="s">
        <v>167</v>
      </c>
      <c r="C115" s="176"/>
      <c r="D115" s="176"/>
      <c r="E115" s="177"/>
      <c r="F115" s="5" t="s">
        <v>152</v>
      </c>
    </row>
    <row r="116" spans="2:8" ht="27.95" customHeight="1" x14ac:dyDescent="0.25">
      <c r="B116" s="178" t="s">
        <v>168</v>
      </c>
      <c r="C116" s="179"/>
      <c r="D116" s="179"/>
      <c r="E116" s="179"/>
      <c r="F116" s="180"/>
    </row>
    <row r="117" spans="2:8" ht="36" customHeight="1" x14ac:dyDescent="0.25">
      <c r="B117" s="136" t="s">
        <v>60</v>
      </c>
      <c r="C117" s="137" t="s">
        <v>61</v>
      </c>
      <c r="D117" s="187" t="s">
        <v>62</v>
      </c>
      <c r="E117" s="179"/>
      <c r="F117" s="180"/>
      <c r="H117" s="137" t="s">
        <v>321</v>
      </c>
    </row>
    <row r="118" spans="2:8" ht="27.95" customHeight="1" x14ac:dyDescent="0.25">
      <c r="B118" s="130" t="s">
        <v>169</v>
      </c>
      <c r="C118" s="129"/>
      <c r="D118" s="193"/>
      <c r="E118" s="179"/>
      <c r="F118" s="180"/>
      <c r="H118" s="144">
        <v>3</v>
      </c>
    </row>
    <row r="119" spans="2:8" ht="27.95" customHeight="1" x14ac:dyDescent="0.25">
      <c r="B119" s="100" t="s">
        <v>171</v>
      </c>
      <c r="C119" s="129"/>
      <c r="D119" s="184"/>
      <c r="E119" s="179"/>
      <c r="F119" s="180"/>
      <c r="H119" s="144">
        <v>3</v>
      </c>
    </row>
    <row r="120" spans="2:8" ht="27.95" customHeight="1" x14ac:dyDescent="0.25">
      <c r="B120" s="130" t="s">
        <v>173</v>
      </c>
      <c r="C120" s="129"/>
      <c r="D120" s="193"/>
      <c r="E120" s="179"/>
      <c r="F120" s="180"/>
      <c r="H120" s="144">
        <v>3</v>
      </c>
    </row>
    <row r="121" spans="2:8" ht="27.95" customHeight="1" x14ac:dyDescent="0.25">
      <c r="B121" s="100" t="s">
        <v>323</v>
      </c>
      <c r="C121" s="129"/>
      <c r="D121" s="184"/>
      <c r="E121" s="179"/>
      <c r="F121" s="180"/>
      <c r="H121" s="144">
        <v>3</v>
      </c>
    </row>
    <row r="122" spans="2:8" ht="27.95" customHeight="1" x14ac:dyDescent="0.25">
      <c r="B122" s="100" t="s">
        <v>177</v>
      </c>
      <c r="C122" s="129"/>
      <c r="D122" s="184"/>
      <c r="E122" s="179"/>
      <c r="F122" s="180"/>
      <c r="H122" s="144">
        <v>2</v>
      </c>
    </row>
    <row r="123" spans="2:8" ht="27.95" customHeight="1" x14ac:dyDescent="0.25">
      <c r="B123" s="130" t="s">
        <v>179</v>
      </c>
      <c r="C123" s="129"/>
      <c r="D123" s="193"/>
      <c r="E123" s="179"/>
      <c r="F123" s="180"/>
      <c r="H123" s="144">
        <v>1</v>
      </c>
    </row>
    <row r="124" spans="2:8" ht="27.95" customHeight="1" x14ac:dyDescent="0.25">
      <c r="B124" s="196" t="s">
        <v>181</v>
      </c>
      <c r="C124" s="179"/>
      <c r="D124" s="179"/>
      <c r="E124" s="179"/>
      <c r="F124" s="180"/>
    </row>
    <row r="125" spans="2:8" ht="51.95" customHeight="1" x14ac:dyDescent="0.25">
      <c r="B125" s="131" t="s">
        <v>74</v>
      </c>
      <c r="C125" s="132" t="str">
        <f>IF(SUMPRODUCT(((C118:C123="Met")+(C118:C123="Partial")+(C118:C123="Missed"))*H118:H123)=0,"",ROUND((5*SUMPRODUCT((C118:C123="Met")*H118:H123)+2.5*SUMPRODUCT((C118:C123="Partial")*H118:H123))/SUMPRODUCT(((C118:C123="Met")+(C118:C123="Partial")+(C118:C123="Missed"))*H118:H123),0))</f>
        <v/>
      </c>
      <c r="D125" s="183"/>
      <c r="E125" s="179"/>
      <c r="F125" s="180"/>
    </row>
    <row r="126" spans="2:8" ht="24" customHeight="1" x14ac:dyDescent="0.25">
      <c r="B126" s="133" t="s">
        <v>322</v>
      </c>
      <c r="C126" s="134"/>
      <c r="D126" s="199" t="str">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6" s="179"/>
      <c r="F126" s="180"/>
    </row>
    <row r="127" spans="2:8" ht="36" customHeight="1" x14ac:dyDescent="0.25">
      <c r="B127" s="140" t="s">
        <v>76</v>
      </c>
      <c r="C127" s="190"/>
      <c r="D127" s="179"/>
      <c r="E127" s="179"/>
      <c r="F127" s="180"/>
    </row>
    <row r="128" spans="2:8" ht="30" customHeight="1" x14ac:dyDescent="0.25">
      <c r="B128" s="175" t="s">
        <v>324</v>
      </c>
      <c r="C128" s="176"/>
      <c r="D128" s="176"/>
      <c r="E128" s="176"/>
      <c r="F128" s="177"/>
    </row>
    <row r="129" spans="1:7" ht="27.95" customHeight="1" x14ac:dyDescent="0.25">
      <c r="B129" s="136" t="s">
        <v>205</v>
      </c>
      <c r="C129" s="181"/>
      <c r="D129" s="179"/>
      <c r="E129" s="179"/>
      <c r="F129" s="180"/>
    </row>
    <row r="130" spans="1:7" ht="51.95" customHeight="1" x14ac:dyDescent="0.25">
      <c r="B130" s="138" t="s">
        <v>206</v>
      </c>
      <c r="C130" s="214"/>
      <c r="D130" s="179"/>
      <c r="E130" s="179"/>
      <c r="F130" s="180"/>
    </row>
    <row r="131" spans="1:7" ht="51.95" customHeight="1" x14ac:dyDescent="0.25">
      <c r="B131" s="136" t="s">
        <v>208</v>
      </c>
      <c r="C131" s="190"/>
      <c r="D131" s="179"/>
      <c r="E131" s="179"/>
      <c r="F131" s="180"/>
    </row>
    <row r="132" spans="1:7" ht="26.1" customHeight="1" x14ac:dyDescent="0.25">
      <c r="B132" s="175" t="s">
        <v>325</v>
      </c>
      <c r="C132" s="176"/>
      <c r="D132" s="176"/>
      <c r="E132" s="176"/>
      <c r="F132" s="177"/>
    </row>
    <row r="133" spans="1:7" ht="30" customHeight="1" x14ac:dyDescent="0.25">
      <c r="B133" s="138" t="s">
        <v>211</v>
      </c>
      <c r="C133" s="129" t="s">
        <v>212</v>
      </c>
      <c r="D133" s="196" t="s">
        <v>213</v>
      </c>
      <c r="E133" s="179"/>
      <c r="F133" s="180"/>
    </row>
    <row r="134" spans="1:7" ht="30" customHeight="1" x14ac:dyDescent="0.25">
      <c r="A134" s="63"/>
      <c r="B134" s="136" t="s">
        <v>214</v>
      </c>
      <c r="C134" s="214" t="s">
        <v>215</v>
      </c>
      <c r="D134" s="180"/>
      <c r="E134" s="206" t="str">
        <f>IF(AND(C133="Yes",OR(C134="None",C134="N.A. — no disconnect")),"⚠ MISSED OWNERSHIP OPPORTUNITY — flag in Customer Ownership and Critical Failures","OK")</f>
        <v>OK</v>
      </c>
      <c r="F134" s="180"/>
      <c r="G134" s="63"/>
    </row>
    <row r="135" spans="1:7" ht="21.95" customHeight="1" x14ac:dyDescent="0.25">
      <c r="A135" s="63"/>
      <c r="B135" s="182" t="s">
        <v>326</v>
      </c>
      <c r="C135" s="179"/>
      <c r="D135" s="179"/>
      <c r="E135" s="179"/>
      <c r="F135" s="180"/>
      <c r="G135" s="63"/>
    </row>
    <row r="136" spans="1:7" ht="18" customHeight="1" x14ac:dyDescent="0.25">
      <c r="A136" s="63"/>
      <c r="B136" s="64" t="s">
        <v>217</v>
      </c>
      <c r="C136" s="64" t="s">
        <v>218</v>
      </c>
      <c r="D136" s="215" t="s">
        <v>219</v>
      </c>
      <c r="E136" s="179"/>
      <c r="F136" s="180"/>
      <c r="G136" s="63"/>
    </row>
    <row r="137" spans="1:7" ht="27.95" customHeight="1" x14ac:dyDescent="0.25">
      <c r="A137" s="63"/>
      <c r="B137" s="65" t="s">
        <v>220</v>
      </c>
      <c r="C137" s="66" t="str">
        <f>IF(OR(C53="Partial",C53="Missed"),C53,"")</f>
        <v/>
      </c>
      <c r="D137" s="194" t="s">
        <v>221</v>
      </c>
      <c r="E137" s="179"/>
      <c r="F137" s="180"/>
      <c r="G137" s="63"/>
    </row>
    <row r="138" spans="1:7" ht="27.95" customHeight="1" x14ac:dyDescent="0.25">
      <c r="A138" s="63"/>
      <c r="B138" s="65" t="s">
        <v>222</v>
      </c>
      <c r="C138" s="66" t="str">
        <f>IF(OR(C78="Partial",C78="Missed"),C78,"")</f>
        <v/>
      </c>
      <c r="D138" s="194" t="s">
        <v>223</v>
      </c>
      <c r="E138" s="179"/>
      <c r="F138" s="180"/>
      <c r="G138" s="63"/>
    </row>
    <row r="139" spans="1:7" ht="27.95" customHeight="1" x14ac:dyDescent="0.25">
      <c r="A139" s="63"/>
      <c r="B139" s="65" t="s">
        <v>224</v>
      </c>
      <c r="C139" s="66" t="str">
        <f>IF(OR(C76="Partial",C76="Missed"),C76,"")</f>
        <v/>
      </c>
      <c r="D139" s="194" t="s">
        <v>225</v>
      </c>
      <c r="E139" s="179"/>
      <c r="F139" s="180"/>
      <c r="G139" s="63"/>
    </row>
    <row r="140" spans="1:7" ht="27.95" customHeight="1" x14ac:dyDescent="0.25">
      <c r="A140" s="63"/>
      <c r="B140" s="65" t="s">
        <v>226</v>
      </c>
      <c r="C140" s="66" t="str">
        <f>IF(OR(C39="Partial",C39="Missed"),C39,"")</f>
        <v/>
      </c>
      <c r="D140" s="194" t="s">
        <v>227</v>
      </c>
      <c r="E140" s="179"/>
      <c r="F140" s="180"/>
      <c r="G140" s="63"/>
    </row>
    <row r="141" spans="1:7" ht="27.95" customHeight="1" x14ac:dyDescent="0.25">
      <c r="A141" s="63"/>
      <c r="B141" s="65" t="s">
        <v>228</v>
      </c>
      <c r="C141" s="66" t="str">
        <f>IF(OR(C88="Partial",C88="Missed"),C88,"")</f>
        <v/>
      </c>
      <c r="D141" s="194" t="s">
        <v>229</v>
      </c>
      <c r="E141" s="179"/>
      <c r="F141" s="180"/>
      <c r="G141" s="63"/>
    </row>
    <row r="142" spans="1:7" ht="27.95" customHeight="1" x14ac:dyDescent="0.25">
      <c r="A142" s="63"/>
      <c r="B142" s="65" t="s">
        <v>230</v>
      </c>
      <c r="C142" s="66" t="str">
        <f>IF(OR(C89="Partial",C89="Missed"),C89,"")</f>
        <v/>
      </c>
      <c r="D142" s="194" t="s">
        <v>231</v>
      </c>
      <c r="E142" s="179"/>
      <c r="F142" s="180"/>
      <c r="G142" s="63"/>
    </row>
    <row r="143" spans="1:7" ht="27.95" customHeight="1" x14ac:dyDescent="0.25">
      <c r="A143" s="63"/>
      <c r="B143" s="65" t="s">
        <v>232</v>
      </c>
      <c r="C143" s="66" t="str">
        <f>IF(OR(C107="Partial",C107="Missed"),C107,"")</f>
        <v/>
      </c>
      <c r="D143" s="194" t="s">
        <v>233</v>
      </c>
      <c r="E143" s="179"/>
      <c r="F143" s="180"/>
      <c r="G143" s="63"/>
    </row>
    <row r="144" spans="1:7" ht="27.95" customHeight="1" x14ac:dyDescent="0.25">
      <c r="A144" s="63"/>
      <c r="B144" s="65" t="s">
        <v>234</v>
      </c>
      <c r="C144" s="66" t="str">
        <f>IF(OR(C123="Partial",C123="Missed"),C123,"")</f>
        <v/>
      </c>
      <c r="D144" s="194" t="s">
        <v>235</v>
      </c>
      <c r="E144" s="179"/>
      <c r="F144" s="180"/>
      <c r="G144" s="63"/>
    </row>
    <row r="145" spans="1:7" ht="21.95" customHeight="1" x14ac:dyDescent="0.25">
      <c r="A145" s="63"/>
      <c r="B145" s="207" t="s">
        <v>327</v>
      </c>
      <c r="C145" s="179"/>
      <c r="D145" s="179"/>
      <c r="E145" s="179"/>
      <c r="F145" s="180"/>
      <c r="G145" s="63"/>
    </row>
    <row r="146" spans="1:7" ht="21.95" customHeight="1" x14ac:dyDescent="0.25">
      <c r="A146" s="63"/>
      <c r="B146" s="201" t="str">
        <f>IF(COUNTIF(C137:C144,"Partial")+COUNTIF(C137:C144,"Missed")=0,"✓  No coaching flags triggered — all key indicators met",COUNTIF(C137:C144,"Partial")+COUNTIF(C137:C144,"Missed")&amp;" coaching flag(s) triggered — review and coaching action required")</f>
        <v>✓  No coaching flags triggered — all key indicators met</v>
      </c>
      <c r="C146" s="179"/>
      <c r="D146" s="179"/>
      <c r="E146" s="179"/>
      <c r="F146" s="180"/>
      <c r="G146" s="63"/>
    </row>
    <row r="147" spans="1:7" ht="65.099999999999994" customHeight="1" x14ac:dyDescent="0.25">
      <c r="A147" s="63"/>
      <c r="B147" s="200" t="str">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All key indicators met — no coaching action required</v>
      </c>
      <c r="C147" s="179"/>
      <c r="D147" s="179"/>
      <c r="E147" s="179"/>
      <c r="F147" s="180"/>
      <c r="G147" s="63"/>
    </row>
    <row r="148" spans="1:7" ht="6" customHeight="1" x14ac:dyDescent="0.25">
      <c r="A148" s="63"/>
      <c r="B148" s="203"/>
      <c r="C148" s="176"/>
      <c r="D148" s="176"/>
      <c r="E148" s="176"/>
      <c r="F148" s="177"/>
      <c r="G148" s="63"/>
    </row>
    <row r="149" spans="1:7" ht="21.95" customHeight="1" x14ac:dyDescent="0.25">
      <c r="A149" s="63"/>
      <c r="B149" s="208" t="s">
        <v>328</v>
      </c>
      <c r="C149" s="176"/>
      <c r="D149" s="176"/>
      <c r="E149" s="176"/>
      <c r="F149" s="177"/>
      <c r="G149" s="63"/>
    </row>
    <row r="150" spans="1:7" ht="30" customHeight="1" x14ac:dyDescent="0.25">
      <c r="B150" s="196" t="s">
        <v>329</v>
      </c>
      <c r="C150" s="179"/>
      <c r="D150" s="179"/>
      <c r="E150" s="179"/>
      <c r="F150" s="180"/>
    </row>
    <row r="151" spans="1:7" ht="30" customHeight="1" x14ac:dyDescent="0.25">
      <c r="B151" s="1" t="s">
        <v>330</v>
      </c>
      <c r="C151" s="9" t="s">
        <v>331</v>
      </c>
      <c r="D151" s="175" t="s">
        <v>332</v>
      </c>
      <c r="E151" s="176"/>
      <c r="F151" s="177"/>
    </row>
    <row r="152" spans="1:7" ht="26.1" customHeight="1" x14ac:dyDescent="0.25">
      <c r="B152" s="130" t="s">
        <v>333</v>
      </c>
      <c r="C152" s="129" t="s">
        <v>28</v>
      </c>
      <c r="D152" s="193"/>
      <c r="E152" s="179"/>
      <c r="F152" s="180"/>
    </row>
    <row r="153" spans="1:7" ht="26.1" customHeight="1" x14ac:dyDescent="0.25">
      <c r="B153" s="130" t="s">
        <v>334</v>
      </c>
      <c r="C153" s="129" t="s">
        <v>28</v>
      </c>
      <c r="D153" s="193"/>
      <c r="E153" s="179"/>
      <c r="F153" s="180"/>
    </row>
    <row r="154" spans="1:7" ht="26.1" customHeight="1" x14ac:dyDescent="0.25">
      <c r="B154" s="130" t="s">
        <v>335</v>
      </c>
      <c r="C154" s="129" t="s">
        <v>28</v>
      </c>
      <c r="D154" s="193"/>
      <c r="E154" s="179"/>
      <c r="F154" s="180"/>
    </row>
    <row r="155" spans="1:7" ht="32.1" customHeight="1" x14ac:dyDescent="0.25">
      <c r="B155" s="1" t="s">
        <v>336</v>
      </c>
      <c r="C155" s="9" t="s">
        <v>337</v>
      </c>
      <c r="D155" s="175" t="s">
        <v>332</v>
      </c>
      <c r="E155" s="176"/>
      <c r="F155" s="177"/>
    </row>
    <row r="156" spans="1:7" ht="26.1" customHeight="1" x14ac:dyDescent="0.25">
      <c r="B156" s="130" t="s">
        <v>338</v>
      </c>
      <c r="C156" s="129" t="s">
        <v>212</v>
      </c>
      <c r="D156" s="193"/>
      <c r="E156" s="179"/>
      <c r="F156" s="180"/>
    </row>
    <row r="157" spans="1:7" ht="26.1" customHeight="1" x14ac:dyDescent="0.25">
      <c r="B157" s="130" t="s">
        <v>339</v>
      </c>
      <c r="C157" s="129" t="s">
        <v>212</v>
      </c>
      <c r="D157" s="193"/>
      <c r="E157" s="179"/>
      <c r="F157" s="180"/>
    </row>
    <row r="158" spans="1:7" ht="26.1" customHeight="1" x14ac:dyDescent="0.25">
      <c r="B158" s="130" t="s">
        <v>340</v>
      </c>
      <c r="C158" s="129" t="s">
        <v>212</v>
      </c>
      <c r="D158" s="193"/>
      <c r="E158" s="179"/>
      <c r="F158" s="180"/>
    </row>
    <row r="159" spans="1:7" ht="26.1" customHeight="1" x14ac:dyDescent="0.25">
      <c r="B159" s="130" t="s">
        <v>341</v>
      </c>
      <c r="C159" s="129" t="s">
        <v>212</v>
      </c>
      <c r="D159" s="193"/>
      <c r="E159" s="179"/>
      <c r="F159" s="180"/>
    </row>
    <row r="160" spans="1:7" ht="26.1" customHeight="1" x14ac:dyDescent="0.25">
      <c r="B160" s="130" t="s">
        <v>342</v>
      </c>
      <c r="C160" s="129" t="s">
        <v>212</v>
      </c>
      <c r="D160" s="193"/>
      <c r="E160" s="179"/>
      <c r="F160" s="180"/>
    </row>
    <row r="161" spans="2:6" ht="26.1" customHeight="1" x14ac:dyDescent="0.25">
      <c r="B161" s="130" t="s">
        <v>343</v>
      </c>
      <c r="C161" s="129" t="s">
        <v>212</v>
      </c>
      <c r="D161" s="193"/>
      <c r="E161" s="179"/>
      <c r="F161" s="180"/>
    </row>
    <row r="162" spans="2:6" ht="26.1" customHeight="1" x14ac:dyDescent="0.25">
      <c r="B162" s="130" t="s">
        <v>344</v>
      </c>
      <c r="C162" s="129" t="s">
        <v>212</v>
      </c>
      <c r="D162" s="193"/>
      <c r="E162" s="179"/>
      <c r="F162" s="180"/>
    </row>
    <row r="163" spans="2:6" ht="26.1" customHeight="1" x14ac:dyDescent="0.25">
      <c r="B163" s="130" t="s">
        <v>345</v>
      </c>
      <c r="C163" s="129" t="s">
        <v>212</v>
      </c>
      <c r="D163" s="193"/>
      <c r="E163" s="179"/>
      <c r="F163" s="180"/>
    </row>
    <row r="164" spans="2:6" ht="26.1" customHeight="1" x14ac:dyDescent="0.25">
      <c r="B164" s="130" t="s">
        <v>346</v>
      </c>
      <c r="C164" s="129" t="s">
        <v>212</v>
      </c>
      <c r="D164" s="193"/>
      <c r="E164" s="179"/>
      <c r="F164" s="180"/>
    </row>
    <row r="165" spans="2:6" ht="26.1" customHeight="1" x14ac:dyDescent="0.25">
      <c r="B165" s="130" t="s">
        <v>347</v>
      </c>
      <c r="C165" s="129" t="s">
        <v>212</v>
      </c>
      <c r="D165" s="193"/>
      <c r="E165" s="179"/>
      <c r="F165" s="180"/>
    </row>
    <row r="166" spans="2:6" ht="26.1" customHeight="1" x14ac:dyDescent="0.25">
      <c r="B166" s="130" t="s">
        <v>348</v>
      </c>
      <c r="C166" s="129" t="s">
        <v>212</v>
      </c>
      <c r="D166" s="193"/>
      <c r="E166" s="179"/>
      <c r="F166" s="180"/>
    </row>
    <row r="167" spans="2:6" ht="24" customHeight="1" x14ac:dyDescent="0.25">
      <c r="B167" s="15" t="s">
        <v>349</v>
      </c>
      <c r="C167" s="202" t="str">
        <f>IF(OR(C152="No",C153="No",C154="No",COUNTIF(C156:C166,"Yes")&gt;0),"YES — Quality Score forced to 0%","No")</f>
        <v>No</v>
      </c>
      <c r="D167" s="176"/>
      <c r="E167" s="176"/>
      <c r="F167" s="177"/>
    </row>
    <row r="168" spans="2:6" ht="20.100000000000001" customHeight="1" x14ac:dyDescent="0.25">
      <c r="B168" s="189" t="s">
        <v>350</v>
      </c>
      <c r="C168" s="176"/>
      <c r="D168" s="176"/>
      <c r="E168" s="176"/>
      <c r="F168" s="177"/>
    </row>
    <row r="169" spans="2:6" ht="30" customHeight="1" x14ac:dyDescent="0.25">
      <c r="B169" s="204" t="s">
        <v>351</v>
      </c>
      <c r="C169" s="176"/>
      <c r="D169" s="176"/>
      <c r="E169" s="176"/>
      <c r="F169" s="177"/>
    </row>
    <row r="170" spans="2:6" ht="57.95" customHeight="1" x14ac:dyDescent="0.25">
      <c r="B170" s="190"/>
      <c r="C170" s="179"/>
      <c r="D170" s="179"/>
      <c r="E170" s="179"/>
      <c r="F170" s="180"/>
    </row>
    <row r="171" spans="2:6" ht="30" customHeight="1" x14ac:dyDescent="0.25">
      <c r="B171" s="204" t="s">
        <v>352</v>
      </c>
      <c r="C171" s="176"/>
      <c r="D171" s="176"/>
      <c r="E171" s="176"/>
      <c r="F171" s="177"/>
    </row>
    <row r="172" spans="2:6" ht="24" customHeight="1" x14ac:dyDescent="0.25">
      <c r="B172" s="195" t="s">
        <v>353</v>
      </c>
      <c r="C172" s="179"/>
      <c r="D172" s="179"/>
      <c r="E172" s="179"/>
      <c r="F172" s="180"/>
    </row>
    <row r="173" spans="2:6" ht="32.1" customHeight="1" x14ac:dyDescent="0.25">
      <c r="B173" s="137" t="s">
        <v>147</v>
      </c>
      <c r="C173" s="190"/>
      <c r="D173" s="179"/>
      <c r="E173" s="179"/>
      <c r="F173" s="180"/>
    </row>
    <row r="174" spans="2:6" ht="32.1" customHeight="1" x14ac:dyDescent="0.25">
      <c r="B174" s="137" t="s">
        <v>149</v>
      </c>
      <c r="C174" s="190"/>
      <c r="D174" s="179"/>
      <c r="E174" s="179"/>
      <c r="F174" s="180"/>
    </row>
    <row r="175" spans="2:6" ht="32.1" customHeight="1" x14ac:dyDescent="0.25">
      <c r="B175" s="137" t="s">
        <v>150</v>
      </c>
      <c r="C175" s="190"/>
      <c r="D175" s="179"/>
      <c r="E175" s="179"/>
      <c r="F175" s="180"/>
    </row>
    <row r="176" spans="2:6" ht="24" customHeight="1" x14ac:dyDescent="0.25">
      <c r="B176" s="195" t="s">
        <v>354</v>
      </c>
      <c r="C176" s="179"/>
      <c r="D176" s="179"/>
      <c r="E176" s="179"/>
      <c r="F176" s="180"/>
    </row>
    <row r="177" spans="2:6" ht="32.1" customHeight="1" x14ac:dyDescent="0.25">
      <c r="B177" s="137" t="s">
        <v>147</v>
      </c>
      <c r="C177" s="190"/>
      <c r="D177" s="179"/>
      <c r="E177" s="179"/>
      <c r="F177" s="180"/>
    </row>
    <row r="178" spans="2:6" ht="32.1" customHeight="1" x14ac:dyDescent="0.25">
      <c r="B178" s="137" t="s">
        <v>149</v>
      </c>
      <c r="C178" s="190"/>
      <c r="D178" s="179"/>
      <c r="E178" s="179"/>
      <c r="F178" s="180"/>
    </row>
    <row r="179" spans="2:6" ht="32.1" customHeight="1" x14ac:dyDescent="0.25">
      <c r="B179" s="137" t="s">
        <v>150</v>
      </c>
      <c r="C179" s="190"/>
      <c r="D179" s="179"/>
      <c r="E179" s="179"/>
      <c r="F179" s="180"/>
    </row>
    <row r="180" spans="2:6" ht="24" customHeight="1" x14ac:dyDescent="0.25">
      <c r="B180" s="195" t="s">
        <v>355</v>
      </c>
      <c r="C180" s="179"/>
      <c r="D180" s="179"/>
      <c r="E180" s="179"/>
      <c r="F180" s="180"/>
    </row>
    <row r="181" spans="2:6" ht="57.95" customHeight="1" x14ac:dyDescent="0.25">
      <c r="B181" s="190"/>
      <c r="C181" s="179"/>
      <c r="D181" s="179"/>
      <c r="E181" s="179"/>
      <c r="F181" s="180"/>
    </row>
    <row r="182" spans="2:6" ht="20.100000000000001" customHeight="1" x14ac:dyDescent="0.25">
      <c r="B182" s="195" t="s">
        <v>356</v>
      </c>
      <c r="C182" s="179"/>
      <c r="D182" s="179"/>
      <c r="E182" s="179"/>
      <c r="F182" s="180"/>
    </row>
    <row r="183" spans="2:6" ht="27.95" customHeight="1" x14ac:dyDescent="0.25">
      <c r="B183" s="135" t="s">
        <v>147</v>
      </c>
      <c r="C183" s="190"/>
      <c r="D183" s="179"/>
      <c r="E183" s="179"/>
      <c r="F183" s="180"/>
    </row>
    <row r="184" spans="2:6" ht="27.95" customHeight="1" x14ac:dyDescent="0.25">
      <c r="B184" s="135" t="s">
        <v>149</v>
      </c>
      <c r="C184" s="190"/>
      <c r="D184" s="179"/>
      <c r="E184" s="179"/>
      <c r="F184" s="180"/>
    </row>
    <row r="185" spans="2:6" ht="27.95" customHeight="1" x14ac:dyDescent="0.25">
      <c r="B185" s="135" t="s">
        <v>150</v>
      </c>
      <c r="C185" s="198"/>
      <c r="D185" s="179"/>
      <c r="E185" s="179"/>
      <c r="F185" s="180"/>
    </row>
    <row r="186" spans="2:6" ht="32.1" customHeight="1" x14ac:dyDescent="0.25">
      <c r="B186" s="204" t="s">
        <v>357</v>
      </c>
      <c r="C186" s="176"/>
      <c r="D186" s="176"/>
      <c r="E186" s="176"/>
      <c r="F186" s="177"/>
    </row>
    <row r="187" spans="2:6" ht="24" customHeight="1" x14ac:dyDescent="0.25">
      <c r="B187" s="195" t="s">
        <v>358</v>
      </c>
      <c r="C187" s="179"/>
      <c r="D187" s="179"/>
      <c r="E187" s="179"/>
      <c r="F187" s="180"/>
    </row>
    <row r="188" spans="2:6" ht="57.95" customHeight="1" x14ac:dyDescent="0.25">
      <c r="B188" s="190"/>
      <c r="C188" s="179"/>
      <c r="D188" s="179"/>
      <c r="E188" s="179"/>
      <c r="F188" s="180"/>
    </row>
    <row r="189" spans="2:6" ht="24" customHeight="1" x14ac:dyDescent="0.25">
      <c r="B189" s="195" t="s">
        <v>359</v>
      </c>
      <c r="C189" s="179"/>
      <c r="D189" s="179"/>
      <c r="E189" s="179"/>
      <c r="F189" s="180"/>
    </row>
    <row r="190" spans="2:6" ht="57.95" customHeight="1" x14ac:dyDescent="0.25">
      <c r="B190" s="190"/>
      <c r="C190" s="179"/>
      <c r="D190" s="179"/>
      <c r="E190" s="179"/>
      <c r="F190" s="180"/>
    </row>
    <row r="191" spans="2:6" ht="24" customHeight="1" x14ac:dyDescent="0.25">
      <c r="B191" s="195" t="s">
        <v>360</v>
      </c>
      <c r="C191" s="179"/>
      <c r="D191" s="179"/>
      <c r="E191" s="179"/>
      <c r="F191" s="180"/>
    </row>
    <row r="192" spans="2:6" ht="57.95" customHeight="1" x14ac:dyDescent="0.25">
      <c r="B192" s="190"/>
      <c r="C192" s="179"/>
      <c r="D192" s="179"/>
      <c r="E192" s="179"/>
      <c r="F192" s="180"/>
    </row>
    <row r="193" ht="24" customHeight="1" x14ac:dyDescent="0.25"/>
    <row r="194" ht="57.95" customHeight="1" x14ac:dyDescent="0.25"/>
    <row r="195" ht="20.100000000000001" customHeight="1" x14ac:dyDescent="0.25"/>
    <row r="196" ht="30" customHeight="1" x14ac:dyDescent="0.25"/>
    <row r="197" ht="57.95" customHeight="1" x14ac:dyDescent="0.25"/>
    <row r="198" ht="30" customHeight="1" x14ac:dyDescent="0.25"/>
    <row r="199" ht="24" customHeight="1" x14ac:dyDescent="0.25"/>
    <row r="200" ht="32.1" customHeight="1" x14ac:dyDescent="0.25"/>
    <row r="201" ht="32.1" customHeight="1" x14ac:dyDescent="0.25"/>
    <row r="202" ht="32.1" customHeight="1" x14ac:dyDescent="0.25"/>
    <row r="203" ht="24" customHeight="1" x14ac:dyDescent="0.25"/>
    <row r="204" ht="32.1" customHeight="1" x14ac:dyDescent="0.25"/>
    <row r="205" ht="32.1" customHeight="1" x14ac:dyDescent="0.25"/>
    <row r="206" ht="32.1" customHeight="1" x14ac:dyDescent="0.25"/>
    <row r="207" ht="24" customHeight="1" x14ac:dyDescent="0.25"/>
    <row r="208" ht="57.95" customHeight="1" x14ac:dyDescent="0.25"/>
    <row r="209" ht="20.100000000000001" customHeight="1" x14ac:dyDescent="0.25"/>
    <row r="210" ht="27.95" customHeight="1" x14ac:dyDescent="0.25"/>
    <row r="211" ht="27.95" customHeight="1" x14ac:dyDescent="0.25"/>
    <row r="212" ht="27.95" customHeight="1" x14ac:dyDescent="0.25"/>
    <row r="213" ht="32.1" customHeight="1" x14ac:dyDescent="0.25"/>
    <row r="214" ht="24" customHeight="1" x14ac:dyDescent="0.25"/>
    <row r="215" ht="57.95" customHeight="1" x14ac:dyDescent="0.25"/>
    <row r="216" ht="24" customHeight="1" x14ac:dyDescent="0.25"/>
    <row r="217" ht="57.95" customHeight="1" x14ac:dyDescent="0.25"/>
    <row r="218" ht="24" customHeight="1" x14ac:dyDescent="0.25"/>
    <row r="219" ht="57.95" customHeight="1" x14ac:dyDescent="0.25"/>
    <row r="220" ht="57.95" customHeight="1" x14ac:dyDescent="0.25"/>
    <row r="221" ht="24" customHeight="1" x14ac:dyDescent="0.25"/>
    <row r="222" ht="57.95" customHeight="1" x14ac:dyDescent="0.25"/>
    <row r="223" ht="24" customHeight="1" x14ac:dyDescent="0.25"/>
    <row r="224" ht="57.95" customHeight="1" x14ac:dyDescent="0.25"/>
    <row r="225" ht="57.95" customHeight="1" x14ac:dyDescent="0.25"/>
  </sheetData>
  <mergeCells count="177">
    <mergeCell ref="C173:F173"/>
    <mergeCell ref="D51:F51"/>
    <mergeCell ref="D165:F165"/>
    <mergeCell ref="D118:F118"/>
    <mergeCell ref="E9:F9"/>
    <mergeCell ref="D66:F66"/>
    <mergeCell ref="D38:F38"/>
    <mergeCell ref="C130:F130"/>
    <mergeCell ref="D93:F93"/>
    <mergeCell ref="D89:F89"/>
    <mergeCell ref="D56:F56"/>
    <mergeCell ref="B150:F150"/>
    <mergeCell ref="D62:F62"/>
    <mergeCell ref="D107:F107"/>
    <mergeCell ref="D138:F138"/>
    <mergeCell ref="B81:F81"/>
    <mergeCell ref="D64:F64"/>
    <mergeCell ref="D122:F122"/>
    <mergeCell ref="D78:F78"/>
    <mergeCell ref="D120:F120"/>
    <mergeCell ref="B186:F186"/>
    <mergeCell ref="C134:D134"/>
    <mergeCell ref="B116:F116"/>
    <mergeCell ref="B72:E72"/>
    <mergeCell ref="D83:F83"/>
    <mergeCell ref="E11:F11"/>
    <mergeCell ref="D157:F157"/>
    <mergeCell ref="B115:E115"/>
    <mergeCell ref="C57:F57"/>
    <mergeCell ref="B42:F42"/>
    <mergeCell ref="D65:F65"/>
    <mergeCell ref="C184:F184"/>
    <mergeCell ref="D94:F94"/>
    <mergeCell ref="B99:F99"/>
    <mergeCell ref="B181:F181"/>
    <mergeCell ref="D67:F67"/>
    <mergeCell ref="D143:F143"/>
    <mergeCell ref="D161:F161"/>
    <mergeCell ref="B59:F59"/>
    <mergeCell ref="B86:F86"/>
    <mergeCell ref="C102:F102"/>
    <mergeCell ref="B92:F92"/>
    <mergeCell ref="D69:F69"/>
    <mergeCell ref="D136:F136"/>
    <mergeCell ref="B1:F1"/>
    <mergeCell ref="B85:E85"/>
    <mergeCell ref="D125:F125"/>
    <mergeCell ref="D75:F75"/>
    <mergeCell ref="D53:F53"/>
    <mergeCell ref="D44:F44"/>
    <mergeCell ref="D117:F117"/>
    <mergeCell ref="B58:E58"/>
    <mergeCell ref="E6:F6"/>
    <mergeCell ref="C101:F101"/>
    <mergeCell ref="C20:F20"/>
    <mergeCell ref="D35:F35"/>
    <mergeCell ref="D61:F61"/>
    <mergeCell ref="D119:F119"/>
    <mergeCell ref="B97:C98"/>
    <mergeCell ref="C84:F84"/>
    <mergeCell ref="E7:F7"/>
    <mergeCell ref="D88:F88"/>
    <mergeCell ref="B46:E46"/>
    <mergeCell ref="D36:F36"/>
    <mergeCell ref="D105:F105"/>
    <mergeCell ref="B103:E103"/>
    <mergeCell ref="B104:F104"/>
    <mergeCell ref="D63:F63"/>
    <mergeCell ref="B192:F192"/>
    <mergeCell ref="D108:F108"/>
    <mergeCell ref="C114:F114"/>
    <mergeCell ref="D164:F164"/>
    <mergeCell ref="C185:F185"/>
    <mergeCell ref="E134:F134"/>
    <mergeCell ref="D140:F140"/>
    <mergeCell ref="C95:F95"/>
    <mergeCell ref="B145:F145"/>
    <mergeCell ref="D154:F154"/>
    <mergeCell ref="C178:F178"/>
    <mergeCell ref="D126:F126"/>
    <mergeCell ref="C183:F183"/>
    <mergeCell ref="B149:F149"/>
    <mergeCell ref="B182:F182"/>
    <mergeCell ref="D152:F152"/>
    <mergeCell ref="B132:F132"/>
    <mergeCell ref="D142:F142"/>
    <mergeCell ref="B187:F187"/>
    <mergeCell ref="C131:F131"/>
    <mergeCell ref="B168:F168"/>
    <mergeCell ref="D144:F144"/>
    <mergeCell ref="D159:F159"/>
    <mergeCell ref="D153:F153"/>
    <mergeCell ref="B191:F191"/>
    <mergeCell ref="D113:F113"/>
    <mergeCell ref="E16:F16"/>
    <mergeCell ref="B128:F128"/>
    <mergeCell ref="D48:F48"/>
    <mergeCell ref="D162:F162"/>
    <mergeCell ref="B47:F47"/>
    <mergeCell ref="D112:F112"/>
    <mergeCell ref="D90:F90"/>
    <mergeCell ref="C127:F127"/>
    <mergeCell ref="D82:F82"/>
    <mergeCell ref="D91:F91"/>
    <mergeCell ref="B21:F21"/>
    <mergeCell ref="C18:F18"/>
    <mergeCell ref="D60:F60"/>
    <mergeCell ref="D155:F155"/>
    <mergeCell ref="B169:F169"/>
    <mergeCell ref="B68:F68"/>
    <mergeCell ref="D139:F139"/>
    <mergeCell ref="D50:F50"/>
    <mergeCell ref="B22:F22"/>
    <mergeCell ref="E17:F17"/>
    <mergeCell ref="C174:F174"/>
    <mergeCell ref="D74:F74"/>
    <mergeCell ref="B190:F190"/>
    <mergeCell ref="B172:F172"/>
    <mergeCell ref="B147:F147"/>
    <mergeCell ref="B96:F96"/>
    <mergeCell ref="D123:F123"/>
    <mergeCell ref="C177:F177"/>
    <mergeCell ref="D163:F163"/>
    <mergeCell ref="B15:F15"/>
    <mergeCell ref="C45:F45"/>
    <mergeCell ref="B146:F146"/>
    <mergeCell ref="C167:F167"/>
    <mergeCell ref="D109:F109"/>
    <mergeCell ref="B148:F148"/>
    <mergeCell ref="D158:F158"/>
    <mergeCell ref="D43:F43"/>
    <mergeCell ref="B189:F189"/>
    <mergeCell ref="B33:E33"/>
    <mergeCell ref="C19:F19"/>
    <mergeCell ref="D166:F166"/>
    <mergeCell ref="D151:F151"/>
    <mergeCell ref="D160:F160"/>
    <mergeCell ref="B171:F171"/>
    <mergeCell ref="B180:F180"/>
    <mergeCell ref="D141:F141"/>
    <mergeCell ref="B188:F188"/>
    <mergeCell ref="B54:F54"/>
    <mergeCell ref="C13:F13"/>
    <mergeCell ref="D37:F37"/>
    <mergeCell ref="B2:F2"/>
    <mergeCell ref="D106:F106"/>
    <mergeCell ref="D39:F39"/>
    <mergeCell ref="D156:F156"/>
    <mergeCell ref="B170:F170"/>
    <mergeCell ref="D137:F137"/>
    <mergeCell ref="B34:F34"/>
    <mergeCell ref="B176:F176"/>
    <mergeCell ref="D133:F133"/>
    <mergeCell ref="C175:F175"/>
    <mergeCell ref="E12:F12"/>
    <mergeCell ref="E4:F4"/>
    <mergeCell ref="D110:F110"/>
    <mergeCell ref="C71:F71"/>
    <mergeCell ref="C100:F100"/>
    <mergeCell ref="B124:F124"/>
    <mergeCell ref="C179:F179"/>
    <mergeCell ref="B111:F111"/>
    <mergeCell ref="D76:F76"/>
    <mergeCell ref="D70:F70"/>
    <mergeCell ref="B3:F3"/>
    <mergeCell ref="B73:F73"/>
    <mergeCell ref="C129:F129"/>
    <mergeCell ref="B135:F135"/>
    <mergeCell ref="D55:F55"/>
    <mergeCell ref="D77:F77"/>
    <mergeCell ref="D49:F49"/>
    <mergeCell ref="E8:F8"/>
    <mergeCell ref="D87:F87"/>
    <mergeCell ref="D121:F121"/>
    <mergeCell ref="C14:F14"/>
    <mergeCell ref="E10:F10"/>
    <mergeCell ref="B32:F32"/>
  </mergeCells>
  <conditionalFormatting sqref="C36:C41">
    <cfRule type="cellIs" dxfId="80" priority="64" operator="equal">
      <formula>"Met"</formula>
    </cfRule>
    <cfRule type="cellIs" dxfId="79" priority="64" operator="equal">
      <formula>"Partial"</formula>
    </cfRule>
    <cfRule type="cellIs" dxfId="78" priority="64" operator="equal">
      <formula>"Missed"</formula>
    </cfRule>
  </conditionalFormatting>
  <conditionalFormatting sqref="C45">
    <cfRule type="expression" dxfId="77" priority="57">
      <formula>AND(C44&lt;&gt;"",C45="")</formula>
    </cfRule>
  </conditionalFormatting>
  <conditionalFormatting sqref="C49:C53">
    <cfRule type="cellIs" dxfId="76" priority="65" operator="equal">
      <formula>"Met"</formula>
    </cfRule>
    <cfRule type="cellIs" dxfId="75" priority="65" operator="equal">
      <formula>"Partial"</formula>
    </cfRule>
    <cfRule type="cellIs" dxfId="74" priority="65" operator="equal">
      <formula>"Missed"</formula>
    </cfRule>
  </conditionalFormatting>
  <conditionalFormatting sqref="C57">
    <cfRule type="expression" dxfId="73" priority="58">
      <formula>AND(C56&lt;&gt;"",C57="")</formula>
    </cfRule>
  </conditionalFormatting>
  <conditionalFormatting sqref="C61:C67">
    <cfRule type="cellIs" dxfId="72" priority="66" operator="equal">
      <formula>"Met"</formula>
    </cfRule>
    <cfRule type="cellIs" dxfId="71" priority="66" operator="equal">
      <formula>"Partial"</formula>
    </cfRule>
    <cfRule type="cellIs" dxfId="70" priority="66" operator="equal">
      <formula>"Missed"</formula>
    </cfRule>
  </conditionalFormatting>
  <conditionalFormatting sqref="C71">
    <cfRule type="expression" dxfId="69" priority="59">
      <formula>AND(C70&lt;&gt;"",C71="")</formula>
    </cfRule>
  </conditionalFormatting>
  <conditionalFormatting sqref="C75:C80">
    <cfRule type="cellIs" dxfId="68" priority="67" operator="equal">
      <formula>"Partial"</formula>
    </cfRule>
    <cfRule type="cellIs" dxfId="67" priority="67" operator="equal">
      <formula>"Met"</formula>
    </cfRule>
    <cfRule type="cellIs" dxfId="66" priority="68" operator="equal">
      <formula>"Missed"</formula>
    </cfRule>
  </conditionalFormatting>
  <conditionalFormatting sqref="C84">
    <cfRule type="expression" dxfId="65" priority="60">
      <formula>AND(C83&lt;&gt;"",C84="")</formula>
    </cfRule>
  </conditionalFormatting>
  <conditionalFormatting sqref="C88:C91">
    <cfRule type="cellIs" dxfId="64" priority="69" operator="equal">
      <formula>"Met"</formula>
    </cfRule>
    <cfRule type="cellIs" dxfId="63" priority="70" operator="equal">
      <formula>"Partial"</formula>
    </cfRule>
    <cfRule type="cellIs" dxfId="62" priority="71" operator="equal">
      <formula>"Missed"</formula>
    </cfRule>
  </conditionalFormatting>
  <conditionalFormatting sqref="C95">
    <cfRule type="expression" dxfId="61" priority="61">
      <formula>AND(C94&lt;&gt;"",C95="")</formula>
    </cfRule>
  </conditionalFormatting>
  <conditionalFormatting sqref="C106:C110">
    <cfRule type="cellIs" dxfId="60" priority="72" operator="equal">
      <formula>"Met"</formula>
    </cfRule>
    <cfRule type="cellIs" dxfId="59" priority="73" operator="equal">
      <formula>"Partial"</formula>
    </cfRule>
    <cfRule type="cellIs" dxfId="58" priority="74" operator="equal">
      <formula>"Missed"</formula>
    </cfRule>
  </conditionalFormatting>
  <conditionalFormatting sqref="C114">
    <cfRule type="expression" dxfId="57" priority="62">
      <formula>AND(C113&lt;&gt;"",C114="")</formula>
    </cfRule>
  </conditionalFormatting>
  <conditionalFormatting sqref="C118:C123">
    <cfRule type="cellIs" dxfId="56" priority="75" operator="equal">
      <formula>"Met"</formula>
    </cfRule>
    <cfRule type="cellIs" dxfId="55" priority="76" operator="equal">
      <formula>"Partial"</formula>
    </cfRule>
    <cfRule type="cellIs" dxfId="54" priority="77" operator="equal">
      <formula>"Missed"</formula>
    </cfRule>
  </conditionalFormatting>
  <conditionalFormatting sqref="C127">
    <cfRule type="expression" dxfId="53" priority="63">
      <formula>AND(C126&lt;&gt;"",C127="")</formula>
    </cfRule>
  </conditionalFormatting>
  <conditionalFormatting sqref="C137:C144">
    <cfRule type="cellIs" dxfId="52" priority="54" operator="equal">
      <formula>"Partial"</formula>
    </cfRule>
    <cfRule type="cellIs" dxfId="51" priority="55" operator="equal">
      <formula>"Missed"</formula>
    </cfRule>
  </conditionalFormatting>
  <conditionalFormatting sqref="C152:C154">
    <cfRule type="cellIs" dxfId="50" priority="89" operator="equal">
      <formula>"No"</formula>
    </cfRule>
    <cfRule type="cellIs" dxfId="49" priority="90" operator="equal">
      <formula>"Yes"</formula>
    </cfRule>
  </conditionalFormatting>
  <conditionalFormatting sqref="C156:C166">
    <cfRule type="cellIs" dxfId="48" priority="91" operator="equal">
      <formula>"Yes"</formula>
    </cfRule>
    <cfRule type="cellIs" dxfId="47" priority="92" operator="equal">
      <formula>"No"</formula>
    </cfRule>
  </conditionalFormatting>
  <conditionalFormatting sqref="D24:D30">
    <cfRule type="expression" dxfId="46" priority="78">
      <formula>AND(ISNUMBER($D24),$D24&lt;=2)</formula>
    </cfRule>
    <cfRule type="expression" dxfId="45" priority="79">
      <formula>AND(ISNUMBER($D24),$D24=3)</formula>
    </cfRule>
    <cfRule type="expression" dxfId="44" priority="80">
      <formula>AND(ISNUMBER($D24),$D24&gt;=4)</formula>
    </cfRule>
  </conditionalFormatting>
  <conditionalFormatting sqref="E31">
    <cfRule type="expression" dxfId="43" priority="46">
      <formula>AND($E$31&lt;&gt;"",$E$31&gt;=0.85)</formula>
    </cfRule>
    <cfRule type="expression" dxfId="42" priority="47">
      <formula>AND($E$31&lt;&gt;"",$E$31&gt;=0.7,$E$31&lt;0.85)</formula>
    </cfRule>
    <cfRule type="expression" dxfId="41" priority="48">
      <formula>AND($E$31&lt;&gt;"",$E$31&lt;0.7)</formula>
    </cfRule>
  </conditionalFormatting>
  <conditionalFormatting sqref="E134">
    <cfRule type="expression" dxfId="40" priority="87">
      <formula>$E134="OK"</formula>
    </cfRule>
    <cfRule type="expression" dxfId="39" priority="88">
      <formula>$E134&lt;&gt;"OK"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53 C61 C62 C63 C64 C65 C66 C67 C75 C76 C77 C78:C80 C88 C89 C90 C91 C106 C107 C108 C109 C110 C118 C119 C120 C121 C122 C123" xr:uid="{00000000-0002-0000-0100-000000000000}">
      <formula1>"Met,Partial,Missed,N.A."</formula1>
    </dataValidation>
    <dataValidation type="whole" allowBlank="1" sqref="C44 C56 C70 C83 C94 C113 C126" xr:uid="{00000000-0002-0000-0100-000001000000}">
      <formula1>0</formula1>
    </dataValidation>
    <dataValidation type="list" allowBlank="1" sqref="C133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9" xr:uid="{00000000-0002-0000-0100-000007000000}">
      <formula1>"Successful Resolution,Partial Resolution,Appropriate Escalation,Ownership Gap,Unresolved"</formula1>
    </dataValidation>
    <dataValidation type="list" allowBlank="1" sqref="C130"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4" xr:uid="{00000000-0002-0000-0100-000009000000}">
      <formula1>"Callback attempt,Follow-up email,Private note documenting actions,Documented why follow-up not possible,None,N.A. — no disconnect"</formula1>
    </dataValidation>
    <dataValidation type="list" allowBlank="1" sqref="C152:C154"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127:F127 C114:F114 C95:F95 C84:F84 C71:F71 C57:F57"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6"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7"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8"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9"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60"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61"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62"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63"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4"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5"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6" xr:uid="{00000000-0002-0000-0100-00001D000000}">
      <formula1>"No,Yes"</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26" t="s">
        <v>361</v>
      </c>
      <c r="B1" s="227"/>
      <c r="C1" s="227"/>
      <c r="D1" s="227"/>
      <c r="E1" s="227"/>
    </row>
    <row r="2" spans="1:5" ht="18" customHeight="1" x14ac:dyDescent="0.25">
      <c r="A2" s="229" t="s">
        <v>362</v>
      </c>
      <c r="B2" s="227"/>
      <c r="C2" s="227"/>
      <c r="D2" s="227"/>
      <c r="E2" s="227"/>
    </row>
    <row r="3" spans="1:5" ht="21.95" customHeight="1" x14ac:dyDescent="0.25">
      <c r="A3" s="47" t="s">
        <v>363</v>
      </c>
      <c r="B3" s="47" t="s">
        <v>60</v>
      </c>
      <c r="C3" s="47" t="s">
        <v>218</v>
      </c>
      <c r="D3" s="47" t="s">
        <v>364</v>
      </c>
      <c r="E3" s="47" t="s">
        <v>365</v>
      </c>
    </row>
    <row r="4" spans="1:5" ht="72" customHeight="1" x14ac:dyDescent="0.25">
      <c r="A4" s="228" t="s">
        <v>366</v>
      </c>
      <c r="B4" s="223" t="s">
        <v>367</v>
      </c>
      <c r="C4" s="48" t="s">
        <v>67</v>
      </c>
      <c r="D4" s="49" t="s">
        <v>368</v>
      </c>
      <c r="E4" s="50" t="s">
        <v>369</v>
      </c>
    </row>
    <row r="5" spans="1:5" ht="72" customHeight="1" x14ac:dyDescent="0.25">
      <c r="A5" s="224"/>
      <c r="B5" s="224"/>
      <c r="C5" s="51" t="s">
        <v>64</v>
      </c>
      <c r="D5" s="52" t="s">
        <v>370</v>
      </c>
      <c r="E5" s="53" t="s">
        <v>371</v>
      </c>
    </row>
    <row r="6" spans="1:5" ht="72" customHeight="1" x14ac:dyDescent="0.25">
      <c r="A6" s="224"/>
      <c r="B6" s="224"/>
      <c r="C6" s="54" t="s">
        <v>111</v>
      </c>
      <c r="D6" s="55" t="s">
        <v>372</v>
      </c>
      <c r="E6" s="56" t="s">
        <v>373</v>
      </c>
    </row>
    <row r="7" spans="1:5" ht="72" customHeight="1" x14ac:dyDescent="0.25">
      <c r="A7" s="224"/>
      <c r="B7" s="225"/>
      <c r="C7" s="57" t="s">
        <v>374</v>
      </c>
      <c r="D7" s="58" t="s">
        <v>375</v>
      </c>
      <c r="E7" s="59"/>
    </row>
    <row r="8" spans="1:5" ht="72" customHeight="1" x14ac:dyDescent="0.25">
      <c r="A8" s="224"/>
      <c r="B8" s="223" t="s">
        <v>66</v>
      </c>
      <c r="C8" s="48" t="s">
        <v>67</v>
      </c>
      <c r="D8" s="49" t="s">
        <v>376</v>
      </c>
      <c r="E8" s="50" t="s">
        <v>377</v>
      </c>
    </row>
    <row r="9" spans="1:5" ht="72" customHeight="1" x14ac:dyDescent="0.25">
      <c r="A9" s="224"/>
      <c r="B9" s="224"/>
      <c r="C9" s="51" t="s">
        <v>64</v>
      </c>
      <c r="D9" s="52" t="s">
        <v>378</v>
      </c>
      <c r="E9" s="53" t="s">
        <v>379</v>
      </c>
    </row>
    <row r="10" spans="1:5" ht="72" customHeight="1" x14ac:dyDescent="0.25">
      <c r="A10" s="224"/>
      <c r="B10" s="224"/>
      <c r="C10" s="54" t="s">
        <v>111</v>
      </c>
      <c r="D10" s="55" t="s">
        <v>380</v>
      </c>
      <c r="E10" s="56" t="s">
        <v>381</v>
      </c>
    </row>
    <row r="11" spans="1:5" ht="72" customHeight="1" x14ac:dyDescent="0.25">
      <c r="A11" s="224"/>
      <c r="B11" s="225"/>
      <c r="C11" s="57" t="s">
        <v>374</v>
      </c>
      <c r="D11" s="58" t="s">
        <v>382</v>
      </c>
      <c r="E11" s="59"/>
    </row>
    <row r="12" spans="1:5" ht="72" customHeight="1" x14ac:dyDescent="0.25">
      <c r="A12" s="224"/>
      <c r="B12" s="223" t="s">
        <v>69</v>
      </c>
      <c r="C12" s="48" t="s">
        <v>67</v>
      </c>
      <c r="D12" s="49" t="s">
        <v>383</v>
      </c>
      <c r="E12" s="50" t="s">
        <v>384</v>
      </c>
    </row>
    <row r="13" spans="1:5" ht="72" customHeight="1" x14ac:dyDescent="0.25">
      <c r="A13" s="224"/>
      <c r="B13" s="224"/>
      <c r="C13" s="51" t="s">
        <v>64</v>
      </c>
      <c r="D13" s="52" t="s">
        <v>385</v>
      </c>
      <c r="E13" s="53" t="s">
        <v>386</v>
      </c>
    </row>
    <row r="14" spans="1:5" ht="72" customHeight="1" x14ac:dyDescent="0.25">
      <c r="A14" s="224"/>
      <c r="B14" s="224"/>
      <c r="C14" s="54" t="s">
        <v>111</v>
      </c>
      <c r="D14" s="55" t="s">
        <v>387</v>
      </c>
      <c r="E14" s="56" t="s">
        <v>388</v>
      </c>
    </row>
    <row r="15" spans="1:5" ht="72" customHeight="1" x14ac:dyDescent="0.25">
      <c r="A15" s="224"/>
      <c r="B15" s="225"/>
      <c r="C15" s="57" t="s">
        <v>374</v>
      </c>
      <c r="D15" s="58" t="s">
        <v>389</v>
      </c>
      <c r="E15" s="59"/>
    </row>
    <row r="16" spans="1:5" ht="72" customHeight="1" x14ac:dyDescent="0.25">
      <c r="A16" s="224"/>
      <c r="B16" s="223" t="s">
        <v>71</v>
      </c>
      <c r="C16" s="48" t="s">
        <v>67</v>
      </c>
      <c r="D16" s="49" t="s">
        <v>390</v>
      </c>
      <c r="E16" s="50" t="s">
        <v>391</v>
      </c>
    </row>
    <row r="17" spans="1:5" ht="72" customHeight="1" x14ac:dyDescent="0.25">
      <c r="A17" s="224"/>
      <c r="B17" s="224"/>
      <c r="C17" s="51" t="s">
        <v>64</v>
      </c>
      <c r="D17" s="52" t="s">
        <v>392</v>
      </c>
      <c r="E17" s="53" t="s">
        <v>393</v>
      </c>
    </row>
    <row r="18" spans="1:5" ht="72" customHeight="1" x14ac:dyDescent="0.25">
      <c r="A18" s="224"/>
      <c r="B18" s="224"/>
      <c r="C18" s="54" t="s">
        <v>111</v>
      </c>
      <c r="D18" s="55" t="s">
        <v>394</v>
      </c>
      <c r="E18" s="56" t="s">
        <v>395</v>
      </c>
    </row>
    <row r="19" spans="1:5" ht="72" customHeight="1" x14ac:dyDescent="0.25">
      <c r="A19" s="225"/>
      <c r="B19" s="225"/>
      <c r="C19" s="57" t="s">
        <v>374</v>
      </c>
      <c r="D19" s="58" t="s">
        <v>396</v>
      </c>
      <c r="E19" s="59"/>
    </row>
    <row r="20" spans="1:5" ht="72" customHeight="1" x14ac:dyDescent="0.25">
      <c r="A20" s="228" t="s">
        <v>397</v>
      </c>
      <c r="B20" s="223" t="s">
        <v>83</v>
      </c>
      <c r="C20" s="48" t="s">
        <v>67</v>
      </c>
      <c r="D20" s="49" t="s">
        <v>398</v>
      </c>
      <c r="E20" s="50" t="s">
        <v>399</v>
      </c>
    </row>
    <row r="21" spans="1:5" ht="72" customHeight="1" x14ac:dyDescent="0.25">
      <c r="A21" s="224"/>
      <c r="B21" s="224"/>
      <c r="C21" s="51" t="s">
        <v>64</v>
      </c>
      <c r="D21" s="52" t="s">
        <v>400</v>
      </c>
      <c r="E21" s="53" t="s">
        <v>401</v>
      </c>
    </row>
    <row r="22" spans="1:5" ht="72" customHeight="1" x14ac:dyDescent="0.25">
      <c r="A22" s="224"/>
      <c r="B22" s="224"/>
      <c r="C22" s="54" t="s">
        <v>111</v>
      </c>
      <c r="D22" s="55" t="s">
        <v>402</v>
      </c>
      <c r="E22" s="56" t="s">
        <v>403</v>
      </c>
    </row>
    <row r="23" spans="1:5" ht="72" customHeight="1" x14ac:dyDescent="0.25">
      <c r="A23" s="224"/>
      <c r="B23" s="225"/>
      <c r="C23" s="57" t="s">
        <v>374</v>
      </c>
      <c r="D23" s="58" t="s">
        <v>404</v>
      </c>
      <c r="E23" s="59"/>
    </row>
    <row r="24" spans="1:5" ht="72" customHeight="1" x14ac:dyDescent="0.25">
      <c r="A24" s="224"/>
      <c r="B24" s="223" t="s">
        <v>85</v>
      </c>
      <c r="C24" s="48" t="s">
        <v>67</v>
      </c>
      <c r="D24" s="49" t="s">
        <v>405</v>
      </c>
      <c r="E24" s="50" t="s">
        <v>406</v>
      </c>
    </row>
    <row r="25" spans="1:5" ht="72" customHeight="1" x14ac:dyDescent="0.25">
      <c r="A25" s="224"/>
      <c r="B25" s="224"/>
      <c r="C25" s="51" t="s">
        <v>64</v>
      </c>
      <c r="D25" s="52" t="s">
        <v>407</v>
      </c>
      <c r="E25" s="53" t="s">
        <v>408</v>
      </c>
    </row>
    <row r="26" spans="1:5" ht="72" customHeight="1" x14ac:dyDescent="0.25">
      <c r="A26" s="224"/>
      <c r="B26" s="224"/>
      <c r="C26" s="54" t="s">
        <v>111</v>
      </c>
      <c r="D26" s="55" t="s">
        <v>409</v>
      </c>
      <c r="E26" s="56" t="s">
        <v>410</v>
      </c>
    </row>
    <row r="27" spans="1:5" ht="72" customHeight="1" x14ac:dyDescent="0.25">
      <c r="A27" s="224"/>
      <c r="B27" s="225"/>
      <c r="C27" s="57" t="s">
        <v>374</v>
      </c>
      <c r="D27" s="58" t="s">
        <v>411</v>
      </c>
      <c r="E27" s="59"/>
    </row>
    <row r="28" spans="1:5" ht="72" customHeight="1" x14ac:dyDescent="0.25">
      <c r="A28" s="224"/>
      <c r="B28" s="223" t="s">
        <v>87</v>
      </c>
      <c r="C28" s="48" t="s">
        <v>67</v>
      </c>
      <c r="D28" s="49" t="s">
        <v>412</v>
      </c>
      <c r="E28" s="50" t="s">
        <v>413</v>
      </c>
    </row>
    <row r="29" spans="1:5" ht="72" customHeight="1" x14ac:dyDescent="0.25">
      <c r="A29" s="224"/>
      <c r="B29" s="224"/>
      <c r="C29" s="51" t="s">
        <v>64</v>
      </c>
      <c r="D29" s="52" t="s">
        <v>414</v>
      </c>
      <c r="E29" s="53" t="s">
        <v>415</v>
      </c>
    </row>
    <row r="30" spans="1:5" ht="72" customHeight="1" x14ac:dyDescent="0.25">
      <c r="A30" s="224"/>
      <c r="B30" s="224"/>
      <c r="C30" s="54" t="s">
        <v>111</v>
      </c>
      <c r="D30" s="55" t="s">
        <v>416</v>
      </c>
      <c r="E30" s="56" t="s">
        <v>417</v>
      </c>
    </row>
    <row r="31" spans="1:5" ht="72" customHeight="1" x14ac:dyDescent="0.25">
      <c r="A31" s="224"/>
      <c r="B31" s="225"/>
      <c r="C31" s="57" t="s">
        <v>374</v>
      </c>
      <c r="D31" s="58" t="s">
        <v>418</v>
      </c>
      <c r="E31" s="59"/>
    </row>
    <row r="32" spans="1:5" ht="72" customHeight="1" x14ac:dyDescent="0.25">
      <c r="A32" s="224"/>
      <c r="B32" s="223" t="s">
        <v>89</v>
      </c>
      <c r="C32" s="48" t="s">
        <v>67</v>
      </c>
      <c r="D32" s="49" t="s">
        <v>419</v>
      </c>
      <c r="E32" s="50" t="s">
        <v>420</v>
      </c>
    </row>
    <row r="33" spans="1:5" ht="72" customHeight="1" x14ac:dyDescent="0.25">
      <c r="A33" s="224"/>
      <c r="B33" s="224"/>
      <c r="C33" s="51" t="s">
        <v>64</v>
      </c>
      <c r="D33" s="52" t="s">
        <v>421</v>
      </c>
      <c r="E33" s="53" t="s">
        <v>422</v>
      </c>
    </row>
    <row r="34" spans="1:5" ht="72" customHeight="1" x14ac:dyDescent="0.25">
      <c r="A34" s="224"/>
      <c r="B34" s="224"/>
      <c r="C34" s="54" t="s">
        <v>111</v>
      </c>
      <c r="D34" s="55" t="s">
        <v>423</v>
      </c>
      <c r="E34" s="56" t="s">
        <v>424</v>
      </c>
    </row>
    <row r="35" spans="1:5" ht="72" customHeight="1" x14ac:dyDescent="0.25">
      <c r="A35" s="224"/>
      <c r="B35" s="225"/>
      <c r="C35" s="57" t="s">
        <v>374</v>
      </c>
      <c r="D35" s="58" t="s">
        <v>425</v>
      </c>
      <c r="E35" s="59"/>
    </row>
    <row r="36" spans="1:5" ht="72" customHeight="1" x14ac:dyDescent="0.25">
      <c r="A36" s="224"/>
      <c r="B36" s="223" t="s">
        <v>91</v>
      </c>
      <c r="C36" s="48" t="s">
        <v>67</v>
      </c>
      <c r="D36" s="49" t="s">
        <v>426</v>
      </c>
      <c r="E36" s="50" t="s">
        <v>427</v>
      </c>
    </row>
    <row r="37" spans="1:5" ht="72" customHeight="1" x14ac:dyDescent="0.25">
      <c r="A37" s="224"/>
      <c r="B37" s="224"/>
      <c r="C37" s="51" t="s">
        <v>64</v>
      </c>
      <c r="D37" s="52" t="s">
        <v>428</v>
      </c>
      <c r="E37" s="53" t="s">
        <v>429</v>
      </c>
    </row>
    <row r="38" spans="1:5" ht="72" customHeight="1" x14ac:dyDescent="0.25">
      <c r="A38" s="224"/>
      <c r="B38" s="224"/>
      <c r="C38" s="54" t="s">
        <v>111</v>
      </c>
      <c r="D38" s="55" t="s">
        <v>430</v>
      </c>
      <c r="E38" s="56" t="s">
        <v>431</v>
      </c>
    </row>
    <row r="39" spans="1:5" ht="72" customHeight="1" x14ac:dyDescent="0.25">
      <c r="A39" s="225"/>
      <c r="B39" s="225"/>
      <c r="C39" s="57" t="s">
        <v>374</v>
      </c>
      <c r="D39" s="58" t="s">
        <v>432</v>
      </c>
      <c r="E39" s="59"/>
    </row>
    <row r="40" spans="1:5" ht="72" customHeight="1" x14ac:dyDescent="0.25">
      <c r="A40" s="228" t="s">
        <v>433</v>
      </c>
      <c r="B40" s="223" t="s">
        <v>98</v>
      </c>
      <c r="C40" s="48" t="s">
        <v>67</v>
      </c>
      <c r="D40" s="49" t="s">
        <v>434</v>
      </c>
      <c r="E40" s="50" t="s">
        <v>435</v>
      </c>
    </row>
    <row r="41" spans="1:5" ht="72" customHeight="1" x14ac:dyDescent="0.25">
      <c r="A41" s="224"/>
      <c r="B41" s="224"/>
      <c r="C41" s="51" t="s">
        <v>64</v>
      </c>
      <c r="D41" s="52" t="s">
        <v>436</v>
      </c>
      <c r="E41" s="53" t="s">
        <v>437</v>
      </c>
    </row>
    <row r="42" spans="1:5" ht="72" customHeight="1" x14ac:dyDescent="0.25">
      <c r="A42" s="224"/>
      <c r="B42" s="224"/>
      <c r="C42" s="54" t="s">
        <v>111</v>
      </c>
      <c r="D42" s="55" t="s">
        <v>438</v>
      </c>
      <c r="E42" s="56" t="s">
        <v>439</v>
      </c>
    </row>
    <row r="43" spans="1:5" ht="72" customHeight="1" x14ac:dyDescent="0.25">
      <c r="A43" s="224"/>
      <c r="B43" s="225"/>
      <c r="C43" s="57" t="s">
        <v>374</v>
      </c>
      <c r="D43" s="58" t="s">
        <v>440</v>
      </c>
      <c r="E43" s="59"/>
    </row>
    <row r="44" spans="1:5" ht="72" customHeight="1" x14ac:dyDescent="0.25">
      <c r="A44" s="224"/>
      <c r="B44" s="223" t="s">
        <v>100</v>
      </c>
      <c r="C44" s="48" t="s">
        <v>67</v>
      </c>
      <c r="D44" s="49" t="s">
        <v>441</v>
      </c>
      <c r="E44" s="50" t="s">
        <v>442</v>
      </c>
    </row>
    <row r="45" spans="1:5" ht="72" customHeight="1" x14ac:dyDescent="0.25">
      <c r="A45" s="224"/>
      <c r="B45" s="224"/>
      <c r="C45" s="51" t="s">
        <v>64</v>
      </c>
      <c r="D45" s="52" t="s">
        <v>443</v>
      </c>
      <c r="E45" s="53" t="s">
        <v>444</v>
      </c>
    </row>
    <row r="46" spans="1:5" ht="72" customHeight="1" x14ac:dyDescent="0.25">
      <c r="A46" s="224"/>
      <c r="B46" s="224"/>
      <c r="C46" s="54" t="s">
        <v>111</v>
      </c>
      <c r="D46" s="55" t="s">
        <v>445</v>
      </c>
      <c r="E46" s="56" t="s">
        <v>446</v>
      </c>
    </row>
    <row r="47" spans="1:5" ht="72" customHeight="1" x14ac:dyDescent="0.25">
      <c r="A47" s="224"/>
      <c r="B47" s="225"/>
      <c r="C47" s="57" t="s">
        <v>374</v>
      </c>
      <c r="D47" s="58" t="s">
        <v>396</v>
      </c>
      <c r="E47" s="59"/>
    </row>
    <row r="48" spans="1:5" ht="72" customHeight="1" x14ac:dyDescent="0.25">
      <c r="A48" s="224"/>
      <c r="B48" s="223" t="s">
        <v>102</v>
      </c>
      <c r="C48" s="48" t="s">
        <v>67</v>
      </c>
      <c r="D48" s="49" t="s">
        <v>447</v>
      </c>
      <c r="E48" s="50" t="s">
        <v>448</v>
      </c>
    </row>
    <row r="49" spans="1:5" ht="72" customHeight="1" x14ac:dyDescent="0.25">
      <c r="A49" s="224"/>
      <c r="B49" s="224"/>
      <c r="C49" s="51" t="s">
        <v>64</v>
      </c>
      <c r="D49" s="52" t="s">
        <v>449</v>
      </c>
      <c r="E49" s="53" t="s">
        <v>450</v>
      </c>
    </row>
    <row r="50" spans="1:5" ht="72" customHeight="1" x14ac:dyDescent="0.25">
      <c r="A50" s="224"/>
      <c r="B50" s="224"/>
      <c r="C50" s="54" t="s">
        <v>111</v>
      </c>
      <c r="D50" s="55" t="s">
        <v>451</v>
      </c>
      <c r="E50" s="56" t="s">
        <v>452</v>
      </c>
    </row>
    <row r="51" spans="1:5" ht="72" customHeight="1" x14ac:dyDescent="0.25">
      <c r="A51" s="224"/>
      <c r="B51" s="225"/>
      <c r="C51" s="57" t="s">
        <v>374</v>
      </c>
      <c r="D51" s="58" t="s">
        <v>396</v>
      </c>
      <c r="E51" s="59"/>
    </row>
    <row r="52" spans="1:5" ht="72" customHeight="1" x14ac:dyDescent="0.25">
      <c r="A52" s="224"/>
      <c r="B52" s="223" t="s">
        <v>104</v>
      </c>
      <c r="C52" s="48" t="s">
        <v>67</v>
      </c>
      <c r="D52" s="49" t="s">
        <v>453</v>
      </c>
      <c r="E52" s="50" t="s">
        <v>454</v>
      </c>
    </row>
    <row r="53" spans="1:5" ht="72" customHeight="1" x14ac:dyDescent="0.25">
      <c r="A53" s="224"/>
      <c r="B53" s="224"/>
      <c r="C53" s="51" t="s">
        <v>64</v>
      </c>
      <c r="D53" s="52" t="s">
        <v>455</v>
      </c>
      <c r="E53" s="53" t="s">
        <v>456</v>
      </c>
    </row>
    <row r="54" spans="1:5" ht="72" customHeight="1" x14ac:dyDescent="0.25">
      <c r="A54" s="224"/>
      <c r="B54" s="224"/>
      <c r="C54" s="54" t="s">
        <v>111</v>
      </c>
      <c r="D54" s="55" t="s">
        <v>457</v>
      </c>
      <c r="E54" s="56" t="s">
        <v>458</v>
      </c>
    </row>
    <row r="55" spans="1:5" ht="72" customHeight="1" x14ac:dyDescent="0.25">
      <c r="A55" s="224"/>
      <c r="B55" s="225"/>
      <c r="C55" s="57" t="s">
        <v>374</v>
      </c>
      <c r="D55" s="58" t="s">
        <v>396</v>
      </c>
      <c r="E55" s="59"/>
    </row>
    <row r="56" spans="1:5" ht="72" customHeight="1" x14ac:dyDescent="0.25">
      <c r="A56" s="224"/>
      <c r="B56" s="223" t="s">
        <v>106</v>
      </c>
      <c r="C56" s="48" t="s">
        <v>67</v>
      </c>
      <c r="D56" s="49" t="s">
        <v>459</v>
      </c>
      <c r="E56" s="50" t="s">
        <v>460</v>
      </c>
    </row>
    <row r="57" spans="1:5" ht="72" customHeight="1" x14ac:dyDescent="0.25">
      <c r="A57" s="224"/>
      <c r="B57" s="224"/>
      <c r="C57" s="51" t="s">
        <v>64</v>
      </c>
      <c r="D57" s="52" t="s">
        <v>461</v>
      </c>
      <c r="E57" s="53" t="s">
        <v>462</v>
      </c>
    </row>
    <row r="58" spans="1:5" ht="72" customHeight="1" x14ac:dyDescent="0.25">
      <c r="A58" s="224"/>
      <c r="B58" s="224"/>
      <c r="C58" s="54" t="s">
        <v>111</v>
      </c>
      <c r="D58" s="55" t="s">
        <v>463</v>
      </c>
      <c r="E58" s="56" t="s">
        <v>464</v>
      </c>
    </row>
    <row r="59" spans="1:5" ht="72" customHeight="1" x14ac:dyDescent="0.25">
      <c r="A59" s="224"/>
      <c r="B59" s="225"/>
      <c r="C59" s="57" t="s">
        <v>374</v>
      </c>
      <c r="D59" s="58" t="s">
        <v>396</v>
      </c>
      <c r="E59" s="59"/>
    </row>
    <row r="60" spans="1:5" ht="72" customHeight="1" x14ac:dyDescent="0.25">
      <c r="A60" s="224"/>
      <c r="B60" s="223" t="s">
        <v>108</v>
      </c>
      <c r="C60" s="48" t="s">
        <v>67</v>
      </c>
      <c r="D60" s="49" t="s">
        <v>465</v>
      </c>
      <c r="E60" s="50" t="s">
        <v>466</v>
      </c>
    </row>
    <row r="61" spans="1:5" ht="72" customHeight="1" x14ac:dyDescent="0.25">
      <c r="A61" s="224"/>
      <c r="B61" s="224"/>
      <c r="C61" s="51" t="s">
        <v>64</v>
      </c>
      <c r="D61" s="52" t="s">
        <v>467</v>
      </c>
      <c r="E61" s="53" t="s">
        <v>468</v>
      </c>
    </row>
    <row r="62" spans="1:5" ht="72" customHeight="1" x14ac:dyDescent="0.25">
      <c r="A62" s="224"/>
      <c r="B62" s="224"/>
      <c r="C62" s="54" t="s">
        <v>111</v>
      </c>
      <c r="D62" s="55" t="s">
        <v>469</v>
      </c>
      <c r="E62" s="56" t="s">
        <v>470</v>
      </c>
    </row>
    <row r="63" spans="1:5" ht="72" customHeight="1" x14ac:dyDescent="0.25">
      <c r="A63" s="224"/>
      <c r="B63" s="225"/>
      <c r="C63" s="57" t="s">
        <v>374</v>
      </c>
      <c r="D63" s="58" t="s">
        <v>471</v>
      </c>
      <c r="E63" s="59"/>
    </row>
    <row r="64" spans="1:5" ht="72" customHeight="1" x14ac:dyDescent="0.25">
      <c r="A64" s="224"/>
      <c r="B64" s="223" t="s">
        <v>472</v>
      </c>
      <c r="C64" s="48" t="s">
        <v>67</v>
      </c>
      <c r="D64" s="49" t="s">
        <v>473</v>
      </c>
      <c r="E64" s="50" t="s">
        <v>474</v>
      </c>
    </row>
    <row r="65" spans="1:5" ht="72" customHeight="1" x14ac:dyDescent="0.25">
      <c r="A65" s="224"/>
      <c r="B65" s="224"/>
      <c r="C65" s="51" t="s">
        <v>64</v>
      </c>
      <c r="D65" s="52" t="s">
        <v>475</v>
      </c>
      <c r="E65" s="53" t="s">
        <v>476</v>
      </c>
    </row>
    <row r="66" spans="1:5" ht="72" customHeight="1" x14ac:dyDescent="0.25">
      <c r="A66" s="224"/>
      <c r="B66" s="224"/>
      <c r="C66" s="54" t="s">
        <v>111</v>
      </c>
      <c r="D66" s="55" t="s">
        <v>477</v>
      </c>
      <c r="E66" s="56" t="s">
        <v>478</v>
      </c>
    </row>
    <row r="67" spans="1:5" ht="72" customHeight="1" x14ac:dyDescent="0.25">
      <c r="A67" s="225"/>
      <c r="B67" s="225"/>
      <c r="C67" s="57" t="s">
        <v>374</v>
      </c>
      <c r="D67" s="58" t="s">
        <v>479</v>
      </c>
      <c r="E67" s="59"/>
    </row>
    <row r="68" spans="1:5" ht="72" customHeight="1" x14ac:dyDescent="0.25">
      <c r="A68" s="228" t="s">
        <v>480</v>
      </c>
      <c r="B68" s="223" t="s">
        <v>118</v>
      </c>
      <c r="C68" s="48" t="s">
        <v>67</v>
      </c>
      <c r="D68" s="49" t="s">
        <v>481</v>
      </c>
      <c r="E68" s="50" t="s">
        <v>482</v>
      </c>
    </row>
    <row r="69" spans="1:5" ht="72" customHeight="1" x14ac:dyDescent="0.25">
      <c r="A69" s="224"/>
      <c r="B69" s="224"/>
      <c r="C69" s="51" t="s">
        <v>64</v>
      </c>
      <c r="D69" s="52" t="s">
        <v>483</v>
      </c>
      <c r="E69" s="53" t="s">
        <v>484</v>
      </c>
    </row>
    <row r="70" spans="1:5" ht="72" customHeight="1" x14ac:dyDescent="0.25">
      <c r="A70" s="224"/>
      <c r="B70" s="224"/>
      <c r="C70" s="54" t="s">
        <v>111</v>
      </c>
      <c r="D70" s="55" t="s">
        <v>485</v>
      </c>
      <c r="E70" s="56" t="s">
        <v>486</v>
      </c>
    </row>
    <row r="71" spans="1:5" ht="72" customHeight="1" x14ac:dyDescent="0.25">
      <c r="A71" s="224"/>
      <c r="B71" s="225"/>
      <c r="C71" s="57" t="s">
        <v>374</v>
      </c>
      <c r="D71" s="58" t="s">
        <v>487</v>
      </c>
      <c r="E71" s="59"/>
    </row>
    <row r="72" spans="1:5" ht="72" customHeight="1" x14ac:dyDescent="0.25">
      <c r="A72" s="224"/>
      <c r="B72" s="223" t="s">
        <v>120</v>
      </c>
      <c r="C72" s="48" t="s">
        <v>67</v>
      </c>
      <c r="D72" s="49" t="s">
        <v>488</v>
      </c>
      <c r="E72" s="50" t="s">
        <v>489</v>
      </c>
    </row>
    <row r="73" spans="1:5" ht="72" customHeight="1" x14ac:dyDescent="0.25">
      <c r="A73" s="224"/>
      <c r="B73" s="224"/>
      <c r="C73" s="51" t="s">
        <v>64</v>
      </c>
      <c r="D73" s="52" t="s">
        <v>490</v>
      </c>
      <c r="E73" s="53" t="s">
        <v>491</v>
      </c>
    </row>
    <row r="74" spans="1:5" ht="72" customHeight="1" x14ac:dyDescent="0.25">
      <c r="A74" s="224"/>
      <c r="B74" s="224"/>
      <c r="C74" s="54" t="s">
        <v>111</v>
      </c>
      <c r="D74" s="55" t="s">
        <v>492</v>
      </c>
      <c r="E74" s="56" t="s">
        <v>493</v>
      </c>
    </row>
    <row r="75" spans="1:5" ht="72" customHeight="1" x14ac:dyDescent="0.25">
      <c r="A75" s="224"/>
      <c r="B75" s="225"/>
      <c r="C75" s="57" t="s">
        <v>374</v>
      </c>
      <c r="D75" s="58" t="s">
        <v>494</v>
      </c>
      <c r="E75" s="59"/>
    </row>
    <row r="76" spans="1:5" ht="72" customHeight="1" x14ac:dyDescent="0.25">
      <c r="A76" s="224"/>
      <c r="B76" s="223" t="s">
        <v>122</v>
      </c>
      <c r="C76" s="48" t="s">
        <v>67</v>
      </c>
      <c r="D76" s="49" t="s">
        <v>495</v>
      </c>
      <c r="E76" s="50" t="s">
        <v>496</v>
      </c>
    </row>
    <row r="77" spans="1:5" ht="72" customHeight="1" x14ac:dyDescent="0.25">
      <c r="A77" s="224"/>
      <c r="B77" s="224"/>
      <c r="C77" s="51" t="s">
        <v>64</v>
      </c>
      <c r="D77" s="52" t="s">
        <v>497</v>
      </c>
      <c r="E77" s="53" t="s">
        <v>498</v>
      </c>
    </row>
    <row r="78" spans="1:5" ht="72" customHeight="1" x14ac:dyDescent="0.25">
      <c r="A78" s="224"/>
      <c r="B78" s="224"/>
      <c r="C78" s="54" t="s">
        <v>111</v>
      </c>
      <c r="D78" s="55" t="s">
        <v>499</v>
      </c>
      <c r="E78" s="56" t="s">
        <v>500</v>
      </c>
    </row>
    <row r="79" spans="1:5" ht="72" customHeight="1" x14ac:dyDescent="0.25">
      <c r="A79" s="224"/>
      <c r="B79" s="225"/>
      <c r="C79" s="57" t="s">
        <v>374</v>
      </c>
      <c r="D79" s="58" t="s">
        <v>501</v>
      </c>
      <c r="E79" s="59"/>
    </row>
    <row r="80" spans="1:5" ht="72" customHeight="1" x14ac:dyDescent="0.25">
      <c r="A80" s="224"/>
      <c r="B80" s="223" t="s">
        <v>124</v>
      </c>
      <c r="C80" s="48" t="s">
        <v>67</v>
      </c>
      <c r="D80" s="49" t="s">
        <v>502</v>
      </c>
      <c r="E80" s="50" t="s">
        <v>503</v>
      </c>
    </row>
    <row r="81" spans="1:5" ht="72" customHeight="1" x14ac:dyDescent="0.25">
      <c r="A81" s="224"/>
      <c r="B81" s="224"/>
      <c r="C81" s="51" t="s">
        <v>64</v>
      </c>
      <c r="D81" s="52" t="s">
        <v>504</v>
      </c>
      <c r="E81" s="53" t="s">
        <v>505</v>
      </c>
    </row>
    <row r="82" spans="1:5" ht="72" customHeight="1" x14ac:dyDescent="0.25">
      <c r="A82" s="224"/>
      <c r="B82" s="224"/>
      <c r="C82" s="54" t="s">
        <v>111</v>
      </c>
      <c r="D82" s="55" t="s">
        <v>506</v>
      </c>
      <c r="E82" s="56" t="s">
        <v>507</v>
      </c>
    </row>
    <row r="83" spans="1:5" ht="72" customHeight="1" x14ac:dyDescent="0.25">
      <c r="A83" s="225"/>
      <c r="B83" s="225"/>
      <c r="C83" s="57" t="s">
        <v>374</v>
      </c>
      <c r="D83" s="58" t="s">
        <v>508</v>
      </c>
      <c r="E83" s="59"/>
    </row>
    <row r="84" spans="1:5" ht="72" customHeight="1" x14ac:dyDescent="0.25">
      <c r="A84" s="228" t="s">
        <v>509</v>
      </c>
      <c r="B84" s="223" t="s">
        <v>132</v>
      </c>
      <c r="C84" s="48" t="s">
        <v>67</v>
      </c>
      <c r="D84" s="49" t="s">
        <v>510</v>
      </c>
      <c r="E84" s="50" t="s">
        <v>511</v>
      </c>
    </row>
    <row r="85" spans="1:5" ht="72" customHeight="1" x14ac:dyDescent="0.25">
      <c r="A85" s="224"/>
      <c r="B85" s="224"/>
      <c r="C85" s="51" t="s">
        <v>64</v>
      </c>
      <c r="D85" s="52" t="s">
        <v>512</v>
      </c>
      <c r="E85" s="53" t="s">
        <v>513</v>
      </c>
    </row>
    <row r="86" spans="1:5" ht="72" customHeight="1" x14ac:dyDescent="0.25">
      <c r="A86" s="224"/>
      <c r="B86" s="224"/>
      <c r="C86" s="54" t="s">
        <v>111</v>
      </c>
      <c r="D86" s="55" t="s">
        <v>514</v>
      </c>
      <c r="E86" s="56" t="s">
        <v>515</v>
      </c>
    </row>
    <row r="87" spans="1:5" ht="72" customHeight="1" x14ac:dyDescent="0.25">
      <c r="A87" s="224"/>
      <c r="B87" s="225"/>
      <c r="C87" s="57" t="s">
        <v>374</v>
      </c>
      <c r="D87" s="58" t="s">
        <v>516</v>
      </c>
      <c r="E87" s="59"/>
    </row>
    <row r="88" spans="1:5" ht="72" customHeight="1" x14ac:dyDescent="0.25">
      <c r="A88" s="224"/>
      <c r="B88" s="223" t="s">
        <v>134</v>
      </c>
      <c r="C88" s="48" t="s">
        <v>67</v>
      </c>
      <c r="D88" s="49" t="s">
        <v>517</v>
      </c>
      <c r="E88" s="50" t="s">
        <v>518</v>
      </c>
    </row>
    <row r="89" spans="1:5" ht="72" customHeight="1" x14ac:dyDescent="0.25">
      <c r="A89" s="224"/>
      <c r="B89" s="224"/>
      <c r="C89" s="51" t="s">
        <v>64</v>
      </c>
      <c r="D89" s="52" t="s">
        <v>519</v>
      </c>
      <c r="E89" s="53" t="s">
        <v>520</v>
      </c>
    </row>
    <row r="90" spans="1:5" ht="72" customHeight="1" x14ac:dyDescent="0.25">
      <c r="A90" s="224"/>
      <c r="B90" s="224"/>
      <c r="C90" s="54" t="s">
        <v>111</v>
      </c>
      <c r="D90" s="55" t="s">
        <v>521</v>
      </c>
      <c r="E90" s="56" t="s">
        <v>522</v>
      </c>
    </row>
    <row r="91" spans="1:5" ht="72" customHeight="1" x14ac:dyDescent="0.25">
      <c r="A91" s="224"/>
      <c r="B91" s="225"/>
      <c r="C91" s="57" t="s">
        <v>374</v>
      </c>
      <c r="D91" s="58" t="s">
        <v>516</v>
      </c>
      <c r="E91" s="59"/>
    </row>
    <row r="92" spans="1:5" ht="72" customHeight="1" x14ac:dyDescent="0.25">
      <c r="A92" s="224"/>
      <c r="B92" s="223" t="s">
        <v>136</v>
      </c>
      <c r="C92" s="48" t="s">
        <v>67</v>
      </c>
      <c r="D92" s="49" t="s">
        <v>523</v>
      </c>
      <c r="E92" s="50" t="s">
        <v>524</v>
      </c>
    </row>
    <row r="93" spans="1:5" ht="72" customHeight="1" x14ac:dyDescent="0.25">
      <c r="A93" s="224"/>
      <c r="B93" s="224"/>
      <c r="C93" s="51" t="s">
        <v>64</v>
      </c>
      <c r="D93" s="52" t="s">
        <v>525</v>
      </c>
      <c r="E93" s="53" t="s">
        <v>526</v>
      </c>
    </row>
    <row r="94" spans="1:5" ht="72" customHeight="1" x14ac:dyDescent="0.25">
      <c r="A94" s="224"/>
      <c r="B94" s="224"/>
      <c r="C94" s="54" t="s">
        <v>111</v>
      </c>
      <c r="D94" s="55" t="s">
        <v>527</v>
      </c>
      <c r="E94" s="56" t="s">
        <v>528</v>
      </c>
    </row>
    <row r="95" spans="1:5" ht="72" customHeight="1" x14ac:dyDescent="0.25">
      <c r="A95" s="224"/>
      <c r="B95" s="225"/>
      <c r="C95" s="57" t="s">
        <v>374</v>
      </c>
      <c r="D95" s="58" t="s">
        <v>516</v>
      </c>
      <c r="E95" s="59"/>
    </row>
    <row r="96" spans="1:5" ht="72" customHeight="1" x14ac:dyDescent="0.25">
      <c r="A96" s="224"/>
      <c r="B96" s="223" t="s">
        <v>138</v>
      </c>
      <c r="C96" s="48" t="s">
        <v>67</v>
      </c>
      <c r="D96" s="49" t="s">
        <v>529</v>
      </c>
      <c r="E96" s="50" t="s">
        <v>530</v>
      </c>
    </row>
    <row r="97" spans="1:5" ht="72" customHeight="1" x14ac:dyDescent="0.25">
      <c r="A97" s="224"/>
      <c r="B97" s="224"/>
      <c r="C97" s="51" t="s">
        <v>64</v>
      </c>
      <c r="D97" s="52" t="s">
        <v>531</v>
      </c>
      <c r="E97" s="53" t="s">
        <v>532</v>
      </c>
    </row>
    <row r="98" spans="1:5" ht="72" customHeight="1" x14ac:dyDescent="0.25">
      <c r="A98" s="224"/>
      <c r="B98" s="224"/>
      <c r="C98" s="54" t="s">
        <v>111</v>
      </c>
      <c r="D98" s="55" t="s">
        <v>533</v>
      </c>
      <c r="E98" s="56" t="s">
        <v>534</v>
      </c>
    </row>
    <row r="99" spans="1:5" ht="72" customHeight="1" x14ac:dyDescent="0.25">
      <c r="A99" s="225"/>
      <c r="B99" s="225"/>
      <c r="C99" s="57" t="s">
        <v>374</v>
      </c>
      <c r="D99" s="58" t="s">
        <v>516</v>
      </c>
      <c r="E99" s="59"/>
    </row>
    <row r="100" spans="1:5" ht="72" customHeight="1" x14ac:dyDescent="0.25">
      <c r="A100" s="228" t="s">
        <v>535</v>
      </c>
      <c r="B100" s="223" t="s">
        <v>154</v>
      </c>
      <c r="C100" s="48" t="s">
        <v>67</v>
      </c>
      <c r="D100" s="49" t="s">
        <v>536</v>
      </c>
      <c r="E100" s="50" t="s">
        <v>537</v>
      </c>
    </row>
    <row r="101" spans="1:5" ht="72" customHeight="1" x14ac:dyDescent="0.25">
      <c r="A101" s="224"/>
      <c r="B101" s="224"/>
      <c r="C101" s="51" t="s">
        <v>64</v>
      </c>
      <c r="D101" s="52" t="s">
        <v>538</v>
      </c>
      <c r="E101" s="53" t="s">
        <v>539</v>
      </c>
    </row>
    <row r="102" spans="1:5" ht="72" customHeight="1" x14ac:dyDescent="0.25">
      <c r="A102" s="224"/>
      <c r="B102" s="224"/>
      <c r="C102" s="54" t="s">
        <v>111</v>
      </c>
      <c r="D102" s="55" t="s">
        <v>540</v>
      </c>
      <c r="E102" s="56" t="s">
        <v>541</v>
      </c>
    </row>
    <row r="103" spans="1:5" ht="72" customHeight="1" x14ac:dyDescent="0.25">
      <c r="A103" s="224"/>
      <c r="B103" s="225"/>
      <c r="C103" s="57" t="s">
        <v>374</v>
      </c>
      <c r="D103" s="58" t="s">
        <v>542</v>
      </c>
      <c r="E103" s="59"/>
    </row>
    <row r="104" spans="1:5" ht="72" customHeight="1" x14ac:dyDescent="0.25">
      <c r="A104" s="224"/>
      <c r="B104" s="223" t="s">
        <v>156</v>
      </c>
      <c r="C104" s="48" t="s">
        <v>67</v>
      </c>
      <c r="D104" s="49" t="s">
        <v>543</v>
      </c>
      <c r="E104" s="50" t="s">
        <v>544</v>
      </c>
    </row>
    <row r="105" spans="1:5" ht="72" customHeight="1" x14ac:dyDescent="0.25">
      <c r="A105" s="224"/>
      <c r="B105" s="224"/>
      <c r="C105" s="51" t="s">
        <v>64</v>
      </c>
      <c r="D105" s="52" t="s">
        <v>545</v>
      </c>
      <c r="E105" s="53" t="s">
        <v>546</v>
      </c>
    </row>
    <row r="106" spans="1:5" ht="72" customHeight="1" x14ac:dyDescent="0.25">
      <c r="A106" s="224"/>
      <c r="B106" s="224"/>
      <c r="C106" s="54" t="s">
        <v>111</v>
      </c>
      <c r="D106" s="55" t="s">
        <v>547</v>
      </c>
      <c r="E106" s="56" t="s">
        <v>548</v>
      </c>
    </row>
    <row r="107" spans="1:5" ht="72" customHeight="1" x14ac:dyDescent="0.25">
      <c r="A107" s="224"/>
      <c r="B107" s="225"/>
      <c r="C107" s="57" t="s">
        <v>374</v>
      </c>
      <c r="D107" s="58" t="s">
        <v>549</v>
      </c>
      <c r="E107" s="59"/>
    </row>
    <row r="108" spans="1:5" ht="72" customHeight="1" x14ac:dyDescent="0.25">
      <c r="A108" s="224"/>
      <c r="B108" s="223" t="s">
        <v>158</v>
      </c>
      <c r="C108" s="48" t="s">
        <v>67</v>
      </c>
      <c r="D108" s="49" t="s">
        <v>550</v>
      </c>
      <c r="E108" s="50" t="s">
        <v>551</v>
      </c>
    </row>
    <row r="109" spans="1:5" ht="72" customHeight="1" x14ac:dyDescent="0.25">
      <c r="A109" s="224"/>
      <c r="B109" s="224"/>
      <c r="C109" s="51" t="s">
        <v>64</v>
      </c>
      <c r="D109" s="52" t="s">
        <v>552</v>
      </c>
      <c r="E109" s="53" t="s">
        <v>553</v>
      </c>
    </row>
    <row r="110" spans="1:5" ht="72" customHeight="1" x14ac:dyDescent="0.25">
      <c r="A110" s="224"/>
      <c r="B110" s="224"/>
      <c r="C110" s="54" t="s">
        <v>111</v>
      </c>
      <c r="D110" s="55" t="s">
        <v>554</v>
      </c>
      <c r="E110" s="56" t="s">
        <v>555</v>
      </c>
    </row>
    <row r="111" spans="1:5" ht="72" customHeight="1" x14ac:dyDescent="0.25">
      <c r="A111" s="224"/>
      <c r="B111" s="225"/>
      <c r="C111" s="57" t="s">
        <v>374</v>
      </c>
      <c r="D111" s="58" t="s">
        <v>556</v>
      </c>
      <c r="E111" s="59"/>
    </row>
    <row r="112" spans="1:5" ht="72" customHeight="1" x14ac:dyDescent="0.25">
      <c r="A112" s="224"/>
      <c r="B112" s="223" t="s">
        <v>160</v>
      </c>
      <c r="C112" s="48" t="s">
        <v>67</v>
      </c>
      <c r="D112" s="49" t="s">
        <v>557</v>
      </c>
      <c r="E112" s="50" t="s">
        <v>558</v>
      </c>
    </row>
    <row r="113" spans="1:5" ht="72" customHeight="1" x14ac:dyDescent="0.25">
      <c r="A113" s="224"/>
      <c r="B113" s="224"/>
      <c r="C113" s="51" t="s">
        <v>64</v>
      </c>
      <c r="D113" s="52" t="s">
        <v>559</v>
      </c>
      <c r="E113" s="53" t="s">
        <v>560</v>
      </c>
    </row>
    <row r="114" spans="1:5" ht="72" customHeight="1" x14ac:dyDescent="0.25">
      <c r="A114" s="224"/>
      <c r="B114" s="224"/>
      <c r="C114" s="54" t="s">
        <v>111</v>
      </c>
      <c r="D114" s="55" t="s">
        <v>561</v>
      </c>
      <c r="E114" s="56" t="s">
        <v>562</v>
      </c>
    </row>
    <row r="115" spans="1:5" ht="72" customHeight="1" x14ac:dyDescent="0.25">
      <c r="A115" s="224"/>
      <c r="B115" s="225"/>
      <c r="C115" s="57" t="s">
        <v>374</v>
      </c>
      <c r="D115" s="58" t="s">
        <v>396</v>
      </c>
      <c r="E115" s="59"/>
    </row>
    <row r="116" spans="1:5" ht="72" customHeight="1" x14ac:dyDescent="0.25">
      <c r="A116" s="224"/>
      <c r="B116" s="223" t="s">
        <v>162</v>
      </c>
      <c r="C116" s="48" t="s">
        <v>67</v>
      </c>
      <c r="D116" s="49" t="s">
        <v>563</v>
      </c>
      <c r="E116" s="50" t="s">
        <v>564</v>
      </c>
    </row>
    <row r="117" spans="1:5" ht="72" customHeight="1" x14ac:dyDescent="0.25">
      <c r="A117" s="224"/>
      <c r="B117" s="224"/>
      <c r="C117" s="51" t="s">
        <v>64</v>
      </c>
      <c r="D117" s="52" t="s">
        <v>565</v>
      </c>
      <c r="E117" s="53" t="s">
        <v>566</v>
      </c>
    </row>
    <row r="118" spans="1:5" ht="72" customHeight="1" x14ac:dyDescent="0.25">
      <c r="A118" s="224"/>
      <c r="B118" s="224"/>
      <c r="C118" s="54" t="s">
        <v>111</v>
      </c>
      <c r="D118" s="55" t="s">
        <v>567</v>
      </c>
      <c r="E118" s="56" t="s">
        <v>568</v>
      </c>
    </row>
    <row r="119" spans="1:5" ht="72" customHeight="1" x14ac:dyDescent="0.25">
      <c r="A119" s="225"/>
      <c r="B119" s="225"/>
      <c r="C119" s="57" t="s">
        <v>374</v>
      </c>
      <c r="D119" s="58" t="s">
        <v>396</v>
      </c>
      <c r="E119" s="59"/>
    </row>
    <row r="120" spans="1:5" ht="72" customHeight="1" x14ac:dyDescent="0.25">
      <c r="A120" s="228" t="s">
        <v>569</v>
      </c>
      <c r="B120" s="223" t="s">
        <v>169</v>
      </c>
      <c r="C120" s="48" t="s">
        <v>67</v>
      </c>
      <c r="D120" s="49" t="s">
        <v>570</v>
      </c>
      <c r="E120" s="50" t="s">
        <v>571</v>
      </c>
    </row>
    <row r="121" spans="1:5" ht="72" customHeight="1" x14ac:dyDescent="0.25">
      <c r="A121" s="224"/>
      <c r="B121" s="224"/>
      <c r="C121" s="51" t="s">
        <v>64</v>
      </c>
      <c r="D121" s="52" t="s">
        <v>572</v>
      </c>
      <c r="E121" s="53" t="s">
        <v>573</v>
      </c>
    </row>
    <row r="122" spans="1:5" ht="72" customHeight="1" x14ac:dyDescent="0.25">
      <c r="A122" s="224"/>
      <c r="B122" s="224"/>
      <c r="C122" s="54" t="s">
        <v>111</v>
      </c>
      <c r="D122" s="55" t="s">
        <v>574</v>
      </c>
      <c r="E122" s="56" t="s">
        <v>575</v>
      </c>
    </row>
    <row r="123" spans="1:5" ht="72" customHeight="1" x14ac:dyDescent="0.25">
      <c r="A123" s="224"/>
      <c r="B123" s="225"/>
      <c r="C123" s="57" t="s">
        <v>374</v>
      </c>
      <c r="D123" s="58" t="s">
        <v>396</v>
      </c>
      <c r="E123" s="59"/>
    </row>
    <row r="124" spans="1:5" ht="72" customHeight="1" x14ac:dyDescent="0.25">
      <c r="A124" s="224"/>
      <c r="B124" s="223" t="s">
        <v>171</v>
      </c>
      <c r="C124" s="48" t="s">
        <v>67</v>
      </c>
      <c r="D124" s="49" t="s">
        <v>576</v>
      </c>
      <c r="E124" s="50" t="s">
        <v>577</v>
      </c>
    </row>
    <row r="125" spans="1:5" ht="72" customHeight="1" x14ac:dyDescent="0.25">
      <c r="A125" s="224"/>
      <c r="B125" s="224"/>
      <c r="C125" s="51" t="s">
        <v>64</v>
      </c>
      <c r="D125" s="52" t="s">
        <v>578</v>
      </c>
      <c r="E125" s="53" t="s">
        <v>579</v>
      </c>
    </row>
    <row r="126" spans="1:5" ht="72" customHeight="1" x14ac:dyDescent="0.25">
      <c r="A126" s="224"/>
      <c r="B126" s="224"/>
      <c r="C126" s="54" t="s">
        <v>111</v>
      </c>
      <c r="D126" s="55" t="s">
        <v>580</v>
      </c>
      <c r="E126" s="56" t="s">
        <v>581</v>
      </c>
    </row>
    <row r="127" spans="1:5" ht="72" customHeight="1" x14ac:dyDescent="0.25">
      <c r="A127" s="224"/>
      <c r="B127" s="225"/>
      <c r="C127" s="57" t="s">
        <v>374</v>
      </c>
      <c r="D127" s="58" t="s">
        <v>582</v>
      </c>
      <c r="E127" s="59"/>
    </row>
    <row r="128" spans="1:5" ht="72" customHeight="1" x14ac:dyDescent="0.25">
      <c r="A128" s="224"/>
      <c r="B128" s="223" t="s">
        <v>173</v>
      </c>
      <c r="C128" s="48" t="s">
        <v>67</v>
      </c>
      <c r="D128" s="49" t="s">
        <v>583</v>
      </c>
      <c r="E128" s="50" t="s">
        <v>584</v>
      </c>
    </row>
    <row r="129" spans="1:5" ht="72" customHeight="1" x14ac:dyDescent="0.25">
      <c r="A129" s="224"/>
      <c r="B129" s="224"/>
      <c r="C129" s="51" t="s">
        <v>64</v>
      </c>
      <c r="D129" s="52" t="s">
        <v>585</v>
      </c>
      <c r="E129" s="53" t="s">
        <v>586</v>
      </c>
    </row>
    <row r="130" spans="1:5" ht="72" customHeight="1" x14ac:dyDescent="0.25">
      <c r="A130" s="224"/>
      <c r="B130" s="224"/>
      <c r="C130" s="54" t="s">
        <v>111</v>
      </c>
      <c r="D130" s="55" t="s">
        <v>587</v>
      </c>
      <c r="E130" s="56" t="s">
        <v>588</v>
      </c>
    </row>
    <row r="131" spans="1:5" ht="72" customHeight="1" x14ac:dyDescent="0.25">
      <c r="A131" s="224"/>
      <c r="B131" s="225"/>
      <c r="C131" s="57" t="s">
        <v>374</v>
      </c>
      <c r="D131" s="58" t="s">
        <v>589</v>
      </c>
      <c r="E131" s="59"/>
    </row>
    <row r="132" spans="1:5" ht="72" customHeight="1" x14ac:dyDescent="0.25">
      <c r="A132" s="224"/>
      <c r="B132" s="223" t="s">
        <v>323</v>
      </c>
      <c r="C132" s="48" t="s">
        <v>67</v>
      </c>
      <c r="D132" s="49" t="s">
        <v>590</v>
      </c>
      <c r="E132" s="50" t="s">
        <v>591</v>
      </c>
    </row>
    <row r="133" spans="1:5" ht="72" customHeight="1" x14ac:dyDescent="0.25">
      <c r="A133" s="224"/>
      <c r="B133" s="224"/>
      <c r="C133" s="51" t="s">
        <v>64</v>
      </c>
      <c r="D133" s="52" t="s">
        <v>592</v>
      </c>
      <c r="E133" s="53" t="s">
        <v>593</v>
      </c>
    </row>
    <row r="134" spans="1:5" ht="72" customHeight="1" x14ac:dyDescent="0.25">
      <c r="A134" s="224"/>
      <c r="B134" s="224"/>
      <c r="C134" s="54" t="s">
        <v>111</v>
      </c>
      <c r="D134" s="55" t="s">
        <v>594</v>
      </c>
      <c r="E134" s="56" t="s">
        <v>595</v>
      </c>
    </row>
    <row r="135" spans="1:5" ht="72" customHeight="1" x14ac:dyDescent="0.25">
      <c r="A135" s="224"/>
      <c r="B135" s="225"/>
      <c r="C135" s="57" t="s">
        <v>374</v>
      </c>
      <c r="D135" s="58" t="s">
        <v>596</v>
      </c>
      <c r="E135" s="59"/>
    </row>
    <row r="136" spans="1:5" ht="72" customHeight="1" x14ac:dyDescent="0.25">
      <c r="A136" s="224"/>
      <c r="B136" s="223" t="s">
        <v>177</v>
      </c>
      <c r="C136" s="48" t="s">
        <v>67</v>
      </c>
      <c r="D136" s="49" t="s">
        <v>597</v>
      </c>
      <c r="E136" s="50" t="s">
        <v>598</v>
      </c>
    </row>
    <row r="137" spans="1:5" ht="72" customHeight="1" x14ac:dyDescent="0.25">
      <c r="A137" s="224"/>
      <c r="B137" s="224"/>
      <c r="C137" s="51" t="s">
        <v>64</v>
      </c>
      <c r="D137" s="52" t="s">
        <v>599</v>
      </c>
      <c r="E137" s="53" t="s">
        <v>600</v>
      </c>
    </row>
    <row r="138" spans="1:5" ht="72" customHeight="1" x14ac:dyDescent="0.25">
      <c r="A138" s="224"/>
      <c r="B138" s="224"/>
      <c r="C138" s="54" t="s">
        <v>111</v>
      </c>
      <c r="D138" s="55" t="s">
        <v>601</v>
      </c>
      <c r="E138" s="56" t="s">
        <v>602</v>
      </c>
    </row>
    <row r="139" spans="1:5" ht="72" customHeight="1" x14ac:dyDescent="0.25">
      <c r="A139" s="224"/>
      <c r="B139" s="225"/>
      <c r="C139" s="57" t="s">
        <v>374</v>
      </c>
      <c r="D139" s="58" t="s">
        <v>603</v>
      </c>
      <c r="E139" s="59"/>
    </row>
    <row r="140" spans="1:5" ht="72" customHeight="1" x14ac:dyDescent="0.25">
      <c r="A140" s="224"/>
      <c r="B140" s="223" t="s">
        <v>179</v>
      </c>
      <c r="C140" s="48" t="s">
        <v>67</v>
      </c>
      <c r="D140" s="49" t="s">
        <v>604</v>
      </c>
      <c r="E140" s="50" t="s">
        <v>605</v>
      </c>
    </row>
    <row r="141" spans="1:5" ht="72" customHeight="1" x14ac:dyDescent="0.25">
      <c r="A141" s="224"/>
      <c r="B141" s="224"/>
      <c r="C141" s="51" t="s">
        <v>64</v>
      </c>
      <c r="D141" s="52" t="s">
        <v>606</v>
      </c>
      <c r="E141" s="53" t="s">
        <v>607</v>
      </c>
    </row>
    <row r="142" spans="1:5" ht="72" customHeight="1" x14ac:dyDescent="0.25">
      <c r="A142" s="224"/>
      <c r="B142" s="224"/>
      <c r="C142" s="54" t="s">
        <v>111</v>
      </c>
      <c r="D142" s="55" t="s">
        <v>608</v>
      </c>
      <c r="E142" s="56" t="s">
        <v>609</v>
      </c>
    </row>
    <row r="143" spans="1:5" ht="72" customHeight="1" x14ac:dyDescent="0.25">
      <c r="A143" s="225"/>
      <c r="B143" s="225"/>
      <c r="C143" s="57" t="s">
        <v>374</v>
      </c>
      <c r="D143" s="58" t="s">
        <v>610</v>
      </c>
      <c r="E143" s="59"/>
    </row>
    <row r="145" spans="1:5" ht="20.100000000000001" customHeight="1" x14ac:dyDescent="0.25">
      <c r="A145" s="230" t="s">
        <v>611</v>
      </c>
      <c r="B145" s="231"/>
      <c r="C145" s="231"/>
      <c r="D145" s="231"/>
      <c r="E145" s="232"/>
    </row>
    <row r="146" spans="1:5" ht="15.95" customHeight="1" x14ac:dyDescent="0.25">
      <c r="A146" s="103" t="s">
        <v>612</v>
      </c>
      <c r="B146" s="103" t="s">
        <v>613</v>
      </c>
      <c r="C146" s="103" t="s">
        <v>614</v>
      </c>
      <c r="D146" s="103" t="s">
        <v>364</v>
      </c>
      <c r="E146" s="103" t="s">
        <v>365</v>
      </c>
    </row>
    <row r="147" spans="1:5" ht="51.95" customHeight="1" x14ac:dyDescent="0.25">
      <c r="A147" s="104" t="s">
        <v>615</v>
      </c>
      <c r="B147" s="105" t="s">
        <v>616</v>
      </c>
      <c r="C147" s="106" t="s">
        <v>617</v>
      </c>
      <c r="D147" s="107" t="s">
        <v>618</v>
      </c>
      <c r="E147" s="108" t="s">
        <v>619</v>
      </c>
    </row>
    <row r="148" spans="1:5" ht="51.95" customHeight="1" x14ac:dyDescent="0.25">
      <c r="A148" s="109"/>
      <c r="B148" s="110"/>
      <c r="C148" s="111" t="s">
        <v>620</v>
      </c>
      <c r="D148" s="112" t="s">
        <v>621</v>
      </c>
      <c r="E148" s="113" t="s">
        <v>622</v>
      </c>
    </row>
    <row r="149" spans="1:5" ht="51.95" customHeight="1" x14ac:dyDescent="0.25">
      <c r="A149" s="109"/>
      <c r="B149" s="110"/>
      <c r="C149" s="114" t="s">
        <v>623</v>
      </c>
      <c r="D149" s="115" t="s">
        <v>624</v>
      </c>
      <c r="E149" s="116" t="s">
        <v>625</v>
      </c>
    </row>
    <row r="150" spans="1:5" ht="51.95" customHeight="1" x14ac:dyDescent="0.25">
      <c r="A150" s="109"/>
      <c r="B150" s="110"/>
      <c r="C150" s="117" t="s">
        <v>626</v>
      </c>
      <c r="D150" s="118" t="s">
        <v>627</v>
      </c>
      <c r="E150" s="119" t="s">
        <v>628</v>
      </c>
    </row>
    <row r="151" spans="1:5" ht="51.95" customHeight="1" x14ac:dyDescent="0.25">
      <c r="A151" s="109"/>
      <c r="B151" s="110"/>
      <c r="C151" s="120" t="s">
        <v>629</v>
      </c>
      <c r="D151" s="121" t="s">
        <v>630</v>
      </c>
      <c r="E151" s="122" t="s">
        <v>631</v>
      </c>
    </row>
    <row r="152" spans="1:5" ht="51.95" customHeight="1" x14ac:dyDescent="0.25">
      <c r="A152" s="109"/>
      <c r="B152" s="110"/>
      <c r="C152" s="123" t="s">
        <v>632</v>
      </c>
      <c r="D152" s="124" t="s">
        <v>633</v>
      </c>
      <c r="E152" s="125" t="s">
        <v>634</v>
      </c>
    </row>
    <row r="154" spans="1:5" ht="51.95" customHeight="1" x14ac:dyDescent="0.25">
      <c r="A154" s="104" t="s">
        <v>635</v>
      </c>
      <c r="B154" s="105" t="s">
        <v>636</v>
      </c>
      <c r="C154" s="106" t="s">
        <v>617</v>
      </c>
      <c r="D154" s="107" t="s">
        <v>637</v>
      </c>
      <c r="E154" s="108" t="s">
        <v>638</v>
      </c>
    </row>
    <row r="155" spans="1:5" ht="51.95" customHeight="1" x14ac:dyDescent="0.25">
      <c r="A155" s="109"/>
      <c r="B155" s="110"/>
      <c r="C155" s="111" t="s">
        <v>620</v>
      </c>
      <c r="D155" s="112" t="s">
        <v>639</v>
      </c>
      <c r="E155" s="113" t="s">
        <v>640</v>
      </c>
    </row>
    <row r="156" spans="1:5" ht="51.95" customHeight="1" x14ac:dyDescent="0.25">
      <c r="A156" s="109"/>
      <c r="B156" s="110"/>
      <c r="C156" s="114" t="s">
        <v>623</v>
      </c>
      <c r="D156" s="115" t="s">
        <v>641</v>
      </c>
      <c r="E156" s="116" t="s">
        <v>642</v>
      </c>
    </row>
    <row r="157" spans="1:5" ht="51.95" customHeight="1" x14ac:dyDescent="0.25">
      <c r="A157" s="109"/>
      <c r="B157" s="110"/>
      <c r="C157" s="117" t="s">
        <v>626</v>
      </c>
      <c r="D157" s="118" t="s">
        <v>643</v>
      </c>
      <c r="E157" s="119" t="s">
        <v>644</v>
      </c>
    </row>
    <row r="158" spans="1:5" ht="51.95" customHeight="1" x14ac:dyDescent="0.25">
      <c r="A158" s="109"/>
      <c r="B158" s="110"/>
      <c r="C158" s="120" t="s">
        <v>629</v>
      </c>
      <c r="D158" s="121" t="s">
        <v>645</v>
      </c>
      <c r="E158" s="122" t="s">
        <v>646</v>
      </c>
    </row>
    <row r="159" spans="1:5" ht="51.95" customHeight="1" x14ac:dyDescent="0.25">
      <c r="A159" s="109"/>
      <c r="B159" s="110"/>
      <c r="C159" s="123" t="s">
        <v>632</v>
      </c>
      <c r="D159" s="124" t="s">
        <v>647</v>
      </c>
      <c r="E159" s="125" t="s">
        <v>648</v>
      </c>
    </row>
  </sheetData>
  <mergeCells count="45">
    <mergeCell ref="B4:B7"/>
    <mergeCell ref="B20:B23"/>
    <mergeCell ref="B64:B67"/>
    <mergeCell ref="B104:B107"/>
    <mergeCell ref="B100:B103"/>
    <mergeCell ref="B76:B79"/>
    <mergeCell ref="B16:B19"/>
    <mergeCell ref="B32:B35"/>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B140:B143"/>
    <mergeCell ref="B56:B59"/>
    <mergeCell ref="B96:B99"/>
    <mergeCell ref="B12:B15"/>
    <mergeCell ref="B72:B7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209" t="s">
        <v>649</v>
      </c>
      <c r="C1" s="177"/>
    </row>
    <row r="3" spans="2:3" x14ac:dyDescent="0.25">
      <c r="B3" s="175" t="s">
        <v>650</v>
      </c>
      <c r="C3" s="177"/>
    </row>
    <row r="4" spans="2:3" ht="72" customHeight="1" x14ac:dyDescent="0.25">
      <c r="B4" s="16" t="s">
        <v>651</v>
      </c>
      <c r="C4" s="6" t="s">
        <v>652</v>
      </c>
    </row>
    <row r="5" spans="2:3" ht="72" customHeight="1" x14ac:dyDescent="0.25">
      <c r="B5" s="17" t="s">
        <v>653</v>
      </c>
      <c r="C5" s="18" t="s">
        <v>654</v>
      </c>
    </row>
    <row r="6" spans="2:3" ht="72" customHeight="1" x14ac:dyDescent="0.25">
      <c r="B6" s="16" t="s">
        <v>655</v>
      </c>
      <c r="C6" s="6" t="s">
        <v>656</v>
      </c>
    </row>
    <row r="7" spans="2:3" ht="72" customHeight="1" x14ac:dyDescent="0.25">
      <c r="B7" s="17" t="s">
        <v>657</v>
      </c>
      <c r="C7" s="18" t="s">
        <v>658</v>
      </c>
    </row>
    <row r="8" spans="2:3" ht="72" customHeight="1" x14ac:dyDescent="0.25">
      <c r="B8" s="16" t="s">
        <v>659</v>
      </c>
      <c r="C8" s="6" t="s">
        <v>660</v>
      </c>
    </row>
    <row r="9" spans="2:3" ht="72" customHeight="1" x14ac:dyDescent="0.25">
      <c r="B9" s="17" t="s">
        <v>661</v>
      </c>
      <c r="C9" s="18" t="s">
        <v>662</v>
      </c>
    </row>
    <row r="11" spans="2:3" x14ac:dyDescent="0.25">
      <c r="B11" s="175" t="s">
        <v>663</v>
      </c>
      <c r="C11" s="177"/>
    </row>
    <row r="12" spans="2:3" ht="57.95" customHeight="1" x14ac:dyDescent="0.25">
      <c r="B12" s="235" t="s">
        <v>664</v>
      </c>
      <c r="C12" s="180"/>
    </row>
    <row r="13" spans="2:3" x14ac:dyDescent="0.25">
      <c r="B13" s="15" t="s">
        <v>665</v>
      </c>
      <c r="C13" s="15" t="s">
        <v>666</v>
      </c>
    </row>
    <row r="14" spans="2:3" ht="66" customHeight="1" x14ac:dyDescent="0.25">
      <c r="B14" s="19" t="s">
        <v>667</v>
      </c>
      <c r="C14" s="6" t="s">
        <v>668</v>
      </c>
    </row>
    <row r="15" spans="2:3" ht="66" customHeight="1" x14ac:dyDescent="0.25">
      <c r="B15" s="20" t="s">
        <v>669</v>
      </c>
      <c r="C15" s="8" t="s">
        <v>670</v>
      </c>
    </row>
    <row r="16" spans="2:3" ht="66" customHeight="1" x14ac:dyDescent="0.25">
      <c r="B16" s="19" t="s">
        <v>671</v>
      </c>
      <c r="C16" s="6" t="s">
        <v>672</v>
      </c>
    </row>
    <row r="17" spans="2:3" ht="66" customHeight="1" x14ac:dyDescent="0.25">
      <c r="B17" s="20" t="s">
        <v>673</v>
      </c>
      <c r="C17" s="8" t="s">
        <v>674</v>
      </c>
    </row>
    <row r="18" spans="2:3" ht="66" customHeight="1" x14ac:dyDescent="0.25">
      <c r="B18" s="19" t="s">
        <v>675</v>
      </c>
      <c r="C18" s="6" t="s">
        <v>676</v>
      </c>
    </row>
    <row r="19" spans="2:3" ht="66" customHeight="1" x14ac:dyDescent="0.25">
      <c r="B19" s="20" t="s">
        <v>677</v>
      </c>
      <c r="C19" s="8" t="s">
        <v>678</v>
      </c>
    </row>
    <row r="20" spans="2:3" ht="66" customHeight="1" x14ac:dyDescent="0.25">
      <c r="B20" s="19" t="s">
        <v>679</v>
      </c>
      <c r="C20" s="6" t="s">
        <v>680</v>
      </c>
    </row>
    <row r="22" spans="2:3" x14ac:dyDescent="0.25">
      <c r="B22" s="175" t="s">
        <v>681</v>
      </c>
      <c r="C22" s="177"/>
    </row>
    <row r="23" spans="2:3" ht="50.1" customHeight="1" x14ac:dyDescent="0.25">
      <c r="B23" s="21" t="s">
        <v>682</v>
      </c>
      <c r="C23" s="6" t="s">
        <v>683</v>
      </c>
    </row>
    <row r="24" spans="2:3" ht="50.1" customHeight="1" x14ac:dyDescent="0.25">
      <c r="B24" s="22" t="s">
        <v>684</v>
      </c>
      <c r="C24" s="18" t="s">
        <v>685</v>
      </c>
    </row>
    <row r="25" spans="2:3" ht="50.1" customHeight="1" x14ac:dyDescent="0.25">
      <c r="B25" s="21" t="s">
        <v>686</v>
      </c>
      <c r="C25" s="6" t="s">
        <v>687</v>
      </c>
    </row>
    <row r="27" spans="2:3" x14ac:dyDescent="0.25">
      <c r="B27" s="175" t="s">
        <v>688</v>
      </c>
      <c r="C27" s="177"/>
    </row>
    <row r="28" spans="2:3" ht="39.950000000000003" customHeight="1" x14ac:dyDescent="0.25">
      <c r="B28" s="185" t="s">
        <v>689</v>
      </c>
      <c r="C28" s="180"/>
    </row>
    <row r="29" spans="2:3" ht="39.950000000000003" customHeight="1" x14ac:dyDescent="0.25">
      <c r="B29" s="234" t="s">
        <v>690</v>
      </c>
      <c r="C29" s="180"/>
    </row>
    <row r="30" spans="2:3" ht="39.950000000000003" customHeight="1" x14ac:dyDescent="0.25">
      <c r="B30" s="185" t="s">
        <v>691</v>
      </c>
      <c r="C30" s="180"/>
    </row>
    <row r="31" spans="2:3" ht="39.950000000000003" customHeight="1" x14ac:dyDescent="0.25">
      <c r="B31" s="234" t="s">
        <v>692</v>
      </c>
      <c r="C31" s="180"/>
    </row>
    <row r="32" spans="2:3" ht="39.950000000000003" customHeight="1" x14ac:dyDescent="0.25">
      <c r="B32" s="185" t="s">
        <v>693</v>
      </c>
      <c r="C32" s="180"/>
    </row>
    <row r="33" spans="2:3" ht="39.950000000000003" customHeight="1" x14ac:dyDescent="0.25">
      <c r="B33" s="234" t="s">
        <v>694</v>
      </c>
      <c r="C33" s="180"/>
    </row>
    <row r="35" spans="2:3" x14ac:dyDescent="0.25">
      <c r="B35" s="175" t="s">
        <v>695</v>
      </c>
      <c r="C35" s="177"/>
    </row>
    <row r="36" spans="2:3" ht="45.95" customHeight="1" x14ac:dyDescent="0.25">
      <c r="B36" s="233" t="s">
        <v>696</v>
      </c>
      <c r="C36" s="177"/>
    </row>
    <row r="37" spans="2:3" ht="42" customHeight="1" x14ac:dyDescent="0.25">
      <c r="B37" s="30" t="s">
        <v>697</v>
      </c>
      <c r="C37" s="126" t="s">
        <v>698</v>
      </c>
    </row>
    <row r="38" spans="2:3" ht="72" customHeight="1" x14ac:dyDescent="0.25">
      <c r="B38" s="17" t="s">
        <v>699</v>
      </c>
      <c r="C38" s="127" t="s">
        <v>700</v>
      </c>
    </row>
    <row r="39" spans="2:3" ht="72" customHeight="1" x14ac:dyDescent="0.25">
      <c r="B39" s="17" t="s">
        <v>701</v>
      </c>
      <c r="C39" s="126" t="s">
        <v>702</v>
      </c>
    </row>
    <row r="40" spans="2:3" ht="84" customHeight="1" x14ac:dyDescent="0.25">
      <c r="B40" s="17" t="s">
        <v>703</v>
      </c>
      <c r="C40" s="8" t="s">
        <v>704</v>
      </c>
    </row>
    <row r="41" spans="2:3" ht="51.95" customHeight="1" x14ac:dyDescent="0.25">
      <c r="B41" s="17" t="s">
        <v>705</v>
      </c>
      <c r="C41" s="6" t="s">
        <v>706</v>
      </c>
    </row>
    <row r="43" spans="2:3" x14ac:dyDescent="0.25">
      <c r="B43" s="175" t="s">
        <v>707</v>
      </c>
      <c r="C43" s="177"/>
    </row>
    <row r="44" spans="2:3" ht="45.95" customHeight="1" x14ac:dyDescent="0.25">
      <c r="B44" s="233" t="s">
        <v>708</v>
      </c>
      <c r="C44" s="177"/>
    </row>
    <row r="45" spans="2:3" ht="66" customHeight="1" x14ac:dyDescent="0.25">
      <c r="B45" s="17" t="s">
        <v>709</v>
      </c>
      <c r="C45" s="6" t="s">
        <v>710</v>
      </c>
    </row>
    <row r="46" spans="2:3" ht="78" customHeight="1" x14ac:dyDescent="0.25">
      <c r="B46" s="17" t="s">
        <v>711</v>
      </c>
      <c r="C46" s="8" t="s">
        <v>712</v>
      </c>
    </row>
    <row r="47" spans="2:3" ht="69.95" customHeight="1" x14ac:dyDescent="0.25">
      <c r="B47" s="17" t="s">
        <v>713</v>
      </c>
      <c r="C47" s="6" t="s">
        <v>714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36" t="s">
        <v>715</v>
      </c>
      <c r="B1" s="227"/>
      <c r="C1" s="227"/>
    </row>
    <row r="2" spans="1:3" ht="45.95" customHeight="1" x14ac:dyDescent="0.25">
      <c r="A2" s="237" t="s">
        <v>716</v>
      </c>
      <c r="B2" s="227"/>
      <c r="C2" s="227"/>
    </row>
    <row r="3" spans="1:3" ht="30" customHeight="1" x14ac:dyDescent="0.25">
      <c r="A3" s="141" t="s">
        <v>185</v>
      </c>
      <c r="B3" s="141" t="s">
        <v>717</v>
      </c>
      <c r="C3" s="141" t="s">
        <v>718</v>
      </c>
    </row>
    <row r="4" spans="1:3" ht="84" customHeight="1" x14ac:dyDescent="0.25">
      <c r="A4" s="142" t="s">
        <v>338</v>
      </c>
      <c r="B4" s="143" t="s">
        <v>719</v>
      </c>
      <c r="C4" s="143" t="s">
        <v>720</v>
      </c>
    </row>
    <row r="5" spans="1:3" ht="84" customHeight="1" x14ac:dyDescent="0.25">
      <c r="A5" s="142" t="s">
        <v>339</v>
      </c>
      <c r="B5" s="143" t="s">
        <v>721</v>
      </c>
      <c r="C5" s="143" t="s">
        <v>720</v>
      </c>
    </row>
    <row r="6" spans="1:3" ht="84" customHeight="1" x14ac:dyDescent="0.25">
      <c r="A6" s="142" t="s">
        <v>340</v>
      </c>
      <c r="B6" s="143" t="s">
        <v>722</v>
      </c>
      <c r="C6" s="143" t="s">
        <v>723</v>
      </c>
    </row>
    <row r="7" spans="1:3" ht="84" customHeight="1" x14ac:dyDescent="0.25">
      <c r="A7" s="142" t="s">
        <v>341</v>
      </c>
      <c r="B7" s="143" t="s">
        <v>724</v>
      </c>
      <c r="C7" s="143" t="s">
        <v>725</v>
      </c>
    </row>
    <row r="8" spans="1:3" ht="50.1" customHeight="1" x14ac:dyDescent="0.25">
      <c r="A8" s="142" t="s">
        <v>342</v>
      </c>
      <c r="B8" s="143" t="s">
        <v>726</v>
      </c>
      <c r="C8" s="143" t="s">
        <v>727</v>
      </c>
    </row>
    <row r="9" spans="1:3" ht="84" customHeight="1" x14ac:dyDescent="0.25">
      <c r="A9" s="142" t="s">
        <v>343</v>
      </c>
      <c r="B9" s="143" t="s">
        <v>728</v>
      </c>
      <c r="C9" s="143" t="s">
        <v>729</v>
      </c>
    </row>
    <row r="10" spans="1:3" ht="84" customHeight="1" x14ac:dyDescent="0.25">
      <c r="A10" s="142" t="s">
        <v>344</v>
      </c>
      <c r="B10" s="143" t="s">
        <v>730</v>
      </c>
      <c r="C10" s="143" t="s">
        <v>731</v>
      </c>
    </row>
    <row r="11" spans="1:3" ht="84" customHeight="1" x14ac:dyDescent="0.25">
      <c r="A11" s="142" t="s">
        <v>345</v>
      </c>
      <c r="B11" s="143" t="s">
        <v>732</v>
      </c>
      <c r="C11" s="143" t="s">
        <v>733</v>
      </c>
    </row>
    <row r="12" spans="1:3" ht="50.1" customHeight="1" x14ac:dyDescent="0.25">
      <c r="A12" s="142" t="s">
        <v>346</v>
      </c>
      <c r="B12" s="143" t="s">
        <v>734</v>
      </c>
      <c r="C12" s="143" t="s">
        <v>735</v>
      </c>
    </row>
    <row r="13" spans="1:3" ht="84" customHeight="1" x14ac:dyDescent="0.25">
      <c r="A13" s="142" t="s">
        <v>347</v>
      </c>
      <c r="B13" s="143" t="s">
        <v>736</v>
      </c>
      <c r="C13" s="143" t="s">
        <v>737</v>
      </c>
    </row>
    <row r="14" spans="1:3" ht="104.1" customHeight="1" x14ac:dyDescent="0.25">
      <c r="A14" s="142" t="s">
        <v>348</v>
      </c>
      <c r="B14" s="143" t="s">
        <v>738</v>
      </c>
      <c r="C14" s="143" t="s">
        <v>739</v>
      </c>
    </row>
    <row r="15" spans="1:3" ht="39.950000000000003" customHeight="1" x14ac:dyDescent="0.25">
      <c r="A15" s="238" t="s">
        <v>740</v>
      </c>
      <c r="B15" s="227"/>
      <c r="C15" s="227"/>
    </row>
  </sheetData>
  <mergeCells count="3">
    <mergeCell ref="A1:C1"/>
    <mergeCell ref="A2:C2"/>
    <mergeCell ref="A15:C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s>
  <sheetData>
    <row r="1" spans="2:4" ht="27.95" customHeight="1" x14ac:dyDescent="0.25">
      <c r="B1" s="209" t="s">
        <v>741</v>
      </c>
      <c r="C1" s="176"/>
      <c r="D1" s="177"/>
    </row>
    <row r="2" spans="2:4" ht="32.1" customHeight="1" x14ac:dyDescent="0.25">
      <c r="B2" s="245" t="s">
        <v>742</v>
      </c>
      <c r="C2" s="176"/>
      <c r="D2" s="177"/>
    </row>
    <row r="4" spans="2:4" ht="24" customHeight="1" x14ac:dyDescent="0.25">
      <c r="B4" s="246" t="str">
        <f>"◆  LIVE TEAM SCORECARD  ·  "&amp;IF('Case Tracker'!A56="","(enter a Case ID + journey scores in Case Tracker row 56)",'Case Tracker'!A56)&amp;"  ◆"</f>
        <v>◆  LIVE TEAM SCORECARD  ·  (enter a Case ID + journey scores in Case Tracker row 56)  ◆</v>
      </c>
      <c r="C4" s="241"/>
      <c r="D4" s="242"/>
    </row>
    <row r="5" spans="2:4" ht="15.95" customHeight="1" x14ac:dyDescent="0.25">
      <c r="B5" s="37" t="s">
        <v>743</v>
      </c>
      <c r="C5" s="37" t="s">
        <v>744</v>
      </c>
      <c r="D5" s="37" t="s">
        <v>745</v>
      </c>
    </row>
    <row r="6" spans="2:4" ht="63.95" customHeight="1" x14ac:dyDescent="0.25">
      <c r="B6" s="97" t="str">
        <f>'Case Tracker'!G56</f>
        <v/>
      </c>
      <c r="C6" s="38" t="str">
        <f>UPPER('Case Tracker'!H56)</f>
        <v/>
      </c>
      <c r="D6" s="39" t="s">
        <v>746</v>
      </c>
    </row>
    <row r="7" spans="2:4" ht="15.95" customHeight="1" x14ac:dyDescent="0.25">
      <c r="B7" s="40" t="s">
        <v>747</v>
      </c>
      <c r="C7" s="40" t="s">
        <v>748</v>
      </c>
      <c r="D7" s="40" t="s">
        <v>749</v>
      </c>
    </row>
    <row r="8" spans="2:4" ht="27.95" customHeight="1" x14ac:dyDescent="0.25">
      <c r="B8" s="41" t="str">
        <f>IF('Case Tracker'!D56="","—",TEXT('Case Tracker'!D56,"0.0%")&amp;"  avg of "&amp;'Case Tracker'!C56&amp;" touches")</f>
        <v>—</v>
      </c>
      <c r="C8" s="42" t="str">
        <f>IF('Case Tracker'!E56="","—",'Case Tracker'!E56&amp;" / 5")</f>
        <v>—</v>
      </c>
      <c r="D8" s="42" t="str">
        <f>IF('Case Tracker'!F56="","—",'Case Tracker'!F56&amp;" / 5")</f>
        <v>—</v>
      </c>
    </row>
    <row r="9" spans="2:4" ht="21.95" customHeight="1" x14ac:dyDescent="0.25">
      <c r="B9" s="240" t="str">
        <f>IF('Case Tracker'!D56="","Team Score computes once the journey row (Case Tracker row 56) is filled."," = 50% × "&amp;TEXT('Case Tracker'!D56,"0.0%")&amp;"  +  30% × ("&amp;'Case Tracker'!E56&amp;"÷5)  +  20% × ("&amp;'Case Tracker'!F56&amp;"÷5)")</f>
        <v>Team Score computes once the journey row (Case Tracker row 56) is filled.</v>
      </c>
      <c r="C9" s="241"/>
      <c r="D9" s="242"/>
    </row>
    <row r="10" spans="2:4" ht="27.95" customHeight="1" x14ac:dyDescent="0.25">
      <c r="B10" s="243" t="s">
        <v>750</v>
      </c>
      <c r="C10" s="179"/>
      <c r="D10" s="180"/>
    </row>
    <row r="12" spans="2:4" x14ac:dyDescent="0.25">
      <c r="B12" s="175" t="s">
        <v>751</v>
      </c>
      <c r="C12" s="176"/>
      <c r="D12" s="177"/>
    </row>
    <row r="13" spans="2:4" ht="72" customHeight="1" x14ac:dyDescent="0.25">
      <c r="B13" s="218" t="s">
        <v>752</v>
      </c>
      <c r="C13" s="179"/>
      <c r="D13" s="180"/>
    </row>
    <row r="15" spans="2:4" x14ac:dyDescent="0.25">
      <c r="B15" s="175" t="s">
        <v>753</v>
      </c>
      <c r="C15" s="176"/>
      <c r="D15" s="177"/>
    </row>
    <row r="16" spans="2:4" x14ac:dyDescent="0.25">
      <c r="B16" s="1" t="s">
        <v>612</v>
      </c>
      <c r="C16" s="1" t="s">
        <v>754</v>
      </c>
      <c r="D16" s="1" t="s">
        <v>755</v>
      </c>
    </row>
    <row r="17" spans="2:4" ht="104.1" customHeight="1" x14ac:dyDescent="0.25">
      <c r="B17" s="31" t="s">
        <v>756</v>
      </c>
      <c r="C17" s="32" t="s">
        <v>757</v>
      </c>
      <c r="D17" s="32"/>
    </row>
    <row r="18" spans="2:4" ht="104.1" customHeight="1" x14ac:dyDescent="0.25">
      <c r="B18" s="33" t="s">
        <v>758</v>
      </c>
      <c r="C18" s="34" t="s">
        <v>759</v>
      </c>
      <c r="D18" s="34"/>
    </row>
    <row r="19" spans="2:4" ht="104.1" customHeight="1" x14ac:dyDescent="0.25">
      <c r="B19" s="31" t="s">
        <v>760</v>
      </c>
      <c r="C19" s="32" t="s">
        <v>761</v>
      </c>
      <c r="D19" s="32"/>
    </row>
    <row r="20" spans="2:4" ht="30" customHeight="1" x14ac:dyDescent="0.25">
      <c r="B20" s="239" t="s">
        <v>762</v>
      </c>
      <c r="C20" s="176"/>
      <c r="D20" s="177"/>
    </row>
    <row r="22" spans="2:4" x14ac:dyDescent="0.25">
      <c r="B22" s="175" t="s">
        <v>763</v>
      </c>
      <c r="C22" s="176"/>
      <c r="D22" s="177"/>
    </row>
    <row r="23" spans="2:4" ht="45.95" customHeight="1" x14ac:dyDescent="0.25">
      <c r="B23" s="31" t="s">
        <v>764</v>
      </c>
      <c r="C23" s="218" t="s">
        <v>765</v>
      </c>
      <c r="D23" s="180"/>
    </row>
    <row r="24" spans="2:4" ht="45.95" customHeight="1" x14ac:dyDescent="0.25">
      <c r="B24" s="33" t="s">
        <v>766</v>
      </c>
      <c r="C24" s="219" t="s">
        <v>767</v>
      </c>
      <c r="D24" s="180"/>
    </row>
    <row r="25" spans="2:4" ht="45.95" customHeight="1" x14ac:dyDescent="0.25">
      <c r="B25" s="31" t="s">
        <v>768</v>
      </c>
      <c r="C25" s="218" t="s">
        <v>769</v>
      </c>
      <c r="D25" s="180"/>
    </row>
    <row r="27" spans="2:4" x14ac:dyDescent="0.25">
      <c r="B27" s="175" t="s">
        <v>770</v>
      </c>
      <c r="C27" s="176"/>
      <c r="D27" s="177"/>
    </row>
    <row r="28" spans="2:4" ht="39.950000000000003" customHeight="1" x14ac:dyDescent="0.25">
      <c r="B28" s="244" t="s">
        <v>771</v>
      </c>
      <c r="C28" s="179"/>
      <c r="D28" s="180"/>
    </row>
    <row r="29" spans="2:4" x14ac:dyDescent="0.25">
      <c r="B29" s="1" t="s">
        <v>772</v>
      </c>
      <c r="C29" s="9" t="s">
        <v>773</v>
      </c>
      <c r="D29" s="1" t="s">
        <v>774</v>
      </c>
    </row>
    <row r="30" spans="2:4" ht="44.1" customHeight="1" x14ac:dyDescent="0.25">
      <c r="B30" s="31" t="s">
        <v>775</v>
      </c>
      <c r="C30" s="43" t="str">
        <f>IFERROR(ROUND(AVERAGE('Case Tracker'!E5:E49),2),"")</f>
        <v/>
      </c>
      <c r="D30" s="32"/>
    </row>
    <row r="31" spans="2:4" ht="44.1" customHeight="1" x14ac:dyDescent="0.25">
      <c r="B31" s="33" t="s">
        <v>776</v>
      </c>
      <c r="C31" s="44" t="str">
        <f>IFERROR(ROUND(AVERAGE('Case Tracker'!F5:F49),2),"")</f>
        <v/>
      </c>
      <c r="D31" s="34"/>
    </row>
    <row r="32" spans="2:4" ht="44.1" customHeight="1" x14ac:dyDescent="0.25">
      <c r="B32" s="31" t="s">
        <v>777</v>
      </c>
      <c r="C32" s="43" t="str">
        <f>IFERROR(ROUND(AVERAGE('Case Tracker'!G5:G49),2),"")</f>
        <v/>
      </c>
      <c r="D32" s="32"/>
    </row>
    <row r="33" spans="2:4" ht="44.1" customHeight="1" x14ac:dyDescent="0.25">
      <c r="B33" s="33" t="s">
        <v>778</v>
      </c>
      <c r="C33" s="44" t="str">
        <f>IFERROR(ROUND(AVERAGE('Case Tracker'!H5:H49),2),"")</f>
        <v/>
      </c>
      <c r="D33" s="34"/>
    </row>
    <row r="34" spans="2:4" ht="44.1" customHeight="1" x14ac:dyDescent="0.25">
      <c r="B34" s="31" t="s">
        <v>779</v>
      </c>
      <c r="C34" s="43" t="str">
        <f>IFERROR(ROUND(AVERAGE('Case Tracker'!I5:I49),2),"")</f>
        <v/>
      </c>
      <c r="D34" s="32"/>
    </row>
    <row r="35" spans="2:4" ht="44.1" customHeight="1" x14ac:dyDescent="0.25">
      <c r="B35" s="33" t="s">
        <v>780</v>
      </c>
      <c r="C35" s="44" t="str">
        <f>IFERROR(ROUND(AVERAGE('Case Tracker'!J5:J49),2),"")</f>
        <v/>
      </c>
      <c r="D35" s="34"/>
    </row>
    <row r="36" spans="2:4" ht="44.1" customHeight="1" x14ac:dyDescent="0.25">
      <c r="B36" s="31" t="s">
        <v>781</v>
      </c>
      <c r="C36" s="43" t="str">
        <f>IFERROR(ROUND(AVERAGE('Case Tracker'!K5:K49),2),"")</f>
        <v/>
      </c>
      <c r="D36" s="32"/>
    </row>
    <row r="37" spans="2:4" ht="44.1" customHeight="1" x14ac:dyDescent="0.25">
      <c r="B37" s="216" t="s">
        <v>782</v>
      </c>
      <c r="C37" s="176"/>
      <c r="D37" s="177"/>
    </row>
    <row r="39" spans="2:4" x14ac:dyDescent="0.25">
      <c r="B39" s="208" t="s">
        <v>783</v>
      </c>
      <c r="C39" s="176"/>
      <c r="D39" s="177"/>
    </row>
    <row r="40" spans="2:4" x14ac:dyDescent="0.25">
      <c r="B40" s="1" t="s">
        <v>784</v>
      </c>
      <c r="C40" s="1" t="s">
        <v>785</v>
      </c>
      <c r="D40" s="1" t="s">
        <v>786</v>
      </c>
    </row>
    <row r="41" spans="2:4" ht="87.95" customHeight="1" x14ac:dyDescent="0.25">
      <c r="B41" s="31"/>
      <c r="C41" s="32"/>
      <c r="D41" s="32"/>
    </row>
    <row r="42" spans="2:4" ht="87.95" customHeight="1" x14ac:dyDescent="0.25">
      <c r="B42" s="33"/>
      <c r="C42" s="34"/>
      <c r="D42" s="34"/>
    </row>
    <row r="43" spans="2:4" ht="87.95" customHeight="1" x14ac:dyDescent="0.25">
      <c r="B43" s="31"/>
      <c r="C43" s="32"/>
      <c r="D43" s="32"/>
    </row>
    <row r="44" spans="2:4" ht="87.95" customHeight="1" x14ac:dyDescent="0.25">
      <c r="B44" s="33"/>
      <c r="C44" s="34"/>
      <c r="D44" s="34"/>
    </row>
    <row r="45" spans="2:4" ht="87.95" customHeight="1" x14ac:dyDescent="0.25">
      <c r="B45" s="31"/>
      <c r="C45" s="32"/>
      <c r="D45" s="32"/>
    </row>
    <row r="46" spans="2:4" ht="87.95" customHeight="1" x14ac:dyDescent="0.25">
      <c r="B46" s="33"/>
      <c r="C46" s="34"/>
      <c r="D46" s="34"/>
    </row>
    <row r="47" spans="2:4" ht="87.95" customHeight="1" x14ac:dyDescent="0.25">
      <c r="B47" s="31"/>
      <c r="C47" s="32"/>
      <c r="D47" s="32"/>
    </row>
    <row r="48" spans="2:4" ht="87.95" customHeight="1" x14ac:dyDescent="0.25">
      <c r="B48" s="33"/>
      <c r="C48" s="34"/>
      <c r="D48" s="34"/>
    </row>
    <row r="50" spans="2:4" x14ac:dyDescent="0.25">
      <c r="B50" s="175" t="s">
        <v>787</v>
      </c>
      <c r="C50" s="176"/>
      <c r="D50" s="177"/>
    </row>
    <row r="51" spans="2:4" ht="39.950000000000003" customHeight="1" x14ac:dyDescent="0.25">
      <c r="B51" s="35" t="s">
        <v>788</v>
      </c>
      <c r="C51" s="218" t="s">
        <v>789</v>
      </c>
      <c r="D51" s="180"/>
    </row>
    <row r="52" spans="2:4" ht="39.950000000000003" customHeight="1" x14ac:dyDescent="0.25">
      <c r="B52" s="36" t="s">
        <v>790</v>
      </c>
      <c r="C52" s="219" t="s">
        <v>791</v>
      </c>
      <c r="D52" s="180"/>
    </row>
    <row r="53" spans="2:4" ht="39.950000000000003" customHeight="1" x14ac:dyDescent="0.25">
      <c r="B53" s="35" t="s">
        <v>792</v>
      </c>
      <c r="C53" s="218" t="s">
        <v>793</v>
      </c>
      <c r="D53" s="180"/>
    </row>
    <row r="54" spans="2:4" ht="39.950000000000003" customHeight="1" x14ac:dyDescent="0.25">
      <c r="B54" s="36" t="s">
        <v>794</v>
      </c>
      <c r="C54" s="219" t="s">
        <v>795</v>
      </c>
      <c r="D54" s="180"/>
    </row>
    <row r="55" spans="2:4" ht="39.950000000000003" customHeight="1" x14ac:dyDescent="0.25">
      <c r="B55" s="35" t="s">
        <v>796</v>
      </c>
      <c r="C55" s="218" t="s">
        <v>797</v>
      </c>
      <c r="D55" s="180"/>
    </row>
    <row r="56" spans="2:4" ht="39.950000000000003" customHeight="1" x14ac:dyDescent="0.25">
      <c r="B56" s="36" t="s">
        <v>798</v>
      </c>
      <c r="C56" s="219" t="s">
        <v>799</v>
      </c>
      <c r="D56" s="180"/>
    </row>
    <row r="58" spans="2:4" ht="36" customHeight="1" x14ac:dyDescent="0.25">
      <c r="B58" s="216" t="s">
        <v>800</v>
      </c>
      <c r="C58" s="176"/>
      <c r="D58" s="177"/>
    </row>
    <row r="60" spans="2:4" ht="21.95" customHeight="1" x14ac:dyDescent="0.25">
      <c r="B60" s="175" t="s">
        <v>801</v>
      </c>
      <c r="C60" s="176"/>
      <c r="D60" s="177"/>
    </row>
    <row r="61" spans="2:4" ht="32.1" customHeight="1" x14ac:dyDescent="0.25">
      <c r="B61" s="233" t="s">
        <v>802</v>
      </c>
      <c r="C61" s="176"/>
      <c r="D61" s="177"/>
    </row>
    <row r="62" spans="2:4" ht="33.950000000000003" customHeight="1" x14ac:dyDescent="0.25">
      <c r="B62" s="247"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176"/>
      <c r="D62" s="177"/>
    </row>
    <row r="63" spans="2:4" ht="24" customHeight="1" x14ac:dyDescent="0.25">
      <c r="B63" s="45" t="s">
        <v>803</v>
      </c>
      <c r="C63" s="46" t="s">
        <v>804</v>
      </c>
      <c r="D63" s="46" t="s">
        <v>805</v>
      </c>
    </row>
    <row r="64" spans="2:4" x14ac:dyDescent="0.25">
      <c r="B64" s="8" t="str">
        <f>IF('Case Tracker'!C5="","",'Case Tracker'!D5&amp;" - "&amp;'Case Tracker'!C5)</f>
        <v/>
      </c>
      <c r="C64" s="13" t="str">
        <f>IF('Case Tracker'!C5="","",'Case Tracker'!O5)</f>
        <v/>
      </c>
      <c r="D64" s="13" t="str">
        <f>IF('Case Tracker'!C5="","",'Case Tracker'!P5)</f>
        <v/>
      </c>
    </row>
    <row r="65" spans="2:4" x14ac:dyDescent="0.25">
      <c r="B65" s="6" t="str">
        <f>IF('Case Tracker'!C6="","",'Case Tracker'!D6&amp;" - "&amp;'Case Tracker'!C6)</f>
        <v/>
      </c>
      <c r="C65" s="11" t="str">
        <f>IF('Case Tracker'!C6="","",'Case Tracker'!O6)</f>
        <v/>
      </c>
      <c r="D65" s="11" t="str">
        <f>IF('Case Tracker'!C6="","",'Case Tracker'!P6)</f>
        <v/>
      </c>
    </row>
    <row r="66" spans="2:4" x14ac:dyDescent="0.25">
      <c r="B66" s="8" t="str">
        <f>IF('Case Tracker'!C7="","",'Case Tracker'!D7&amp;" - "&amp;'Case Tracker'!C7)</f>
        <v/>
      </c>
      <c r="C66" s="13" t="str">
        <f>IF('Case Tracker'!C7="","",'Case Tracker'!O7)</f>
        <v/>
      </c>
      <c r="D66" s="13" t="str">
        <f>IF('Case Tracker'!C7="","",'Case Tracker'!P7)</f>
        <v/>
      </c>
    </row>
    <row r="67" spans="2:4" x14ac:dyDescent="0.25">
      <c r="B67" s="6" t="str">
        <f>IF('Case Tracker'!C8="","",'Case Tracker'!D8&amp;" - "&amp;'Case Tracker'!C8)</f>
        <v/>
      </c>
      <c r="C67" s="11" t="str">
        <f>IF('Case Tracker'!C8="","",'Case Tracker'!O8)</f>
        <v/>
      </c>
      <c r="D67" s="11" t="str">
        <f>IF('Case Tracker'!C8="","",'Case Tracker'!P8)</f>
        <v/>
      </c>
    </row>
    <row r="68" spans="2:4" x14ac:dyDescent="0.25">
      <c r="B68" s="8" t="str">
        <f>IF('Case Tracker'!C9="","",'Case Tracker'!D9&amp;" - "&amp;'Case Tracker'!C9)</f>
        <v/>
      </c>
      <c r="C68" s="13" t="str">
        <f>IF('Case Tracker'!C9="","",'Case Tracker'!O9)</f>
        <v/>
      </c>
      <c r="D68" s="13" t="str">
        <f>IF('Case Tracker'!C9="","",'Case Tracker'!P9)</f>
        <v/>
      </c>
    </row>
    <row r="69" spans="2:4" x14ac:dyDescent="0.25">
      <c r="B69" s="6" t="str">
        <f>IF('Case Tracker'!C10="","",'Case Tracker'!D10&amp;" - "&amp;'Case Tracker'!C10)</f>
        <v/>
      </c>
      <c r="C69" s="11" t="str">
        <f>IF('Case Tracker'!C10="","",'Case Tracker'!O10)</f>
        <v/>
      </c>
      <c r="D69" s="11" t="str">
        <f>IF('Case Tracker'!C10="","",'Case Tracker'!P10)</f>
        <v/>
      </c>
    </row>
    <row r="70" spans="2:4" x14ac:dyDescent="0.25">
      <c r="B70" s="8" t="str">
        <f>IF('Case Tracker'!C11="","",'Case Tracker'!D11&amp;" - "&amp;'Case Tracker'!C11)</f>
        <v/>
      </c>
      <c r="C70" s="13" t="str">
        <f>IF('Case Tracker'!C11="","",'Case Tracker'!O11)</f>
        <v/>
      </c>
      <c r="D70" s="13" t="str">
        <f>IF('Case Tracker'!C11="","",'Case Tracker'!P11)</f>
        <v/>
      </c>
    </row>
    <row r="71" spans="2:4" x14ac:dyDescent="0.25">
      <c r="B71" s="6" t="str">
        <f>IF('Case Tracker'!C12="","",'Case Tracker'!D12&amp;" - "&amp;'Case Tracker'!C12)</f>
        <v/>
      </c>
      <c r="C71" s="11" t="str">
        <f>IF('Case Tracker'!C12="","",'Case Tracker'!O12)</f>
        <v/>
      </c>
      <c r="D71" s="11" t="str">
        <f>IF('Case Tracker'!C12="","",'Case Tracker'!P12)</f>
        <v/>
      </c>
    </row>
    <row r="72" spans="2:4" x14ac:dyDescent="0.25">
      <c r="B72" s="8" t="str">
        <f>IF('Case Tracker'!C13="","",'Case Tracker'!D13&amp;" - "&amp;'Case Tracker'!C13)</f>
        <v/>
      </c>
      <c r="C72" s="13" t="str">
        <f>IF('Case Tracker'!C13="","",'Case Tracker'!O13)</f>
        <v/>
      </c>
      <c r="D72" s="13" t="str">
        <f>IF('Case Tracker'!C13="","",'Case Tracker'!P13)</f>
        <v/>
      </c>
    </row>
    <row r="73" spans="2:4" x14ac:dyDescent="0.25">
      <c r="B73" s="6" t="str">
        <f>IF('Case Tracker'!C14="","",'Case Tracker'!D14&amp;" - "&amp;'Case Tracker'!C14)</f>
        <v/>
      </c>
      <c r="C73" s="11" t="str">
        <f>IF('Case Tracker'!C14="","",'Case Tracker'!O14)</f>
        <v/>
      </c>
      <c r="D73" s="11" t="str">
        <f>IF('Case Tracker'!C14="","",'Case Tracker'!P14)</f>
        <v/>
      </c>
    </row>
    <row r="74" spans="2:4" x14ac:dyDescent="0.25">
      <c r="B74" s="8" t="str">
        <f>IF('Case Tracker'!C15="","",'Case Tracker'!D15&amp;" - "&amp;'Case Tracker'!C15)</f>
        <v/>
      </c>
      <c r="C74" s="13" t="str">
        <f>IF('Case Tracker'!C15="","",'Case Tracker'!O15)</f>
        <v/>
      </c>
      <c r="D74" s="13" t="str">
        <f>IF('Case Tracker'!C15="","",'Case Tracker'!P15)</f>
        <v/>
      </c>
    </row>
    <row r="75" spans="2:4" x14ac:dyDescent="0.25">
      <c r="B75" s="6" t="str">
        <f>IF('Case Tracker'!C16="","",'Case Tracker'!D16&amp;" - "&amp;'Case Tracker'!C16)</f>
        <v/>
      </c>
      <c r="C75" s="11" t="str">
        <f>IF('Case Tracker'!C16="","",'Case Tracker'!O16)</f>
        <v/>
      </c>
      <c r="D75" s="11" t="str">
        <f>IF('Case Tracker'!C16="","",'Case Tracker'!P16)</f>
        <v/>
      </c>
    </row>
    <row r="76" spans="2:4" x14ac:dyDescent="0.25">
      <c r="B76" s="8" t="str">
        <f>IF('Case Tracker'!C17="","",'Case Tracker'!D17&amp;" - "&amp;'Case Tracker'!C17)</f>
        <v/>
      </c>
      <c r="C76" s="13" t="str">
        <f>IF('Case Tracker'!C17="","",'Case Tracker'!O17)</f>
        <v/>
      </c>
      <c r="D76" s="13" t="str">
        <f>IF('Case Tracker'!C17="","",'Case Tracker'!P17)</f>
        <v/>
      </c>
    </row>
    <row r="77" spans="2:4" ht="39.950000000000003" customHeight="1" x14ac:dyDescent="0.25">
      <c r="B77" s="191" t="s">
        <v>806</v>
      </c>
      <c r="C77" s="179"/>
      <c r="D77" s="180"/>
    </row>
  </sheetData>
  <mergeCells count="29">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 ref="B9:D9"/>
    <mergeCell ref="B15:D15"/>
    <mergeCell ref="B1:D1"/>
    <mergeCell ref="B13:D13"/>
    <mergeCell ref="B39:D39"/>
    <mergeCell ref="B10:D10"/>
    <mergeCell ref="B28:D28"/>
    <mergeCell ref="B37:D37"/>
    <mergeCell ref="C56:D56"/>
    <mergeCell ref="B20:D20"/>
    <mergeCell ref="C54:D54"/>
    <mergeCell ref="C25:D25"/>
    <mergeCell ref="C55:D5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9"/>
  <sheetViews>
    <sheetView workbookViewId="0">
      <pane xSplit="1" ySplit="4" topLeftCell="B5" activePane="bottomRight" state="frozen"/>
      <selection pane="topRight"/>
      <selection pane="bottomLeft"/>
      <selection pane="bottomRigh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7.95" customHeight="1" x14ac:dyDescent="0.25">
      <c r="B1" s="259" t="s">
        <v>0</v>
      </c>
      <c r="C1" s="227"/>
      <c r="D1" s="227"/>
      <c r="E1" s="227"/>
      <c r="F1" s="227"/>
    </row>
    <row r="2" spans="1:7" ht="18" customHeight="1" x14ac:dyDescent="0.25">
      <c r="B2" s="257" t="s">
        <v>1</v>
      </c>
      <c r="C2" s="227"/>
      <c r="D2" s="227"/>
      <c r="E2" s="227"/>
      <c r="F2" s="227"/>
    </row>
    <row r="3" spans="1:7" x14ac:dyDescent="0.25">
      <c r="A3" s="63"/>
      <c r="B3" s="63"/>
      <c r="C3" s="63"/>
      <c r="D3" s="63"/>
      <c r="E3" s="63"/>
      <c r="F3" s="63"/>
      <c r="G3" s="63"/>
    </row>
    <row r="4" spans="1:7" ht="27.95" customHeight="1" x14ac:dyDescent="0.25">
      <c r="B4" s="251" t="s">
        <v>2</v>
      </c>
      <c r="C4" s="227"/>
      <c r="D4" s="227"/>
      <c r="E4" s="227"/>
      <c r="F4" s="227"/>
    </row>
    <row r="5" spans="1:7" ht="29.1" customHeight="1" x14ac:dyDescent="0.25">
      <c r="B5" s="145" t="s">
        <v>3</v>
      </c>
      <c r="C5" s="146" t="s">
        <v>4</v>
      </c>
      <c r="D5" s="145" t="s">
        <v>5</v>
      </c>
      <c r="E5" s="256" t="s">
        <v>6</v>
      </c>
      <c r="F5" s="227"/>
    </row>
    <row r="6" spans="1:7" ht="29.1" customHeight="1" x14ac:dyDescent="0.25">
      <c r="B6" s="145" t="s">
        <v>7</v>
      </c>
      <c r="C6" s="146" t="s">
        <v>8</v>
      </c>
      <c r="D6" s="145" t="s">
        <v>9</v>
      </c>
      <c r="E6" s="256" t="s">
        <v>10</v>
      </c>
      <c r="F6" s="227"/>
    </row>
    <row r="7" spans="1:7" ht="29.1" customHeight="1" x14ac:dyDescent="0.25">
      <c r="B7" s="145" t="s">
        <v>11</v>
      </c>
      <c r="C7" s="146" t="s">
        <v>12</v>
      </c>
      <c r="D7" s="145" t="s">
        <v>13</v>
      </c>
      <c r="E7" s="256" t="s">
        <v>14</v>
      </c>
      <c r="F7" s="227"/>
    </row>
    <row r="8" spans="1:7" ht="29.1" customHeight="1" x14ac:dyDescent="0.25">
      <c r="B8" s="145" t="s">
        <v>15</v>
      </c>
      <c r="C8" s="146" t="s">
        <v>16</v>
      </c>
      <c r="D8" s="145" t="s">
        <v>17</v>
      </c>
      <c r="E8" s="256" t="s">
        <v>18</v>
      </c>
      <c r="F8" s="227"/>
    </row>
    <row r="9" spans="1:7" ht="29.1" customHeight="1" x14ac:dyDescent="0.25">
      <c r="B9" s="145" t="s">
        <v>19</v>
      </c>
      <c r="C9" s="146" t="s">
        <v>20</v>
      </c>
      <c r="D9" s="145" t="s">
        <v>21</v>
      </c>
      <c r="E9" s="256" t="s">
        <v>22</v>
      </c>
      <c r="F9" s="227"/>
    </row>
    <row r="10" spans="1:7" ht="29.1" customHeight="1" x14ac:dyDescent="0.25">
      <c r="B10" s="145" t="s">
        <v>23</v>
      </c>
      <c r="C10" s="146" t="s">
        <v>24</v>
      </c>
      <c r="D10" s="145" t="s">
        <v>25</v>
      </c>
      <c r="E10" s="256" t="s">
        <v>26</v>
      </c>
      <c r="F10" s="227"/>
    </row>
    <row r="11" spans="1:7" ht="29.1" customHeight="1" x14ac:dyDescent="0.25">
      <c r="B11" s="145" t="s">
        <v>27</v>
      </c>
      <c r="C11" s="146" t="s">
        <v>28</v>
      </c>
      <c r="D11" s="145" t="s">
        <v>29</v>
      </c>
      <c r="E11" s="256" t="s">
        <v>30</v>
      </c>
      <c r="F11" s="227"/>
    </row>
    <row r="12" spans="1:7" ht="29.1" customHeight="1" x14ac:dyDescent="0.25">
      <c r="B12" s="145" t="s">
        <v>31</v>
      </c>
      <c r="C12" s="146" t="s">
        <v>32</v>
      </c>
      <c r="D12" s="145" t="s">
        <v>33</v>
      </c>
      <c r="E12" s="256" t="s">
        <v>34</v>
      </c>
      <c r="F12" s="227"/>
    </row>
    <row r="13" spans="1:7" ht="57.95" customHeight="1" x14ac:dyDescent="0.25">
      <c r="B13" s="145" t="s">
        <v>35</v>
      </c>
      <c r="C13" s="248" t="s">
        <v>36</v>
      </c>
      <c r="D13" s="227"/>
      <c r="E13" s="227"/>
      <c r="F13" s="227"/>
    </row>
    <row r="14" spans="1:7" ht="45.95" customHeight="1" x14ac:dyDescent="0.25">
      <c r="B14" s="145" t="s">
        <v>37</v>
      </c>
      <c r="C14" s="248" t="s">
        <v>38</v>
      </c>
      <c r="D14" s="227"/>
      <c r="E14" s="227"/>
      <c r="F14" s="227"/>
    </row>
    <row r="15" spans="1:7" ht="18" customHeight="1" x14ac:dyDescent="0.25">
      <c r="B15" s="251" t="s">
        <v>39</v>
      </c>
      <c r="C15" s="227"/>
      <c r="D15" s="227"/>
      <c r="E15" s="227"/>
      <c r="F15" s="227"/>
    </row>
    <row r="16" spans="1:7" ht="29.1" customHeight="1" x14ac:dyDescent="0.25">
      <c r="B16" s="145" t="s">
        <v>40</v>
      </c>
      <c r="C16" s="146" t="s">
        <v>41</v>
      </c>
      <c r="D16" s="145" t="s">
        <v>42</v>
      </c>
      <c r="E16" s="256" t="s">
        <v>43</v>
      </c>
      <c r="F16" s="227"/>
    </row>
    <row r="17" spans="1:7" ht="29.1" customHeight="1" x14ac:dyDescent="0.25">
      <c r="B17" s="145" t="s">
        <v>44</v>
      </c>
      <c r="C17" s="146" t="s">
        <v>45</v>
      </c>
      <c r="D17" s="145" t="s">
        <v>46</v>
      </c>
      <c r="E17" s="256" t="s">
        <v>47</v>
      </c>
      <c r="F17" s="227"/>
    </row>
    <row r="18" spans="1:7" ht="29.1" customHeight="1" x14ac:dyDescent="0.25">
      <c r="B18" s="145" t="s">
        <v>48</v>
      </c>
      <c r="C18" s="248" t="s">
        <v>49</v>
      </c>
      <c r="D18" s="227"/>
      <c r="E18" s="227"/>
      <c r="F18" s="227"/>
    </row>
    <row r="19" spans="1:7" ht="29.1" customHeight="1" x14ac:dyDescent="0.25">
      <c r="B19" s="145" t="s">
        <v>50</v>
      </c>
      <c r="C19" s="248" t="s">
        <v>51</v>
      </c>
      <c r="D19" s="227"/>
      <c r="E19" s="227"/>
      <c r="F19" s="227"/>
    </row>
    <row r="20" spans="1:7" ht="29.1" customHeight="1" x14ac:dyDescent="0.25">
      <c r="B20" s="145" t="s">
        <v>52</v>
      </c>
      <c r="C20" s="248" t="s">
        <v>53</v>
      </c>
      <c r="D20" s="227"/>
      <c r="E20" s="227"/>
      <c r="F20" s="227"/>
    </row>
    <row r="21" spans="1:7" ht="45.95" customHeight="1" x14ac:dyDescent="0.25">
      <c r="B21" s="145" t="s">
        <v>54</v>
      </c>
      <c r="C21" s="248" t="s">
        <v>55</v>
      </c>
      <c r="D21" s="227"/>
      <c r="E21" s="227"/>
      <c r="F21" s="227"/>
    </row>
    <row r="22" spans="1:7" x14ac:dyDescent="0.25">
      <c r="A22" s="63"/>
      <c r="B22" s="63"/>
      <c r="C22" s="63"/>
      <c r="D22" s="63"/>
      <c r="E22" s="63"/>
      <c r="F22" s="63"/>
      <c r="G22" s="63"/>
    </row>
    <row r="23" spans="1:7" ht="27.95" customHeight="1" x14ac:dyDescent="0.25">
      <c r="B23" s="253" t="s">
        <v>56</v>
      </c>
      <c r="C23" s="227"/>
      <c r="D23" s="227"/>
      <c r="E23" s="227"/>
      <c r="F23" s="227"/>
    </row>
    <row r="24" spans="1:7" ht="18" customHeight="1" x14ac:dyDescent="0.25">
      <c r="B24" s="251" t="s">
        <v>57</v>
      </c>
      <c r="C24" s="227"/>
      <c r="D24" s="227"/>
      <c r="E24" s="227"/>
      <c r="F24" s="148" t="s">
        <v>58</v>
      </c>
    </row>
    <row r="25" spans="1:7" ht="27.95" customHeight="1" x14ac:dyDescent="0.25">
      <c r="B25" s="249" t="s">
        <v>59</v>
      </c>
      <c r="C25" s="227"/>
      <c r="D25" s="227"/>
      <c r="E25" s="227"/>
      <c r="F25" s="227"/>
    </row>
    <row r="26" spans="1:7" x14ac:dyDescent="0.25">
      <c r="B26" s="145" t="s">
        <v>60</v>
      </c>
      <c r="C26" s="149" t="s">
        <v>61</v>
      </c>
      <c r="D26" s="255" t="s">
        <v>62</v>
      </c>
      <c r="E26" s="227"/>
      <c r="F26" s="227"/>
    </row>
    <row r="27" spans="1:7" ht="27.95" customHeight="1" x14ac:dyDescent="0.25">
      <c r="B27" s="150" t="s">
        <v>63</v>
      </c>
      <c r="C27" s="151" t="s">
        <v>64</v>
      </c>
      <c r="D27" s="252" t="s">
        <v>65</v>
      </c>
      <c r="E27" s="227"/>
      <c r="F27" s="227"/>
    </row>
    <row r="28" spans="1:7" ht="27.95" customHeight="1" x14ac:dyDescent="0.25">
      <c r="B28" s="152" t="s">
        <v>66</v>
      </c>
      <c r="C28" s="153" t="s">
        <v>67</v>
      </c>
      <c r="D28" s="250" t="s">
        <v>68</v>
      </c>
      <c r="E28" s="227"/>
      <c r="F28" s="227"/>
    </row>
    <row r="29" spans="1:7" ht="27.95" customHeight="1" x14ac:dyDescent="0.25">
      <c r="B29" s="150" t="s">
        <v>69</v>
      </c>
      <c r="C29" s="151" t="s">
        <v>64</v>
      </c>
      <c r="D29" s="252" t="s">
        <v>70</v>
      </c>
      <c r="E29" s="227"/>
      <c r="F29" s="227"/>
    </row>
    <row r="30" spans="1:7" ht="27.95" customHeight="1" x14ac:dyDescent="0.25">
      <c r="B30" s="152" t="s">
        <v>71</v>
      </c>
      <c r="C30" s="153" t="s">
        <v>67</v>
      </c>
      <c r="D30" s="250" t="s">
        <v>72</v>
      </c>
      <c r="E30" s="227"/>
      <c r="F30" s="227"/>
    </row>
    <row r="31" spans="1:7" ht="27.95" customHeight="1" x14ac:dyDescent="0.25">
      <c r="B31" s="152" t="s">
        <v>912</v>
      </c>
      <c r="C31" s="153" t="s">
        <v>67</v>
      </c>
      <c r="D31" s="152" t="s">
        <v>917</v>
      </c>
    </row>
    <row r="32" spans="1:7" ht="27.95" customHeight="1" x14ac:dyDescent="0.25">
      <c r="B32" s="152" t="s">
        <v>913</v>
      </c>
      <c r="C32" s="153" t="s">
        <v>53</v>
      </c>
      <c r="D32" s="152" t="s">
        <v>918</v>
      </c>
    </row>
    <row r="33" spans="1:7" ht="27.95" customHeight="1" x14ac:dyDescent="0.25">
      <c r="B33" s="254" t="s">
        <v>73</v>
      </c>
      <c r="C33" s="227"/>
      <c r="D33" s="227"/>
      <c r="E33" s="227"/>
      <c r="F33" s="227"/>
    </row>
    <row r="34" spans="1:7" x14ac:dyDescent="0.25">
      <c r="B34" s="154" t="s">
        <v>74</v>
      </c>
      <c r="C34" s="155">
        <f>IF(SUMPRODUCT(((C27:C30="Met")+(C27:C30="Partial")+(C27:C30="Missed"))*{3,2,1,2})=0,"",ROUND((5*SUMPRODUCT((C27:C30="Met")*{3,2,1,2})+2.5*SUMPRODUCT((C27:C30="Partial")*{3,2,1,2}))/SUMPRODUCT(((C27:C30="Met")+(C27:C30="Partial")+(C27:C30="Missed"))*{3,2,1,2}),0))</f>
        <v>4</v>
      </c>
      <c r="D34" s="156"/>
      <c r="E34" s="156"/>
      <c r="F34" s="156"/>
    </row>
    <row r="35" spans="1:7" ht="24" customHeight="1" x14ac:dyDescent="0.25">
      <c r="B35" s="157" t="s">
        <v>75</v>
      </c>
      <c r="C35" s="149">
        <v>3</v>
      </c>
      <c r="D35" s="248"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227"/>
      <c r="F35" s="227"/>
    </row>
    <row r="36" spans="1:7" x14ac:dyDescent="0.25">
      <c r="B36" s="157" t="s">
        <v>76</v>
      </c>
      <c r="C36" s="248" t="s">
        <v>77</v>
      </c>
      <c r="D36" s="227"/>
      <c r="E36" s="227"/>
      <c r="F36" s="227"/>
    </row>
    <row r="37" spans="1:7" ht="36" customHeight="1" x14ac:dyDescent="0.25">
      <c r="B37" s="157" t="s">
        <v>78</v>
      </c>
      <c r="C37" s="248" t="s">
        <v>79</v>
      </c>
      <c r="D37" s="227"/>
      <c r="E37" s="227"/>
      <c r="F37" s="227"/>
    </row>
    <row r="38" spans="1:7" x14ac:dyDescent="0.25">
      <c r="A38" s="63"/>
      <c r="B38" s="63"/>
      <c r="C38" s="63"/>
      <c r="D38" s="63"/>
      <c r="E38" s="63"/>
      <c r="F38" s="63"/>
      <c r="G38" s="63"/>
    </row>
    <row r="39" spans="1:7" ht="18" customHeight="1" x14ac:dyDescent="0.25">
      <c r="B39" s="251" t="s">
        <v>80</v>
      </c>
      <c r="C39" s="227"/>
      <c r="D39" s="227"/>
      <c r="E39" s="227"/>
      <c r="F39" s="148" t="s">
        <v>81</v>
      </c>
    </row>
    <row r="40" spans="1:7" ht="27.95" customHeight="1" x14ac:dyDescent="0.25">
      <c r="B40" s="249" t="s">
        <v>82</v>
      </c>
      <c r="C40" s="227"/>
      <c r="D40" s="227"/>
      <c r="E40" s="227"/>
      <c r="F40" s="227"/>
    </row>
    <row r="41" spans="1:7" x14ac:dyDescent="0.25">
      <c r="B41" s="145" t="s">
        <v>60</v>
      </c>
      <c r="C41" s="149" t="s">
        <v>61</v>
      </c>
      <c r="D41" s="255" t="s">
        <v>62</v>
      </c>
      <c r="E41" s="227"/>
      <c r="F41" s="227"/>
    </row>
    <row r="42" spans="1:7" ht="27.95" customHeight="1" x14ac:dyDescent="0.25">
      <c r="B42" s="150" t="s">
        <v>83</v>
      </c>
      <c r="C42" s="151" t="s">
        <v>67</v>
      </c>
      <c r="D42" s="252" t="s">
        <v>84</v>
      </c>
      <c r="E42" s="227"/>
      <c r="F42" s="227"/>
    </row>
    <row r="43" spans="1:7" ht="27.95" customHeight="1" x14ac:dyDescent="0.25">
      <c r="B43" s="152" t="s">
        <v>85</v>
      </c>
      <c r="C43" s="153" t="s">
        <v>64</v>
      </c>
      <c r="D43" s="250" t="s">
        <v>86</v>
      </c>
      <c r="E43" s="227"/>
      <c r="F43" s="227"/>
    </row>
    <row r="44" spans="1:7" ht="27.95" customHeight="1" x14ac:dyDescent="0.25">
      <c r="B44" s="150" t="s">
        <v>87</v>
      </c>
      <c r="C44" s="151" t="s">
        <v>67</v>
      </c>
      <c r="D44" s="252" t="s">
        <v>88</v>
      </c>
      <c r="E44" s="227"/>
      <c r="F44" s="227"/>
    </row>
    <row r="45" spans="1:7" ht="27.95" customHeight="1" x14ac:dyDescent="0.25">
      <c r="B45" s="152" t="s">
        <v>89</v>
      </c>
      <c r="C45" s="153" t="s">
        <v>67</v>
      </c>
      <c r="D45" s="250" t="s">
        <v>90</v>
      </c>
      <c r="E45" s="227"/>
      <c r="F45" s="227"/>
    </row>
    <row r="46" spans="1:7" ht="27.95" customHeight="1" x14ac:dyDescent="0.25">
      <c r="B46" s="150" t="s">
        <v>91</v>
      </c>
      <c r="C46" s="151" t="s">
        <v>64</v>
      </c>
      <c r="D46" s="252" t="s">
        <v>92</v>
      </c>
      <c r="E46" s="227"/>
      <c r="F46" s="227"/>
    </row>
    <row r="47" spans="1:7" ht="27.95" customHeight="1" x14ac:dyDescent="0.25">
      <c r="B47" s="254" t="s">
        <v>93</v>
      </c>
      <c r="C47" s="227"/>
      <c r="D47" s="227"/>
      <c r="E47" s="227"/>
      <c r="F47" s="227"/>
    </row>
    <row r="48" spans="1:7" x14ac:dyDescent="0.25">
      <c r="B48" s="154" t="s">
        <v>74</v>
      </c>
      <c r="C48" s="155">
        <f>IF(SUMPRODUCT(((C42:C46="Met")+(C42:C46="Partial")+(C42:C46="Missed"))*{3,3,1,1,2})=0,"",ROUND((5*SUMPRODUCT((C42:C46="Met")*{3,3,1,1,2})+2.5*SUMPRODUCT((C42:C46="Partial")*{3,3,1,1,2}))/SUMPRODUCT(((C42:C46="Met")+(C42:C46="Partial")+(C42:C46="Missed"))*{3,3,1,1,2}),0))</f>
        <v>4</v>
      </c>
      <c r="D48" s="156"/>
      <c r="E48" s="156"/>
      <c r="F48" s="156"/>
    </row>
    <row r="49" spans="1:7" ht="24" customHeight="1" x14ac:dyDescent="0.25">
      <c r="B49" s="157" t="s">
        <v>75</v>
      </c>
      <c r="C49" s="149">
        <v>4</v>
      </c>
      <c r="D49" s="248" t="str">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9" s="227"/>
      <c r="F49" s="227"/>
    </row>
    <row r="50" spans="1:7" x14ac:dyDescent="0.25">
      <c r="B50" s="157" t="s">
        <v>76</v>
      </c>
      <c r="C50" s="248"/>
      <c r="D50" s="227"/>
      <c r="E50" s="227"/>
      <c r="F50" s="227"/>
    </row>
    <row r="51" spans="1:7" ht="36" customHeight="1" x14ac:dyDescent="0.25">
      <c r="B51" s="157" t="s">
        <v>78</v>
      </c>
      <c r="C51" s="248" t="s">
        <v>94</v>
      </c>
      <c r="D51" s="227"/>
      <c r="E51" s="227"/>
      <c r="F51" s="227"/>
    </row>
    <row r="52" spans="1:7" x14ac:dyDescent="0.25">
      <c r="A52" s="63"/>
      <c r="B52" s="63"/>
      <c r="C52" s="63"/>
      <c r="D52" s="63"/>
      <c r="E52" s="63"/>
      <c r="F52" s="63"/>
      <c r="G52" s="63"/>
    </row>
    <row r="53" spans="1:7" ht="18" customHeight="1" x14ac:dyDescent="0.25">
      <c r="B53" s="251" t="s">
        <v>95</v>
      </c>
      <c r="C53" s="227"/>
      <c r="D53" s="227"/>
      <c r="E53" s="227"/>
      <c r="F53" s="148" t="s">
        <v>96</v>
      </c>
    </row>
    <row r="54" spans="1:7" ht="27.95" customHeight="1" x14ac:dyDescent="0.25">
      <c r="B54" s="249" t="s">
        <v>97</v>
      </c>
      <c r="C54" s="227"/>
      <c r="D54" s="227"/>
      <c r="E54" s="227"/>
      <c r="F54" s="227"/>
    </row>
    <row r="55" spans="1:7" x14ac:dyDescent="0.25">
      <c r="B55" s="145" t="s">
        <v>60</v>
      </c>
      <c r="C55" s="149" t="s">
        <v>61</v>
      </c>
      <c r="D55" s="255" t="s">
        <v>62</v>
      </c>
      <c r="E55" s="227"/>
      <c r="F55" s="227"/>
    </row>
    <row r="56" spans="1:7" ht="27.95" customHeight="1" x14ac:dyDescent="0.25">
      <c r="B56" s="150" t="s">
        <v>98</v>
      </c>
      <c r="C56" s="151" t="s">
        <v>64</v>
      </c>
      <c r="D56" s="252" t="s">
        <v>99</v>
      </c>
      <c r="E56" s="227"/>
      <c r="F56" s="227"/>
    </row>
    <row r="57" spans="1:7" ht="27.95" customHeight="1" x14ac:dyDescent="0.25">
      <c r="B57" s="152" t="s">
        <v>100</v>
      </c>
      <c r="C57" s="153" t="s">
        <v>67</v>
      </c>
      <c r="D57" s="250" t="s">
        <v>101</v>
      </c>
      <c r="E57" s="227"/>
      <c r="F57" s="227"/>
    </row>
    <row r="58" spans="1:7" ht="27.95" customHeight="1" x14ac:dyDescent="0.25">
      <c r="B58" s="150" t="s">
        <v>102</v>
      </c>
      <c r="C58" s="151" t="s">
        <v>64</v>
      </c>
      <c r="D58" s="252" t="s">
        <v>103</v>
      </c>
      <c r="E58" s="227"/>
      <c r="F58" s="227"/>
    </row>
    <row r="59" spans="1:7" ht="27.95" customHeight="1" x14ac:dyDescent="0.25">
      <c r="B59" s="152" t="s">
        <v>104</v>
      </c>
      <c r="C59" s="153" t="s">
        <v>67</v>
      </c>
      <c r="D59" s="250" t="s">
        <v>105</v>
      </c>
      <c r="E59" s="227"/>
      <c r="F59" s="227"/>
    </row>
    <row r="60" spans="1:7" ht="27.95" customHeight="1" x14ac:dyDescent="0.25">
      <c r="B60" s="150" t="s">
        <v>106</v>
      </c>
      <c r="C60" s="151" t="s">
        <v>64</v>
      </c>
      <c r="D60" s="252" t="s">
        <v>107</v>
      </c>
      <c r="E60" s="227"/>
      <c r="F60" s="227"/>
    </row>
    <row r="61" spans="1:7" ht="27.95" customHeight="1" x14ac:dyDescent="0.25">
      <c r="B61" s="150" t="s">
        <v>108</v>
      </c>
      <c r="C61" s="151" t="s">
        <v>67</v>
      </c>
      <c r="D61" s="252" t="s">
        <v>109</v>
      </c>
      <c r="E61" s="227"/>
      <c r="F61" s="227"/>
    </row>
    <row r="62" spans="1:7" ht="27.95" customHeight="1" x14ac:dyDescent="0.25">
      <c r="B62" s="152" t="s">
        <v>110</v>
      </c>
      <c r="C62" s="153" t="s">
        <v>111</v>
      </c>
      <c r="D62" s="250" t="s">
        <v>112</v>
      </c>
      <c r="E62" s="227"/>
      <c r="F62" s="227"/>
    </row>
    <row r="63" spans="1:7" ht="27.95" customHeight="1" x14ac:dyDescent="0.25">
      <c r="B63" s="254" t="s">
        <v>113</v>
      </c>
      <c r="C63" s="227"/>
      <c r="D63" s="227"/>
      <c r="E63" s="227"/>
      <c r="F63" s="227"/>
    </row>
    <row r="64" spans="1:7" x14ac:dyDescent="0.25">
      <c r="B64" s="154" t="s">
        <v>74</v>
      </c>
      <c r="C64" s="155">
        <f>IF(SUMPRODUCT(((C56:C62="Met")+(C56:C62="Partial")+(C56:C62="Missed"))*{1,3,2,3,1,1,1})=0,"",ROUND((5*SUMPRODUCT((C56:C62="Met")*{1,3,2,3,1,1,1})+2.5*SUMPRODUCT((C56:C62="Partial")*{1,3,2,3,1,1,1}))/SUMPRODUCT(((C56:C62="Met")+(C56:C62="Partial")+(C56:C62="Missed"))*{1,3,2,3,1,1,1}),0))</f>
        <v>3</v>
      </c>
      <c r="D64" s="156"/>
      <c r="E64" s="156"/>
      <c r="F64" s="156"/>
    </row>
    <row r="65" spans="1:7" ht="24" customHeight="1" x14ac:dyDescent="0.25">
      <c r="B65" s="157" t="s">
        <v>75</v>
      </c>
      <c r="C65" s="149">
        <v>3</v>
      </c>
      <c r="D65" s="248" t="str">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5" s="227"/>
      <c r="F65" s="227"/>
    </row>
    <row r="66" spans="1:7" x14ac:dyDescent="0.25">
      <c r="B66" s="157" t="s">
        <v>76</v>
      </c>
      <c r="C66" s="248" t="s">
        <v>114</v>
      </c>
      <c r="D66" s="227"/>
      <c r="E66" s="227"/>
      <c r="F66" s="227"/>
    </row>
    <row r="67" spans="1:7" ht="36" customHeight="1" x14ac:dyDescent="0.25">
      <c r="B67" s="157" t="s">
        <v>78</v>
      </c>
      <c r="C67" s="248" t="s">
        <v>115</v>
      </c>
      <c r="D67" s="227"/>
      <c r="E67" s="227"/>
      <c r="F67" s="227"/>
    </row>
    <row r="68" spans="1:7" x14ac:dyDescent="0.25">
      <c r="A68" s="63"/>
      <c r="B68" s="63"/>
      <c r="C68" s="63"/>
      <c r="D68" s="63"/>
      <c r="E68" s="63"/>
      <c r="F68" s="63"/>
      <c r="G68" s="63"/>
    </row>
    <row r="69" spans="1:7" ht="18" customHeight="1" x14ac:dyDescent="0.25">
      <c r="B69" s="251" t="s">
        <v>116</v>
      </c>
      <c r="C69" s="227"/>
      <c r="D69" s="227"/>
      <c r="E69" s="227"/>
      <c r="F69" s="148" t="s">
        <v>96</v>
      </c>
    </row>
    <row r="70" spans="1:7" ht="27.95" customHeight="1" x14ac:dyDescent="0.25">
      <c r="B70" s="249" t="s">
        <v>117</v>
      </c>
      <c r="C70" s="227"/>
      <c r="D70" s="227"/>
      <c r="E70" s="227"/>
      <c r="F70" s="227"/>
    </row>
    <row r="71" spans="1:7" x14ac:dyDescent="0.25">
      <c r="B71" s="145" t="s">
        <v>60</v>
      </c>
      <c r="C71" s="149" t="s">
        <v>61</v>
      </c>
      <c r="D71" s="255" t="s">
        <v>62</v>
      </c>
      <c r="E71" s="227"/>
      <c r="F71" s="227"/>
    </row>
    <row r="72" spans="1:7" ht="27.95" customHeight="1" x14ac:dyDescent="0.25">
      <c r="B72" s="150" t="s">
        <v>118</v>
      </c>
      <c r="C72" s="151" t="s">
        <v>64</v>
      </c>
      <c r="D72" s="252" t="s">
        <v>119</v>
      </c>
      <c r="E72" s="227"/>
      <c r="F72" s="227"/>
    </row>
    <row r="73" spans="1:7" ht="27.95" customHeight="1" x14ac:dyDescent="0.25">
      <c r="B73" s="152" t="s">
        <v>120</v>
      </c>
      <c r="C73" s="153" t="s">
        <v>111</v>
      </c>
      <c r="D73" s="250" t="s">
        <v>121</v>
      </c>
      <c r="E73" s="227"/>
      <c r="F73" s="227"/>
    </row>
    <row r="74" spans="1:7" ht="27.95" customHeight="1" x14ac:dyDescent="0.25">
      <c r="B74" s="150" t="s">
        <v>122</v>
      </c>
      <c r="C74" s="151" t="s">
        <v>64</v>
      </c>
      <c r="D74" s="252" t="s">
        <v>123</v>
      </c>
      <c r="E74" s="227"/>
      <c r="F74" s="227"/>
    </row>
    <row r="75" spans="1:7" ht="27.95" customHeight="1" x14ac:dyDescent="0.25">
      <c r="B75" s="152" t="s">
        <v>124</v>
      </c>
      <c r="C75" s="153" t="s">
        <v>111</v>
      </c>
      <c r="D75" s="250" t="s">
        <v>125</v>
      </c>
      <c r="E75" s="227"/>
      <c r="F75" s="227"/>
    </row>
    <row r="76" spans="1:7" ht="27.95" customHeight="1" x14ac:dyDescent="0.25">
      <c r="B76" s="152" t="s">
        <v>914</v>
      </c>
      <c r="C76" s="153" t="s">
        <v>67</v>
      </c>
      <c r="D76" s="152" t="s">
        <v>919</v>
      </c>
    </row>
    <row r="77" spans="1:7" ht="27.95" customHeight="1" x14ac:dyDescent="0.25">
      <c r="B77" s="152" t="s">
        <v>915</v>
      </c>
      <c r="C77" s="153" t="s">
        <v>111</v>
      </c>
      <c r="D77" s="152" t="s">
        <v>920</v>
      </c>
    </row>
    <row r="78" spans="1:7" ht="27.95" customHeight="1" x14ac:dyDescent="0.25">
      <c r="B78" s="254" t="s">
        <v>126</v>
      </c>
      <c r="C78" s="227"/>
      <c r="D78" s="227"/>
      <c r="E78" s="227"/>
      <c r="F78" s="227"/>
    </row>
    <row r="79" spans="1:7" x14ac:dyDescent="0.25">
      <c r="B79" s="154" t="s">
        <v>74</v>
      </c>
      <c r="C79" s="155">
        <f>IF(SUMPRODUCT(((C72:C75="Met")+(C72:C75="Partial")+(C72:C75="Missed"))*{3,2,2,1})=0,"",ROUND((5*SUMPRODUCT((C72:C75="Met")*{3,2,2,1})+2.5*SUMPRODUCT((C72:C75="Partial")*{3,2,2,1}))/SUMPRODUCT(((C72:C75="Met")+(C72:C75="Partial")+(C72:C75="Missed"))*{3,2,2,1}),0))</f>
        <v>1</v>
      </c>
      <c r="D79" s="156"/>
      <c r="E79" s="156"/>
      <c r="F79" s="156"/>
    </row>
    <row r="80" spans="1:7" ht="24" customHeight="1" x14ac:dyDescent="0.25">
      <c r="B80" s="157" t="s">
        <v>75</v>
      </c>
      <c r="C80" s="149">
        <v>1</v>
      </c>
      <c r="D80" s="248" t="str">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0" s="227"/>
      <c r="F80" s="227"/>
    </row>
    <row r="81" spans="1:7" x14ac:dyDescent="0.25">
      <c r="B81" s="157" t="s">
        <v>76</v>
      </c>
      <c r="C81" s="248" t="s">
        <v>127</v>
      </c>
      <c r="D81" s="227"/>
      <c r="E81" s="227"/>
      <c r="F81" s="227"/>
    </row>
    <row r="82" spans="1:7" ht="36" customHeight="1" x14ac:dyDescent="0.25">
      <c r="B82" s="157" t="s">
        <v>78</v>
      </c>
      <c r="C82" s="248" t="s">
        <v>128</v>
      </c>
      <c r="D82" s="227"/>
      <c r="E82" s="227"/>
      <c r="F82" s="227"/>
    </row>
    <row r="83" spans="1:7" x14ac:dyDescent="0.25">
      <c r="A83" s="63"/>
      <c r="B83" s="63"/>
      <c r="C83" s="63"/>
      <c r="D83" s="63"/>
      <c r="E83" s="63"/>
      <c r="F83" s="63"/>
      <c r="G83" s="63"/>
    </row>
    <row r="84" spans="1:7" ht="18" customHeight="1" x14ac:dyDescent="0.25">
      <c r="B84" s="251" t="s">
        <v>129</v>
      </c>
      <c r="C84" s="227"/>
      <c r="D84" s="227"/>
      <c r="E84" s="227"/>
      <c r="F84" s="148" t="s">
        <v>130</v>
      </c>
    </row>
    <row r="85" spans="1:7" ht="27.95" customHeight="1" x14ac:dyDescent="0.25">
      <c r="B85" s="249" t="s">
        <v>131</v>
      </c>
      <c r="C85" s="227"/>
      <c r="D85" s="227"/>
      <c r="E85" s="227"/>
      <c r="F85" s="227"/>
    </row>
    <row r="86" spans="1:7" x14ac:dyDescent="0.25">
      <c r="B86" s="145" t="s">
        <v>60</v>
      </c>
      <c r="C86" s="149" t="s">
        <v>61</v>
      </c>
      <c r="D86" s="255" t="s">
        <v>62</v>
      </c>
      <c r="E86" s="227"/>
      <c r="F86" s="227"/>
    </row>
    <row r="87" spans="1:7" ht="27.95" customHeight="1" x14ac:dyDescent="0.25">
      <c r="B87" s="150" t="s">
        <v>132</v>
      </c>
      <c r="C87" s="151" t="s">
        <v>53</v>
      </c>
      <c r="D87" s="252" t="s">
        <v>133</v>
      </c>
      <c r="E87" s="227"/>
      <c r="F87" s="227"/>
    </row>
    <row r="88" spans="1:7" ht="27.95" customHeight="1" x14ac:dyDescent="0.25">
      <c r="B88" s="152" t="s">
        <v>916</v>
      </c>
      <c r="C88" s="153" t="s">
        <v>111</v>
      </c>
      <c r="D88" s="250" t="s">
        <v>135</v>
      </c>
      <c r="E88" s="227"/>
      <c r="F88" s="227"/>
    </row>
    <row r="89" spans="1:7" ht="27.95" customHeight="1" x14ac:dyDescent="0.25">
      <c r="B89" s="150" t="s">
        <v>136</v>
      </c>
      <c r="C89" s="151" t="s">
        <v>111</v>
      </c>
      <c r="D89" s="252" t="s">
        <v>137</v>
      </c>
      <c r="E89" s="227"/>
      <c r="F89" s="227"/>
    </row>
    <row r="90" spans="1:7" ht="27.95" customHeight="1" x14ac:dyDescent="0.25">
      <c r="B90" s="152" t="s">
        <v>138</v>
      </c>
      <c r="C90" s="153" t="s">
        <v>111</v>
      </c>
      <c r="D90" s="250" t="s">
        <v>139</v>
      </c>
      <c r="E90" s="227"/>
      <c r="F90" s="227"/>
    </row>
    <row r="91" spans="1:7" ht="27.95" customHeight="1" x14ac:dyDescent="0.25">
      <c r="B91" s="254" t="s">
        <v>140</v>
      </c>
      <c r="C91" s="227"/>
      <c r="D91" s="227"/>
      <c r="E91" s="227"/>
      <c r="F91" s="227"/>
    </row>
    <row r="92" spans="1:7" x14ac:dyDescent="0.25">
      <c r="B92" s="154" t="s">
        <v>74</v>
      </c>
      <c r="C92" s="155">
        <f>IF(SUMPRODUCT(((C87:C90="Met")+(C87:C90="Partial")+(C87:C90="Missed"))*{3,2,3,1})=0,"",ROUND((5*SUMPRODUCT((C87:C90="Met")*{3,2,3,1})+2.5*SUMPRODUCT((C87:C90="Partial")*{3,2,3,1}))/SUMPRODUCT(((C87:C90="Met")+(C87:C90="Partial")+(C87:C90="Missed"))*{3,2,3,1}),0))</f>
        <v>0</v>
      </c>
      <c r="D92" s="156"/>
      <c r="E92" s="156"/>
      <c r="F92" s="156"/>
    </row>
    <row r="93" spans="1:7" ht="24" customHeight="1" x14ac:dyDescent="0.25">
      <c r="B93" s="157" t="s">
        <v>75</v>
      </c>
      <c r="C93" s="149">
        <v>1</v>
      </c>
      <c r="D93" s="248" t="str">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3" s="227"/>
      <c r="F93" s="227"/>
    </row>
    <row r="94" spans="1:7" x14ac:dyDescent="0.25">
      <c r="B94" s="157" t="s">
        <v>76</v>
      </c>
      <c r="C94" s="248" t="s">
        <v>141</v>
      </c>
      <c r="D94" s="227"/>
      <c r="E94" s="227"/>
      <c r="F94" s="227"/>
    </row>
    <row r="95" spans="1:7" ht="36" customHeight="1" x14ac:dyDescent="0.25">
      <c r="B95" s="157" t="s">
        <v>78</v>
      </c>
      <c r="C95" s="248" t="s">
        <v>142</v>
      </c>
      <c r="D95" s="227"/>
      <c r="E95" s="227"/>
      <c r="F95" s="227"/>
    </row>
    <row r="96" spans="1:7" x14ac:dyDescent="0.25">
      <c r="A96" s="63"/>
      <c r="B96" s="63"/>
      <c r="C96" s="63"/>
      <c r="D96" s="63"/>
      <c r="E96" s="63"/>
      <c r="F96" s="63"/>
      <c r="G96" s="63"/>
    </row>
    <row r="97" spans="1:7" ht="18" customHeight="1" x14ac:dyDescent="0.25">
      <c r="B97" s="251" t="s">
        <v>143</v>
      </c>
      <c r="C97" s="227"/>
      <c r="D97" s="227"/>
      <c r="E97" s="227"/>
      <c r="F97" s="227"/>
    </row>
    <row r="98" spans="1:7" ht="36" customHeight="1" x14ac:dyDescent="0.25">
      <c r="B98" s="145" t="s">
        <v>144</v>
      </c>
      <c r="C98" s="248" t="s">
        <v>145</v>
      </c>
      <c r="D98" s="227"/>
      <c r="E98" s="227"/>
      <c r="F98" s="227"/>
    </row>
    <row r="99" spans="1:7" ht="18" customHeight="1" x14ac:dyDescent="0.25">
      <c r="B99" s="251" t="s">
        <v>146</v>
      </c>
      <c r="C99" s="227"/>
      <c r="D99" s="227"/>
      <c r="E99" s="227"/>
      <c r="F99" s="227"/>
    </row>
    <row r="100" spans="1:7" ht="29.1" customHeight="1" x14ac:dyDescent="0.25">
      <c r="B100" s="145" t="s">
        <v>147</v>
      </c>
      <c r="C100" s="248" t="s">
        <v>148</v>
      </c>
      <c r="D100" s="227"/>
      <c r="E100" s="227"/>
      <c r="F100" s="227"/>
    </row>
    <row r="101" spans="1:7" ht="29.1" customHeight="1" x14ac:dyDescent="0.25">
      <c r="B101" s="145" t="s">
        <v>149</v>
      </c>
      <c r="C101" s="248"/>
      <c r="D101" s="227"/>
      <c r="E101" s="227"/>
      <c r="F101" s="227"/>
    </row>
    <row r="102" spans="1:7" ht="29.1" customHeight="1" x14ac:dyDescent="0.25">
      <c r="B102" s="145" t="s">
        <v>150</v>
      </c>
      <c r="C102" s="248"/>
      <c r="D102" s="227"/>
      <c r="E102" s="227"/>
      <c r="F102" s="227"/>
    </row>
    <row r="103" spans="1:7" x14ac:dyDescent="0.25">
      <c r="A103" s="63"/>
      <c r="B103" s="63"/>
      <c r="C103" s="63"/>
      <c r="D103" s="63"/>
      <c r="E103" s="63"/>
      <c r="F103" s="63"/>
      <c r="G103" s="63"/>
    </row>
    <row r="104" spans="1:7" ht="18" customHeight="1" x14ac:dyDescent="0.25">
      <c r="B104" s="251" t="s">
        <v>151</v>
      </c>
      <c r="C104" s="227"/>
      <c r="D104" s="227"/>
      <c r="E104" s="227"/>
      <c r="F104" s="148" t="s">
        <v>152</v>
      </c>
    </row>
    <row r="105" spans="1:7" ht="27.95" customHeight="1" x14ac:dyDescent="0.25">
      <c r="B105" s="249" t="s">
        <v>153</v>
      </c>
      <c r="C105" s="227"/>
      <c r="D105" s="227"/>
      <c r="E105" s="227"/>
      <c r="F105" s="227"/>
    </row>
    <row r="106" spans="1:7" x14ac:dyDescent="0.25">
      <c r="B106" s="145" t="s">
        <v>60</v>
      </c>
      <c r="C106" s="149" t="s">
        <v>61</v>
      </c>
      <c r="D106" s="255" t="s">
        <v>62</v>
      </c>
      <c r="E106" s="227"/>
      <c r="F106" s="227"/>
    </row>
    <row r="107" spans="1:7" ht="27.95" customHeight="1" x14ac:dyDescent="0.25">
      <c r="B107" s="150" t="s">
        <v>154</v>
      </c>
      <c r="C107" s="151" t="s">
        <v>64</v>
      </c>
      <c r="D107" s="252" t="s">
        <v>155</v>
      </c>
      <c r="E107" s="227"/>
      <c r="F107" s="227"/>
    </row>
    <row r="108" spans="1:7" ht="27.95" customHeight="1" x14ac:dyDescent="0.25">
      <c r="B108" s="152" t="s">
        <v>156</v>
      </c>
      <c r="C108" s="153" t="s">
        <v>67</v>
      </c>
      <c r="D108" s="250" t="s">
        <v>157</v>
      </c>
      <c r="E108" s="227"/>
      <c r="F108" s="227"/>
    </row>
    <row r="109" spans="1:7" ht="27.95" customHeight="1" x14ac:dyDescent="0.25">
      <c r="B109" s="150" t="s">
        <v>158</v>
      </c>
      <c r="C109" s="151" t="s">
        <v>64</v>
      </c>
      <c r="D109" s="252" t="s">
        <v>159</v>
      </c>
      <c r="E109" s="227"/>
      <c r="F109" s="227"/>
    </row>
    <row r="110" spans="1:7" ht="27.95" customHeight="1" x14ac:dyDescent="0.25">
      <c r="B110" s="152" t="s">
        <v>160</v>
      </c>
      <c r="C110" s="153" t="s">
        <v>111</v>
      </c>
      <c r="D110" s="250" t="s">
        <v>161</v>
      </c>
      <c r="E110" s="227"/>
      <c r="F110" s="227"/>
    </row>
    <row r="111" spans="1:7" ht="27.95" customHeight="1" x14ac:dyDescent="0.25">
      <c r="B111" s="150" t="s">
        <v>162</v>
      </c>
      <c r="C111" s="151" t="s">
        <v>111</v>
      </c>
      <c r="D111" s="252" t="s">
        <v>163</v>
      </c>
      <c r="E111" s="227"/>
      <c r="F111" s="227"/>
    </row>
    <row r="112" spans="1:7" ht="27.95" customHeight="1" x14ac:dyDescent="0.25">
      <c r="B112" s="254" t="s">
        <v>164</v>
      </c>
      <c r="C112" s="227"/>
      <c r="D112" s="227"/>
      <c r="E112" s="227"/>
      <c r="F112" s="227"/>
    </row>
    <row r="113" spans="1:7" x14ac:dyDescent="0.25">
      <c r="B113" s="154" t="s">
        <v>74</v>
      </c>
      <c r="C113" s="155">
        <f>IF(SUMPRODUCT(((C107:C111="Met")+(C107:C111="Partial")+(C107:C111="Missed"))*{2,3,1,1,2})=0,"",ROUND((5*SUMPRODUCT((C107:C111="Met")*{2,3,1,1,2})+2.5*SUMPRODUCT((C107:C111="Partial")*{2,3,1,1,2}))/SUMPRODUCT(((C107:C111="Met")+(C107:C111="Partial")+(C107:C111="Missed"))*{2,3,1,1,2}),0))</f>
        <v>2</v>
      </c>
      <c r="D113" s="156"/>
      <c r="E113" s="156"/>
      <c r="F113" s="156"/>
    </row>
    <row r="114" spans="1:7" ht="24" customHeight="1" x14ac:dyDescent="0.25">
      <c r="B114" s="157" t="s">
        <v>75</v>
      </c>
      <c r="C114" s="149">
        <v>2</v>
      </c>
      <c r="D114" s="248" t="str">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4" s="227"/>
      <c r="F114" s="227"/>
    </row>
    <row r="115" spans="1:7" x14ac:dyDescent="0.25">
      <c r="B115" s="157" t="s">
        <v>76</v>
      </c>
      <c r="C115" s="248" t="s">
        <v>165</v>
      </c>
      <c r="D115" s="227"/>
      <c r="E115" s="227"/>
      <c r="F115" s="227"/>
    </row>
    <row r="116" spans="1:7" ht="36" customHeight="1" x14ac:dyDescent="0.25">
      <c r="B116" s="157" t="s">
        <v>78</v>
      </c>
      <c r="C116" s="248" t="s">
        <v>166</v>
      </c>
      <c r="D116" s="227"/>
      <c r="E116" s="227"/>
      <c r="F116" s="227"/>
    </row>
    <row r="117" spans="1:7" x14ac:dyDescent="0.25">
      <c r="A117" s="63"/>
      <c r="B117" s="63"/>
      <c r="C117" s="63"/>
      <c r="D117" s="63"/>
      <c r="E117" s="63"/>
      <c r="F117" s="63"/>
      <c r="G117" s="63"/>
    </row>
    <row r="118" spans="1:7" ht="18" customHeight="1" x14ac:dyDescent="0.25">
      <c r="B118" s="251" t="s">
        <v>167</v>
      </c>
      <c r="C118" s="227"/>
      <c r="D118" s="227"/>
      <c r="E118" s="227"/>
      <c r="F118" s="148" t="s">
        <v>152</v>
      </c>
    </row>
    <row r="119" spans="1:7" ht="27.95" customHeight="1" x14ac:dyDescent="0.25">
      <c r="B119" s="249" t="s">
        <v>168</v>
      </c>
      <c r="C119" s="227"/>
      <c r="D119" s="227"/>
      <c r="E119" s="227"/>
      <c r="F119" s="227"/>
    </row>
    <row r="120" spans="1:7" x14ac:dyDescent="0.25">
      <c r="B120" s="145" t="s">
        <v>60</v>
      </c>
      <c r="C120" s="149" t="s">
        <v>61</v>
      </c>
      <c r="D120" s="255" t="s">
        <v>62</v>
      </c>
      <c r="E120" s="227"/>
      <c r="F120" s="227"/>
    </row>
    <row r="121" spans="1:7" ht="27.95" customHeight="1" x14ac:dyDescent="0.25">
      <c r="B121" s="150" t="s">
        <v>169</v>
      </c>
      <c r="C121" s="151" t="s">
        <v>67</v>
      </c>
      <c r="D121" s="252" t="s">
        <v>170</v>
      </c>
      <c r="E121" s="227"/>
      <c r="F121" s="227"/>
    </row>
    <row r="122" spans="1:7" ht="27.95" customHeight="1" x14ac:dyDescent="0.25">
      <c r="B122" s="152" t="s">
        <v>171</v>
      </c>
      <c r="C122" s="153" t="s">
        <v>67</v>
      </c>
      <c r="D122" s="250" t="s">
        <v>172</v>
      </c>
      <c r="E122" s="227"/>
      <c r="F122" s="227"/>
    </row>
    <row r="123" spans="1:7" ht="27.95" customHeight="1" x14ac:dyDescent="0.25">
      <c r="B123" s="150" t="s">
        <v>173</v>
      </c>
      <c r="C123" s="151" t="s">
        <v>67</v>
      </c>
      <c r="D123" s="252" t="s">
        <v>174</v>
      </c>
      <c r="E123" s="227"/>
      <c r="F123" s="227"/>
    </row>
    <row r="124" spans="1:7" ht="27.95" customHeight="1" x14ac:dyDescent="0.25">
      <c r="B124" s="152" t="s">
        <v>175</v>
      </c>
      <c r="C124" s="153" t="s">
        <v>111</v>
      </c>
      <c r="D124" s="250" t="s">
        <v>176</v>
      </c>
      <c r="E124" s="227"/>
      <c r="F124" s="227"/>
    </row>
    <row r="125" spans="1:7" ht="27.95" customHeight="1" x14ac:dyDescent="0.25">
      <c r="B125" s="150" t="s">
        <v>177</v>
      </c>
      <c r="C125" s="151" t="s">
        <v>64</v>
      </c>
      <c r="D125" s="252" t="s">
        <v>178</v>
      </c>
      <c r="E125" s="227"/>
      <c r="F125" s="227"/>
    </row>
    <row r="126" spans="1:7" ht="27.95" customHeight="1" x14ac:dyDescent="0.25">
      <c r="B126" s="152" t="s">
        <v>179</v>
      </c>
      <c r="C126" s="153" t="s">
        <v>111</v>
      </c>
      <c r="D126" s="250" t="s">
        <v>180</v>
      </c>
      <c r="E126" s="227"/>
      <c r="F126" s="227"/>
    </row>
    <row r="127" spans="1:7" ht="27.95" customHeight="1" x14ac:dyDescent="0.25">
      <c r="B127" s="254" t="s">
        <v>181</v>
      </c>
      <c r="C127" s="227"/>
      <c r="D127" s="227"/>
      <c r="E127" s="227"/>
      <c r="F127" s="227"/>
    </row>
    <row r="128" spans="1:7" x14ac:dyDescent="0.25">
      <c r="B128" s="154" t="s">
        <v>74</v>
      </c>
      <c r="C128" s="155">
        <f>IF(SUMPRODUCT(((C121:C126="Met")+(C121:C126="Partial")+(C121:C126="Missed"))*{3,3,3,3,2,1})=0,"",ROUND((5*SUMPRODUCT((C121:C126="Met")*{3,3,3,3,2,1})+2.5*SUMPRODUCT((C121:C126="Partial")*{3,3,3,3,2,1}))/SUMPRODUCT(((C121:C126="Met")+(C121:C126="Partial")+(C121:C126="Missed"))*{3,3,3,3,2,1}),0))</f>
        <v>3</v>
      </c>
      <c r="D128" s="156"/>
      <c r="E128" s="156"/>
      <c r="F128" s="156"/>
    </row>
    <row r="129" spans="1:7" ht="24" customHeight="1" x14ac:dyDescent="0.25">
      <c r="B129" s="157" t="s">
        <v>75</v>
      </c>
      <c r="C129" s="149">
        <v>2</v>
      </c>
      <c r="D129" s="248" t="str">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9" s="227"/>
      <c r="F129" s="227"/>
    </row>
    <row r="130" spans="1:7" x14ac:dyDescent="0.25">
      <c r="B130" s="157" t="s">
        <v>76</v>
      </c>
      <c r="C130" s="248" t="s">
        <v>182</v>
      </c>
      <c r="D130" s="227"/>
      <c r="E130" s="227"/>
      <c r="F130" s="227"/>
    </row>
    <row r="131" spans="1:7" ht="36" customHeight="1" x14ac:dyDescent="0.25">
      <c r="B131" s="157" t="s">
        <v>78</v>
      </c>
      <c r="C131" s="248" t="s">
        <v>183</v>
      </c>
      <c r="D131" s="227"/>
      <c r="E131" s="227"/>
      <c r="F131" s="227"/>
    </row>
    <row r="132" spans="1:7" x14ac:dyDescent="0.25">
      <c r="A132" s="63"/>
      <c r="B132" s="63"/>
      <c r="C132" s="63"/>
      <c r="D132" s="63"/>
      <c r="E132" s="63"/>
      <c r="F132" s="63"/>
      <c r="G132" s="63"/>
    </row>
    <row r="133" spans="1:7" ht="27.95" customHeight="1" x14ac:dyDescent="0.25">
      <c r="B133" s="253" t="s">
        <v>184</v>
      </c>
      <c r="C133" s="227"/>
      <c r="D133" s="227"/>
      <c r="E133" s="227"/>
      <c r="F133" s="227"/>
    </row>
    <row r="134" spans="1:7" x14ac:dyDescent="0.25">
      <c r="B134" s="158" t="s">
        <v>185</v>
      </c>
      <c r="C134" s="158" t="s">
        <v>186</v>
      </c>
      <c r="D134" s="158" t="s">
        <v>187</v>
      </c>
      <c r="E134" s="158" t="s">
        <v>188</v>
      </c>
      <c r="F134" s="158" t="s">
        <v>189</v>
      </c>
    </row>
    <row r="135" spans="1:7" x14ac:dyDescent="0.25">
      <c r="B135" s="159" t="s">
        <v>190</v>
      </c>
      <c r="C135" s="151" t="s">
        <v>191</v>
      </c>
      <c r="D135" s="151">
        <f>C35</f>
        <v>3</v>
      </c>
      <c r="E135" s="160">
        <f>IF(D135="","",(D135/5)*0.3)</f>
        <v>0.18</v>
      </c>
      <c r="F135" s="151" t="str">
        <f t="shared" ref="F135:F141" si="0">IF(D135="","",IF(D135&gt;=4,"Strong",IF(D135=3,"Developing","Needs Focus")))</f>
        <v>Developing</v>
      </c>
    </row>
    <row r="136" spans="1:7" x14ac:dyDescent="0.25">
      <c r="B136" s="161" t="s">
        <v>192</v>
      </c>
      <c r="C136" s="153" t="s">
        <v>193</v>
      </c>
      <c r="D136" s="153">
        <f>C49</f>
        <v>4</v>
      </c>
      <c r="E136" s="162">
        <f>IF(D136="","",(D136/5)*0.2)</f>
        <v>0.16000000000000003</v>
      </c>
      <c r="F136" s="153" t="str">
        <f t="shared" si="0"/>
        <v>Strong</v>
      </c>
    </row>
    <row r="137" spans="1:7" x14ac:dyDescent="0.25">
      <c r="B137" s="159" t="s">
        <v>194</v>
      </c>
      <c r="C137" s="151" t="s">
        <v>195</v>
      </c>
      <c r="D137" s="151">
        <f>C65</f>
        <v>3</v>
      </c>
      <c r="E137" s="160">
        <f>IF(D137="","",(D137/5)*0.15)</f>
        <v>0.09</v>
      </c>
      <c r="F137" s="151" t="str">
        <f t="shared" si="0"/>
        <v>Developing</v>
      </c>
    </row>
    <row r="138" spans="1:7" x14ac:dyDescent="0.25">
      <c r="B138" s="161" t="s">
        <v>196</v>
      </c>
      <c r="C138" s="153" t="s">
        <v>195</v>
      </c>
      <c r="D138" s="153">
        <f>C80</f>
        <v>1</v>
      </c>
      <c r="E138" s="162">
        <f>IF(D138="","",(D138/5)*0.15)</f>
        <v>0.03</v>
      </c>
      <c r="F138" s="153" t="str">
        <f t="shared" si="0"/>
        <v>Needs Focus</v>
      </c>
    </row>
    <row r="139" spans="1:7" x14ac:dyDescent="0.25">
      <c r="B139" s="159" t="s">
        <v>197</v>
      </c>
      <c r="C139" s="151" t="s">
        <v>198</v>
      </c>
      <c r="D139" s="151">
        <f>C93</f>
        <v>1</v>
      </c>
      <c r="E139" s="160">
        <f>IF(D139="","",(D139/5)*0.1)</f>
        <v>2.0000000000000004E-2</v>
      </c>
      <c r="F139" s="151" t="str">
        <f t="shared" si="0"/>
        <v>Needs Focus</v>
      </c>
    </row>
    <row r="140" spans="1:7" x14ac:dyDescent="0.25">
      <c r="B140" s="161" t="s">
        <v>199</v>
      </c>
      <c r="C140" s="153" t="s">
        <v>200</v>
      </c>
      <c r="D140" s="153">
        <f>C114</f>
        <v>2</v>
      </c>
      <c r="E140" s="162">
        <f>IF(D140="","",(D140/5)*0.05)</f>
        <v>2.0000000000000004E-2</v>
      </c>
      <c r="F140" s="153" t="str">
        <f t="shared" si="0"/>
        <v>Needs Focus</v>
      </c>
    </row>
    <row r="141" spans="1:7" x14ac:dyDescent="0.25">
      <c r="B141" s="159" t="s">
        <v>201</v>
      </c>
      <c r="C141" s="151" t="s">
        <v>200</v>
      </c>
      <c r="D141" s="151">
        <f>C129</f>
        <v>2</v>
      </c>
      <c r="E141" s="160">
        <f>IF(D141="","",(D141/5)*0.05)</f>
        <v>2.0000000000000004E-2</v>
      </c>
      <c r="F141" s="151" t="str">
        <f t="shared" si="0"/>
        <v>Needs Focus</v>
      </c>
    </row>
    <row r="142" spans="1:7" ht="24" customHeight="1" x14ac:dyDescent="0.25">
      <c r="B142" s="147" t="s">
        <v>202</v>
      </c>
      <c r="C142" s="163" t="s">
        <v>203</v>
      </c>
      <c r="D142" s="164"/>
      <c r="E142" s="165">
        <f>SUM(E135:E141)</f>
        <v>0.52000000000000013</v>
      </c>
      <c r="F142" s="163" t="str">
        <f>IF(E142="","",IF(E142&gt;=0.85,"MEETS / EXCEEDS",IF(E142&gt;=0.7,"DEVELOPING","NEEDS IMPROVEMENT")))</f>
        <v>NEEDS IMPROVEMENT</v>
      </c>
    </row>
    <row r="143" spans="1:7" x14ac:dyDescent="0.25">
      <c r="A143" s="63"/>
      <c r="B143" s="63"/>
      <c r="C143" s="63"/>
      <c r="D143" s="63"/>
      <c r="E143" s="63"/>
      <c r="F143" s="63"/>
      <c r="G143" s="63"/>
    </row>
    <row r="144" spans="1:7" ht="18" customHeight="1" x14ac:dyDescent="0.25">
      <c r="B144" s="251" t="s">
        <v>204</v>
      </c>
      <c r="C144" s="227"/>
      <c r="D144" s="227"/>
      <c r="E144" s="227"/>
      <c r="F144" s="148"/>
    </row>
    <row r="145" spans="1:7" ht="29.1" customHeight="1" x14ac:dyDescent="0.25">
      <c r="B145" s="145" t="s">
        <v>205</v>
      </c>
      <c r="C145" s="146" t="s">
        <v>45</v>
      </c>
      <c r="D145" s="145" t="s">
        <v>206</v>
      </c>
      <c r="E145" s="256" t="s">
        <v>207</v>
      </c>
      <c r="F145" s="227"/>
    </row>
    <row r="146" spans="1:7" ht="51.95" customHeight="1" x14ac:dyDescent="0.25">
      <c r="B146" s="145" t="s">
        <v>208</v>
      </c>
      <c r="C146" s="248" t="s">
        <v>209</v>
      </c>
      <c r="D146" s="227"/>
      <c r="E146" s="227"/>
      <c r="F146" s="227"/>
    </row>
    <row r="147" spans="1:7" x14ac:dyDescent="0.25">
      <c r="A147" s="63"/>
      <c r="B147" s="63"/>
      <c r="C147" s="63"/>
      <c r="D147" s="63"/>
      <c r="E147" s="63"/>
      <c r="F147" s="63"/>
      <c r="G147" s="63"/>
    </row>
    <row r="148" spans="1:7" ht="18" customHeight="1" x14ac:dyDescent="0.25">
      <c r="B148" s="251" t="s">
        <v>210</v>
      </c>
      <c r="C148" s="227"/>
      <c r="D148" s="227"/>
      <c r="E148" s="227"/>
      <c r="F148" s="148"/>
    </row>
    <row r="149" spans="1:7" ht="26.1" customHeight="1" x14ac:dyDescent="0.25">
      <c r="B149" s="145" t="s">
        <v>211</v>
      </c>
      <c r="C149" s="166" t="s">
        <v>212</v>
      </c>
      <c r="D149" s="258" t="s">
        <v>213</v>
      </c>
      <c r="E149" s="227"/>
      <c r="F149" s="227"/>
    </row>
    <row r="150" spans="1:7" ht="26.1" customHeight="1" x14ac:dyDescent="0.25">
      <c r="B150" s="145" t="s">
        <v>214</v>
      </c>
      <c r="C150" s="146" t="s">
        <v>215</v>
      </c>
      <c r="D150" s="146"/>
      <c r="E150" s="256" t="str">
        <f>IF(AND(C149="Yes",OR(C150="None",C150="N.A. — no disconnect")),"⚠ MISSED OWNERSHIP OPPORTUNITY — flag in Customer Ownership and Critical Failures","OK")</f>
        <v>OK</v>
      </c>
      <c r="F150" s="227"/>
    </row>
    <row r="151" spans="1:7" x14ac:dyDescent="0.25">
      <c r="A151" s="63"/>
      <c r="B151" s="63"/>
      <c r="C151" s="63"/>
      <c r="D151" s="63"/>
      <c r="E151" s="63"/>
      <c r="F151" s="63"/>
      <c r="G151" s="63"/>
    </row>
    <row r="152" spans="1:7" ht="27.95" customHeight="1" x14ac:dyDescent="0.25">
      <c r="B152" s="253" t="s">
        <v>216</v>
      </c>
      <c r="C152" s="227"/>
      <c r="D152" s="227"/>
      <c r="E152" s="227"/>
      <c r="F152" s="227"/>
    </row>
    <row r="153" spans="1:7" ht="26.1" customHeight="1" x14ac:dyDescent="0.25">
      <c r="B153" s="145" t="s">
        <v>217</v>
      </c>
      <c r="C153" s="149" t="s">
        <v>218</v>
      </c>
      <c r="D153" s="255" t="s">
        <v>219</v>
      </c>
      <c r="E153" s="227"/>
      <c r="F153" s="227"/>
    </row>
    <row r="154" spans="1:7" ht="26.1" customHeight="1" x14ac:dyDescent="0.25">
      <c r="B154" s="150" t="s">
        <v>220</v>
      </c>
      <c r="C154" s="151" t="str">
        <f>IF(OR(C46="Partial",C46="Missed"),C46,"")</f>
        <v>Partial</v>
      </c>
      <c r="D154" s="252" t="s">
        <v>221</v>
      </c>
      <c r="E154" s="227"/>
      <c r="F154" s="227"/>
    </row>
    <row r="155" spans="1:7" ht="26.1" customHeight="1" x14ac:dyDescent="0.25">
      <c r="B155" s="152" t="s">
        <v>222</v>
      </c>
      <c r="C155" s="153" t="str">
        <f>IF(OR(C75="Partial",C75="Missed"),C75,"")</f>
        <v>Missed</v>
      </c>
      <c r="D155" s="250" t="s">
        <v>223</v>
      </c>
      <c r="E155" s="227"/>
      <c r="F155" s="227"/>
    </row>
    <row r="156" spans="1:7" ht="26.1" customHeight="1" x14ac:dyDescent="0.25">
      <c r="B156" s="150" t="s">
        <v>224</v>
      </c>
      <c r="C156" s="151" t="str">
        <f>IF(OR(C73="Partial",C73="Missed"),C73,"")</f>
        <v>Missed</v>
      </c>
      <c r="D156" s="252" t="s">
        <v>225</v>
      </c>
      <c r="E156" s="227"/>
      <c r="F156" s="227"/>
    </row>
    <row r="157" spans="1:7" ht="26.1" customHeight="1" x14ac:dyDescent="0.25">
      <c r="B157" s="152" t="s">
        <v>226</v>
      </c>
      <c r="C157" s="153" t="str">
        <f>IF(OR(C30="Partial",C30="Missed"),C30,"")</f>
        <v/>
      </c>
      <c r="D157" s="250" t="s">
        <v>227</v>
      </c>
      <c r="E157" s="227"/>
      <c r="F157" s="227"/>
    </row>
    <row r="158" spans="1:7" ht="26.1" customHeight="1" x14ac:dyDescent="0.25">
      <c r="B158" s="150" t="s">
        <v>228</v>
      </c>
      <c r="C158" s="151" t="str">
        <f>IF(OR(C87="Partial",C87="Missed"),C87,"")</f>
        <v/>
      </c>
      <c r="D158" s="252" t="s">
        <v>229</v>
      </c>
      <c r="E158" s="227"/>
      <c r="F158" s="227"/>
    </row>
    <row r="159" spans="1:7" ht="26.1" customHeight="1" x14ac:dyDescent="0.25">
      <c r="B159" s="152" t="s">
        <v>230</v>
      </c>
      <c r="C159" s="153" t="str">
        <f>IF(OR(C88="Partial",C88="Missed"),C88,"")</f>
        <v>Missed</v>
      </c>
      <c r="D159" s="250" t="s">
        <v>231</v>
      </c>
      <c r="E159" s="227"/>
      <c r="F159" s="227"/>
    </row>
    <row r="160" spans="1:7" ht="26.1" customHeight="1" x14ac:dyDescent="0.25">
      <c r="B160" s="150" t="s">
        <v>232</v>
      </c>
      <c r="C160" s="151" t="str">
        <f>IF(OR(C108="Partial",C108="Missed"),C108,"")</f>
        <v/>
      </c>
      <c r="D160" s="252" t="s">
        <v>233</v>
      </c>
      <c r="E160" s="227"/>
      <c r="F160" s="227"/>
    </row>
    <row r="161" spans="1:7" ht="26.1" customHeight="1" x14ac:dyDescent="0.25">
      <c r="B161" s="152" t="s">
        <v>234</v>
      </c>
      <c r="C161" s="153" t="str">
        <f>IF(OR(C126="Partial",C126="Missed"),C126,"")</f>
        <v>Missed</v>
      </c>
      <c r="D161" s="250" t="s">
        <v>235</v>
      </c>
      <c r="E161" s="227"/>
      <c r="F161" s="227"/>
    </row>
    <row r="162" spans="1:7" x14ac:dyDescent="0.25">
      <c r="A162" s="63"/>
      <c r="B162" s="63"/>
      <c r="C162" s="63"/>
      <c r="D162" s="63"/>
      <c r="E162" s="63"/>
      <c r="F162" s="63"/>
      <c r="G162" s="63"/>
    </row>
    <row r="163" spans="1:7" ht="27.95" customHeight="1" x14ac:dyDescent="0.25">
      <c r="B163" s="253" t="s">
        <v>236</v>
      </c>
      <c r="C163" s="227"/>
      <c r="D163" s="227"/>
      <c r="E163" s="227"/>
      <c r="F163" s="227"/>
    </row>
    <row r="164" spans="1:7" ht="27.95" customHeight="1" x14ac:dyDescent="0.25">
      <c r="B164" s="251" t="s">
        <v>237</v>
      </c>
      <c r="C164" s="227"/>
      <c r="D164" s="227"/>
      <c r="E164" s="227"/>
      <c r="F164" s="227"/>
    </row>
    <row r="165" spans="1:7" ht="32.1" customHeight="1" x14ac:dyDescent="0.25">
      <c r="B165" s="149" t="s">
        <v>147</v>
      </c>
      <c r="C165" s="248" t="s">
        <v>238</v>
      </c>
      <c r="D165" s="227"/>
      <c r="E165" s="227"/>
      <c r="F165" s="227"/>
    </row>
    <row r="166" spans="1:7" ht="32.1" customHeight="1" x14ac:dyDescent="0.25">
      <c r="B166" s="149" t="s">
        <v>149</v>
      </c>
      <c r="C166" s="248" t="s">
        <v>239</v>
      </c>
      <c r="D166" s="227"/>
      <c r="E166" s="227"/>
      <c r="F166" s="227"/>
    </row>
    <row r="167" spans="1:7" ht="32.1" customHeight="1" x14ac:dyDescent="0.25">
      <c r="B167" s="149" t="s">
        <v>150</v>
      </c>
      <c r="C167" s="248" t="s">
        <v>240</v>
      </c>
      <c r="D167" s="227"/>
      <c r="E167" s="227"/>
      <c r="F167" s="227"/>
    </row>
    <row r="168" spans="1:7" ht="27.95" customHeight="1" x14ac:dyDescent="0.25">
      <c r="B168" s="251" t="s">
        <v>241</v>
      </c>
      <c r="C168" s="227"/>
      <c r="D168" s="227"/>
      <c r="E168" s="227"/>
      <c r="F168" s="227"/>
    </row>
    <row r="169" spans="1:7" ht="32.1" customHeight="1" x14ac:dyDescent="0.25">
      <c r="B169" s="149" t="s">
        <v>147</v>
      </c>
      <c r="C169" s="248" t="s">
        <v>242</v>
      </c>
      <c r="D169" s="227"/>
      <c r="E169" s="227"/>
      <c r="F169" s="227"/>
    </row>
    <row r="170" spans="1:7" ht="32.1" customHeight="1" x14ac:dyDescent="0.25">
      <c r="B170" s="149" t="s">
        <v>149</v>
      </c>
      <c r="C170" s="248" t="s">
        <v>243</v>
      </c>
      <c r="D170" s="227"/>
      <c r="E170" s="227"/>
      <c r="F170" s="227"/>
    </row>
    <row r="171" spans="1:7" ht="32.1" customHeight="1" x14ac:dyDescent="0.25">
      <c r="B171" s="149" t="s">
        <v>150</v>
      </c>
      <c r="C171" s="248" t="s">
        <v>244</v>
      </c>
      <c r="D171" s="227"/>
      <c r="E171" s="227"/>
      <c r="F171" s="227"/>
    </row>
    <row r="172" spans="1:7" ht="27.95" customHeight="1" x14ac:dyDescent="0.25">
      <c r="B172" s="251" t="s">
        <v>245</v>
      </c>
      <c r="C172" s="227"/>
      <c r="D172" s="227"/>
      <c r="E172" s="227"/>
      <c r="F172" s="227"/>
    </row>
    <row r="173" spans="1:7" ht="57.95" customHeight="1" x14ac:dyDescent="0.25">
      <c r="B173" s="248" t="s">
        <v>246</v>
      </c>
      <c r="C173" s="227"/>
      <c r="D173" s="227"/>
      <c r="E173" s="227"/>
      <c r="F173" s="227"/>
    </row>
    <row r="174" spans="1:7" ht="27.95" customHeight="1" x14ac:dyDescent="0.25">
      <c r="B174" s="251" t="s">
        <v>247</v>
      </c>
      <c r="C174" s="227"/>
      <c r="D174" s="227"/>
      <c r="E174" s="227"/>
      <c r="F174" s="227"/>
    </row>
    <row r="175" spans="1:7" ht="69.95" customHeight="1" x14ac:dyDescent="0.25">
      <c r="B175" s="248" t="s">
        <v>248</v>
      </c>
      <c r="C175" s="227"/>
      <c r="D175" s="227"/>
      <c r="E175" s="227"/>
      <c r="F175" s="227"/>
    </row>
    <row r="176" spans="1:7" ht="27.95" customHeight="1" x14ac:dyDescent="0.25">
      <c r="B176" s="251" t="s">
        <v>249</v>
      </c>
      <c r="C176" s="227"/>
      <c r="D176" s="227"/>
      <c r="E176" s="227"/>
      <c r="F176" s="227"/>
    </row>
    <row r="177" spans="2:6" ht="57.95" customHeight="1" x14ac:dyDescent="0.25">
      <c r="B177" s="248" t="s">
        <v>250</v>
      </c>
      <c r="C177" s="227"/>
      <c r="D177" s="227"/>
      <c r="E177" s="227"/>
      <c r="F177" s="227"/>
    </row>
    <row r="178" spans="2:6" ht="27.95" customHeight="1" x14ac:dyDescent="0.25">
      <c r="B178" s="251" t="s">
        <v>251</v>
      </c>
      <c r="C178" s="227"/>
      <c r="D178" s="227"/>
      <c r="E178" s="227"/>
      <c r="F178" s="227"/>
    </row>
    <row r="179" spans="2:6" ht="57.95" customHeight="1" x14ac:dyDescent="0.25">
      <c r="B179" s="248" t="s">
        <v>252</v>
      </c>
      <c r="C179" s="227"/>
      <c r="D179" s="227"/>
      <c r="E179" s="227"/>
      <c r="F179" s="227"/>
    </row>
  </sheetData>
  <mergeCells count="145">
    <mergeCell ref="B63:F63"/>
    <mergeCell ref="C21:F21"/>
    <mergeCell ref="C171:F171"/>
    <mergeCell ref="B99:F99"/>
    <mergeCell ref="B173:F173"/>
    <mergeCell ref="E9:F9"/>
    <mergeCell ref="C130:F130"/>
    <mergeCell ref="D93:F93"/>
    <mergeCell ref="B40:F40"/>
    <mergeCell ref="C37:F37"/>
    <mergeCell ref="E11:F11"/>
    <mergeCell ref="D26:F26"/>
    <mergeCell ref="D157:F157"/>
    <mergeCell ref="D65:F65"/>
    <mergeCell ref="D72:F72"/>
    <mergeCell ref="B119:F119"/>
    <mergeCell ref="B97:F97"/>
    <mergeCell ref="E17:F17"/>
    <mergeCell ref="D129:F129"/>
    <mergeCell ref="D74:F74"/>
    <mergeCell ref="D107:F107"/>
    <mergeCell ref="E10:F10"/>
    <mergeCell ref="C51:F51"/>
    <mergeCell ref="D122:F122"/>
    <mergeCell ref="D58:F58"/>
    <mergeCell ref="C169:F169"/>
    <mergeCell ref="B105:F105"/>
    <mergeCell ref="C170:F170"/>
    <mergeCell ref="B1:F1"/>
    <mergeCell ref="D125:F125"/>
    <mergeCell ref="D35:F35"/>
    <mergeCell ref="D75:F75"/>
    <mergeCell ref="D44:F44"/>
    <mergeCell ref="D86:F86"/>
    <mergeCell ref="E6:F6"/>
    <mergeCell ref="B91:F91"/>
    <mergeCell ref="C101:F101"/>
    <mergeCell ref="C20:F20"/>
    <mergeCell ref="C116:F116"/>
    <mergeCell ref="D46:F46"/>
    <mergeCell ref="D61:F61"/>
    <mergeCell ref="C67:F67"/>
    <mergeCell ref="C98:F98"/>
    <mergeCell ref="C131:F131"/>
    <mergeCell ref="C146:F146"/>
    <mergeCell ref="B168:F168"/>
    <mergeCell ref="E7:F7"/>
    <mergeCell ref="D88:F88"/>
    <mergeCell ref="D159:F159"/>
    <mergeCell ref="D110:F110"/>
    <mergeCell ref="D153:F153"/>
    <mergeCell ref="B179:F179"/>
    <mergeCell ref="B144:E144"/>
    <mergeCell ref="B175:F175"/>
    <mergeCell ref="D114:F114"/>
    <mergeCell ref="D89:F89"/>
    <mergeCell ref="D56:F56"/>
    <mergeCell ref="C166:F166"/>
    <mergeCell ref="D62:F62"/>
    <mergeCell ref="D71:F71"/>
    <mergeCell ref="B78:F78"/>
    <mergeCell ref="B69:E69"/>
    <mergeCell ref="B70:F70"/>
    <mergeCell ref="C94:F94"/>
    <mergeCell ref="D90:F90"/>
    <mergeCell ref="B177:F177"/>
    <mergeCell ref="D108:F108"/>
    <mergeCell ref="C95:F95"/>
    <mergeCell ref="D149:F149"/>
    <mergeCell ref="D154:F154"/>
    <mergeCell ref="B163:F163"/>
    <mergeCell ref="B84:E84"/>
    <mergeCell ref="E145:F145"/>
    <mergeCell ref="B4:F4"/>
    <mergeCell ref="D126:F126"/>
    <mergeCell ref="B176:F176"/>
    <mergeCell ref="B178:F178"/>
    <mergeCell ref="B112:F112"/>
    <mergeCell ref="B172:F172"/>
    <mergeCell ref="D123:F123"/>
    <mergeCell ref="B15:F15"/>
    <mergeCell ref="C167:F167"/>
    <mergeCell ref="E150:F150"/>
    <mergeCell ref="B164:F164"/>
    <mergeCell ref="D109:F109"/>
    <mergeCell ref="D59:F59"/>
    <mergeCell ref="D27:F27"/>
    <mergeCell ref="D124:F124"/>
    <mergeCell ref="D43:F43"/>
    <mergeCell ref="D158:F158"/>
    <mergeCell ref="D111:F111"/>
    <mergeCell ref="B53:E53"/>
    <mergeCell ref="C19:F19"/>
    <mergeCell ref="D45:F45"/>
    <mergeCell ref="D160:F160"/>
    <mergeCell ref="B118:E118"/>
    <mergeCell ref="C115:F115"/>
    <mergeCell ref="E8:F8"/>
    <mergeCell ref="C100:F100"/>
    <mergeCell ref="B2:F2"/>
    <mergeCell ref="D106:F106"/>
    <mergeCell ref="B104:E104"/>
    <mergeCell ref="B174:F174"/>
    <mergeCell ref="D30:F30"/>
    <mergeCell ref="D41:F41"/>
    <mergeCell ref="D156:F156"/>
    <mergeCell ref="D29:F29"/>
    <mergeCell ref="C66:F66"/>
    <mergeCell ref="E12:F12"/>
    <mergeCell ref="E5:F5"/>
    <mergeCell ref="D87:F87"/>
    <mergeCell ref="D121:F121"/>
    <mergeCell ref="C14:F14"/>
    <mergeCell ref="D57:F57"/>
    <mergeCell ref="C102:F102"/>
    <mergeCell ref="B152:F152"/>
    <mergeCell ref="D161:F161"/>
    <mergeCell ref="E16:F16"/>
    <mergeCell ref="D42:F42"/>
    <mergeCell ref="B47:F47"/>
    <mergeCell ref="B39:E39"/>
    <mergeCell ref="C165:F165"/>
    <mergeCell ref="B54:F54"/>
    <mergeCell ref="C13:F13"/>
    <mergeCell ref="D28:F28"/>
    <mergeCell ref="C82:F82"/>
    <mergeCell ref="B24:E24"/>
    <mergeCell ref="C18:F18"/>
    <mergeCell ref="B148:E148"/>
    <mergeCell ref="D73:F73"/>
    <mergeCell ref="C81:F81"/>
    <mergeCell ref="C36:F36"/>
    <mergeCell ref="D60:F60"/>
    <mergeCell ref="B23:F23"/>
    <mergeCell ref="B127:F127"/>
    <mergeCell ref="C50:F50"/>
    <mergeCell ref="D155:F155"/>
    <mergeCell ref="B33:F33"/>
    <mergeCell ref="B133:F133"/>
    <mergeCell ref="D80:F80"/>
    <mergeCell ref="B85:F85"/>
    <mergeCell ref="D120:F120"/>
    <mergeCell ref="B25:F25"/>
    <mergeCell ref="D55:F55"/>
    <mergeCell ref="D49:F4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1" customHeight="1" x14ac:dyDescent="0.25">
      <c r="A1" s="209" t="s">
        <v>807</v>
      </c>
      <c r="B1" s="176"/>
      <c r="C1" s="176"/>
      <c r="D1" s="176"/>
      <c r="E1" s="176"/>
      <c r="F1" s="176"/>
      <c r="G1" s="176"/>
      <c r="H1" s="176"/>
      <c r="I1" s="176"/>
      <c r="J1" s="176"/>
      <c r="K1" s="176"/>
      <c r="L1" s="176"/>
      <c r="M1" s="176"/>
      <c r="N1" s="176"/>
      <c r="O1" s="176"/>
      <c r="P1" s="177"/>
    </row>
    <row r="2" spans="1:17" ht="15.95" customHeight="1" x14ac:dyDescent="0.25">
      <c r="A2" s="263" t="s">
        <v>808</v>
      </c>
      <c r="B2" s="176"/>
      <c r="C2" s="176"/>
      <c r="D2" s="176"/>
      <c r="E2" s="176"/>
      <c r="F2" s="176"/>
      <c r="G2" s="176"/>
      <c r="H2" s="176"/>
      <c r="I2" s="176"/>
      <c r="J2" s="176"/>
      <c r="K2" s="176"/>
      <c r="L2" s="176"/>
      <c r="M2" s="176"/>
      <c r="N2" s="176"/>
      <c r="O2" s="176"/>
      <c r="P2" s="177"/>
    </row>
    <row r="3" spans="1:17" ht="24" customHeight="1" x14ac:dyDescent="0.25">
      <c r="A3" s="264"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176"/>
      <c r="C3" s="176"/>
      <c r="D3" s="176"/>
      <c r="E3" s="176"/>
      <c r="F3" s="176"/>
      <c r="G3" s="176"/>
      <c r="H3" s="176"/>
      <c r="I3" s="176"/>
      <c r="J3" s="176"/>
      <c r="K3" s="176"/>
      <c r="L3" s="176"/>
      <c r="M3" s="176"/>
      <c r="N3" s="176"/>
      <c r="O3" s="176"/>
      <c r="P3" s="177"/>
    </row>
    <row r="4" spans="1:17" ht="30" customHeight="1" x14ac:dyDescent="0.25">
      <c r="A4" s="23" t="s">
        <v>809</v>
      </c>
      <c r="B4" s="23" t="s">
        <v>810</v>
      </c>
      <c r="C4" s="23" t="s">
        <v>811</v>
      </c>
      <c r="D4" s="23" t="s">
        <v>812</v>
      </c>
      <c r="E4" s="23" t="s">
        <v>813</v>
      </c>
      <c r="F4" s="23" t="s">
        <v>814</v>
      </c>
      <c r="G4" s="23" t="s">
        <v>815</v>
      </c>
      <c r="H4" s="23" t="s">
        <v>816</v>
      </c>
      <c r="I4" s="23" t="s">
        <v>817</v>
      </c>
      <c r="J4" s="23" t="s">
        <v>818</v>
      </c>
      <c r="K4" s="23" t="s">
        <v>819</v>
      </c>
      <c r="L4" s="23" t="s">
        <v>188</v>
      </c>
      <c r="M4" s="23" t="s">
        <v>820</v>
      </c>
      <c r="N4" s="23" t="s">
        <v>821</v>
      </c>
      <c r="O4" s="46" t="s">
        <v>804</v>
      </c>
      <c r="P4" s="46" t="s">
        <v>805</v>
      </c>
      <c r="Q4" s="95" t="s">
        <v>822</v>
      </c>
    </row>
    <row r="5" spans="1:17" ht="39.950000000000003" customHeight="1" x14ac:dyDescent="0.2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39.950000000000003" customHeight="1" x14ac:dyDescent="0.25">
      <c r="A6" s="24"/>
      <c r="B6" s="24"/>
      <c r="C6" s="24"/>
      <c r="D6" s="24"/>
      <c r="E6" s="24"/>
      <c r="F6" s="24"/>
      <c r="G6" s="24"/>
      <c r="H6" s="24"/>
      <c r="I6" s="24"/>
      <c r="J6" s="24"/>
      <c r="K6" s="24"/>
      <c r="L6" s="26" t="str">
        <f t="shared" si="0"/>
        <v/>
      </c>
      <c r="M6" s="13" t="str">
        <f t="shared" si="1"/>
        <v/>
      </c>
      <c r="N6" s="8"/>
      <c r="O6" s="13"/>
      <c r="P6" s="13"/>
      <c r="Q6" s="96"/>
    </row>
    <row r="7" spans="1:17" ht="39.950000000000003" customHeight="1" x14ac:dyDescent="0.25">
      <c r="A7" s="24"/>
      <c r="B7" s="24"/>
      <c r="C7" s="24"/>
      <c r="D7" s="24"/>
      <c r="E7" s="24"/>
      <c r="F7" s="24"/>
      <c r="G7" s="24"/>
      <c r="H7" s="24"/>
      <c r="I7" s="24"/>
      <c r="J7" s="24"/>
      <c r="K7" s="24"/>
      <c r="L7" s="25" t="str">
        <f t="shared" si="0"/>
        <v/>
      </c>
      <c r="M7" s="11" t="str">
        <f t="shared" si="1"/>
        <v/>
      </c>
      <c r="N7" s="6"/>
      <c r="O7" s="11"/>
      <c r="P7" s="11"/>
      <c r="Q7" s="96"/>
    </row>
    <row r="8" spans="1:17" ht="39.950000000000003" customHeight="1" x14ac:dyDescent="0.25">
      <c r="A8" s="24"/>
      <c r="B8" s="24"/>
      <c r="C8" s="24"/>
      <c r="D8" s="24"/>
      <c r="E8" s="24"/>
      <c r="F8" s="24"/>
      <c r="G8" s="24"/>
      <c r="H8" s="24"/>
      <c r="I8" s="24"/>
      <c r="J8" s="24"/>
      <c r="K8" s="24"/>
      <c r="L8" s="26" t="str">
        <f t="shared" si="0"/>
        <v/>
      </c>
      <c r="M8" s="13" t="str">
        <f t="shared" si="1"/>
        <v/>
      </c>
      <c r="N8" s="8"/>
      <c r="O8" s="13"/>
      <c r="P8" s="13"/>
      <c r="Q8" s="96"/>
    </row>
    <row r="9" spans="1:17" ht="39.950000000000003" customHeight="1" x14ac:dyDescent="0.25">
      <c r="A9" s="24"/>
      <c r="B9" s="24"/>
      <c r="C9" s="24"/>
      <c r="D9" s="24"/>
      <c r="E9" s="24"/>
      <c r="F9" s="24"/>
      <c r="G9" s="24"/>
      <c r="H9" s="24"/>
      <c r="I9" s="24"/>
      <c r="J9" s="24"/>
      <c r="K9" s="24"/>
      <c r="L9" s="25" t="str">
        <f t="shared" si="0"/>
        <v/>
      </c>
      <c r="M9" s="11" t="str">
        <f t="shared" si="1"/>
        <v/>
      </c>
      <c r="N9" s="6"/>
      <c r="O9" s="11"/>
      <c r="P9" s="11"/>
      <c r="Q9" s="96"/>
    </row>
    <row r="10" spans="1:17" ht="39.950000000000003" customHeight="1" x14ac:dyDescent="0.25">
      <c r="A10" s="24"/>
      <c r="B10" s="24"/>
      <c r="C10" s="24"/>
      <c r="D10" s="24"/>
      <c r="E10" s="24"/>
      <c r="F10" s="24"/>
      <c r="G10" s="24"/>
      <c r="H10" s="24"/>
      <c r="I10" s="24"/>
      <c r="J10" s="24"/>
      <c r="K10" s="24"/>
      <c r="L10" s="26" t="str">
        <f t="shared" si="0"/>
        <v/>
      </c>
      <c r="M10" s="13" t="str">
        <f t="shared" si="1"/>
        <v/>
      </c>
      <c r="N10" s="8"/>
      <c r="O10" s="13"/>
      <c r="P10" s="13"/>
      <c r="Q10" s="96"/>
    </row>
    <row r="11" spans="1:17" ht="39.950000000000003" customHeight="1" x14ac:dyDescent="0.25">
      <c r="A11" s="24"/>
      <c r="B11" s="24"/>
      <c r="C11" s="24"/>
      <c r="D11" s="24"/>
      <c r="E11" s="24"/>
      <c r="F11" s="24"/>
      <c r="G11" s="24"/>
      <c r="H11" s="24"/>
      <c r="I11" s="24"/>
      <c r="J11" s="24"/>
      <c r="K11" s="24"/>
      <c r="L11" s="25" t="str">
        <f t="shared" si="0"/>
        <v/>
      </c>
      <c r="M11" s="11" t="str">
        <f t="shared" si="1"/>
        <v/>
      </c>
      <c r="N11" s="6"/>
      <c r="O11" s="11"/>
      <c r="P11" s="11"/>
      <c r="Q11" s="96"/>
    </row>
    <row r="12" spans="1:17" ht="39.950000000000003" customHeight="1" x14ac:dyDescent="0.25">
      <c r="A12" s="24"/>
      <c r="B12" s="24"/>
      <c r="C12" s="24"/>
      <c r="D12" s="24"/>
      <c r="E12" s="24"/>
      <c r="F12" s="24"/>
      <c r="G12" s="24"/>
      <c r="H12" s="24"/>
      <c r="I12" s="24"/>
      <c r="J12" s="24"/>
      <c r="K12" s="24"/>
      <c r="L12" s="26" t="str">
        <f t="shared" si="0"/>
        <v/>
      </c>
      <c r="M12" s="13" t="str">
        <f t="shared" si="1"/>
        <v/>
      </c>
      <c r="N12" s="8"/>
      <c r="O12" s="13"/>
      <c r="P12" s="13"/>
      <c r="Q12" s="96"/>
    </row>
    <row r="13" spans="1:17" ht="39.950000000000003" customHeight="1" x14ac:dyDescent="0.25">
      <c r="A13" s="24"/>
      <c r="B13" s="24"/>
      <c r="C13" s="24"/>
      <c r="D13" s="24"/>
      <c r="E13" s="24"/>
      <c r="F13" s="24"/>
      <c r="G13" s="24"/>
      <c r="H13" s="24"/>
      <c r="I13" s="24"/>
      <c r="J13" s="24"/>
      <c r="K13" s="24"/>
      <c r="L13" s="25" t="str">
        <f t="shared" si="0"/>
        <v/>
      </c>
      <c r="M13" s="11" t="str">
        <f t="shared" si="1"/>
        <v/>
      </c>
      <c r="N13" s="6"/>
      <c r="O13" s="11"/>
      <c r="P13" s="11"/>
      <c r="Q13" s="96"/>
    </row>
    <row r="14" spans="1:17" ht="39.950000000000003" customHeight="1" x14ac:dyDescent="0.25">
      <c r="A14" s="24"/>
      <c r="B14" s="24"/>
      <c r="C14" s="24"/>
      <c r="D14" s="24"/>
      <c r="E14" s="24"/>
      <c r="F14" s="24"/>
      <c r="G14" s="24"/>
      <c r="H14" s="24"/>
      <c r="I14" s="24"/>
      <c r="J14" s="24"/>
      <c r="K14" s="24"/>
      <c r="L14" s="26" t="str">
        <f t="shared" si="0"/>
        <v/>
      </c>
      <c r="M14" s="13" t="str">
        <f t="shared" si="1"/>
        <v/>
      </c>
      <c r="N14" s="8"/>
      <c r="O14" s="13"/>
      <c r="P14" s="13"/>
      <c r="Q14" s="96"/>
    </row>
    <row r="15" spans="1:17" ht="39.950000000000003" customHeight="1" x14ac:dyDescent="0.25">
      <c r="A15" s="24"/>
      <c r="B15" s="24"/>
      <c r="C15" s="24"/>
      <c r="D15" s="24"/>
      <c r="E15" s="24"/>
      <c r="F15" s="24"/>
      <c r="G15" s="24"/>
      <c r="H15" s="24"/>
      <c r="I15" s="24"/>
      <c r="J15" s="24"/>
      <c r="K15" s="24"/>
      <c r="L15" s="25" t="str">
        <f t="shared" si="0"/>
        <v/>
      </c>
      <c r="M15" s="11" t="str">
        <f t="shared" si="1"/>
        <v/>
      </c>
      <c r="N15" s="6"/>
      <c r="O15" s="11"/>
      <c r="P15" s="11"/>
      <c r="Q15" s="96"/>
    </row>
    <row r="16" spans="1:17" ht="39.950000000000003" customHeight="1" x14ac:dyDescent="0.25">
      <c r="A16" s="24"/>
      <c r="B16" s="24"/>
      <c r="C16" s="24"/>
      <c r="D16" s="24"/>
      <c r="E16" s="24"/>
      <c r="F16" s="24"/>
      <c r="G16" s="24"/>
      <c r="H16" s="24"/>
      <c r="I16" s="24"/>
      <c r="J16" s="24"/>
      <c r="K16" s="24"/>
      <c r="L16" s="26" t="str">
        <f t="shared" si="0"/>
        <v/>
      </c>
      <c r="M16" s="13" t="str">
        <f t="shared" si="1"/>
        <v/>
      </c>
      <c r="N16" s="8"/>
      <c r="O16" s="13"/>
      <c r="P16" s="13"/>
      <c r="Q16" s="96"/>
    </row>
    <row r="17" spans="1:17" ht="39.950000000000003" customHeight="1" x14ac:dyDescent="0.2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2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2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2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2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2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2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2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2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2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2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2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2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2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2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2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2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2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2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2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2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2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2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2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2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2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2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2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2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2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2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2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25">
      <c r="A49" s="24"/>
      <c r="B49" s="24"/>
      <c r="C49" s="24"/>
      <c r="D49" s="24"/>
      <c r="E49" s="24"/>
      <c r="F49" s="24"/>
      <c r="G49" s="24"/>
      <c r="H49" s="24"/>
      <c r="I49" s="24"/>
      <c r="J49" s="24"/>
      <c r="K49" s="24"/>
      <c r="L49" s="25" t="str">
        <f t="shared" si="0"/>
        <v/>
      </c>
      <c r="M49" s="11" t="str">
        <f t="shared" si="1"/>
        <v/>
      </c>
      <c r="N49" s="6"/>
      <c r="O49" s="11"/>
      <c r="P49" s="11"/>
      <c r="Q49" s="96"/>
    </row>
    <row r="51" spans="1:17" ht="15.6" customHeight="1" x14ac:dyDescent="0.25">
      <c r="A51" s="265" t="s">
        <v>823</v>
      </c>
      <c r="B51" s="176"/>
      <c r="C51" s="176"/>
      <c r="D51" s="177"/>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824</v>
      </c>
    </row>
    <row r="53" spans="1:17" ht="21.95" customHeight="1" x14ac:dyDescent="0.25">
      <c r="A53" s="262" t="s">
        <v>825</v>
      </c>
      <c r="B53" s="176"/>
      <c r="C53" s="176"/>
      <c r="D53" s="176"/>
      <c r="E53" s="176"/>
      <c r="F53" s="176"/>
      <c r="G53" s="176"/>
      <c r="H53" s="176"/>
      <c r="I53" s="176"/>
      <c r="J53" s="176"/>
      <c r="K53" s="176"/>
      <c r="L53" s="176"/>
      <c r="M53" s="176"/>
      <c r="N53" s="176"/>
      <c r="O53" s="176"/>
      <c r="P53" s="177"/>
    </row>
    <row r="54" spans="1:17" ht="32.1" customHeight="1" x14ac:dyDescent="0.25">
      <c r="A54" s="260" t="s">
        <v>826</v>
      </c>
      <c r="B54" s="176"/>
      <c r="C54" s="176"/>
      <c r="D54" s="176"/>
      <c r="E54" s="176"/>
      <c r="F54" s="176"/>
      <c r="G54" s="176"/>
      <c r="H54" s="176"/>
      <c r="I54" s="176"/>
      <c r="J54" s="176"/>
      <c r="K54" s="176"/>
      <c r="L54" s="176"/>
      <c r="M54" s="176"/>
      <c r="N54" s="176"/>
      <c r="O54" s="176"/>
      <c r="P54" s="177"/>
    </row>
    <row r="55" spans="1:17" ht="26.1" customHeight="1" x14ac:dyDescent="0.25">
      <c r="A55" s="267" t="s">
        <v>827</v>
      </c>
      <c r="B55" s="177"/>
      <c r="C55" s="9" t="s">
        <v>828</v>
      </c>
      <c r="D55" s="23" t="s">
        <v>829</v>
      </c>
      <c r="E55" s="23" t="s">
        <v>830</v>
      </c>
      <c r="F55" s="23" t="s">
        <v>831</v>
      </c>
      <c r="G55" s="23" t="s">
        <v>743</v>
      </c>
      <c r="H55" s="9" t="s">
        <v>189</v>
      </c>
      <c r="I55" s="175" t="s">
        <v>832</v>
      </c>
      <c r="J55" s="176"/>
      <c r="K55" s="176"/>
      <c r="L55" s="176"/>
      <c r="M55" s="176"/>
      <c r="N55" s="177"/>
    </row>
    <row r="56" spans="1:17" ht="48" customHeight="1" x14ac:dyDescent="0.25">
      <c r="A56" s="261"/>
      <c r="B56" s="180"/>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34"/>
      <c r="J56" s="179"/>
      <c r="K56" s="179"/>
      <c r="L56" s="179"/>
      <c r="M56" s="179"/>
      <c r="N56" s="180"/>
    </row>
    <row r="57" spans="1:17" ht="27.95" customHeight="1" x14ac:dyDescent="0.25">
      <c r="A57" s="197"/>
      <c r="B57" s="180"/>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66"/>
      <c r="J57" s="179"/>
      <c r="K57" s="179"/>
      <c r="L57" s="179"/>
      <c r="M57" s="179"/>
      <c r="N57" s="180"/>
    </row>
    <row r="58" spans="1:17" ht="27.95" customHeight="1" x14ac:dyDescent="0.25">
      <c r="A58" s="197"/>
      <c r="B58" s="180"/>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66"/>
      <c r="J58" s="179"/>
      <c r="K58" s="179"/>
      <c r="L58" s="179"/>
      <c r="M58" s="179"/>
      <c r="N58" s="180"/>
    </row>
    <row r="59" spans="1:17" ht="27.95" customHeight="1" x14ac:dyDescent="0.25">
      <c r="A59" s="197"/>
      <c r="B59" s="180"/>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66"/>
      <c r="J59" s="179"/>
      <c r="K59" s="179"/>
      <c r="L59" s="179"/>
      <c r="M59" s="179"/>
      <c r="N59" s="180"/>
    </row>
    <row r="60" spans="1:17" ht="27.95" customHeight="1" x14ac:dyDescent="0.25">
      <c r="A60" s="191" t="s">
        <v>833</v>
      </c>
      <c r="B60" s="179"/>
      <c r="C60" s="179"/>
      <c r="D60" s="179"/>
      <c r="E60" s="179"/>
      <c r="F60" s="179"/>
      <c r="G60" s="179"/>
      <c r="H60" s="179"/>
      <c r="I60" s="179"/>
      <c r="J60" s="179"/>
      <c r="K60" s="179"/>
      <c r="L60" s="179"/>
      <c r="M60" s="179"/>
      <c r="N60" s="180"/>
    </row>
  </sheetData>
  <mergeCells count="17">
    <mergeCell ref="A60:N60"/>
    <mergeCell ref="I56:N56"/>
    <mergeCell ref="A3:P3"/>
    <mergeCell ref="A51:D51"/>
    <mergeCell ref="I57:N57"/>
    <mergeCell ref="I58:N58"/>
    <mergeCell ref="A58:B58"/>
    <mergeCell ref="A55:B55"/>
    <mergeCell ref="I55:N55"/>
    <mergeCell ref="A59:B59"/>
    <mergeCell ref="I59:N59"/>
    <mergeCell ref="A1:P1"/>
    <mergeCell ref="A57:B57"/>
    <mergeCell ref="A54:P54"/>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5" x14ac:dyDescent="0.25"/>
  <cols>
    <col min="1" max="7" width="34" customWidth="1"/>
    <col min="8" max="9" width="52" customWidth="1"/>
  </cols>
  <sheetData>
    <row r="1" spans="1:10" x14ac:dyDescent="0.25">
      <c r="A1" t="s">
        <v>40</v>
      </c>
      <c r="B1" t="s">
        <v>834</v>
      </c>
      <c r="C1" t="s">
        <v>835</v>
      </c>
      <c r="D1" t="s">
        <v>836</v>
      </c>
      <c r="E1" t="s">
        <v>837</v>
      </c>
      <c r="F1" t="s">
        <v>838</v>
      </c>
      <c r="G1" t="s">
        <v>839</v>
      </c>
      <c r="H1" s="128" t="s">
        <v>830</v>
      </c>
      <c r="I1" s="128" t="s">
        <v>831</v>
      </c>
      <c r="J1" t="s">
        <v>840</v>
      </c>
    </row>
    <row r="2" spans="1:10" x14ac:dyDescent="0.25">
      <c r="A2" t="s">
        <v>841</v>
      </c>
      <c r="B2" t="s">
        <v>842</v>
      </c>
      <c r="C2" t="s">
        <v>843</v>
      </c>
      <c r="D2" t="s">
        <v>844</v>
      </c>
      <c r="E2" t="s">
        <v>844</v>
      </c>
      <c r="F2" t="s">
        <v>844</v>
      </c>
      <c r="G2" t="s">
        <v>844</v>
      </c>
      <c r="H2" t="s">
        <v>845</v>
      </c>
      <c r="I2" t="s">
        <v>846</v>
      </c>
    </row>
    <row r="3" spans="1:10" x14ac:dyDescent="0.25">
      <c r="A3" t="s">
        <v>847</v>
      </c>
      <c r="B3" t="s">
        <v>848</v>
      </c>
      <c r="C3" t="s">
        <v>849</v>
      </c>
      <c r="D3" t="s">
        <v>850</v>
      </c>
      <c r="E3" t="s">
        <v>851</v>
      </c>
      <c r="F3" t="s">
        <v>852</v>
      </c>
      <c r="G3" t="s">
        <v>853</v>
      </c>
      <c r="H3" t="s">
        <v>854</v>
      </c>
      <c r="I3" t="s">
        <v>855</v>
      </c>
    </row>
    <row r="4" spans="1:10" x14ac:dyDescent="0.25">
      <c r="A4" t="s">
        <v>856</v>
      </c>
      <c r="B4" t="s">
        <v>857</v>
      </c>
      <c r="C4" t="s">
        <v>858</v>
      </c>
      <c r="D4" t="s">
        <v>859</v>
      </c>
      <c r="E4" t="s">
        <v>860</v>
      </c>
      <c r="F4" t="s">
        <v>861</v>
      </c>
      <c r="G4" t="s">
        <v>862</v>
      </c>
      <c r="H4" t="s">
        <v>863</v>
      </c>
      <c r="I4" t="s">
        <v>864</v>
      </c>
    </row>
    <row r="5" spans="1:10" x14ac:dyDescent="0.25">
      <c r="A5" t="s">
        <v>865</v>
      </c>
      <c r="B5" t="s">
        <v>866</v>
      </c>
      <c r="C5" t="s">
        <v>867</v>
      </c>
      <c r="D5" t="s">
        <v>15</v>
      </c>
      <c r="E5" t="s">
        <v>868</v>
      </c>
      <c r="F5" t="s">
        <v>869</v>
      </c>
      <c r="G5" t="s">
        <v>870</v>
      </c>
      <c r="H5" t="s">
        <v>871</v>
      </c>
      <c r="I5" t="s">
        <v>872</v>
      </c>
    </row>
    <row r="6" spans="1:10" x14ac:dyDescent="0.25">
      <c r="A6" t="s">
        <v>873</v>
      </c>
      <c r="C6" t="s">
        <v>874</v>
      </c>
      <c r="D6" t="s">
        <v>875</v>
      </c>
      <c r="E6" t="s">
        <v>876</v>
      </c>
      <c r="F6" t="s">
        <v>877</v>
      </c>
      <c r="G6" t="s">
        <v>878</v>
      </c>
      <c r="H6" t="s">
        <v>879</v>
      </c>
      <c r="I6" t="s">
        <v>880</v>
      </c>
    </row>
    <row r="7" spans="1:10" x14ac:dyDescent="0.25">
      <c r="A7" t="s">
        <v>881</v>
      </c>
      <c r="C7" t="s">
        <v>882</v>
      </c>
      <c r="E7" t="s">
        <v>883</v>
      </c>
      <c r="F7" t="s">
        <v>884</v>
      </c>
      <c r="G7" t="s">
        <v>885</v>
      </c>
      <c r="H7" t="s">
        <v>886</v>
      </c>
      <c r="I7" t="s">
        <v>887</v>
      </c>
    </row>
    <row r="8" spans="1:10" x14ac:dyDescent="0.25">
      <c r="A8" t="s">
        <v>888</v>
      </c>
      <c r="C8" t="s">
        <v>889</v>
      </c>
      <c r="E8" t="s">
        <v>890</v>
      </c>
      <c r="F8" t="s">
        <v>891</v>
      </c>
      <c r="G8" t="s">
        <v>892</v>
      </c>
    </row>
    <row r="9" spans="1:10" x14ac:dyDescent="0.25">
      <c r="A9" t="s">
        <v>893</v>
      </c>
      <c r="E9" t="s">
        <v>894</v>
      </c>
      <c r="F9" t="s">
        <v>895</v>
      </c>
      <c r="G9" t="s">
        <v>896</v>
      </c>
    </row>
    <row r="10" spans="1:10" x14ac:dyDescent="0.25">
      <c r="A10" t="s">
        <v>897</v>
      </c>
      <c r="E10" t="s">
        <v>898</v>
      </c>
      <c r="G10" t="s">
        <v>899</v>
      </c>
    </row>
    <row r="11" spans="1:10" x14ac:dyDescent="0.25">
      <c r="A11" t="s">
        <v>900</v>
      </c>
      <c r="E11" t="s">
        <v>901</v>
      </c>
    </row>
    <row r="12" spans="1:10" x14ac:dyDescent="0.25">
      <c r="A12" t="s">
        <v>902</v>
      </c>
      <c r="E12" t="s">
        <v>903</v>
      </c>
    </row>
    <row r="13" spans="1:10" x14ac:dyDescent="0.25">
      <c r="A13" t="s">
        <v>904</v>
      </c>
      <c r="E13" t="s">
        <v>905</v>
      </c>
    </row>
    <row r="14" spans="1:10" x14ac:dyDescent="0.25">
      <c r="A14" t="s">
        <v>906</v>
      </c>
      <c r="E14" t="s">
        <v>907</v>
      </c>
    </row>
    <row r="15" spans="1:10" x14ac:dyDescent="0.25">
      <c r="A15" t="s">
        <v>908</v>
      </c>
      <c r="E15" t="s">
        <v>909</v>
      </c>
    </row>
    <row r="16" spans="1:10" x14ac:dyDescent="0.25">
      <c r="A16" t="s">
        <v>910</v>
      </c>
    </row>
    <row r="17" spans="1:1" x14ac:dyDescent="0.25">
      <c r="A17" t="s">
        <v>911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2026-06-24T01:35:57Z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