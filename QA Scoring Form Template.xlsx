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83">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
      <b val="1"/>
      <color rgb="FFFFFFFF"/>
      <sz val="13"/>
    </font>
    <font>
      <color rgb="FFFFFFFF"/>
      <sz val="10"/>
    </font>
    <font>
      <b val="1"/>
      <color rgb="FFFFFFFF"/>
      <sz val="11"/>
    </font>
    <font>
      <i val="1"/>
      <color rgb="FF1F3864"/>
      <sz val="10"/>
    </font>
    <font>
      <b val="1"/>
      <color rgb="FF1F3864"/>
      <sz val="10"/>
    </font>
    <font>
      <b val="1"/>
      <color rgb="FFFFFFFF"/>
      <sz val="10"/>
    </font>
    <font>
      <color rgb="FF000000"/>
      <sz val="10"/>
    </font>
    <font>
      <color rgb="FF595959"/>
      <sz val="10"/>
    </font>
    <font>
      <i val="1"/>
      <color rgb="FF808080"/>
      <sz val="10"/>
    </font>
    <font>
      <color rgb="FFB0B0B0"/>
      <sz val="8"/>
    </font>
    <font>
      <color rgb="FF000000"/>
      <sz val="11"/>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bottom style="thin">
        <color rgb="FFD9D9D9"/>
      </bottom>
    </border>
  </borders>
  <cellStyleXfs count="1">
    <xf numFmtId="0" fontId="0" fillId="0" borderId="0"/>
  </cellStyleXfs>
  <cellXfs count="355">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xf numFmtId="0" fontId="72" fillId="11" borderId="0" applyAlignment="1" pivotButton="0" quotePrefix="0" xfId="0">
      <alignment horizontal="center" vertical="top"/>
    </xf>
    <xf numFmtId="0" fontId="73" fillId="11" borderId="0" applyAlignment="1" pivotButton="0" quotePrefix="0" xfId="0">
      <alignment horizontal="center" vertical="top" wrapText="1"/>
    </xf>
    <xf numFmtId="0" fontId="74" fillId="3" borderId="0" applyAlignment="1" pivotButton="0" quotePrefix="0" xfId="0">
      <alignment horizontal="center" vertical="top"/>
    </xf>
    <xf numFmtId="0" fontId="74" fillId="11" borderId="0" applyAlignment="1" pivotButton="0" quotePrefix="0" xfId="0">
      <alignment horizontal="left" vertical="top"/>
    </xf>
    <xf numFmtId="0" fontId="75" fillId="25" borderId="0" applyAlignment="1" pivotButton="0" quotePrefix="0" xfId="0">
      <alignment horizontal="left" vertical="top" wrapText="1"/>
    </xf>
    <xf numFmtId="0" fontId="76" fillId="20" borderId="28" applyAlignment="1" pivotButton="0" quotePrefix="0" xfId="0">
      <alignment horizontal="left" vertical="top" wrapText="1"/>
    </xf>
    <xf numFmtId="0" fontId="77" fillId="11" borderId="28" applyAlignment="1" pivotButton="0" quotePrefix="0" xfId="0">
      <alignment horizontal="center" vertical="top" wrapText="1"/>
    </xf>
    <xf numFmtId="0" fontId="78" fillId="20" borderId="28" applyAlignment="1" pivotButton="0" quotePrefix="0" xfId="0">
      <alignment horizontal="left" vertical="top" wrapText="1"/>
    </xf>
    <xf numFmtId="0" fontId="79" fillId="20" borderId="28" applyAlignment="1" pivotButton="0" quotePrefix="0" xfId="0">
      <alignment horizontal="left" vertical="top" wrapText="1"/>
    </xf>
    <xf numFmtId="0" fontId="76" fillId="29" borderId="28" applyAlignment="1" pivotButton="0" quotePrefix="0" xfId="0">
      <alignment horizontal="left" vertical="top" wrapText="1"/>
    </xf>
    <xf numFmtId="0" fontId="77" fillId="3" borderId="28" applyAlignment="1" pivotButton="0" quotePrefix="0" xfId="0">
      <alignment horizontal="center" vertical="top" wrapText="1"/>
    </xf>
    <xf numFmtId="0" fontId="78" fillId="29" borderId="28" applyAlignment="1" pivotButton="0" quotePrefix="0" xfId="0">
      <alignment horizontal="left" vertical="top" wrapText="1"/>
    </xf>
    <xf numFmtId="0" fontId="79" fillId="29" borderId="28" applyAlignment="1" pivotButton="0" quotePrefix="0" xfId="0">
      <alignment horizontal="left" vertical="top" wrapText="1"/>
    </xf>
    <xf numFmtId="0" fontId="76" fillId="25" borderId="28" applyAlignment="1" pivotButton="0" quotePrefix="0" xfId="0">
      <alignment horizontal="center" vertical="top" wrapText="1"/>
    </xf>
    <xf numFmtId="0" fontId="80" fillId="0" borderId="0" applyAlignment="1" pivotButton="0" quotePrefix="0" xfId="0">
      <alignment horizontal="center" vertical="center"/>
    </xf>
    <xf numFmtId="0" fontId="74" fillId="11" borderId="0" applyAlignment="1" pivotButton="0" quotePrefix="0" xfId="0">
      <alignment horizontal="left" vertical="center"/>
    </xf>
    <xf numFmtId="0" fontId="76" fillId="25" borderId="0" applyAlignment="1" pivotButton="0" quotePrefix="0" xfId="0">
      <alignment horizontal="center" vertical="center"/>
    </xf>
    <xf numFmtId="0" fontId="78" fillId="20" borderId="0" applyAlignment="1" pivotButton="0" quotePrefix="0" xfId="0">
      <alignment horizontal="left" vertical="center" wrapText="1"/>
    </xf>
    <xf numFmtId="0" fontId="78" fillId="29" borderId="0" applyAlignment="1" pivotButton="0" quotePrefix="0" xfId="0">
      <alignment horizontal="left" vertical="center" wrapText="1"/>
    </xf>
    <xf numFmtId="0" fontId="81" fillId="0" borderId="0" pivotButton="0" quotePrefix="0" xfId="0"/>
    <xf numFmtId="0" fontId="76" fillId="0" borderId="0" applyAlignment="1" pivotButton="0" quotePrefix="0" xfId="0">
      <alignment horizontal="left" vertical="center"/>
    </xf>
    <xf numFmtId="0" fontId="82" fillId="32" borderId="0" applyAlignment="1" pivotButton="0" quotePrefix="0" xfId="0">
      <alignment horizontal="left" vertical="center"/>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60"/>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24, 2026</t>
        </is>
      </c>
    </row>
    <row r="5" ht="56.1" customHeight="1" s="187">
      <c r="A5" s="176" t="n">
        <v>46197</v>
      </c>
      <c r="B5" t="inlineStr">
        <is>
          <t>Web Platform</t>
        </is>
      </c>
      <c r="C5" s="177" t="inlineStr">
        <is>
          <t>NEW</t>
        </is>
      </c>
      <c r="D5"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5" s="179" t="inlineStr">
        <is>
          <t>135774f</t>
        </is>
      </c>
    </row>
    <row r="6" ht="42" customHeight="1" s="187">
      <c r="A6" s="180" t="n">
        <v>46197</v>
      </c>
      <c r="B6" s="181" t="inlineStr">
        <is>
          <t>Web Platform</t>
        </is>
      </c>
      <c r="C6" s="177" t="inlineStr">
        <is>
          <t>NEW</t>
        </is>
      </c>
      <c r="D6" s="182" t="inlineStr">
        <is>
          <t>Built initial web-based QA Scoring Form as a single standalone HTML file. All 7 categories with 38 behavioral indicators, color-coded assessment dropdowns, auto-score calculation, coaching flags, auto-zero, save/load via localStorage, export/import JSON, print-ready.</t>
        </is>
      </c>
      <c r="E6" s="179" t="inlineStr">
        <is>
          <t>7db846a</t>
        </is>
      </c>
    </row>
    <row r="7" ht="42" customHeight="1" s="187">
      <c r="A7" s="176" t="n">
        <v>46197</v>
      </c>
      <c r="B7" t="inlineStr">
        <is>
          <t>Scoring Form / Example (Filled)</t>
        </is>
      </c>
      <c r="C7" s="183" t="inlineStr">
        <is>
          <t>FIX</t>
        </is>
      </c>
      <c r="D7" s="285" t="inlineStr">
        <is>
          <t>Fixed auto-score formula ranges and H-column weights for 5 new gap indicators. Cat 1 formula expanded to C36:C41 with weights {3,2,1,2,2,2}; Cat 4 expanded to C75:C80 with weights {3,2,2,1,2,2}. Example (Filled) hardcoded array formulas updated to match.</t>
        </is>
      </c>
      <c r="E7" s="179" t="inlineStr">
        <is>
          <t>b93c12c</t>
        </is>
      </c>
    </row>
    <row r="8" ht="69.95" customHeight="1" s="187">
      <c r="A8" s="180" t="n">
        <v>46197</v>
      </c>
      <c r="B8" s="181" t="inlineStr">
        <is>
          <t>Scoring Form / Example (Filled)</t>
        </is>
      </c>
      <c r="C8" s="177" t="inlineStr">
        <is>
          <t>NEW</t>
        </is>
      </c>
      <c r="D8" s="182"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8" s="179" t="inlineStr">
        <is>
          <t>fb76161</t>
        </is>
      </c>
    </row>
    <row r="9" ht="27.95" customHeight="1" s="187">
      <c r="A9" s="176" t="n">
        <v>46197</v>
      </c>
      <c r="B9" t="inlineStr">
        <is>
          <t>Reference</t>
        </is>
      </c>
      <c r="C9" s="177" t="inlineStr">
        <is>
          <t>NEW</t>
        </is>
      </c>
      <c r="D9" s="285" t="inlineStr">
        <is>
          <t>Created QA Weight Justification.txt — written rationale for all 7 category weights, formatted for email distribution to stakeholders.</t>
        </is>
      </c>
      <c r="E9" s="179" t="inlineStr">
        <is>
          <t>819d065</t>
        </is>
      </c>
    </row>
    <row r="10" ht="27.95" customHeight="1" s="187">
      <c r="A10" s="180" t="n">
        <v>46197</v>
      </c>
      <c r="B10" s="181" t="inlineStr">
        <is>
          <t>Reference</t>
        </is>
      </c>
      <c r="C10" s="177" t="inlineStr">
        <is>
          <t>NEW</t>
        </is>
      </c>
      <c r="D10" s="182" t="inlineStr">
        <is>
          <t>Committed Support Organization Reset Playbook (docx) — used as source document to audit and align behavioral indicators with organizational goals.</t>
        </is>
      </c>
      <c r="E10" s="179" t="inlineStr">
        <is>
          <t>819d065</t>
        </is>
      </c>
    </row>
    <row r="11" ht="20.1" customHeight="1" s="187">
      <c r="A11" s="286" t="inlineStr">
        <is>
          <t>JUNE 23, 2026</t>
        </is>
      </c>
    </row>
    <row r="12" ht="56.1" customHeight="1" s="187">
      <c r="A12" s="180" t="n">
        <v>46196</v>
      </c>
      <c r="B12" s="181" t="inlineStr">
        <is>
          <t>Example (Filled)</t>
        </is>
      </c>
      <c r="C12" s="184" t="inlineStr">
        <is>
          <t>UPDATE</t>
        </is>
      </c>
      <c r="D12" s="182"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12" s="179" t="inlineStr">
        <is>
          <t>820d69d</t>
        </is>
      </c>
    </row>
    <row r="13" ht="27.95" customHeight="1" s="187">
      <c r="A13" s="176" t="n">
        <v>46196</v>
      </c>
      <c r="B13" t="inlineStr">
        <is>
          <t>Example (Filled)</t>
        </is>
      </c>
      <c r="C13" s="183" t="inlineStr">
        <is>
          <t>FIX</t>
        </is>
      </c>
      <c r="D13" s="285" t="inlineStr">
        <is>
          <t>Fixed weight redistribution and section numbering after indicator alignment. Auto-score formulas and H-column references corrected post-row deletions.</t>
        </is>
      </c>
      <c r="E13" s="179" t="inlineStr">
        <is>
          <t>96ca232</t>
        </is>
      </c>
    </row>
    <row r="14" ht="20.1" customHeight="1" s="187">
      <c r="A14" s="286" t="inlineStr">
        <is>
          <t>JUNE 19, 2026</t>
        </is>
      </c>
    </row>
    <row r="15" ht="27.95" customHeight="1" s="187">
      <c r="A15" s="176" t="n">
        <v>46192</v>
      </c>
      <c r="B15" t="inlineStr">
        <is>
          <t>Auto-Zero Guide</t>
        </is>
      </c>
      <c r="C15" s="177" t="inlineStr">
        <is>
          <t>NEW</t>
        </is>
      </c>
      <c r="D15" s="285" t="inlineStr">
        <is>
          <t>Added Auto-Zero Guide sheet explaining when and how the auto-zero mechanism triggers, with tooltips on each A–K item explaining the condition and its impact on the quality score.</t>
        </is>
      </c>
      <c r="E15" s="179" t="inlineStr">
        <is>
          <t>78e2dc8</t>
        </is>
      </c>
    </row>
    <row r="16" ht="42" customHeight="1" s="187">
      <c r="A16" s="180" t="n">
        <v>46192</v>
      </c>
      <c r="B16" s="181" t="inlineStr">
        <is>
          <t>Scoring Form</t>
        </is>
      </c>
      <c r="C16" s="183" t="inlineStr">
        <is>
          <t>FIX</t>
        </is>
      </c>
      <c r="D16" s="182" t="inlineStr">
        <is>
          <t>Implemented N.A. weight redistribution: when an indicator is marked N.A., its weight is excluded from the denominator so remaining indicators carry full scoring weight. Prevents artificial score depression on inapplicable items.</t>
        </is>
      </c>
      <c r="E16" s="179" t="inlineStr">
        <is>
          <t>78e2dc8</t>
        </is>
      </c>
    </row>
    <row r="17" ht="27.95" customHeight="1" s="187">
      <c r="A17" s="176" t="n">
        <v>46192</v>
      </c>
      <c r="B17" t="inlineStr">
        <is>
          <t>Scoring Guide</t>
        </is>
      </c>
      <c r="C17" s="184" t="inlineStr">
        <is>
          <t>UPDATE</t>
        </is>
      </c>
      <c r="D17" s="285" t="inlineStr">
        <is>
          <t>Synced Scoring Guide indicator labels to match updated Scoring Form wording. Refocused Customer Ownership commitments block language.</t>
        </is>
      </c>
      <c r="E17" s="179" t="inlineStr">
        <is>
          <t>de1727b</t>
        </is>
      </c>
    </row>
    <row r="18" ht="20.1" customHeight="1" s="187">
      <c r="A18" s="286" t="inlineStr">
        <is>
          <t>JUNE 18, 2026</t>
        </is>
      </c>
    </row>
    <row r="19" ht="42" customHeight="1" s="187">
      <c r="A19" s="176" t="n">
        <v>46191</v>
      </c>
      <c r="B19" t="inlineStr">
        <is>
          <t>Scoring Form</t>
        </is>
      </c>
      <c r="C19" s="185" t="inlineStr">
        <is>
          <t>REMOVED</t>
        </is>
      </c>
      <c r="D19" s="285" t="inlineStr">
        <is>
          <t>Replaced Critical Failure Conditions section (static list) with auto-populated Coaching Flags that trigger dynamically based on Partial and Missed ratings. Each flag links directly to a required coaching action.</t>
        </is>
      </c>
      <c r="E19" s="186" t="inlineStr">
        <is>
          <t>5e83111</t>
        </is>
      </c>
    </row>
    <row r="20" ht="27.95" customHeight="1" s="187">
      <c r="A20" s="180" t="n">
        <v>46191</v>
      </c>
      <c r="B20" s="181" t="inlineStr">
        <is>
          <t>Scoring Form</t>
        </is>
      </c>
      <c r="C20" s="177" t="inlineStr">
        <is>
          <t>NEW</t>
        </is>
      </c>
      <c r="D20" s="182" t="inlineStr">
        <is>
          <t>Added Agent Level field to Case Information section to distinguish L1 from L2 touches for team scoring purposes.</t>
        </is>
      </c>
      <c r="E20" s="179" t="inlineStr">
        <is>
          <t>f765862</t>
        </is>
      </c>
    </row>
    <row r="21" ht="42" customHeight="1" s="187">
      <c r="A21" s="176" t="n">
        <v>46191</v>
      </c>
      <c r="B21" t="inlineStr">
        <is>
          <t>Case Tracker</t>
        </is>
      </c>
      <c r="C21" s="177" t="inlineStr">
        <is>
          <t>NEW</t>
        </is>
      </c>
      <c r="D21" s="285" t="inlineStr">
        <is>
          <t>Added Level column (L1/L2) to Case Tracker and implemented level-weighted Team Score formula: 20% × L1 avg + 30% × L2 avg + 30% × (Outcome ÷ 5) + 20% × (Continuity ÷ 5). L2 touches carry higher weight.</t>
        </is>
      </c>
      <c r="E21" s="179" t="inlineStr">
        <is>
          <t>3242bea</t>
        </is>
      </c>
    </row>
    <row r="22" ht="27.95" customHeight="1" s="187">
      <c r="A22" s="180" t="n">
        <v>46191</v>
      </c>
      <c r="B22" s="181" t="inlineStr">
        <is>
          <t>Case Tracker</t>
        </is>
      </c>
      <c r="C22" s="183" t="inlineStr">
        <is>
          <t>FIX</t>
        </is>
      </c>
      <c r="D22" s="182" t="inlineStr">
        <is>
          <t>Added fallback formula for single-level journeys (all L1 or all L2) so Team Score computes correctly when only one agent level is present.</t>
        </is>
      </c>
      <c r="E22" s="179" t="inlineStr">
        <is>
          <t>44b1d42</t>
        </is>
      </c>
    </row>
    <row r="23" ht="27.95" customHeight="1" s="187">
      <c r="A23" s="176" t="n">
        <v>46191</v>
      </c>
      <c r="B23" t="inlineStr">
        <is>
          <t>Case Tracker</t>
        </is>
      </c>
      <c r="C23" s="184" t="inlineStr">
        <is>
          <t>UPDATE</t>
        </is>
      </c>
      <c r="D23" s="285" t="inlineStr">
        <is>
          <t>Formatted Team Score display to 2 decimal places (0.00%). Cleared pre-loaded example entries to produce a clean template.</t>
        </is>
      </c>
      <c r="E23" s="179" t="inlineStr">
        <is>
          <t>1e7db88</t>
        </is>
      </c>
    </row>
    <row r="24" ht="27.95" customHeight="1" s="187">
      <c r="A24" s="180" t="n">
        <v>46191</v>
      </c>
      <c r="B24" s="181" t="inlineStr">
        <is>
          <t>Team Scoring</t>
        </is>
      </c>
      <c r="C24" s="177" t="inlineStr">
        <is>
          <t>NEW</t>
        </is>
      </c>
      <c r="D24" s="182" t="inlineStr">
        <is>
          <t>Added Journey Outcome (0–5) and Continuity of Support (0–5) scoring anchors with detailed descriptors for each level. Implemented as dropdown selectors (Option B).</t>
        </is>
      </c>
      <c r="E24" s="179" t="inlineStr">
        <is>
          <t>9022f2f</t>
        </is>
      </c>
    </row>
    <row r="25" ht="27.95" customHeight="1" s="187">
      <c r="A25" s="176" t="n">
        <v>46191</v>
      </c>
      <c r="B25" t="inlineStr">
        <is>
          <t>Scoring Form</t>
        </is>
      </c>
      <c r="C25" s="183" t="inlineStr">
        <is>
          <t>FIX</t>
        </is>
      </c>
      <c r="D25" s="285" t="inlineStr">
        <is>
          <t>Added override justification fields for each category score. Realigned conditional formatting. Fixed Score Summary off-by-one calculation.</t>
        </is>
      </c>
      <c r="E25" s="179" t="inlineStr">
        <is>
          <t>de1727b</t>
        </is>
      </c>
    </row>
    <row r="26" ht="27.95" customHeight="1" s="187">
      <c r="A26" s="180" t="n">
        <v>46191</v>
      </c>
      <c r="B26" s="181" t="inlineStr">
        <is>
          <t>Scoring Form</t>
        </is>
      </c>
      <c r="C26" s="183" t="inlineStr">
        <is>
          <t>FIX</t>
        </is>
      </c>
      <c r="D26" s="182" t="inlineStr">
        <is>
          <t>Removed blank row 75 from Customer Ownership section. Sharpened row 74 wording to eliminate overlap with row 75. Cleaned template of all case-specific notes.</t>
        </is>
      </c>
      <c r="E26" s="179" t="inlineStr">
        <is>
          <t>12ab905</t>
        </is>
      </c>
    </row>
    <row r="27" ht="20.1" customHeight="1" s="187">
      <c r="A27" s="286" t="inlineStr">
        <is>
          <t>JUNE 17, 2026</t>
        </is>
      </c>
    </row>
    <row r="28" ht="27.95" customHeight="1" s="187">
      <c r="A28" s="180" t="n">
        <v>46190</v>
      </c>
      <c r="B28" s="181" t="inlineStr">
        <is>
          <t>Scoring Guide</t>
        </is>
      </c>
      <c r="C28" s="177" t="inlineStr">
        <is>
          <t>NEW</t>
        </is>
      </c>
      <c r="D28" s="182" t="inlineStr">
        <is>
          <t>Added comprehensive Scoring Guide sheet with full Met / Partial / Missed / N.A. definitions, score anchors (0–5), and behavioral examples for each of the 7 categories.</t>
        </is>
      </c>
      <c r="E28" s="179" t="inlineStr">
        <is>
          <t>c4a9656</t>
        </is>
      </c>
    </row>
    <row r="29" ht="42" customHeight="1" s="187">
      <c r="A29" s="176" t="n">
        <v>46190</v>
      </c>
      <c r="B29" t="inlineStr">
        <is>
          <t>Scoring Form</t>
        </is>
      </c>
      <c r="C29" s="184" t="inlineStr">
        <is>
          <t>UPDATE</t>
        </is>
      </c>
      <c r="D29" s="285" t="inlineStr">
        <is>
          <t>Implemented team behavioral indicator proposals from Behavior Indicators Comparison file. Merged Communication rows 69+71. Updated Ownership §4 rows 73–74. Split Resolution and Technical Accuracy merged indicators back into two distinct indicators each.</t>
        </is>
      </c>
      <c r="E29" s="179" t="inlineStr">
        <is>
          <t>44e7dfc</t>
        </is>
      </c>
    </row>
    <row r="30" ht="27.95" customHeight="1" s="187">
      <c r="A30" s="180" t="n">
        <v>46190</v>
      </c>
      <c r="B30" s="181" t="inlineStr">
        <is>
          <t>Scoring Form</t>
        </is>
      </c>
      <c r="C30" s="185" t="inlineStr">
        <is>
          <t>REMOVED</t>
        </is>
      </c>
      <c r="D30" s="182" t="inlineStr">
        <is>
          <t>Removed 5 duplicate Critical Failure Conditions already covered by the Auto-Zero section. Eliminated redundancy between the two mechanisms.</t>
        </is>
      </c>
      <c r="E30" s="179" t="inlineStr">
        <is>
          <t>97128c7</t>
        </is>
      </c>
    </row>
    <row r="31" ht="27.95" customHeight="1" s="187">
      <c r="A31" s="176" t="n">
        <v>46190</v>
      </c>
      <c r="B31" t="inlineStr">
        <is>
          <t>Scoring Form</t>
        </is>
      </c>
      <c r="C31" s="183" t="inlineStr">
        <is>
          <t>FIX</t>
        </is>
      </c>
      <c r="D31" s="285" t="inlineStr">
        <is>
          <t>Clarified overlapping Communication indicators to eliminate scoring confusion. Removed all blank rows from the form; compacted from ~220 to 187 rows.</t>
        </is>
      </c>
      <c r="E31" s="179" t="inlineStr">
        <is>
          <t>87e03d9</t>
        </is>
      </c>
    </row>
    <row r="32" ht="20.1" customHeight="1" s="187">
      <c r="A32" s="286" t="inlineStr">
        <is>
          <t>JUNE 16, 2026</t>
        </is>
      </c>
    </row>
    <row r="33" ht="27.95" customHeight="1" s="187">
      <c r="A33" s="176" t="n">
        <v>46189</v>
      </c>
      <c r="B33" t="inlineStr">
        <is>
          <t>Scoring Form</t>
        </is>
      </c>
      <c r="C33" s="177" t="inlineStr">
        <is>
          <t>NEW</t>
        </is>
      </c>
      <c r="D33" s="285" t="inlineStr">
        <is>
          <t>Added Escalation Follow-Up section (what L2 did to resolve the case, L1 learning points) and Next Session Focus section (specific behaviors to practice before next review).</t>
        </is>
      </c>
      <c r="E33" s="179" t="inlineStr">
        <is>
          <t>87e03d9</t>
        </is>
      </c>
    </row>
    <row r="34" ht="27.95" customHeight="1" s="187">
      <c r="A34" s="180" t="n">
        <v>46189</v>
      </c>
      <c r="B34" s="181" t="inlineStr">
        <is>
          <t>Scoring Form</t>
        </is>
      </c>
      <c r="C34" s="177" t="inlineStr">
        <is>
          <t>NEW</t>
        </is>
      </c>
      <c r="D34" s="182" t="inlineStr">
        <is>
          <t>Added QA scoring template with completed evaluations (Good Call, Bad Call examples). Restructured overall scoring form layout with cleaner section flow.</t>
        </is>
      </c>
      <c r="E34" s="179" t="inlineStr">
        <is>
          <t>201673c</t>
        </is>
      </c>
    </row>
    <row r="35" ht="20.1" customHeight="1" s="187">
      <c r="A35" s="286" t="inlineStr">
        <is>
          <t>JUNE 15, 2026</t>
        </is>
      </c>
    </row>
    <row r="36" ht="27.95" customHeight="1" s="187">
      <c r="A36" s="180" t="n">
        <v>46188</v>
      </c>
      <c r="B36" s="181" t="inlineStr">
        <is>
          <t>Case Tracker</t>
        </is>
      </c>
      <c r="C36" s="177" t="inlineStr">
        <is>
          <t>NEW</t>
        </is>
      </c>
      <c r="D36" s="182" t="inlineStr">
        <is>
          <t>Added per-touch Contribution Type scoring (Resolver / Progress Builder / Maintainer / Regression Contributor) and Handoff Quality (0–5) column to Case Tracker.</t>
        </is>
      </c>
      <c r="E36" s="179" t="inlineStr">
        <is>
          <t>11f1ee6</t>
        </is>
      </c>
    </row>
    <row r="37" ht="27.95" customHeight="1" s="187">
      <c r="A37" s="176" t="n">
        <v>46188</v>
      </c>
      <c r="B37" t="inlineStr">
        <is>
          <t>Case Tracker</t>
        </is>
      </c>
      <c r="C37" s="184" t="inlineStr">
        <is>
          <t>UPDATE</t>
        </is>
      </c>
      <c r="D37" s="285" t="inlineStr">
        <is>
          <t>Renamed Contribution Type value 'Breaker' to 'Regression Contributor' for more coaching-oriented, less punitive language.</t>
        </is>
      </c>
      <c r="E37" s="179" t="inlineStr">
        <is>
          <t>5be05c9</t>
        </is>
      </c>
    </row>
    <row r="38" ht="20.1" customHeight="1" s="187">
      <c r="A38" s="286" t="inlineStr">
        <is>
          <t>JUNE 10, 2026</t>
        </is>
      </c>
    </row>
    <row r="39" ht="42" customHeight="1" s="187">
      <c r="A39" s="176" t="n">
        <v>46183</v>
      </c>
      <c r="B39" t="inlineStr">
        <is>
          <t>All Sheets</t>
        </is>
      </c>
      <c r="C39" s="177" t="inlineStr">
        <is>
          <t>NEW</t>
        </is>
      </c>
      <c r="D39" s="285" t="inlineStr">
        <is>
          <t>Initial commit: QA scoring rubric established. Excel scoring form created with 7-category weighted framework (Resolution 30%, Technical Accuracy 20%, Communication 15%, Customer Ownership 15%, Escalation Judgment 10%, Customer Experience 5%, Documentation 5%).</t>
        </is>
      </c>
      <c r="E39" s="179" t="inlineStr">
        <is>
          <t>6d52d9a</t>
        </is>
      </c>
    </row>
    <row r="40">
      <c r="D40" s="285" t="n"/>
    </row>
    <row r="41">
      <c r="A41" s="284" t="inlineStr">
        <is>
          <t>CHANGE TYPE LEGEND</t>
        </is>
      </c>
    </row>
    <row r="42" ht="27.95" customHeight="1" s="187">
      <c r="C42" s="177" t="inlineStr">
        <is>
          <t>NEW</t>
        </is>
      </c>
      <c r="D42" s="285" t="inlineStr">
        <is>
          <t>Brand-new feature, section, sheet, or indicator added</t>
        </is>
      </c>
    </row>
    <row r="43" ht="27.95" customHeight="1" s="187">
      <c r="C43" s="184" t="inlineStr">
        <is>
          <t>UPDATE</t>
        </is>
      </c>
      <c r="D43" s="285" t="inlineStr">
        <is>
          <t>Existing content revised, reworded, or restructured</t>
        </is>
      </c>
    </row>
    <row r="44" ht="27.95" customHeight="1" s="187">
      <c r="C44" s="183" t="inlineStr">
        <is>
          <t>FIX</t>
        </is>
      </c>
      <c r="D44" s="285" t="inlineStr">
        <is>
          <t>Formula error, calculation bug, or structural issue corrected</t>
        </is>
      </c>
    </row>
    <row r="45" ht="27.95" customHeight="1" s="187">
      <c r="C45" s="185" t="inlineStr">
        <is>
          <t>REMOVED</t>
        </is>
      </c>
      <c r="D45" s="285" t="inlineStr">
        <is>
          <t>Item, row, or section deleted (usually replaced by something better)</t>
        </is>
      </c>
    </row>
    <row r="46">
      <c r="D46" s="285" t="n"/>
    </row>
    <row r="47">
      <c r="D47" s="285" t="n"/>
    </row>
    <row r="48">
      <c r="D48" s="285" t="n"/>
    </row>
    <row r="49">
      <c r="D49" s="285" t="n"/>
    </row>
    <row r="50">
      <c r="D50" s="285" t="n"/>
    </row>
    <row r="51">
      <c r="D51" s="285" t="n"/>
    </row>
    <row r="52">
      <c r="D52" s="285" t="n"/>
    </row>
    <row r="53">
      <c r="D53" s="285" t="n"/>
    </row>
    <row r="54">
      <c r="D54" s="285" t="n"/>
    </row>
    <row r="55">
      <c r="D55" s="285" t="n"/>
    </row>
    <row r="56">
      <c r="D56" s="285" t="n"/>
    </row>
    <row r="57">
      <c r="D57" s="285" t="n"/>
    </row>
    <row r="58">
      <c r="D58" s="285" t="n"/>
    </row>
    <row r="59">
      <c r="D59" s="285" t="n"/>
    </row>
    <row r="60">
      <c r="D60" s="285" t="n"/>
    </row>
  </sheetData>
  <mergeCells count="11">
    <mergeCell ref="A35:E35"/>
    <mergeCell ref="A4:E4"/>
    <mergeCell ref="A38:E38"/>
    <mergeCell ref="A2:E2"/>
    <mergeCell ref="A41:E41"/>
    <mergeCell ref="A11:E11"/>
    <mergeCell ref="A1:E1"/>
    <mergeCell ref="A32:E32"/>
    <mergeCell ref="A14:E14"/>
    <mergeCell ref="A18:E18"/>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187" min="1" max="1"/>
    <col width="52" customWidth="1" style="187" min="2" max="2"/>
    <col width="18" customWidth="1" style="187" min="3" max="3"/>
    <col width="68" customWidth="1" style="187" min="4" max="4"/>
    <col width="56" customWidth="1" style="187" min="5" max="5"/>
  </cols>
  <sheetData>
    <row r="1" ht="28" customHeight="1" s="187">
      <c r="B1" s="333" t="inlineStr">
        <is>
          <t>BEHAVIORAL INDICATOR GUIDE — WHY EACH INDICATOR IS HERE</t>
        </is>
      </c>
    </row>
    <row r="2" ht="30" customHeight="1" s="187">
      <c r="B2" s="334"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87">
      <c r="B3" s="63" t="n"/>
      <c r="C3" s="63" t="n"/>
      <c r="D3" s="63" t="n"/>
      <c r="E3" s="63" t="n"/>
    </row>
    <row r="4" ht="20" customHeight="1" s="187">
      <c r="B4" s="335" t="inlineStr">
        <is>
          <t>Behavioral Indicator</t>
        </is>
      </c>
      <c r="C4" s="335" t="inlineStr">
        <is>
          <t>Weight</t>
        </is>
      </c>
      <c r="D4" s="335" t="inlineStr">
        <is>
          <t>Why This Indicator Is Here</t>
        </is>
      </c>
      <c r="E4" s="335" t="inlineStr">
        <is>
          <t>What Failure Looks Like</t>
        </is>
      </c>
    </row>
    <row r="5" ht="20" customHeight="1" s="187">
      <c r="B5" s="336" t="inlineStr">
        <is>
          <t>1. RESOLUTION / PROGRESS TOWARD RESOLUTION</t>
        </is>
      </c>
    </row>
    <row r="6" ht="28" customHeight="1" s="187">
      <c r="B6" s="337" t="inlineStr">
        <is>
          <t>Measures whether the customer left the interaction in a meaningfully better position than when they called. Every other category exists in service of this one.</t>
        </is>
      </c>
    </row>
    <row r="7" ht="90" customHeight="1" s="187">
      <c r="B7" s="338" t="inlineStr">
        <is>
          <t>Resolved the issue or achieved the best possible outcome (RMA, valid escalation, limitation explained, education)</t>
        </is>
      </c>
      <c r="C7" s="339" t="inlineStr">
        <is>
          <t>Wt 3  —  Primary</t>
        </is>
      </c>
      <c r="D7" s="340"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341"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87">
      <c r="B8" s="342" t="inlineStr">
        <is>
          <t>Completed reasonable troubleshooting before reaching a conclusion</t>
        </is>
      </c>
      <c r="C8" s="343" t="inlineStr">
        <is>
          <t>Wt 2  —  Core</t>
        </is>
      </c>
      <c r="D8" s="344"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345"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87">
      <c r="B9" s="338" t="inlineStr">
        <is>
          <t>Resolution path was appropriate for the situation and warranty status</t>
        </is>
      </c>
      <c r="C9" s="346" t="inlineStr">
        <is>
          <t>Wt 1  —  Supporting</t>
        </is>
      </c>
      <c r="D9" s="340"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341"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87">
      <c r="B10" s="342" t="inlineStr">
        <is>
          <t>Customer was moved meaningfully closer to a solution</t>
        </is>
      </c>
      <c r="C10" s="343" t="inlineStr">
        <is>
          <t>Wt 2  —  Core</t>
        </is>
      </c>
      <c r="D10" s="344"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345"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87">
      <c r="B11" s="338" t="inlineStr">
        <is>
          <t>Troubleshooting was conducted before any self-help content or KB articles were shared — generic self-help was not used as a substitute for investigation</t>
        </is>
      </c>
      <c r="C11" s="339" t="inlineStr">
        <is>
          <t>Wt 3  —  Primary</t>
        </is>
      </c>
      <c r="D11" s="340"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341"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87">
      <c r="B12" s="342" t="inlineStr">
        <is>
          <t>For out-of-warranty products: provided best-effort troubleshooting, explained product limitations clearly, and did not use warranty status as a reason to stop helping — mark N.A. if product is in warranty</t>
        </is>
      </c>
      <c r="C12" s="343" t="inlineStr">
        <is>
          <t>Wt 2  —  Core</t>
        </is>
      </c>
      <c r="D12" s="344"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345"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87">
      <c r="B13" s="63" t="n"/>
      <c r="C13" s="63" t="n"/>
      <c r="D13" s="63" t="n"/>
      <c r="E13" s="63" t="n"/>
    </row>
    <row r="14" ht="20" customHeight="1" s="187">
      <c r="B14" s="336" t="inlineStr">
        <is>
          <t>2. TECHNICAL ACCURACY</t>
        </is>
      </c>
    </row>
    <row r="15" ht="28" customHeight="1" s="187">
      <c r="B15" s="337" t="inlineStr">
        <is>
          <t>Measures the quality of the agent's diagnostic reasoning and technical guidance. Resolution is impossible without it — correct troubleshooting is the mechanism through which resolution is achieved.</t>
        </is>
      </c>
    </row>
    <row r="16" ht="90" customHeight="1" s="187">
      <c r="B16" s="338" t="inlineStr">
        <is>
          <t>Correctly identified the symptoms and asked relevant diagnostic questions</t>
        </is>
      </c>
      <c r="C16" s="339" t="inlineStr">
        <is>
          <t>Wt 3  —  Primary</t>
        </is>
      </c>
      <c r="D16" s="340" t="inlineStr">
        <is>
          <t>You cannot fix a problem you have not understood. Correct symptom identification and targeted diagnostic questioning are the first and most important steps in any troubleshooting process. An agent who misidentifies symptoms or asks irrelevant questions will troubleshoot the wrong thing, consume call time on dead ends, and reach wrong conclusions. This indicator captures whether the agent built an accurate picture of the problem before attempting to act on it.</t>
        </is>
      </c>
      <c r="E16" s="341"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87">
      <c r="B17" s="342" t="inlineStr">
        <is>
          <t>Identified the root cause (or likely cause) when possible</t>
        </is>
      </c>
      <c r="C17" s="339" t="inlineStr">
        <is>
          <t>Wt 3  —  Primary</t>
        </is>
      </c>
      <c r="D17" s="344"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345"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87">
      <c r="B18" s="338" t="inlineStr">
        <is>
          <t>Followed a logical troubleshooting process</t>
        </is>
      </c>
      <c r="C18" s="343" t="inlineStr">
        <is>
          <t>Wt 2  —  Core</t>
        </is>
      </c>
      <c r="D18" s="340" t="inlineStr">
        <is>
          <t>Logical process discipline means working systematically — ruling things in or out in a sensible sequence, not jumping between unrelated steps, and building a coherent picture before acting. Disorganized troubleshooting wastes time, produces contradictory results, and confuses the customer. With the 20-minute escalation pressure removed under the Support Organization Reset, agents are expected to troubleshoot methodically rather than rushing to any available exit.</t>
        </is>
      </c>
      <c r="E18" s="341" t="inlineStr">
        <is>
          <t>Agent performs steps in random order without a clear diagnostic rationale. Agent moves from one solution attempt to the next without documenting or analyzing the result of the previous step. Agent circles back to steps already completed without explanation. Agent's approach cannot be justified if asked why a particular step was chosen.</t>
        </is>
      </c>
    </row>
    <row r="19" ht="90" customHeight="1" s="187">
      <c r="B19" s="342" t="inlineStr">
        <is>
          <t>Available tools were used efficiently and appropriately</t>
        </is>
      </c>
      <c r="C19" s="346" t="inlineStr">
        <is>
          <t>Wt 1  —  Supporting</t>
        </is>
      </c>
      <c r="D19" s="344"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9" s="345"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20" ht="90" customHeight="1" s="187">
      <c r="B20" s="338" t="inlineStr">
        <is>
          <t>Gave technically accurate information; no unsupported conclusions</t>
        </is>
      </c>
      <c r="C20" s="343" t="inlineStr">
        <is>
          <t>Wt 2  —  Core</t>
        </is>
      </c>
      <c r="D20" s="340"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20" s="341"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1" ht="8" customHeight="1" s="187">
      <c r="B21" s="63" t="n"/>
      <c r="C21" s="63" t="n"/>
      <c r="D21" s="63" t="n"/>
      <c r="E21" s="63" t="n"/>
    </row>
    <row r="22" ht="20" customHeight="1" s="187">
      <c r="B22" s="336" t="inlineStr">
        <is>
          <t>3. COMMUNICATION &amp; CALL CONTROL</t>
        </is>
      </c>
    </row>
    <row r="23" ht="28" customHeight="1" s="187">
      <c r="B23" s="337" t="inlineStr">
        <is>
          <t>Measures how effectively the agent managed the interaction. Technically correct guidance fails if the customer cannot understand it, follow it, or trust the agent delivering it.</t>
        </is>
      </c>
    </row>
    <row r="24" ht="90" customHeight="1" s="187">
      <c r="B24" s="338" t="inlineStr">
        <is>
          <t>Expectations were set clearly from the start</t>
        </is>
      </c>
      <c r="C24" s="346" t="inlineStr">
        <is>
          <t>Wt 1  —  Supporting</t>
        </is>
      </c>
      <c r="D24" s="340"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4" s="341"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5" ht="90" customHeight="1" s="187">
      <c r="B25" s="342" t="inlineStr">
        <is>
          <t>Agent maintained call control and troubleshooting flow</t>
        </is>
      </c>
      <c r="C25" s="339" t="inlineStr">
        <is>
          <t>Wt 3  —  Primary</t>
        </is>
      </c>
      <c r="D25" s="344" t="inlineStr">
        <is>
          <t>Call control is what allows troubleshooting to proceed without derailment. An agent who cannot maintain the direction of the conversation cannot complete the diagnostic process, cannot meet customer expectations, and cannot deliver the outcome. Call control does not mean dominating the customer — it means keeping the interaction purposeful and directed. Under the Support Organization Reset, longer calls are acceptable when they are productive. Maintaining control across that duration is the critical skill that makes longer calls useful rather than chaotic.</t>
        </is>
      </c>
      <c r="E25" s="345"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6" ht="90" customHeight="1" s="187">
      <c r="B26" s="338" t="inlineStr">
        <is>
          <t>Used language appropriate to the customer's level and confirmed understanding throughout</t>
        </is>
      </c>
      <c r="C26" s="343" t="inlineStr">
        <is>
          <t>Wt 2  —  Core</t>
        </is>
      </c>
      <c r="D26" s="340" t="inlineStr">
        <is>
          <t>Technical accuracy means nothing if the customer cannot understand the instructions. Agents who use unexplained acronyms, jargon, or overly complex language create confusion that leads to wrong actions, wasted steps, and failed outcomes. Confirming understanding at key points catches comprehension failures before they turn into execution failures. As Linksys moves toward B2B and ISP-aligned support, agents must adjust their communication register depending on the technical sophistication of the person they are serving.</t>
        </is>
      </c>
      <c r="E26" s="341"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7" ht="90" customHeight="1" s="187">
      <c r="B27" s="342" t="inlineStr">
        <is>
          <t>Actively listened and showed comprehension throughout the interaction/s</t>
        </is>
      </c>
      <c r="C27" s="339" t="inlineStr">
        <is>
          <t>Wt 3  —  Primary</t>
        </is>
      </c>
      <c r="D27" s="344" t="inlineStr">
        <is>
          <t>Active listening is the difference between an agent who genuinely understands the customer's situation and one who is executing a script regardless of what they are hearing. Agents who listen actively ask relevant follow-up questions, avoid asking for information the customer has already given, and build on what they have learned. In multi-touch cases, active listening extends to reviewing prior case notes and picking up the thread rather than requiring the customer to start over.</t>
        </is>
      </c>
      <c r="E27" s="345" t="inlineStr">
        <is>
          <t>Agent asks the customer to repeat information already documented in the ticket. Agent misses a key detail the customer mentioned earlier in the call. Agent's follow-up questions are unrelated to what the customer just said. Customer says I already told the last agent this or didn't you read the notes?</t>
        </is>
      </c>
    </row>
    <row r="28" ht="90" customHeight="1" s="187">
      <c r="B28" s="338" t="inlineStr">
        <is>
          <t>Managed time well, with clear transitions between steps</t>
        </is>
      </c>
      <c r="C28" s="346" t="inlineStr">
        <is>
          <t>Wt 1  —  Supporting</t>
        </is>
      </c>
      <c r="D28" s="340"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8" s="341"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9" ht="90" customHeight="1" s="187">
      <c r="B29" s="342" t="inlineStr">
        <is>
          <t>Handled difficult moments when needed to maintain call control</t>
        </is>
      </c>
      <c r="C29" s="346" t="inlineStr">
        <is>
          <t>Wt 1  —  Supporting</t>
        </is>
      </c>
      <c r="D29" s="344" t="inlineStr">
        <is>
          <t>Some customers arrive frustrated, exhausted from prior contacts, or emotionally escalated before the agent has said a word. The previous operating model created many of those customers through deflection and premature closure. An agent who loses control of the call in response to customer emotion cannot complete the troubleshooting process and often makes the situation worse. Handling difficult moments means acknowledging the frustration appropriately, then redirecting the conversation toward a productive path.</t>
        </is>
      </c>
      <c r="E29" s="345" t="inlineStr">
        <is>
          <t>Agent responds to customer frustration with defensiveness or disengagement. Agent abandons the troubleshooting process because the customer is difficult. Agent's tone becomes impatient or dismissive in response to repeated questions. Agent matches the customer's emotional escalation instead of de-escalating it.</t>
        </is>
      </c>
    </row>
    <row r="30" ht="90" customHeight="1" s="187">
      <c r="B30" s="338" t="inlineStr">
        <is>
          <t>Adjusted communication for the customer's accessibility needs (hearing, vision, language barrier, age, cognitive)</t>
        </is>
      </c>
      <c r="C30" s="346" t="inlineStr">
        <is>
          <t>Wt 1  —  Supporting</t>
        </is>
      </c>
      <c r="D30" s="340"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30" s="341"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31" ht="8" customHeight="1" s="187">
      <c r="B31" s="63" t="n"/>
      <c r="C31" s="63" t="n"/>
      <c r="D31" s="63" t="n"/>
      <c r="E31" s="63" t="n"/>
    </row>
    <row r="32" ht="20" customHeight="1" s="187">
      <c r="B32" s="336" t="inlineStr">
        <is>
          <t>4. CUSTOMER OWNERSHIP</t>
        </is>
      </c>
    </row>
    <row r="33" ht="28" customHeight="1" s="187">
      <c r="B33" s="337" t="inlineStr">
        <is>
          <t>Measures whether the agent took genuine responsibility for the customer's outcome — not just for their own portion of the interaction, but for the continuity of the case across touches.</t>
        </is>
      </c>
    </row>
    <row r="34" ht="90" customHeight="1" s="187">
      <c r="B34" s="338" t="inlineStr">
        <is>
          <t>Took accountability for the customer's outcome and avoided unnecessary transfers</t>
        </is>
      </c>
      <c r="C34" s="339" t="inlineStr">
        <is>
          <t>Wt 3  —  Primary</t>
        </is>
      </c>
      <c r="D34" s="340"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4" s="341"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5" ht="90" customHeight="1" s="187">
      <c r="B35" s="342" t="inlineStr">
        <is>
          <t>Followed through on all commitments made during the interaction</t>
        </is>
      </c>
      <c r="C35" s="343" t="inlineStr">
        <is>
          <t>Wt 2  —  Core</t>
        </is>
      </c>
      <c r="D35" s="344"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5" s="345"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6" ht="90" customHeight="1" s="187">
      <c r="B36" s="338" t="inlineStr">
        <is>
          <t>Clearly set customer expectations for next steps and realistic timelines</t>
        </is>
      </c>
      <c r="C36" s="343" t="inlineStr">
        <is>
          <t>Wt 2  —  Core</t>
        </is>
      </c>
      <c r="D36" s="340"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6" s="341"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7" ht="90" customHeight="1" s="187">
      <c r="B37" s="342" t="inlineStr">
        <is>
          <t>Completed required disconnect follow-up and met callback commitments within the agreed window</t>
        </is>
      </c>
      <c r="C37" s="346" t="inlineStr">
        <is>
          <t>Wt 1  —  Supporting</t>
        </is>
      </c>
      <c r="D37" s="344"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7" s="345"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8" ht="90" customHeight="1" s="187">
      <c r="B38" s="338" t="inlineStr">
        <is>
          <t>Recognized and acknowledged prior contact history; did not treat a repeat contact as a new case without reviewing previous interactions — mark N.A. if this is a confirmed first contact</t>
        </is>
      </c>
      <c r="C38" s="343" t="inlineStr">
        <is>
          <t>Wt 2  —  Core</t>
        </is>
      </c>
      <c r="D38" s="340"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8" s="341"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9" ht="90" customHeight="1" s="187">
      <c r="B39" s="342" t="inlineStr">
        <is>
          <t>If the case was handed off or escalated, the receiving agent was given sufficient context to continue without requiring the customer to repeat themselves — mark N.A. if no handoff occurred on this touch</t>
        </is>
      </c>
      <c r="C39" s="343" t="inlineStr">
        <is>
          <t>Wt 2  —  Core</t>
        </is>
      </c>
      <c r="D39" s="344"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9" s="345"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40" ht="8" customHeight="1" s="187">
      <c r="B40" s="63" t="n"/>
      <c r="C40" s="63" t="n"/>
      <c r="D40" s="63" t="n"/>
      <c r="E40" s="63" t="n"/>
    </row>
    <row r="41" ht="20" customHeight="1" s="187">
      <c r="B41" s="336" t="inlineStr">
        <is>
          <t>5. ESCALATION JUDGMENT</t>
        </is>
      </c>
    </row>
    <row r="42" ht="28" customHeight="1" s="187">
      <c r="B42" s="337" t="inlineStr">
        <is>
          <t>Measures whether escalation decisions — including the decision not to escalate — were appropriate. Both premature escalation and failure to escalate a warranted case are scored failures.</t>
        </is>
      </c>
    </row>
    <row r="43" ht="90" customHeight="1" s="187">
      <c r="B43" s="338" t="inlineStr">
        <is>
          <t>Completed reasonable troubleshooting before escalating</t>
        </is>
      </c>
      <c r="C43" s="339" t="inlineStr">
        <is>
          <t>Wt 3  —  Primary</t>
        </is>
      </c>
      <c r="D43" s="340"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3" s="341"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4" ht="90" customHeight="1" s="187">
      <c r="B44" s="342"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4" s="343" t="inlineStr">
        <is>
          <t>Wt 2  —  Core</t>
        </is>
      </c>
      <c r="D44" s="344"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4" s="345"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5" ht="90" customHeight="1" s="187">
      <c r="B45" s="338" t="inlineStr">
        <is>
          <t>Provided complete escalation details using the correct escalation path</t>
        </is>
      </c>
      <c r="C45" s="339" t="inlineStr">
        <is>
          <t>Wt 3  —  Primary</t>
        </is>
      </c>
      <c r="D45" s="340"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5" s="341"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6" ht="90" customHeight="1" s="187">
      <c r="B46" s="342" t="inlineStr">
        <is>
          <t>Clearly explained why escalation was necessary and what would happen next</t>
        </is>
      </c>
      <c r="C46" s="346" t="inlineStr">
        <is>
          <t>Wt 1  —  Supporting</t>
        </is>
      </c>
      <c r="D46" s="344"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6" s="345"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7" ht="8" customHeight="1" s="187">
      <c r="B47" s="63" t="n"/>
      <c r="C47" s="63" t="n"/>
      <c r="D47" s="63" t="n"/>
      <c r="E47" s="63" t="n"/>
    </row>
    <row r="48" ht="20" customHeight="1" s="187">
      <c r="B48" s="336" t="inlineStr">
        <is>
          <t>6. CUSTOMER EXPERIENCE</t>
        </is>
      </c>
    </row>
    <row r="49" ht="28" customHeight="1" s="187">
      <c r="B49" s="337"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50" ht="90" customHeight="1" s="187">
      <c r="B50" s="338" t="inlineStr">
        <is>
          <t>Demonstrated empathy including for repeat-contact fatigue</t>
        </is>
      </c>
      <c r="C50" s="343" t="inlineStr">
        <is>
          <t>Wt 2  —  Core</t>
        </is>
      </c>
      <c r="D50" s="340"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50" s="341"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51" ht="90" customHeight="1" s="187">
      <c r="B51" s="342" t="inlineStr">
        <is>
          <t>Stayed professional throughout and maintained patience, even under pressure</t>
        </is>
      </c>
      <c r="C51" s="339" t="inlineStr">
        <is>
          <t>Wt 3  —  Primary</t>
        </is>
      </c>
      <c r="D51" s="344"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51" s="345"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52" ht="90" customHeight="1" s="187">
      <c r="B52" s="338" t="inlineStr">
        <is>
          <t>Agent matched the customer's tone, pace, level, and energy</t>
        </is>
      </c>
      <c r="C52" s="346" t="inlineStr">
        <is>
          <t>Wt 1  —  Supporting</t>
        </is>
      </c>
      <c r="D52" s="340"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52" s="341"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3" ht="90" customHeight="1" s="187">
      <c r="B53" s="342" t="inlineStr">
        <is>
          <t>Minimized customer effort</t>
        </is>
      </c>
      <c r="C53" s="343" t="inlineStr">
        <is>
          <t>Wt 2  —  Core</t>
        </is>
      </c>
      <c r="D53" s="344"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3" s="345"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4" ht="90" customHeight="1" s="187">
      <c r="B54" s="338" t="inlineStr">
        <is>
          <t>Maintained customer understanding and engagement</t>
        </is>
      </c>
      <c r="C54" s="343" t="inlineStr">
        <is>
          <t>Wt 2  —  Core</t>
        </is>
      </c>
      <c r="D54" s="340"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4" s="341"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5" ht="8" customHeight="1" s="187">
      <c r="B55" s="63" t="n"/>
      <c r="C55" s="63" t="n"/>
      <c r="D55" s="63" t="n"/>
      <c r="E55" s="63" t="n"/>
    </row>
    <row r="56" ht="20" customHeight="1" s="187">
      <c r="B56" s="336" t="inlineStr">
        <is>
          <t>7. DOCUMENTATION &amp; NOTES</t>
        </is>
      </c>
    </row>
    <row r="57" ht="28" customHeight="1" s="187">
      <c r="B57" s="337" t="inlineStr">
        <is>
          <t>Measures whether the case record is complete enough for any other agent or QA analyst to understand what happened, what was found, and what should happen next. Documentation supports continuity, not compliance.</t>
        </is>
      </c>
    </row>
    <row r="58" ht="90" customHeight="1" s="187">
      <c r="B58" s="338" t="inlineStr">
        <is>
          <t>Recorded customer issue summary</t>
        </is>
      </c>
      <c r="C58" s="339" t="inlineStr">
        <is>
          <t>Wt 3  —  Primary</t>
        </is>
      </c>
      <c r="D58" s="340"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8" s="341"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9" ht="90" customHeight="1" s="187">
      <c r="B59" s="342" t="inlineStr">
        <is>
          <t>Documented troubleshooting steps</t>
        </is>
      </c>
      <c r="C59" s="339" t="inlineStr">
        <is>
          <t>Wt 3  —  Primary</t>
        </is>
      </c>
      <c r="D59" s="344" t="inlineStr">
        <is>
          <t>Troubleshooting documentation tells the next agent what has already been tried so they do not repeat steps the customer has already completed. It is also the evidence trail for conclusions: if an agent determines the problem is a hardware failure, the troubleshooting notes should show what was tested to support that determination. Without documentation, even strong technical work produces no organizational value beyond the single interaction — it cannot be reviewed, credited, built upon, or learned from.</t>
        </is>
      </c>
      <c r="E59" s="345"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60" ht="90" customHeight="1" s="187">
      <c r="B60" s="338" t="inlineStr">
        <is>
          <t>Noted key findings</t>
        </is>
      </c>
      <c r="C60" s="339" t="inlineStr">
        <is>
          <t>Wt 3  —  Primary</t>
        </is>
      </c>
      <c r="D60" s="340" t="inlineStr">
        <is>
          <t>Key findings — a specific RSSI value, a firmware version, a confirmed port failure, an identified overlap node, a discovered configuration conflict — are the most operationally useful part of any case note. Findings allow the next agent to take immediate, targeted action rather than starting the diagnostic process over. They are also the raw material for KB content improvement, product quality feedback, and training development. A case without documented findings is a missed opportunity to improve the support organization beyond the individual interaction.</t>
        </is>
      </c>
      <c r="E60" s="341" t="inlineStr">
        <is>
          <t>Agent discovers that two nodes have RSSI of -90 dBm but does not note the values. Agent identifies a likely root cause during the call but only documents possible hardware issue without supporting evidence. Escalation team member cannot determine what specifically was found because findings are described in general terms only.</t>
        </is>
      </c>
    </row>
    <row r="61" ht="90" customHeight="1" s="187">
      <c r="B61" s="342" t="inlineStr">
        <is>
          <t>Captured agent reasoning — escalation justification, offline recommendations provided by colleagues and other support POCs, especially if no private notes are applicable to the step or action</t>
        </is>
      </c>
      <c r="C61" s="339" t="inlineStr">
        <is>
          <t>Wt 3  —  Primary</t>
        </is>
      </c>
      <c r="D61" s="344"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61" s="345"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62" ht="90" customHeight="1" s="187">
      <c r="B62" s="338" t="inlineStr">
        <is>
          <t>Documented next steps and follow-ups</t>
        </is>
      </c>
      <c r="C62" s="343" t="inlineStr">
        <is>
          <t>Wt 2  —  Core</t>
        </is>
      </c>
      <c r="D62" s="340"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62" s="341"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63" ht="90" customHeight="1" s="187">
      <c r="B63" s="342" t="inlineStr">
        <is>
          <t>Updated ticket status accurately</t>
        </is>
      </c>
      <c r="C63" s="346" t="inlineStr">
        <is>
          <t>Wt 1  —  Supporting</t>
        </is>
      </c>
      <c r="D63" s="344"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63" s="345"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4" ht="8" customHeight="1" s="187">
      <c r="B64" s="63" t="n"/>
      <c r="C64" s="63" t="n"/>
      <c r="D64" s="63" t="n"/>
      <c r="E64" s="63" t="n"/>
    </row>
  </sheetData>
  <mergeCells count="16">
    <mergeCell ref="B23:E23"/>
    <mergeCell ref="B56:E56"/>
    <mergeCell ref="B1:E1"/>
    <mergeCell ref="B41:E41"/>
    <mergeCell ref="B49:E49"/>
    <mergeCell ref="B57:E57"/>
    <mergeCell ref="B6:E6"/>
    <mergeCell ref="B48:E48"/>
    <mergeCell ref="B15:E15"/>
    <mergeCell ref="B33:E33"/>
    <mergeCell ref="B5:E5"/>
    <mergeCell ref="B2:E2"/>
    <mergeCell ref="B42:E42"/>
    <mergeCell ref="B22:E22"/>
    <mergeCell ref="B14:E14"/>
    <mergeCell ref="B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JOURNEY ID (Case Tracker column R) with an incrementing Touch # — a journey may span multiple ticket numbers, so the Journey ID, not the Case ID, is the grouping key. Per-touch weighted scores roll up automatically; enter Outcome and Continuity (0-5) once per journey and the Team Score computes.</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J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 width="18" customWidth="1" style="187" min="5" max="5"/>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is>
      </c>
      <c r="C2" s="212" t="n"/>
      <c r="D2" s="192" t="n"/>
    </row>
    <row r="4" ht="24" customHeight="1" s="187">
      <c r="B4" s="255">
        <f>"◆  LIVE TEAM SCORECARD  ·  "&amp;IF($E$6="","(pick a journey at right)",$E$6)&amp;"  ◆"</f>
        <v/>
      </c>
      <c r="C4" s="256" t="n"/>
      <c r="D4" s="257" t="n"/>
      <c r="J4" s="352">
        <f>IFERROR(MATCH($E$6,'Case Tracker'!$A$56:$A$59,0),1)</f>
        <v/>
      </c>
    </row>
    <row r="5" ht="15.95" customHeight="1" s="187">
      <c r="B5" s="37" t="inlineStr">
        <is>
          <t>TEAM SCORE</t>
        </is>
      </c>
      <c r="C5" s="37" t="inlineStr">
        <is>
          <t>RESULT BAND</t>
        </is>
      </c>
      <c r="D5" s="37" t="inlineStr">
        <is>
          <t>CONTAINS CRITICAL FAILURE?</t>
        </is>
      </c>
      <c r="E5" s="353" t="inlineStr">
        <is>
          <t>Show journey ▼</t>
        </is>
      </c>
    </row>
    <row r="6" ht="63.95" customHeight="1" s="187">
      <c r="B6" s="97">
        <f>IFERROR(INDEX('Case Tracker'!$G$56:$G$59,$J$4),"")</f>
        <v/>
      </c>
      <c r="C6" s="38">
        <f>IFERROR(UPPER(INDEX('Case Tracker'!$H$56:$H$59,$J$4)),"")</f>
        <v/>
      </c>
      <c r="D6" s="39" t="inlineStr">
        <is>
          <t>See section 6 of each agent's Scoring Form</t>
        </is>
      </c>
      <c r="E6" s="354" t="n"/>
    </row>
    <row r="7" ht="15.95" customHeight="1" s="187">
      <c r="B7" s="40">
        <f>"EXECUTION  "&amp;IF($E$6="","(weight)",IF(AND(COUNTIFS('Case Tracker'!$R$5:$R$49,$E$6,'Case Tracker'!$Q$5:$Q$49,"Level 1")&gt;0,COUNTIFS('Case Tracker'!$R$5:$R$49,$E$6,'Case Tracker'!$Q$5:$Q$49,"Level 2")&gt;0),"(20% L1 / 30% L2)","(50% weight)"))</f>
        <v/>
      </c>
      <c r="C7" s="40" t="inlineStr">
        <is>
          <t>JOURNEY OUTCOME  (30% weight)</t>
        </is>
      </c>
      <c r="D7" s="40" t="inlineStr">
        <is>
          <t>CONTINUITY &amp; HANDOFFS  (20% weight)</t>
        </is>
      </c>
    </row>
    <row r="8" ht="27.95" customHeight="1" s="187">
      <c r="B8" s="41">
        <f>IF(INDEX('Case Tracker'!$D$56:$D$59,$J$4)="","—",TEXT(INDEX('Case Tracker'!$D$56:$D$59,$J$4),"0.0%")&amp;"  avg of "&amp;INDEX('Case Tracker'!$C$56:$C$59,$J$4)&amp;" touches")</f>
        <v/>
      </c>
      <c r="C8" s="42">
        <f>IF(INDEX('Case Tracker'!$E$56:$E$59,$J$4)="","—",INDEX('Case Tracker'!$E$56:$E$59,$J$4)&amp;" / 5")</f>
        <v/>
      </c>
      <c r="D8" s="42">
        <f>IF(INDEX('Case Tracker'!$F$56:$F$59,$J$4)="","—",INDEX('Case Tracker'!$F$56:$F$59,$J$4)&amp;" / 5")</f>
        <v/>
      </c>
    </row>
    <row r="9" ht="21.95" customHeight="1" s="187">
      <c r="B9" s="259">
        <f>IF(INDEX('Case Tracker'!$D$56:$D$59,$J$4)="","Team Score computes once the selected journey row is filled.",IF(AND(COUNTIFS('Case Tracker'!$R$5:$R$49,$E$6,'Case Tracker'!$Q$5:$Q$49,"Level 1")&gt;0,COUNTIFS('Case Tracker'!$R$5:$R$49,$E$6,'Case Tracker'!$Q$5:$Q$49,"Level 2")&gt;0)," = 20% × L1 ("&amp;TEXT(AVERAGEIFS('Case Tracker'!$L$5:$L$49,'Case Tracker'!$R$5:$R$49,$E$6,'Case Tracker'!$Q$5:$Q$49,"Level 1"),"0.0%")&amp;")  +  30% × L2 ("&amp;TEXT(AVERAGEIFS('Case Tracker'!$L$5:$L$49,'Case Tracker'!$R$5:$R$49,$E$6,'Case Tracker'!$Q$5:$Q$49,"Level 2"),"0.0%")&amp;")  +  30% × ("&amp;INDEX('Case Tracker'!$E$56:$E$59,$J$4)&amp;"÷5)  +  20% × ("&amp;INDEX('Case Tracker'!$F$56:$F$59,$J$4)&amp;"÷5)"," = 50% × Execution ("&amp;TEXT(INDEX('Case Tracker'!$D$56:$D$59,$J$4),"0.0%")&amp;")  +  30% × ("&amp;INDEX('Case Tracker'!$E$56:$E$59,$J$4)&amp;"÷5)  +  20% × ("&amp;INDEX('Case Tracker'!$F$56:$F$59,$J$4)&amp;"÷5)"))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(or 20% L1 / 30% L2 when the journey has both levels)
Level-weighted average of touch scores</t>
        </is>
      </c>
      <c r="C17" s="32" t="inlineStr">
        <is>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dataValidations count="1">
    <dataValidation sqref="E6" showDropDown="0" showInputMessage="0" showErrorMessage="0" allowBlank="1" type="list">
      <formula1>='Case Tracker'!$A$56:$A$59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69"/>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 width="16" customWidth="1" style="187" min="18" max="18"/>
  </cols>
  <sheetData>
    <row r="1" ht="26.1" customHeight="1" s="187">
      <c r="A1" s="219" t="inlineStr">
        <is>
          <t>CASE TRACKER — Multi-Touch Cases Only</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 the Case Tracker is for MULTI-TOUCH cases only. Give every touch of a journey the same Journey ID (column R) to group it — a journey may span multiple Case IDs. Weighted % and Result calculate automatically. For single-call evaluations, use the Scoring Form sheet only — no Case Tracker entry needed.</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Journey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c r="R4" s="23" t="inlineStr">
        <is>
          <t>Journey ID</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c r="R5" s="24"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c r="R6" s="24"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c r="R7" s="24"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c r="R8" s="24"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c r="R9" s="24"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c r="R10" s="24"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c r="R11" s="24"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c r="R12" s="24"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c r="R13" s="24"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c r="R14" s="24"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c r="R15" s="24"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c r="R16" s="24"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c r="R17" s="24"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c r="R18" s="24"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c r="R19" s="24"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c r="R20" s="24"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c r="R21" s="24"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c r="R22" s="24"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c r="R23" s="24"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c r="R24" s="24"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c r="R25" s="24"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c r="R26" s="24"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c r="R27" s="24"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c r="R28" s="24"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c r="R29" s="24"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c r="R30" s="24"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c r="R31" s="24"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c r="R32" s="24"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c r="R33" s="24"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c r="R34" s="24"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c r="R35" s="24"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c r="R36" s="24"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c r="R37" s="24"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c r="R38" s="24"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c r="R39" s="24"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c r="R40" s="24"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c r="R41" s="24"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c r="R42" s="24"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c r="R43" s="24"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c r="R44" s="24"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c r="R45" s="24"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c r="R46" s="24"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c r="R47" s="24"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c r="R48" s="24"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c r="R49" s="24"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ID</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c r="O55" s="23" t="inlineStr">
        <is>
          <t>Suggested Outcome (ref)</t>
        </is>
      </c>
      <c r="P55" s="23" t="inlineStr">
        <is>
          <t>Suggested Continuity (ref)</t>
        </is>
      </c>
    </row>
    <row r="56" ht="48" customHeight="1" s="187">
      <c r="A56" s="329" t="n"/>
      <c r="B56" s="244" t="n"/>
      <c r="C56" s="13">
        <f>IF(A56="","",COUNTIF($R$5:$R$49,A56))</f>
        <v/>
      </c>
      <c r="D56" s="330">
        <f>IF(A56="","",IFERROR(AVERAGEIF($R$5:$R$49,A56,$L$5:$L$49),""))</f>
        <v/>
      </c>
      <c r="E56" s="7" t="n"/>
      <c r="F56" s="7" t="n"/>
      <c r="G56" s="98">
        <f>IF(OR(A56="",D56="",E56="",F56=""),"",IFERROR(IF(AND(COUNTIFS($R$5:$R$49,A56,$Q$5:$Q$49,"Level 1")&gt;0,COUNTIFS($R$5:$R$49,A56,$Q$5:$Q$49,"Level 2")&gt;0),0.2*IFERROR(AVERAGEIFS($L$5:$L$49,$R$5:$R$49,A56,$Q$5:$Q$49,"Level 1"),0)+0.3*IFERROR(AVERAGEIFS($L$5:$L$49,$R$5:$R$49,A56,$Q$5:$Q$49,"Level 2"),0),0.5*D56)+0.3*(IFERROR(VALUE(LEFT(E56,1)),0)/5)+0.2*(IFERROR(VALUE(LEFT(F56,1)),0)/5),""))</f>
        <v/>
      </c>
      <c r="H56" s="13">
        <f>IF(G56="","",IF(G56&gt;=0.85,"Meets/Exceeds",IF(G56&gt;=0.7,"Developing","Needs Improvement")))</f>
        <v/>
      </c>
      <c r="I56" s="322" t="n"/>
      <c r="J56" s="243" t="n"/>
      <c r="K56" s="243" t="n"/>
      <c r="L56" s="243" t="n"/>
      <c r="M56" s="243" t="n"/>
      <c r="N56" s="244" t="n"/>
      <c r="O56" s="347">
        <f>IF(A56="","",IFERROR(ROUND(LOOKUP(2,1/($R$5:$R$49=A56),$L$5:$L$49)*5,0),""))</f>
        <v/>
      </c>
      <c r="P56" s="347">
        <f>IF(A56="","",IFERROR(ROUND(AVERAGEIFS($P$5:$P$49,$R$5:$R$49,A56),0),""))</f>
        <v/>
      </c>
    </row>
    <row r="57" ht="27.95" customHeight="1" s="187">
      <c r="A57" s="289" t="n"/>
      <c r="B57" s="244" t="n"/>
      <c r="C57" s="13">
        <f>IF(A57="","",COUNTIF($R$5:$R$49,A57))</f>
        <v/>
      </c>
      <c r="D57" s="330">
        <f>IF(A57="","",IFERROR(AVERAGEIF($R$5:$R$49,A57,$L$5:$L$49),""))</f>
        <v/>
      </c>
      <c r="E57" s="7" t="n"/>
      <c r="F57" s="7" t="n"/>
      <c r="G57" s="98">
        <f>IF(OR(A57="",D57="",E57="",F57=""),"",IFERROR(IF(AND(COUNTIFS($R$5:$R$49,A57,$Q$5:$Q$49,"Level 1")&gt;0,COUNTIFS($R$5:$R$49,A57,$Q$5:$Q$49,"Level 2")&gt;0),0.2*IFERROR(AVERAGEIFS($L$5:$L$49,$R$5:$R$49,A57,$Q$5:$Q$49,"Level 1"),0)+0.3*IFERROR(AVERAGEIFS($L$5:$L$49,$R$5:$R$49,A57,$Q$5:$Q$49,"Level 2"),0),0.5*D57)+0.3*(IFERROR(VALUE(LEFT(E57,1)),0)/5)+0.2*(IFERROR(VALUE(LEFT(F57,1)),0)/5),""))</f>
        <v/>
      </c>
      <c r="H57" s="13">
        <f>IF(G57="","",IF(G57&gt;=0.85,"Meets/Exceeds",IF(G57&gt;=0.7,"Developing","Needs Improv.")))</f>
        <v/>
      </c>
      <c r="I57" s="331" t="n"/>
      <c r="J57" s="243" t="n"/>
      <c r="K57" s="243" t="n"/>
      <c r="L57" s="243" t="n"/>
      <c r="M57" s="243" t="n"/>
      <c r="N57" s="244" t="n"/>
      <c r="O57" s="347">
        <f>IF(A57="","",IFERROR(ROUND(LOOKUP(2,1/($R$5:$R$49=A57),$L$5:$L$49)*5,0),""))</f>
        <v/>
      </c>
      <c r="P57" s="347">
        <f>IF(A57="","",IFERROR(ROUND(AVERAGEIFS($P$5:$P$49,$R$5:$R$49,A57),0),""))</f>
        <v/>
      </c>
    </row>
    <row r="58" ht="27.95" customHeight="1" s="187">
      <c r="A58" s="289" t="n"/>
      <c r="B58" s="244" t="n"/>
      <c r="C58" s="11">
        <f>IF(A58="","",COUNTIF($R$5:$R$49,A58))</f>
        <v/>
      </c>
      <c r="D58" s="332">
        <f>IF(A58="","",IFERROR(AVERAGEIF($R$5:$R$49,A58,$L$5:$L$49),""))</f>
        <v/>
      </c>
      <c r="E58" s="7" t="n"/>
      <c r="F58" s="7" t="n"/>
      <c r="G58" s="99">
        <f>IF(OR(A58="",D58="",E58="",F58=""),"",IFERROR(IF(AND(COUNTIFS($R$5:$R$49,A58,$Q$5:$Q$49,"Level 1")&gt;0,COUNTIFS($R$5:$R$49,A58,$Q$5:$Q$49,"Level 2")&gt;0),0.2*IFERROR(AVERAGEIFS($L$5:$L$49,$R$5:$R$49,A58,$Q$5:$Q$49,"Level 1"),0)+0.3*IFERROR(AVERAGEIFS($L$5:$L$49,$R$5:$R$49,A58,$Q$5:$Q$49,"Level 2"),0),0.5*D58)+0.3*(IFERROR(VALUE(LEFT(E58,1)),0)/5)+0.2*(IFERROR(VALUE(LEFT(F58,1)),0)/5),""))</f>
        <v/>
      </c>
      <c r="H58" s="11">
        <f>IF(G58="","",IF(G58&gt;=0.85,"Meets/Exceeds",IF(G58&gt;=0.7,"Developing","Needs Improv.")))</f>
        <v/>
      </c>
      <c r="I58" s="331" t="n"/>
      <c r="J58" s="243" t="n"/>
      <c r="K58" s="243" t="n"/>
      <c r="L58" s="243" t="n"/>
      <c r="M58" s="243" t="n"/>
      <c r="N58" s="244" t="n"/>
      <c r="O58" s="347">
        <f>IF(A58="","",IFERROR(ROUND(LOOKUP(2,1/($R$5:$R$49=A58),$L$5:$L$49)*5,0),""))</f>
        <v/>
      </c>
      <c r="P58" s="347">
        <f>IF(A58="","",IFERROR(ROUND(AVERAGEIFS($P$5:$P$49,$R$5:$R$49,A58),0),""))</f>
        <v/>
      </c>
    </row>
    <row r="59" ht="27.95" customHeight="1" s="187">
      <c r="A59" s="289" t="n"/>
      <c r="B59" s="244" t="n"/>
      <c r="C59" s="13">
        <f>IF(A59="","",COUNTIF($R$5:$R$49,A59))</f>
        <v/>
      </c>
      <c r="D59" s="330">
        <f>IF(A59="","",IFERROR(AVERAGEIF($R$5:$R$49,A59,$L$5:$L$49),""))</f>
        <v/>
      </c>
      <c r="E59" s="7" t="n"/>
      <c r="F59" s="7" t="n"/>
      <c r="G59" s="98">
        <f>IF(OR(A59="",D59="",E59="",F59=""),"",IFERROR(IF(AND(COUNTIFS($R$5:$R$49,A59,$Q$5:$Q$49,"Level 1")&gt;0,COUNTIFS($R$5:$R$49,A59,$Q$5:$Q$49,"Level 2")&gt;0),0.2*IFERROR(AVERAGEIFS($L$5:$L$49,$R$5:$R$49,A59,$Q$5:$Q$49,"Level 1"),0)+0.3*IFERROR(AVERAGEIFS($L$5:$L$49,$R$5:$R$49,A59,$Q$5:$Q$49,"Level 2"),0),0.5*D59)+0.3*(IFERROR(VALUE(LEFT(E59,1)),0)/5)+0.2*(IFERROR(VALUE(LEFT(F59,1)),0)/5),""))</f>
        <v/>
      </c>
      <c r="H59" s="13">
        <f>IF(G59="","",IF(G59&gt;=0.85,"Meets/Exceeds",IF(G59&gt;=0.7,"Developing","Needs Improv.")))</f>
        <v/>
      </c>
      <c r="I59" s="331" t="n"/>
      <c r="J59" s="243" t="n"/>
      <c r="K59" s="243" t="n"/>
      <c r="L59" s="243" t="n"/>
      <c r="M59" s="243" t="n"/>
      <c r="N59" s="244" t="n"/>
      <c r="O59" s="347">
        <f>IF(A59="","",IFERROR(ROUND(LOOKUP(2,1/($R$5:$R$49=A59),$L$5:$L$49)*5,0),""))</f>
        <v/>
      </c>
      <c r="P59" s="347">
        <f>IF(A59="","",IFERROR(ROUND(AVERAGEIFS($P$5:$P$49,$R$5:$R$49,A59),0),""))</f>
        <v/>
      </c>
    </row>
    <row r="60" ht="27.95" customHeight="1" s="187">
      <c r="A60" s="298" t="inlineStr">
        <is>
          <t>Type a Journey ID in the first column, then judge Outcome &amp; Continuity (0-5). Touches, Avg %, Team Score and the suggested values auto-fill. Group a multi-ticket journey by typing the SAME Journey ID (column R) on every touch row — it may span more than one Case ID. No manual formula editing required.</t>
        </is>
      </c>
      <c r="B60" s="243" t="n"/>
      <c r="C60" s="243" t="n"/>
      <c r="D60" s="243" t="n"/>
      <c r="E60" s="243" t="n"/>
      <c r="F60" s="243" t="n"/>
      <c r="G60" s="243" t="n"/>
      <c r="H60" s="243" t="n"/>
      <c r="I60" s="243" t="n"/>
      <c r="J60" s="243" t="n"/>
      <c r="K60" s="243" t="n"/>
      <c r="L60" s="243" t="n"/>
      <c r="M60" s="243" t="n"/>
      <c r="N60" s="244" t="n"/>
    </row>
    <row r="62" ht="18" customHeight="1" s="187">
      <c r="A62" s="348" t="inlineStr">
        <is>
          <t>HANDOFF QUALITY (Column P) — what each score means</t>
        </is>
      </c>
    </row>
    <row r="63" ht="16" customHeight="1" s="187">
      <c r="A63" s="349" t="inlineStr">
        <is>
          <t>5</t>
        </is>
      </c>
      <c r="B63" s="350" t="inlineStr">
        <is>
          <t>Seamless — the next agent had full context; the customer never had to repeat themselves.</t>
        </is>
      </c>
    </row>
    <row r="64" ht="16" customHeight="1" s="187">
      <c r="A64" s="349" t="inlineStr">
        <is>
          <t>4</t>
        </is>
      </c>
      <c r="B64" s="351" t="inlineStr">
        <is>
          <t>Strong — a minor gap, quickly recovered; the next agent was essentially ready to continue.</t>
        </is>
      </c>
    </row>
    <row r="65" ht="16" customHeight="1" s="187">
      <c r="A65" s="349" t="inlineStr">
        <is>
          <t>3</t>
        </is>
      </c>
      <c r="B65" s="350" t="inlineStr">
        <is>
          <t>Adequate — the thread held, but some information had to be re-gathered by the next agent.</t>
        </is>
      </c>
    </row>
    <row r="66" ht="16" customHeight="1" s="187">
      <c r="A66" s="349" t="inlineStr">
        <is>
          <t>2</t>
        </is>
      </c>
      <c r="B66" s="351" t="inlineStr">
        <is>
          <t>Weak — thin notes or a wrong status forced significant rework by the receiving agent.</t>
        </is>
      </c>
    </row>
    <row r="67" ht="16" customHeight="1" s="187">
      <c r="A67" s="349" t="inlineStr">
        <is>
          <t>1</t>
        </is>
      </c>
      <c r="B67" s="350" t="inlineStr">
        <is>
          <t>Poor — the next agent basically restarted; the customer repeated most of the case.</t>
        </is>
      </c>
    </row>
    <row r="68" ht="16" customHeight="1" s="187">
      <c r="A68" s="349" t="inlineStr">
        <is>
          <t>0</t>
        </is>
      </c>
      <c r="B68" s="351" t="inlineStr">
        <is>
          <t>Broken — no usable handoff; the gap itself created a new problem or complaint.</t>
        </is>
      </c>
    </row>
    <row r="69" ht="16" customHeight="1" s="187">
      <c r="A69" s="349" t="inlineStr">
        <is>
          <t>(blank)</t>
        </is>
      </c>
      <c r="B69" s="350" t="inlineStr">
        <is>
          <t>No handoff on this touch — e.g. the final touch, or a single-touch case. Leave the cell empty.</t>
        </is>
      </c>
    </row>
  </sheetData>
  <mergeCells count="25">
    <mergeCell ref="A59:B59"/>
    <mergeCell ref="B65:N65"/>
    <mergeCell ref="A53:P53"/>
    <mergeCell ref="A60:N60"/>
    <mergeCell ref="I56:N56"/>
    <mergeCell ref="B68:N68"/>
    <mergeCell ref="B64:N64"/>
    <mergeCell ref="I58:N58"/>
    <mergeCell ref="B63:N63"/>
    <mergeCell ref="I55:N55"/>
    <mergeCell ref="B69:N69"/>
    <mergeCell ref="A51:D51"/>
    <mergeCell ref="A56:B56"/>
    <mergeCell ref="A55:B55"/>
    <mergeCell ref="B66:N66"/>
    <mergeCell ref="A57:B57"/>
    <mergeCell ref="A1:P1"/>
    <mergeCell ref="I59:N59"/>
    <mergeCell ref="A54:P54"/>
    <mergeCell ref="B67:N67"/>
    <mergeCell ref="A62:N62"/>
    <mergeCell ref="A3:P3"/>
    <mergeCell ref="I57:N57"/>
    <mergeCell ref="A58:B58"/>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P5:P49" showDropDown="0" showInputMessage="1" showErrorMessage="1" allowBlank="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type="list">
      <formula1>"0,1,2,3,4,5"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2026-06-25T05:56:13Z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