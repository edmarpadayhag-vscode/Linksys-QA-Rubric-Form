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ck Start" sheetId="1" state="visible" r:id="rId1"/>
    <sheet xmlns:r="http://schemas.openxmlformats.org/officeDocument/2006/relationships" name="Scoring Form - Aysah" sheetId="2" state="visible" r:id="rId2"/>
    <sheet xmlns:r="http://schemas.openxmlformats.org/officeDocument/2006/relationships" name="Scoring Form - Paulo Real" sheetId="3" state="visible" r:id="rId3"/>
    <sheet xmlns:r="http://schemas.openxmlformats.org/officeDocument/2006/relationships" name="Scoring Guide" sheetId="4" state="visible" r:id="rId4"/>
    <sheet xmlns:r="http://schemas.openxmlformats.org/officeDocument/2006/relationships" name="Multi-Touch Guide" sheetId="5" state="visible" r:id="rId5"/>
    <sheet xmlns:r="http://schemas.openxmlformats.org/officeDocument/2006/relationships" name="Team Scoring" sheetId="6" state="visible" r:id="rId6"/>
    <sheet xmlns:r="http://schemas.openxmlformats.org/officeDocument/2006/relationships" name="Example (Filled)" sheetId="7" state="visible" r:id="rId7"/>
    <sheet xmlns:r="http://schemas.openxmlformats.org/officeDocument/2006/relationships" name="Case Tracker"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7">
    <font>
      <name val="Calibri"/>
      <family val="2"/>
      <color theme="1"/>
      <sz val="11"/>
      <scheme val="minor"/>
    </font>
    <font>
      <b val="1"/>
      <color rgb="00FFFFFF"/>
      <sz val="16"/>
    </font>
    <font>
      <i val="1"/>
      <color rgb="00FFFFFF"/>
      <sz val="10"/>
    </font>
    <font>
      <b val="1"/>
      <color rgb="00FFFFFF"/>
    </font>
    <font>
      <b val="1"/>
      <color rgb="001F3864"/>
    </font>
    <font>
      <color rgb="00000000"/>
    </font>
    <font>
      <i val="1"/>
      <color rgb="001F3864"/>
    </font>
    <font>
      <b val="1"/>
      <color rgb="00000000"/>
    </font>
    <font>
      <i val="1"/>
      <color rgb="00595959"/>
      <sz val="9"/>
    </font>
    <font>
      <b val="1"/>
      <color rgb="00000000"/>
      <sz val="12"/>
    </font>
    <font>
      <i val="1"/>
      <color rgb="00595959"/>
    </font>
    <font>
      <b val="1"/>
      <color rgb="00FFFFFF"/>
      <sz val="13"/>
    </font>
    <font>
      <b val="1"/>
      <color rgb="00006100"/>
    </font>
    <font>
      <color rgb="00006100"/>
    </font>
    <font>
      <b val="1"/>
      <color rgb="009C6500"/>
    </font>
    <font>
      <color rgb="009C6500"/>
    </font>
    <font>
      <b val="1"/>
      <color rgb="009C0006"/>
    </font>
    <font>
      <color rgb="009C0006"/>
    </font>
    <font>
      <b val="1"/>
      <color rgb="00FFFFFF"/>
      <sz val="12"/>
    </font>
    <font>
      <i val="1"/>
      <color rgb="00FFFFFF"/>
    </font>
    <font>
      <b val="1"/>
      <color rgb="00595959"/>
      <sz val="11"/>
    </font>
    <font>
      <b val="1"/>
      <color rgb="009C0006"/>
      <sz val="48"/>
    </font>
    <font>
      <b val="1"/>
      <color rgb="009C0006"/>
      <sz val="22"/>
    </font>
    <font>
      <b val="1"/>
      <color rgb="009C0006"/>
      <sz val="16"/>
    </font>
    <font>
      <b val="1"/>
      <color rgb="00FFFFFF"/>
      <sz val="10"/>
    </font>
    <font>
      <b val="1"/>
      <color rgb="001F3864"/>
      <sz val="13"/>
    </font>
    <font>
      <i val="1"/>
      <color rgb="001F3864"/>
      <sz val="11"/>
    </font>
  </fonts>
  <fills count="13">
    <fill>
      <patternFill/>
    </fill>
    <fill>
      <patternFill patternType="gray125"/>
    </fill>
    <fill>
      <patternFill patternType="solid">
        <fgColor rgb="001F3864"/>
      </patternFill>
    </fill>
    <fill>
      <patternFill patternType="solid">
        <fgColor rgb="002E5496"/>
      </patternFill>
    </fill>
    <fill>
      <patternFill patternType="solid">
        <fgColor rgb="00D9E1F2"/>
      </patternFill>
    </fill>
    <fill>
      <patternFill patternType="solid">
        <fgColor rgb="00FFF2CC"/>
      </patternFill>
    </fill>
    <fill>
      <patternFill patternType="solid">
        <fgColor rgb="00EAF0FB"/>
      </patternFill>
    </fill>
    <fill>
      <patternFill patternType="solid">
        <fgColor rgb="00FFFFFF"/>
      </patternFill>
    </fill>
    <fill>
      <patternFill patternType="solid">
        <fgColor rgb="00F2F2F2"/>
      </patternFill>
    </fill>
    <fill>
      <patternFill patternType="solid">
        <fgColor rgb="00C00000"/>
      </patternFill>
    </fill>
    <fill>
      <patternFill patternType="solid">
        <fgColor rgb="00C6EFCE"/>
      </patternFill>
    </fill>
    <fill>
      <patternFill patternType="solid">
        <fgColor rgb="00FFEB9C"/>
      </patternFill>
    </fill>
    <fill>
      <patternFill patternType="solid">
        <fgColor rgb="00FFC7CE"/>
      </patternFill>
    </fill>
  </fills>
  <borders count="17">
    <border>
      <left/>
      <right/>
      <top/>
      <bottom/>
      <diagonal/>
    </border>
    <border>
      <left style="medium">
        <color rgb="00808080"/>
      </left>
      <right style="medium">
        <color rgb="00808080"/>
      </right>
      <top style="medium">
        <color rgb="00808080"/>
      </top>
      <bottom style="medium">
        <color rgb="00808080"/>
      </bottom>
    </border>
    <border>
      <left style="thin">
        <color rgb="00BFBFBF"/>
      </left>
      <right style="thin">
        <color rgb="00BFBFBF"/>
      </right>
      <top style="thin">
        <color rgb="00BFBFBF"/>
      </top>
      <bottom style="thin">
        <color rgb="00BFBFBF"/>
      </bottom>
    </border>
    <border>
      <left/>
      <right/>
      <top style="medium">
        <color rgb="00808080"/>
      </top>
      <bottom/>
      <diagonal/>
    </border>
    <border>
      <left/>
      <right style="medium">
        <color rgb="00808080"/>
      </right>
      <top style="medium">
        <color rgb="00808080"/>
      </top>
      <bottom/>
      <diagonal/>
    </border>
    <border>
      <left/>
      <right/>
      <top style="medium">
        <color rgb="00808080"/>
      </top>
      <bottom style="medium">
        <color rgb="00808080"/>
      </bottom>
      <diagonal/>
    </border>
    <border>
      <left/>
      <right style="medium">
        <color rgb="00808080"/>
      </right>
      <top style="medium">
        <color rgb="00808080"/>
      </top>
      <bottom style="medium">
        <color rgb="00808080"/>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ck">
        <color rgb="001F3864"/>
      </left>
      <right style="thick">
        <color rgb="001F3864"/>
      </right>
      <top style="thick">
        <color rgb="001F3864"/>
      </top>
      <bottom style="thick">
        <color rgb="001F3864"/>
      </bottom>
    </border>
    <border>
      <left/>
      <right/>
      <top style="thick">
        <color rgb="001F3864"/>
      </top>
      <bottom/>
      <diagonal/>
    </border>
    <border>
      <left/>
      <right style="thick">
        <color rgb="001F3864"/>
      </right>
      <top style="thick">
        <color rgb="001F3864"/>
      </top>
      <bottom/>
      <diagonal/>
    </border>
    <border>
      <left/>
      <right/>
      <top style="thick">
        <color rgb="001F3864"/>
      </top>
      <bottom style="thick">
        <color rgb="001F3864"/>
      </bottom>
      <diagonal/>
    </border>
    <border>
      <left/>
      <right style="thick">
        <color rgb="001F3864"/>
      </right>
      <top style="thick">
        <color rgb="001F3864"/>
      </top>
      <bottom style="thick">
        <color rgb="001F3864"/>
      </bottom>
      <diagonal/>
    </border>
    <border/>
  </borders>
  <cellStyleXfs count="1">
    <xf numFmtId="0" fontId="0" fillId="0" borderId="0"/>
  </cellStyleXfs>
  <cellXfs count="137">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2" applyAlignment="1" pivotButton="0" quotePrefix="0" xfId="0">
      <alignment horizontal="left" vertical="center"/>
    </xf>
    <xf numFmtId="0" fontId="5" fillId="5" borderId="2" applyAlignment="1" pivotButton="0" quotePrefix="0" xfId="0">
      <alignment horizontal="left" vertical="center"/>
    </xf>
    <xf numFmtId="0" fontId="4" fillId="4" borderId="2" applyAlignment="1" pivotButton="0" quotePrefix="0" xfId="0">
      <alignment horizontal="left" vertical="center" wrapText="1"/>
    </xf>
    <xf numFmtId="0" fontId="5" fillId="5" borderId="2" applyAlignment="1" pivotButton="0" quotePrefix="0" xfId="0">
      <alignment horizontal="left" vertical="center" wrapText="1"/>
    </xf>
    <xf numFmtId="0" fontId="3" fillId="2" borderId="1" applyAlignment="1" pivotButton="0" quotePrefix="0" xfId="0">
      <alignment horizontal="left" vertical="center"/>
    </xf>
    <xf numFmtId="0" fontId="3" fillId="3" borderId="1" applyAlignment="1" pivotButton="0" quotePrefix="0" xfId="0">
      <alignment horizontal="right" vertical="center"/>
    </xf>
    <xf numFmtId="0" fontId="6" fillId="6" borderId="2" applyAlignment="1" pivotButton="0" quotePrefix="0" xfId="0">
      <alignment horizontal="left" vertical="center" wrapText="1"/>
    </xf>
    <xf numFmtId="0" fontId="4" fillId="4" borderId="2" applyAlignment="1" pivotButton="0" quotePrefix="0" xfId="0">
      <alignment horizontal="center" vertical="center"/>
    </xf>
    <xf numFmtId="0" fontId="5" fillId="7" borderId="2" applyAlignment="1" pivotButton="0" quotePrefix="0" xfId="0">
      <alignment horizontal="left" vertical="center" wrapText="1"/>
    </xf>
    <xf numFmtId="0" fontId="7" fillId="5" borderId="2" applyAlignment="1" pivotButton="0" quotePrefix="0" xfId="0">
      <alignment horizontal="center" vertical="center"/>
    </xf>
    <xf numFmtId="0" fontId="5" fillId="8" borderId="2" applyAlignment="1" pivotButton="0" quotePrefix="0" xfId="0">
      <alignment horizontal="left" vertical="center" wrapText="1"/>
    </xf>
    <xf numFmtId="0" fontId="8" fillId="7" borderId="2" applyAlignment="1" pivotButton="0" quotePrefix="0" xfId="0">
      <alignment horizontal="left" vertical="center" wrapText="1"/>
    </xf>
    <xf numFmtId="0" fontId="8" fillId="6" borderId="2" applyAlignment="1" pivotButton="0" quotePrefix="0" xfId="0">
      <alignment horizontal="right" vertical="center" wrapText="1"/>
    </xf>
    <xf numFmtId="164" fontId="6" fillId="6" borderId="2" applyAlignment="1" pivotButton="0" quotePrefix="0" xfId="0">
      <alignment horizontal="center" vertical="center"/>
    </xf>
    <xf numFmtId="0" fontId="0" fillId="6" borderId="2" pivotButton="0" quotePrefix="0" xfId="0"/>
    <xf numFmtId="0" fontId="4" fillId="4" borderId="2" applyAlignment="1" pivotButton="0" quotePrefix="0" xfId="0">
      <alignment horizontal="right" vertical="center"/>
    </xf>
    <xf numFmtId="0" fontId="9" fillId="5" borderId="2" applyAlignment="1" pivotButton="0" quotePrefix="0" xfId="0">
      <alignment horizontal="center" vertical="center"/>
    </xf>
    <xf numFmtId="0" fontId="10" fillId="6" borderId="2" applyAlignment="1" pivotButton="0" quotePrefix="0" xfId="0">
      <alignment horizontal="left" vertical="center" wrapText="1"/>
    </xf>
    <xf numFmtId="0" fontId="3" fillId="3" borderId="1" applyAlignment="1" pivotButton="0" quotePrefix="0" xfId="0">
      <alignment horizontal="center" vertical="center"/>
    </xf>
    <xf numFmtId="0" fontId="5" fillId="7" borderId="2" applyAlignment="1" pivotButton="0" quotePrefix="0" xfId="0">
      <alignment horizontal="left" vertical="center"/>
    </xf>
    <xf numFmtId="9" fontId="4" fillId="7" borderId="2" applyAlignment="1" pivotButton="0" quotePrefix="0" xfId="0">
      <alignment horizontal="center" vertical="center"/>
    </xf>
    <xf numFmtId="0" fontId="7" fillId="7" borderId="2" applyAlignment="1" pivotButton="0" quotePrefix="0" xfId="0">
      <alignment horizontal="center" vertical="center"/>
    </xf>
    <xf numFmtId="165" fontId="5" fillId="7" borderId="2" applyAlignment="1" pivotButton="0" quotePrefix="0" xfId="0">
      <alignment horizontal="center" vertical="center"/>
    </xf>
    <xf numFmtId="0" fontId="5" fillId="7" borderId="2" applyAlignment="1" pivotButton="0" quotePrefix="0" xfId="0">
      <alignment horizontal="center" vertical="center"/>
    </xf>
    <xf numFmtId="0" fontId="5" fillId="8" borderId="2" applyAlignment="1" pivotButton="0" quotePrefix="0" xfId="0">
      <alignment horizontal="left" vertical="center"/>
    </xf>
    <xf numFmtId="9" fontId="4" fillId="8" borderId="2" applyAlignment="1" pivotButton="0" quotePrefix="0" xfId="0">
      <alignment horizontal="center" vertical="center"/>
    </xf>
    <xf numFmtId="0" fontId="7" fillId="8" borderId="2" applyAlignment="1" pivotButton="0" quotePrefix="0" xfId="0">
      <alignment horizontal="center" vertical="center"/>
    </xf>
    <xf numFmtId="165" fontId="5" fillId="8" borderId="2" applyAlignment="1" pivotButton="0" quotePrefix="0" xfId="0">
      <alignment horizontal="center" vertical="center"/>
    </xf>
    <xf numFmtId="0" fontId="5" fillId="8" borderId="2" applyAlignment="1" pivotButton="0" quotePrefix="0" xfId="0">
      <alignment horizontal="center" vertical="center"/>
    </xf>
    <xf numFmtId="9" fontId="3" fillId="2" borderId="1" applyAlignment="1" pivotButton="0" quotePrefix="0" xfId="0">
      <alignment horizontal="center" vertical="center"/>
    </xf>
    <xf numFmtId="0" fontId="0" fillId="2" borderId="1" pivotButton="0" quotePrefix="0" xfId="0"/>
    <xf numFmtId="165" fontId="11" fillId="2" borderId="1" applyAlignment="1" pivotButton="0" quotePrefix="0" xfId="0">
      <alignment horizontal="center" vertical="center"/>
    </xf>
    <xf numFmtId="0" fontId="3" fillId="2" borderId="1" applyAlignment="1" pivotButton="0" quotePrefix="0" xfId="0">
      <alignment horizontal="center" vertical="center"/>
    </xf>
    <xf numFmtId="0" fontId="7" fillId="5" borderId="2" applyAlignment="1" pivotButton="0" quotePrefix="0" xfId="0">
      <alignment horizontal="left" vertical="center"/>
    </xf>
    <xf numFmtId="0" fontId="7" fillId="8" borderId="2" applyAlignment="1" pivotButton="0" quotePrefix="0" xfId="0">
      <alignment horizontal="left" vertical="center" wrapText="1"/>
    </xf>
    <xf numFmtId="0" fontId="3" fillId="9" borderId="1" applyAlignment="1" pivotButton="0" quotePrefix="0" xfId="0">
      <alignment horizontal="left" vertical="center"/>
    </xf>
    <xf numFmtId="0" fontId="7" fillId="8" borderId="1" applyAlignment="1" pivotButton="0" quotePrefix="0" xfId="0">
      <alignment horizontal="left" vertical="center"/>
    </xf>
    <xf numFmtId="0" fontId="4" fillId="7" borderId="2" applyAlignment="1" pivotButton="0" quotePrefix="0" xfId="0">
      <alignment horizontal="center" vertical="center"/>
    </xf>
    <xf numFmtId="0" fontId="4" fillId="8" borderId="2" applyAlignment="1" pivotButton="0" quotePrefix="0" xfId="0">
      <alignment horizontal="center" vertical="center"/>
    </xf>
    <xf numFmtId="0" fontId="4" fillId="7" borderId="2" applyAlignment="1" pivotButton="0" quotePrefix="0" xfId="0">
      <alignment horizontal="left" vertical="center" wrapText="1"/>
    </xf>
    <xf numFmtId="0" fontId="4" fillId="6" borderId="2" applyAlignment="1" pivotButton="0" quotePrefix="0" xfId="0">
      <alignment horizontal="left" vertical="center" wrapText="1"/>
    </xf>
    <xf numFmtId="0" fontId="5" fillId="6" borderId="2" applyAlignment="1" pivotButton="0" quotePrefix="0" xfId="0">
      <alignment horizontal="left" vertical="center" wrapText="1"/>
    </xf>
    <xf numFmtId="0" fontId="12" fillId="10" borderId="2" applyAlignment="1" pivotButton="0" quotePrefix="0" xfId="0">
      <alignment horizontal="center" vertical="center"/>
    </xf>
    <xf numFmtId="0" fontId="13" fillId="10" borderId="2" applyAlignment="1" pivotButton="0" quotePrefix="0" xfId="0">
      <alignment horizontal="left" vertical="center" wrapText="1"/>
    </xf>
    <xf numFmtId="0" fontId="14" fillId="11" borderId="2" applyAlignment="1" pivotButton="0" quotePrefix="0" xfId="0">
      <alignment horizontal="center" vertical="center"/>
    </xf>
    <xf numFmtId="0" fontId="15" fillId="11" borderId="2" applyAlignment="1" pivotButton="0" quotePrefix="0" xfId="0">
      <alignment horizontal="left" vertical="center" wrapText="1"/>
    </xf>
    <xf numFmtId="0" fontId="16" fillId="12" borderId="2" applyAlignment="1" pivotButton="0" quotePrefix="0" xfId="0">
      <alignment horizontal="center" vertical="center"/>
    </xf>
    <xf numFmtId="0" fontId="17" fillId="12" borderId="2" applyAlignment="1" pivotButton="0" quotePrefix="0" xfId="0">
      <alignment horizontal="left" vertical="center" wrapText="1"/>
    </xf>
    <xf numFmtId="0" fontId="6" fillId="8" borderId="1" applyAlignment="1" pivotButton="0" quotePrefix="0" xfId="0">
      <alignment horizontal="left" vertical="center" wrapText="1"/>
    </xf>
    <xf numFmtId="0" fontId="6" fillId="8" borderId="2" applyAlignment="1" pivotButton="0" quotePrefix="0" xfId="0">
      <alignment horizontal="left" vertical="center" wrapText="1"/>
    </xf>
    <xf numFmtId="0" fontId="16" fillId="7" borderId="2" applyAlignment="1" pivotButton="0" quotePrefix="0" xfId="0">
      <alignment horizontal="left" vertical="center" wrapText="1"/>
    </xf>
    <xf numFmtId="0" fontId="16" fillId="8" borderId="2" applyAlignment="1" pivotButton="0" quotePrefix="0" xfId="0">
      <alignment horizontal="left" vertical="center" wrapText="1"/>
    </xf>
    <xf numFmtId="0" fontId="12" fillId="7" borderId="2" applyAlignment="1" pivotButton="0" quotePrefix="0" xfId="0">
      <alignment horizontal="left" vertical="center" wrapText="1"/>
    </xf>
    <xf numFmtId="0" fontId="12" fillId="6" borderId="2" applyAlignment="1" pivotButton="0" quotePrefix="0" xfId="0">
      <alignment horizontal="left" vertical="center" wrapText="1"/>
    </xf>
    <xf numFmtId="0" fontId="11" fillId="2" borderId="1" applyAlignment="1" pivotButton="0" quotePrefix="0" xfId="0">
      <alignment horizontal="center" vertical="center"/>
    </xf>
    <xf numFmtId="0" fontId="2" fillId="3" borderId="1" applyAlignment="1" pivotButton="0" quotePrefix="0" xfId="0">
      <alignment horizontal="left" vertical="center"/>
    </xf>
    <xf numFmtId="0" fontId="3" fillId="3" borderId="1" applyAlignment="1" pivotButton="0" quotePrefix="0" xfId="0">
      <alignment horizontal="center" vertical="center" wrapText="1"/>
    </xf>
    <xf numFmtId="0" fontId="5" fillId="5" borderId="2" applyAlignment="1" pivotButton="0" quotePrefix="0" xfId="0">
      <alignment horizontal="center" vertical="center"/>
    </xf>
    <xf numFmtId="165" fontId="7" fillId="7" borderId="2" applyAlignment="1" pivotButton="0" quotePrefix="0" xfId="0">
      <alignment horizontal="center" vertical="center"/>
    </xf>
    <xf numFmtId="165" fontId="7" fillId="8" borderId="2" applyAlignment="1" pivotButton="0" quotePrefix="0" xfId="0">
      <alignment horizontal="center" vertical="center"/>
    </xf>
    <xf numFmtId="164" fontId="3" fillId="2" borderId="1" applyAlignment="1" pivotButton="0" quotePrefix="0" xfId="0">
      <alignment horizontal="center" vertical="center"/>
    </xf>
    <xf numFmtId="165" fontId="18" fillId="2" borderId="1" applyAlignment="1" pivotButton="0" quotePrefix="0" xfId="0">
      <alignment horizontal="center" vertical="center"/>
    </xf>
    <xf numFmtId="0" fontId="19" fillId="2" borderId="1" applyAlignment="1" pivotButton="0" quotePrefix="0" xfId="0">
      <alignment horizontal="left" vertical="center"/>
    </xf>
    <xf numFmtId="0" fontId="0" fillId="0" borderId="5" pivotButton="0" quotePrefix="0" xfId="0"/>
    <xf numFmtId="0" fontId="0" fillId="0" borderId="6" pivotButton="0" quotePrefix="0" xfId="0"/>
    <xf numFmtId="0" fontId="0" fillId="0" borderId="10" pivotButton="0" quotePrefix="0" xfId="0"/>
    <xf numFmtId="0" fontId="0" fillId="0" borderId="9" pivotButton="0" quotePrefix="0" xfId="0"/>
    <xf numFmtId="0" fontId="3" fillId="3" borderId="1" applyAlignment="1" pivotButton="0" quotePrefix="0" xfId="0">
      <alignment horizontal="left" vertical="center"/>
    </xf>
    <xf numFmtId="0" fontId="4" fillId="6" borderId="2" applyAlignment="1" pivotButton="0" quotePrefix="0" xfId="0">
      <alignment horizontal="left" vertical="center"/>
    </xf>
    <xf numFmtId="0" fontId="11" fillId="2" borderId="1" applyAlignment="1" pivotButton="0" quotePrefix="0" xfId="0">
      <alignment horizontal="center" vertical="center"/>
    </xf>
    <xf numFmtId="0" fontId="6" fillId="6" borderId="1" applyAlignment="1" pivotButton="0" quotePrefix="0" xfId="0">
      <alignment horizontal="left" vertical="center" wrapText="1"/>
    </xf>
    <xf numFmtId="0" fontId="3" fillId="3" borderId="1" applyAlignment="1" pivotButton="0" quotePrefix="0" xfId="0">
      <alignment horizontal="center" vertical="center"/>
    </xf>
    <xf numFmtId="0" fontId="4" fillId="8" borderId="2" applyAlignment="1" pivotButton="0" quotePrefix="0" xfId="0">
      <alignment horizontal="left" vertical="center" wrapText="1"/>
    </xf>
    <xf numFmtId="0" fontId="5" fillId="8" borderId="2" applyAlignment="1" pivotButton="0" quotePrefix="0" xfId="0">
      <alignment horizontal="center" vertical="center"/>
    </xf>
    <xf numFmtId="165" fontId="5" fillId="8" borderId="2" applyAlignment="1" pivotButton="0" quotePrefix="0" xfId="0">
      <alignment horizontal="center" vertical="center"/>
    </xf>
    <xf numFmtId="0" fontId="7" fillId="5" borderId="2" applyAlignment="1" pivotButton="0" quotePrefix="0" xfId="0">
      <alignment horizontal="center" vertical="center"/>
    </xf>
    <xf numFmtId="165" fontId="9" fillId="8" borderId="2" applyAlignment="1" pivotButton="0" quotePrefix="0" xfId="0">
      <alignment horizontal="center" vertical="center"/>
    </xf>
    <xf numFmtId="0" fontId="5" fillId="5" borderId="2" applyAlignment="1" pivotButton="0" quotePrefix="0" xfId="0">
      <alignment horizontal="left" vertical="center"/>
    </xf>
    <xf numFmtId="0" fontId="5" fillId="7" borderId="2" applyAlignment="1" pivotButton="0" quotePrefix="0" xfId="0">
      <alignment horizontal="center" vertical="center"/>
    </xf>
    <xf numFmtId="165" fontId="5" fillId="7" borderId="2" applyAlignment="1" pivotButton="0" quotePrefix="0" xfId="0">
      <alignment horizontal="center" vertical="center"/>
    </xf>
    <xf numFmtId="165" fontId="9" fillId="7" borderId="2" applyAlignment="1" pivotButton="0" quotePrefix="0" xfId="0">
      <alignment horizontal="center" vertical="center"/>
    </xf>
    <xf numFmtId="0" fontId="1" fillId="2" borderId="1" applyAlignment="1" pivotButton="0" quotePrefix="0" xfId="0">
      <alignment horizontal="center" vertical="top"/>
    </xf>
    <xf numFmtId="0" fontId="2" fillId="2" borderId="1" applyAlignment="1" pivotButton="0" quotePrefix="0" xfId="0">
      <alignment horizontal="center" vertical="top" wrapText="1"/>
    </xf>
    <xf numFmtId="0" fontId="3" fillId="3" borderId="1" applyAlignment="1" pivotButton="0" quotePrefix="0" xfId="0">
      <alignment horizontal="left" vertical="top"/>
    </xf>
    <xf numFmtId="0" fontId="4" fillId="7" borderId="2" applyAlignment="1" pivotButton="0" quotePrefix="0" xfId="0">
      <alignment horizontal="left" vertical="top" wrapText="1"/>
    </xf>
    <xf numFmtId="0" fontId="5" fillId="7" borderId="2" applyAlignment="1" pivotButton="0" quotePrefix="0" xfId="0">
      <alignment horizontal="left" vertical="top" wrapText="1"/>
    </xf>
    <xf numFmtId="0" fontId="4" fillId="8" borderId="2" applyAlignment="1" pivotButton="0" quotePrefix="0" xfId="0">
      <alignment horizontal="left" vertical="top" wrapText="1"/>
    </xf>
    <xf numFmtId="0" fontId="5" fillId="8" borderId="2" applyAlignment="1" pivotButton="0" quotePrefix="0" xfId="0">
      <alignment horizontal="left" vertical="top" wrapText="1"/>
    </xf>
    <xf numFmtId="0" fontId="3" fillId="9" borderId="1" applyAlignment="1" pivotButton="0" quotePrefix="0" xfId="0">
      <alignment horizontal="left" vertical="top"/>
    </xf>
    <xf numFmtId="0" fontId="6" fillId="6" borderId="1" applyAlignment="1" pivotButton="0" quotePrefix="0" xfId="0">
      <alignment horizontal="left" vertical="top" wrapText="1"/>
    </xf>
    <xf numFmtId="0" fontId="1" fillId="2" borderId="1" applyAlignment="1" pivotButton="0" quotePrefix="0" xfId="0">
      <alignment horizontal="center" vertical="top"/>
    </xf>
    <xf numFmtId="0" fontId="3" fillId="3" borderId="1" applyAlignment="1" pivotButton="0" quotePrefix="0" xfId="0">
      <alignment horizontal="left" vertical="top"/>
    </xf>
    <xf numFmtId="0" fontId="3" fillId="9" borderId="1" applyAlignment="1" pivotButton="0" quotePrefix="0" xfId="0">
      <alignment horizontal="left" vertical="top"/>
    </xf>
    <xf numFmtId="0" fontId="16" fillId="12" borderId="1" applyAlignment="1" pivotButton="0" quotePrefix="0" xfId="0">
      <alignment horizontal="left" vertical="top" wrapText="1"/>
    </xf>
    <xf numFmtId="0" fontId="6" fillId="6" borderId="2" applyAlignment="1" pivotButton="0" quotePrefix="0" xfId="0">
      <alignment horizontal="left" vertical="top" wrapText="1"/>
    </xf>
    <xf numFmtId="0" fontId="3" fillId="3" borderId="1" applyAlignment="1" pivotButton="0" quotePrefix="0" xfId="0">
      <alignment horizontal="center" vertical="top"/>
    </xf>
    <xf numFmtId="2" fontId="9" fillId="7" borderId="2" applyAlignment="1" pivotButton="0" quotePrefix="0" xfId="0">
      <alignment horizontal="center" vertical="top"/>
    </xf>
    <xf numFmtId="2" fontId="9" fillId="8" borderId="2" applyAlignment="1" pivotButton="0" quotePrefix="0" xfId="0">
      <alignment horizontal="center" vertical="top"/>
    </xf>
    <xf numFmtId="0" fontId="4" fillId="7" borderId="2" applyAlignment="1" pivotButton="0" quotePrefix="0" xfId="0">
      <alignment horizontal="left" vertical="top"/>
    </xf>
    <xf numFmtId="0" fontId="4" fillId="8" borderId="2" applyAlignment="1" pivotButton="0" quotePrefix="0" xfId="0">
      <alignment horizontal="left" vertical="top"/>
    </xf>
    <xf numFmtId="0" fontId="1" fillId="2" borderId="1" applyAlignment="1" pivotButton="0" quotePrefix="0" xfId="0">
      <alignment horizontal="center" vertical="center"/>
    </xf>
    <xf numFmtId="0" fontId="2" fillId="2" borderId="1" applyAlignment="1" pivotButton="0" quotePrefix="0" xfId="0">
      <alignment horizontal="center" vertical="center" wrapText="1"/>
    </xf>
    <xf numFmtId="0" fontId="18" fillId="2" borderId="11" applyAlignment="1" pivotButton="0" quotePrefix="0" xfId="0">
      <alignment horizontal="center" vertical="center"/>
    </xf>
    <xf numFmtId="0" fontId="20" fillId="7" borderId="11" applyAlignment="1" pivotButton="0" quotePrefix="0" xfId="0">
      <alignment horizontal="center" vertical="top"/>
    </xf>
    <xf numFmtId="9" fontId="21" fillId="7" borderId="11" applyAlignment="1" pivotButton="0" quotePrefix="0" xfId="0">
      <alignment horizontal="center" vertical="center"/>
    </xf>
    <xf numFmtId="0" fontId="22" fillId="7" borderId="11" applyAlignment="1" pivotButton="0" quotePrefix="0" xfId="0">
      <alignment horizontal="center" vertical="center"/>
    </xf>
    <xf numFmtId="0" fontId="23" fillId="7" borderId="11" applyAlignment="1" pivotButton="0" quotePrefix="0" xfId="0">
      <alignment horizontal="center" vertical="center" wrapText="1"/>
    </xf>
    <xf numFmtId="0" fontId="24" fillId="3" borderId="11" applyAlignment="1" pivotButton="0" quotePrefix="0" xfId="0">
      <alignment horizontal="center" vertical="center" wrapText="1"/>
    </xf>
    <xf numFmtId="0" fontId="25" fillId="6" borderId="11" applyAlignment="1" pivotButton="0" quotePrefix="0" xfId="0">
      <alignment horizontal="center" vertical="center" wrapText="1"/>
    </xf>
    <xf numFmtId="0" fontId="25" fillId="6" borderId="11" applyAlignment="1" pivotButton="0" quotePrefix="0" xfId="0">
      <alignment horizontal="center" vertical="center"/>
    </xf>
    <xf numFmtId="0" fontId="26" fillId="7" borderId="11" applyAlignment="1" pivotButton="0" quotePrefix="0" xfId="0">
      <alignment horizontal="center" vertical="center" wrapText="1"/>
    </xf>
    <xf numFmtId="0" fontId="8" fillId="8" borderId="2" applyAlignment="1" pivotButton="0" quotePrefix="0" xfId="0">
      <alignment horizontal="center" vertical="center" wrapText="1"/>
    </xf>
    <xf numFmtId="0" fontId="3" fillId="3" borderId="1" applyAlignment="1" pivotButton="0" quotePrefix="0" xfId="0">
      <alignment horizontal="left" vertical="center"/>
    </xf>
    <xf numFmtId="0" fontId="16" fillId="12" borderId="1" applyAlignment="1" pivotButton="0" quotePrefix="0" xfId="0">
      <alignment horizontal="left" vertical="center" wrapText="1"/>
    </xf>
    <xf numFmtId="0" fontId="3" fillId="3" borderId="1" applyAlignment="1" pivotButton="0" quotePrefix="0" xfId="0">
      <alignment horizontal="center" vertical="center"/>
    </xf>
    <xf numFmtId="2" fontId="9" fillId="7" borderId="2" applyAlignment="1" pivotButton="0" quotePrefix="0" xfId="0">
      <alignment horizontal="center" vertical="center"/>
    </xf>
    <xf numFmtId="2" fontId="9" fillId="8" borderId="2" applyAlignment="1" pivotButton="0" quotePrefix="0" xfId="0">
      <alignment horizontal="center" vertical="center"/>
    </xf>
    <xf numFmtId="0" fontId="3" fillId="9" borderId="1" applyAlignment="1" pivotButton="0" quotePrefix="0" xfId="0">
      <alignment horizontal="left" vertical="center"/>
    </xf>
    <xf numFmtId="0" fontId="4" fillId="7" borderId="2" applyAlignment="1" pivotButton="0" quotePrefix="0" xfId="0">
      <alignment horizontal="left" vertical="top"/>
    </xf>
    <xf numFmtId="0" fontId="4" fillId="8" borderId="2" applyAlignment="1" pivotButton="0" quotePrefix="0" xfId="0">
      <alignment horizontal="left" vertical="top"/>
    </xf>
    <xf numFmtId="0" fontId="18" fillId="9" borderId="1" applyAlignment="1" pivotButton="0" quotePrefix="0" xfId="0">
      <alignment horizontal="center" vertical="center"/>
    </xf>
    <xf numFmtId="0" fontId="3" fillId="3" borderId="1" applyAlignment="1" pivotButton="0" quotePrefix="0" xfId="0">
      <alignment horizontal="left" vertical="center"/>
    </xf>
    <xf numFmtId="0" fontId="0" fillId="0" borderId="14" pivotButton="0" quotePrefix="0" xfId="0"/>
    <xf numFmtId="0" fontId="0" fillId="0" borderId="15" pivotButton="0" quotePrefix="0" xfId="0"/>
    <xf numFmtId="0" fontId="4" fillId="6" borderId="1" applyAlignment="1" pivotButton="0" quotePrefix="0" xfId="0">
      <alignment horizontal="left" vertical="center" wrapText="1"/>
    </xf>
    <xf numFmtId="0" fontId="3" fillId="3" borderId="2" applyAlignment="1" pivotButton="0" quotePrefix="0" xfId="0">
      <alignment horizontal="left" vertical="center" wrapText="1"/>
    </xf>
    <xf numFmtId="0" fontId="3" fillId="3" borderId="2" applyAlignment="1" pivotButton="0" quotePrefix="0" xfId="0">
      <alignment horizontal="center" vertical="center" wrapText="1"/>
    </xf>
    <xf numFmtId="0" fontId="5" fillId="8" borderId="2" applyAlignment="1" pivotButton="0" quotePrefix="0" xfId="0">
      <alignment horizontal="center" vertical="center"/>
    </xf>
    <xf numFmtId="0" fontId="5" fillId="7" borderId="2" applyAlignment="1" pivotButton="0" quotePrefix="0" xfId="0">
      <alignment horizontal="center" vertical="center"/>
    </xf>
    <xf numFmtId="0" fontId="5" fillId="0" borderId="16" applyAlignment="1" pivotButton="0" quotePrefix="0" xfId="0">
      <alignment horizontal="left" vertical="center" wrapText="1"/>
    </xf>
    <xf numFmtId="0" fontId="5" fillId="0" borderId="16" applyAlignment="1" pivotButton="0" quotePrefix="0" xfId="0">
      <alignment horizontal="center" vertical="center"/>
    </xf>
    <xf numFmtId="0" fontId="8" fillId="0" borderId="16" applyAlignment="1" pivotButton="0" quotePrefix="0" xfId="0">
      <alignment horizontal="left" vertical="center" wrapText="1"/>
    </xf>
    <xf numFmtId="0" fontId="0" fillId="0" borderId="16" pivotButton="0" quotePrefix="0" xfId="0"/>
  </cellXfs>
  <cellStyles count="1">
    <cellStyle name="Normal" xfId="0" builtinId="0" hidden="0"/>
  </cellStyles>
  <dxfs count="18">
    <dxf>
      <font>
        <b val="1"/>
        <color rgb="00006100"/>
      </font>
      <fill>
        <patternFill patternType="solid">
          <fgColor rgb="00C6EFCE"/>
        </patternFill>
      </fill>
    </dxf>
    <dxf>
      <font>
        <b val="1"/>
        <color rgb="009C6500"/>
      </font>
      <fill>
        <patternFill patternType="solid">
          <fgColor rgb="00FFEB9C"/>
        </patternFill>
      </fill>
    </dxf>
    <dxf>
      <font>
        <b val="1"/>
        <color rgb="009C0006"/>
      </font>
      <fill>
        <patternFill patternType="solid">
          <fgColor rgb="00FFC7CE"/>
        </patternFill>
      </fill>
    </dxf>
    <dxf>
      <font>
        <b val="1"/>
        <color rgb="00006100"/>
        <sz val="13"/>
      </font>
      <fill>
        <patternFill patternType="solid">
          <fgColor rgb="00C6EFCE"/>
        </patternFill>
      </fill>
    </dxf>
    <dxf>
      <font>
        <b val="1"/>
        <color rgb="009C6500"/>
        <sz val="13"/>
      </font>
      <fill>
        <patternFill patternType="solid">
          <fgColor rgb="00FFEB9C"/>
        </patternFill>
      </fill>
    </dxf>
    <dxf>
      <font>
        <b val="1"/>
        <color rgb="009C0006"/>
        <sz val="13"/>
      </font>
      <fill>
        <patternFill patternType="solid">
          <fgColor rgb="00FFC7CE"/>
        </patternFill>
      </fill>
    </dxf>
    <dxf>
      <font>
        <color rgb="00006100"/>
      </font>
      <fill>
        <patternFill patternType="solid">
          <fgColor rgb="00C6EFCE"/>
        </patternFill>
      </fill>
    </dxf>
    <dxf>
      <font>
        <color rgb="009C6500"/>
      </font>
      <fill>
        <patternFill patternType="solid">
          <fgColor rgb="00FFEB9C"/>
        </patternFill>
      </fill>
    </dxf>
    <dxf>
      <font>
        <color rgb="009C0006"/>
      </font>
      <fill>
        <patternFill patternType="solid">
          <fgColor rgb="00FFC7CE"/>
        </patternFill>
      </fill>
    </dxf>
    <dxf>
      <font>
        <b val="1"/>
        <color rgb="00006100"/>
        <sz val="48"/>
      </font>
      <fill>
        <patternFill patternType="solid">
          <fgColor rgb="00C6EFCE"/>
        </patternFill>
      </fill>
    </dxf>
    <dxf>
      <font>
        <b val="1"/>
        <color rgb="009C6500"/>
        <sz val="48"/>
      </font>
      <fill>
        <patternFill patternType="solid">
          <fgColor rgb="00FFEB9C"/>
        </patternFill>
      </fill>
    </dxf>
    <dxf>
      <font>
        <b val="1"/>
        <color rgb="009C0006"/>
        <sz val="48"/>
      </font>
      <fill>
        <patternFill patternType="solid">
          <fgColor rgb="00FFC7CE"/>
        </patternFill>
      </fill>
    </dxf>
    <dxf>
      <font>
        <b val="1"/>
        <color rgb="00006100"/>
        <sz val="22"/>
      </font>
      <fill>
        <patternFill patternType="solid">
          <fgColor rgb="00C6EFCE"/>
        </patternFill>
      </fill>
    </dxf>
    <dxf>
      <font>
        <b val="1"/>
        <color rgb="00FFFFFF"/>
        <sz val="12"/>
      </font>
      <fill>
        <patternFill patternType="solid">
          <fgColor rgb="00006100"/>
        </patternFill>
      </fill>
    </dxf>
    <dxf>
      <font>
        <b val="1"/>
        <color rgb="00FFFFFF"/>
        <sz val="12"/>
      </font>
      <fill>
        <patternFill patternType="solid">
          <fgColor rgb="002E7D32"/>
        </patternFill>
      </fill>
    </dxf>
    <dxf>
      <font>
        <b val="1"/>
        <color rgb="00FFFFFF"/>
        <sz val="12"/>
      </font>
      <fill>
        <patternFill patternType="solid">
          <fgColor rgb="00B7950B"/>
        </patternFill>
      </fill>
    </dxf>
    <dxf>
      <font>
        <b val="1"/>
        <color rgb="00FFFFFF"/>
        <sz val="12"/>
      </font>
      <fill>
        <patternFill patternType="solid">
          <fgColor rgb="00C00000"/>
        </patternFill>
      </fill>
    </dxf>
    <dxf>
      <font>
        <b val="1"/>
        <color rgb="001F3864"/>
      </font>
      <fill>
        <patternFill patternType="solid">
          <fgColor rgb="00D9E1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45"/>
  <sheetViews>
    <sheetView showGridLines="0" workbookViewId="0">
      <pane ySplit="2" topLeftCell="A3" activePane="bottomLeft" state="frozen"/>
      <selection pane="bottomLeft" activeCell="A1" sqref="A1"/>
    </sheetView>
  </sheetViews>
  <sheetFormatPr baseColWidth="8" defaultRowHeight="15"/>
  <cols>
    <col width="3" customWidth="1" min="1" max="1"/>
    <col width="30" customWidth="1" min="2" max="2"/>
    <col width="105" customWidth="1" min="3" max="3"/>
  </cols>
  <sheetData>
    <row r="1" ht="28" customHeight="1">
      <c r="B1" s="94" t="inlineStr">
        <is>
          <t>QA SCORING WORKBOOK — QUICK START GUIDE</t>
        </is>
      </c>
      <c r="C1" s="68" t="n"/>
    </row>
    <row r="2" ht="30" customHeight="1">
      <c r="B2" s="86" t="inlineStr">
        <is>
          <t>Resolution-focused coaching QA: one form per interaction, evidence-based indicator ratings, weighted 0-5 scoring, journey-level tracking and TEAM scoring for multi-touch cases. Yellow cells are YOUR inputs — everything else calculates or is reference.</t>
        </is>
      </c>
      <c r="C2" s="68" t="n"/>
    </row>
    <row r="4">
      <c r="B4" s="95" t="inlineStr">
        <is>
          <t>1 · THE WORKING SHEETS</t>
        </is>
      </c>
      <c r="C4" s="68" t="n"/>
    </row>
    <row r="5" ht="44" customHeight="1">
      <c r="B5" s="88" t="inlineStr">
        <is>
          <t>Scoring Form</t>
        </is>
      </c>
      <c r="C5" s="89" t="inlineStr">
        <is>
          <t>The blank form you fill for EVERY interaction you review. Make a copy of this sheet per review (right-click tab → Move or Copy → Create a copy) so the master stays blank.</t>
        </is>
      </c>
    </row>
    <row r="6" ht="44" customHeight="1">
      <c r="B6" s="90" t="inlineStr">
        <is>
          <t>Scoring Guide</t>
        </is>
      </c>
      <c r="C6" s="91" t="inlineStr">
        <is>
          <t>Reference: how-to steps, the 0-5 score anchors, what Met/Partial/Missed/N.A. mean, category objectives and watch-fors, and the result bands. Read once before your first review; return whenever unsure.</t>
        </is>
      </c>
    </row>
    <row r="7" ht="44" customHeight="1">
      <c r="B7" s="88" t="inlineStr">
        <is>
          <t>Multi-Touch Guide</t>
        </is>
      </c>
      <c r="C7" s="89" t="inlineStr">
        <is>
          <t>Rules for cases handled by multiple agents: how to score each touch fairly, who owns handoff failures, plus a full real-case walkthrough (the Stell journey) showing where a support chain broke and recovered.</t>
        </is>
      </c>
    </row>
    <row r="8" ht="44" customHeight="1">
      <c r="B8" s="90" t="inlineStr">
        <is>
          <t>Team Scoring</t>
        </is>
      </c>
      <c r="C8" s="91" t="inlineStr">
        <is>
          <t>The team layer: the Team Score formula component by component, how to read the gap between execution and outcome, a LIVE category heatmap showing where the team is weak, the 8 team opportunities identified from the Stell journey with owners, and a 6-step recipe to run a team review on your own journeys.</t>
        </is>
      </c>
    </row>
    <row r="9" ht="44" customHeight="1">
      <c r="B9" s="88" t="inlineStr">
        <is>
          <t>Example (Filled)</t>
        </is>
      </c>
      <c r="C9" s="89" t="inlineStr">
        <is>
          <t>A complete, real worked review — the final touch of the Stell case (Eric Marbella). Shows exactly how detailed your evidence should be, how indicator ratings map to a final score, and how critical failures are written up. Copy its style.</t>
        </is>
      </c>
    </row>
    <row r="10" ht="44" customHeight="1">
      <c r="B10" s="90" t="inlineStr">
        <is>
          <t>Case Tracker</t>
        </is>
      </c>
      <c r="C10" s="91" t="inlineStr">
        <is>
          <t>The log. One row per reviewed touch (date, agent, 7 scores, auto weighted % and band). Reuse a Case ID across rows for multi-touch journeys. Team Average at row 51; Team/Journey Scores section at row 53.</t>
        </is>
      </c>
    </row>
    <row r="12">
      <c r="B12" s="95" t="inlineStr">
        <is>
          <t>2 · HOW TO SCORE ONE INTERACTION (Scoring Form, ~15 min)</t>
        </is>
      </c>
      <c r="C12" s="68" t="n"/>
    </row>
    <row r="13" ht="46" customHeight="1">
      <c r="B13" s="88" t="inlineStr">
        <is>
          <t>Step 1 — Case Information</t>
        </is>
      </c>
      <c r="C13" s="89" t="inlineStr">
        <is>
          <t>Fill the yellow cells: agent, ticket, dates, product. Dropdowns: Warranty, Channel, Case Type, SLA. Write a 2-3 sentence Case Summary. Multi-touch? Set Touch # and fill 'Inherited context' (what this agent received from prior touches).</t>
        </is>
      </c>
    </row>
    <row r="14" ht="46" customHeight="1">
      <c r="B14" s="90" t="inlineStr">
        <is>
          <t>Step 2 — Rate the indicators</t>
        </is>
      </c>
      <c r="C14" s="91" t="inlineStr">
        <is>
          <t>Each of the 7 categories lists 5-8 behaviors. Rate each: Met / Partial / Missed / N.A. (dropdown). N.A. = genuinely not applicable (e.g., no escalation involved) — it is excluded from the math, never a shortcut.</t>
        </is>
      </c>
    </row>
    <row r="15" ht="46" customHeight="1">
      <c r="B15" s="88" t="inlineStr">
        <is>
          <t>Step 3 — Capture evidence</t>
        </is>
      </c>
      <c r="C15" s="89" t="inlineStr">
        <is>
          <t>Next to every rating, write WHY: a quote, timestamp, or note excerpt. 'Customer said X at 28:10' beats 'communication was good'. The Example sheet shows the standard.</t>
        </is>
      </c>
    </row>
    <row r="16" ht="46" customHeight="1">
      <c r="B16" s="90" t="inlineStr">
        <is>
          <t>Step 4 — Set the final score</t>
        </is>
      </c>
      <c r="C16" s="91" t="inlineStr">
        <is>
          <t>A suggested score appears automatically (Met=5, Partial=2.5, Missed=0, averaged). You may override it — your judgment prevails — but the anchor text that appears beside your score tells you what a 4 vs a 3 means. Apply the rubric's automatic deductions (e.g., missed callback) even if indicators average higher.</t>
        </is>
      </c>
    </row>
    <row r="17" ht="46" customHeight="1">
      <c r="B17" s="88" t="inlineStr">
        <is>
          <t>Step 5 — Outcome &amp; disconnect</t>
        </is>
      </c>
      <c r="C17" s="89" t="inlineStr">
        <is>
          <t>Classify the Resolution Outcome (dropdown) and the primary positive outcome achieved. If the call disconnected, record the follow-up taken — 'Yes disconnect + no follow-up' auto-flags a missed ownership opportunity in red.</t>
        </is>
      </c>
    </row>
    <row r="18" ht="46" customHeight="1">
      <c r="B18" s="90" t="inlineStr">
        <is>
          <t>Step 6 — Critical failures</t>
        </is>
      </c>
      <c r="C18" s="91" t="inlineStr">
        <is>
          <t>Answer Yes/No on all 11 conditions. ANY Yes turns the banner red: automatic review, regardless of the score. These include premature RESOLVED closure, PCI/compliance breaches, and unescalated management/legal requests.</t>
        </is>
      </c>
    </row>
    <row r="19" ht="46" customHeight="1">
      <c r="B19" s="88" t="inlineStr">
        <is>
          <t>Step 7 — Coaching sections</t>
        </is>
      </c>
      <c r="C19" s="89" t="inlineStr">
        <is>
          <t>3 strengths, 3 improvements, a specific coaching recommendation (at least one is mandatory per review), organizational insights, journey notes (multi-touch), and the final assessment.</t>
        </is>
      </c>
    </row>
    <row r="20" ht="46" customHeight="1">
      <c r="B20" s="90" t="inlineStr">
        <is>
          <t>Step 8 — Log it</t>
        </is>
      </c>
      <c r="C20" s="91" t="inlineStr">
        <is>
          <t>Add one row in the Case Tracker: date, Case ID, agent, touch #, and your 7 final scores. Weighted % and band compute themselves.</t>
        </is>
      </c>
    </row>
    <row r="22">
      <c r="B22" s="95" t="inlineStr">
        <is>
          <t>3 · WHAT YOU TYPE vs WHAT CALCULATES ITSELF</t>
        </is>
      </c>
      <c r="C22" s="68" t="n"/>
    </row>
    <row r="23" ht="54" customHeight="1">
      <c r="B23" s="88" t="inlineStr">
        <is>
          <t>You type (yellow cells)</t>
        </is>
      </c>
      <c r="C23" s="89" t="inlineStr">
        <is>
          <t>Case info · indicator ratings (dropdowns) · evidence text · the 7 final 0-5 scores · outcome dropdowns · critical-failure Yes/No · coaching text · tracker rows · Team Score's Outcome and Continuity (0-5).</t>
        </is>
      </c>
    </row>
    <row r="24" ht="54" customHeight="1">
      <c r="B24" s="90" t="inlineStr">
        <is>
          <t>Calculates automatically</t>
        </is>
      </c>
      <c r="C24" s="91" t="inlineStr">
        <is>
          <t>Suggested score per category · anchor description beside each score · Score Summary table · Weighted Total = Σ(score÷5 × weight) with weights 30/20/15/15/10/5/5 · result band · disconnect flag · critical-failure banner · tracker Weighted % and band · Team Average · Team Score = 50% avg touches + 30% Outcome/5 + 20% Continuity/5 · the Team Scoring sheet's category heatmap.</t>
        </is>
      </c>
    </row>
    <row r="25" ht="54" customHeight="1">
      <c r="B25" s="88" t="inlineStr">
        <is>
          <t>Color language</t>
        </is>
      </c>
      <c r="C25" s="89" t="inlineStr">
        <is>
          <t>GREEN = strong (scores 4-5, total ≥85%) · YELLOW = developing (score 3, total 70-84%) · RED = needs focus (scores 0-2, total &lt;70%, any critical failure, missed disconnect follow-up). Indicator cells: Met=green, Partial=yellow, Missed=red. Heatmap: category avg &lt;2.75 red = team coaching theme.</t>
        </is>
      </c>
    </row>
    <row r="27">
      <c r="B27" s="95" t="inlineStr">
        <is>
          <t>4 · MULTI-TOUCH CASES IN SIX LINES (full rules: Multi-Touch Guide + Team Scoring)</t>
        </is>
      </c>
      <c r="C27" s="68" t="n"/>
    </row>
    <row r="28" ht="40" customHeight="1">
      <c r="B28" s="88" t="inlineStr">
        <is>
          <t>One form per touch</t>
        </is>
      </c>
      <c r="C28" s="89" t="inlineStr">
        <is>
          <t>Every agent gets their own form. Read all prior touches first; record what the agent inherited.</t>
        </is>
      </c>
    </row>
    <row r="29" ht="40" customHeight="1">
      <c r="B29" s="90" t="inlineStr">
        <is>
          <t>Score the contribution</t>
        </is>
      </c>
      <c r="C29" s="91" t="inlineStr">
        <is>
          <t>Did THIS touch move the customer forward, given what it inherited? Agents aren't punished for inherited messes — only for what they pass downstream (thin notes, false RESOLVED, missed callbacks).</t>
        </is>
      </c>
    </row>
    <row r="30" ht="40" customHeight="1">
      <c r="B30" s="88" t="inlineStr">
        <is>
          <t>Handoffs belong to the sender</t>
        </is>
      </c>
      <c r="C30" s="89" t="inlineStr">
        <is>
          <t>Bad notes that force rework = deduction for the earlier agent. Ignoring good notes and re-asking everything = deduction for the later agent.</t>
        </is>
      </c>
    </row>
    <row r="31" ht="40" customHeight="1">
      <c r="B31" s="90" t="inlineStr">
        <is>
          <t>Log every touch, same Case ID</t>
        </is>
      </c>
      <c r="C31" s="91" t="inlineStr">
        <is>
          <t>Tracker rows side by side show exactly where the chain broke or recovered.</t>
        </is>
      </c>
    </row>
    <row r="32" ht="40" customHeight="1">
      <c r="B32" s="88" t="inlineStr">
        <is>
          <t>Score the chain</t>
        </is>
      </c>
      <c r="C32" s="89" t="inlineStr">
        <is>
          <t>Bottom of the Case Tracker: type the Case ID in a Team/Journey row, judge Outcome (0-5) and Continuity (0-5) — the Team Score computes. Drives process fixes and team recognition, never individual discipline.</t>
        </is>
      </c>
    </row>
    <row r="33" ht="40" customHeight="1">
      <c r="B33" s="90" t="inlineStr">
        <is>
          <t>Find the TEAM opportunities</t>
        </is>
      </c>
      <c r="C33" s="91" t="inlineStr">
        <is>
          <t>Team Scoring sheet: build the category heatmap over the journey's rows, take the bottom two categories as team coaching themes, scan for patterns repeating across 3+ agents, and write the action plan with named owners (section 5 there is the model).</t>
        </is>
      </c>
    </row>
    <row r="35">
      <c r="B35" s="96" t="inlineStr">
        <is>
          <t>5 · GOLDEN RULES</t>
        </is>
      </c>
      <c r="C35" s="68" t="n"/>
    </row>
    <row r="36" ht="26" customHeight="1">
      <c r="B36" s="89" t="inlineStr">
        <is>
          <t>• A closed case is NOT automatically a resolved case — and RESOLVED on a known-unresolved issue is a critical failure.</t>
        </is>
      </c>
      <c r="C36" s="69" t="n"/>
    </row>
    <row r="37" ht="26" customHeight="1">
      <c r="B37" s="91" t="inlineStr">
        <is>
          <t>• Any critical failure = automatic review, no matter how good the weighted score looks.</t>
        </is>
      </c>
      <c r="C37" s="69" t="n"/>
    </row>
    <row r="38" ht="26" customHeight="1">
      <c r="B38" s="89" t="inlineStr">
        <is>
          <t>• Resolution isn't only 'fixed': a proper RMA, a valid escalation, or an accurately explained limitation all count as positive outcomes.</t>
        </is>
      </c>
      <c r="C38" s="69" t="n"/>
    </row>
    <row r="39" ht="26" customHeight="1">
      <c r="B39" s="91" t="inlineStr">
        <is>
          <t>• Every review must produce at least one actionable coaching opportunity — and an operational improvement recommendation where applicable.</t>
        </is>
      </c>
      <c r="C39" s="69" t="n"/>
    </row>
    <row r="40" ht="26" customHeight="1">
      <c r="B40" s="89" t="inlineStr">
        <is>
          <t>• Evidence over opinion: every rating should be defensible with a quote, timestamp, or note excerpt.</t>
        </is>
      </c>
      <c r="C40" s="69" t="n"/>
    </row>
    <row r="41" ht="26" customHeight="1">
      <c r="B41" s="91" t="inlineStr">
        <is>
          <t>• Documentation supports outcomes but never outweighs troubleshooting, communication, or ownership — continuity, not compliance.</t>
        </is>
      </c>
      <c r="C41" s="69" t="n"/>
    </row>
    <row r="42" ht="26" customHeight="1">
      <c r="B42" s="89" t="inlineStr">
        <is>
          <t>• Reward judgment: an unresolved case with correct next steps and full ownership can still score well.</t>
        </is>
      </c>
      <c r="C42" s="69" t="n"/>
    </row>
    <row r="43" ht="26" customHeight="1">
      <c r="B43" s="91" t="inlineStr">
        <is>
          <t>• Team Scores coach the chain; individual forms coach the agent. Never mix the two purposes.</t>
        </is>
      </c>
      <c r="C43" s="69" t="n"/>
    </row>
    <row r="45" ht="30" customHeight="1">
      <c r="B45" s="93" t="inlineStr">
        <is>
          <t>Questions while reviewing? Order of reference: this sheet → Scoring Guide (anchors &amp; criteria) → Multi-Touch Guide (journey rules) → Team Scoring (team layer &amp; heatmap) → Example (Filled) (what good looks like).</t>
        </is>
      </c>
      <c r="C45" s="68" t="n"/>
    </row>
  </sheetData>
  <mergeCells count="16">
    <mergeCell ref="B39:C39"/>
    <mergeCell ref="B38:C38"/>
    <mergeCell ref="B2:C2"/>
    <mergeCell ref="B37:C37"/>
    <mergeCell ref="B41:C41"/>
    <mergeCell ref="B42:C42"/>
    <mergeCell ref="B45:C45"/>
    <mergeCell ref="B22:C22"/>
    <mergeCell ref="B36:C36"/>
    <mergeCell ref="B40:C40"/>
    <mergeCell ref="B27:C27"/>
    <mergeCell ref="B1:C1"/>
    <mergeCell ref="B35:C35"/>
    <mergeCell ref="B4:C4"/>
    <mergeCell ref="B43:C43"/>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F170"/>
  <sheetViews>
    <sheetView showGridLines="0" workbookViewId="0">
      <pane ySplit="2" topLeftCell="A3" activePane="bottomLeft" state="frozen"/>
      <selection pane="bottomLeft" activeCell="A1" sqref="A1"/>
    </sheetView>
  </sheetViews>
  <sheetFormatPr baseColWidth="8" defaultRowHeight="15"/>
  <cols>
    <col width="4" customWidth="1" min="1" max="1"/>
    <col width="58" customWidth="1" min="2" max="2"/>
    <col width="14" customWidth="1" min="3" max="3"/>
    <col width="13" customWidth="1" min="4" max="4"/>
    <col width="15" customWidth="1" min="5" max="5"/>
    <col width="46" customWidth="1" min="6" max="6"/>
    <col width="3" customWidth="1" min="7" max="7"/>
  </cols>
  <sheetData>
    <row r="1" ht="28" customHeight="1">
      <c r="B1" s="104" t="inlineStr">
        <is>
          <t>SUPPORT QUALITY ASSURANCE — SCORING FORM</t>
        </is>
      </c>
      <c r="C1" s="67" t="n"/>
      <c r="D1" s="67" t="n"/>
      <c r="E1" s="67" t="n"/>
      <c r="F1" s="68" t="n"/>
    </row>
    <row r="2" ht="18" customHeight="1">
      <c r="B2" s="2" t="inlineStr">
        <is>
          <t>Resolution-Focused Coaching &amp; Performance Framework  |  Rate each behavior: Met / Partial / Missed / N.A. — then assign the 0-5 category score (suggested score is advisory).</t>
        </is>
      </c>
      <c r="C2" s="67" t="n"/>
      <c r="D2" s="67" t="n"/>
      <c r="E2" s="67" t="n"/>
      <c r="F2" s="68" t="n"/>
    </row>
    <row r="4">
      <c r="B4" s="125" t="inlineStr">
        <is>
          <t>1 · CASE INFORMATION</t>
        </is>
      </c>
      <c r="C4" s="67" t="n"/>
      <c r="D4" s="67" t="n"/>
      <c r="E4" s="67" t="n"/>
      <c r="F4" s="68" t="n"/>
    </row>
    <row r="5">
      <c r="B5" s="4" t="inlineStr">
        <is>
          <t>Agent Name</t>
        </is>
      </c>
      <c r="C5" s="81" t="inlineStr">
        <is>
          <t>Aysah Bagumbaran</t>
        </is>
      </c>
      <c r="D5" s="6" t="inlineStr">
        <is>
          <t>Case / Ticket ID</t>
        </is>
      </c>
      <c r="E5" s="81" t="inlineStr">
        <is>
          <t>TE00131695 (L2: LTS00131695)</t>
        </is>
      </c>
      <c r="F5" s="69" t="n"/>
    </row>
    <row r="6">
      <c r="B6" s="4" t="inlineStr">
        <is>
          <t>Evaluator (QA)</t>
        </is>
      </c>
      <c r="C6" s="81" t="inlineStr">
        <is>
          <t>QA Review (per PMO Vincent Tobias request)</t>
        </is>
      </c>
      <c r="D6" s="6" t="inlineStr">
        <is>
          <t>Interaction Date</t>
        </is>
      </c>
      <c r="E6" s="81" t="inlineStr">
        <is>
          <t>Jun 1, 2026  12:24 PM PST</t>
        </is>
      </c>
      <c r="F6" s="69" t="n"/>
    </row>
    <row r="7">
      <c r="B7" s="4" t="inlineStr">
        <is>
          <t>Product</t>
        </is>
      </c>
      <c r="C7" s="81" t="inlineStr">
        <is>
          <t>MR20EC  -  SN 50u10m17d09166</t>
        </is>
      </c>
      <c r="D7" s="6" t="inlineStr">
        <is>
          <t>Channel</t>
        </is>
      </c>
      <c r="E7" s="81" t="inlineStr">
        <is>
          <t>Phone / Voice (inbound)</t>
        </is>
      </c>
      <c r="F7" s="69" t="n"/>
    </row>
    <row r="8">
      <c r="B8" s="4" t="inlineStr">
        <is>
          <t>Warranty Status</t>
        </is>
      </c>
      <c r="C8" s="81" t="inlineStr">
        <is>
          <t>Out of Warranty (expired Aug 15, 2025) - agent mistagged 'In Warranty'</t>
        </is>
      </c>
      <c r="D8" s="6" t="inlineStr">
        <is>
          <t>Review Date</t>
        </is>
      </c>
      <c r="E8" s="81" t="inlineStr">
        <is>
          <t>Jun 4, 2026</t>
        </is>
      </c>
      <c r="F8" s="69" t="n"/>
    </row>
    <row r="9">
      <c r="B9" s="4" t="inlineStr">
        <is>
          <t>Case Type</t>
        </is>
      </c>
      <c r="C9" s="81" t="inlineStr">
        <is>
          <t>Technical - router local admin page (192.168.1.1) inaccessible; widespread</t>
        </is>
      </c>
      <c r="D9" s="6" t="inlineStr">
        <is>
          <t>Interaction Duration</t>
        </is>
      </c>
      <c r="E9" s="81" t="inlineStr">
        <is>
          <t>44m 59s</t>
        </is>
      </c>
      <c r="F9" s="69" t="n"/>
    </row>
    <row r="10">
      <c r="B10" s="4" t="inlineStr">
        <is>
          <t>Touch # (multi-touch case)</t>
        </is>
      </c>
      <c r="C10" s="81" t="inlineStr">
        <is>
          <t>1 of 3  (L1 contact)</t>
        </is>
      </c>
      <c r="D10" s="6" t="inlineStr">
        <is>
          <t>Prior touches reviewed?</t>
        </is>
      </c>
      <c r="E10" s="81" t="inlineStr">
        <is>
          <t>Yes - full 3-touch journey reviewed</t>
        </is>
      </c>
      <c r="F10" s="69" t="n"/>
    </row>
    <row r="11">
      <c r="B11" s="4" t="inlineStr">
        <is>
          <t>CSAT / Survey result</t>
        </is>
      </c>
      <c r="C11" s="81" t="inlineStr">
        <is>
          <t>Not captured</t>
        </is>
      </c>
      <c r="D11" s="6" t="inlineStr">
        <is>
          <t>FCR / total contacts</t>
        </is>
      </c>
      <c r="E11" s="81" t="inlineStr">
        <is>
          <t>Not FCR - escalated to L2 (3 touches, all Jun 1)</t>
        </is>
      </c>
      <c r="F11" s="69" t="n"/>
    </row>
    <row r="12">
      <c r="B12" s="4" t="inlineStr">
        <is>
          <t>Total case time</t>
        </is>
      </c>
      <c r="C12" s="81" t="inlineStr">
        <is>
          <t>~47 min across 3 touches (single day)</t>
        </is>
      </c>
      <c r="D12" s="6" t="inlineStr">
        <is>
          <t>SLA status</t>
        </is>
      </c>
      <c r="E12" s="81" t="inlineStr">
        <is>
          <t>24h callback attempted same day (within SLA); issue unresolved</t>
        </is>
      </c>
      <c r="F12" s="69" t="n"/>
    </row>
    <row r="13" ht="58" customHeight="1">
      <c r="B13" s="6" t="inlineStr">
        <is>
          <t>Case Summary (customer issue &amp; goal)</t>
        </is>
      </c>
      <c r="C13" s="7" t="inlineStr">
        <is>
          <t>Customer cannot reach the router's LOCAL admin interface (blank blue screen) via 192.168.1.1, HTTP, HTTPS, and myrouter.local. Issue is widespread - ~20-30 business routers across multiple sites and ISPs (Comcast, AT&amp;T, Spectrum), present since Thursday, and persists after factory reset. Customer needs full browser-based management, not just the app. Goal: restore local web UI access fleet-wide.</t>
        </is>
      </c>
      <c r="D13" s="70" t="n"/>
      <c r="E13" s="70" t="n"/>
      <c r="F13" s="69" t="n"/>
    </row>
    <row r="14" ht="46" customHeight="1">
      <c r="B14" s="6" t="inlineStr">
        <is>
          <t>Inherited context (what this agent received from prior touches)</t>
        </is>
      </c>
      <c r="C14" s="7" t="inlineStr">
        <is>
          <t>First logged touch on this ticket. No inherited agent context (PMO notes a known IR Alert OLYMPUS-445 covering this issue type that was not applied).</t>
        </is>
      </c>
      <c r="D14" s="70" t="n"/>
      <c r="E14" s="70" t="n"/>
      <c r="F14" s="69" t="n"/>
    </row>
    <row r="16">
      <c r="B16" s="8" t="inlineStr">
        <is>
          <t>2 · CATEGORY ASSESSMENTS</t>
        </is>
      </c>
      <c r="C16" s="67" t="n"/>
      <c r="D16" s="67" t="n"/>
      <c r="E16" s="67" t="n"/>
      <c r="F16" s="68" t="n"/>
    </row>
    <row r="17" ht="18" customHeight="1">
      <c r="B17" s="125" t="inlineStr">
        <is>
          <t>1. RESOLUTION / PROGRESS TOWARD RESOLUTION</t>
        </is>
      </c>
      <c r="C17" s="67" t="n"/>
      <c r="D17" s="67" t="n"/>
      <c r="E17" s="68" t="n"/>
      <c r="F17" s="9" t="inlineStr">
        <is>
          <t>Weight: 30%</t>
        </is>
      </c>
    </row>
    <row r="18" ht="28" customHeight="1">
      <c r="B18" s="10" t="inlineStr">
        <is>
          <t>Objective: Determine whether the interaction moved the customer meaningfully closer to resolution.</t>
        </is>
      </c>
      <c r="C18" s="70" t="n"/>
      <c r="D18" s="70" t="n"/>
      <c r="E18" s="70" t="n"/>
      <c r="F18" s="69" t="n"/>
    </row>
    <row r="19">
      <c r="B19" s="4" t="inlineStr">
        <is>
          <t>Behavioral Indicator</t>
        </is>
      </c>
      <c r="C19" s="11" t="inlineStr">
        <is>
          <t>Assessment</t>
        </is>
      </c>
      <c r="D19" s="4" t="inlineStr">
        <is>
          <t>Evidence / Observation (quote or timestamp where possible)</t>
        </is>
      </c>
      <c r="E19" s="70" t="n"/>
      <c r="F19" s="69" t="n"/>
    </row>
    <row r="20" ht="28" customHeight="1">
      <c r="B20" s="12" t="inlineStr">
        <is>
          <t>Issue resolved, or the strongest available outcome was achieved (RMA, valid escalation, limitation explained, education)</t>
        </is>
      </c>
      <c r="C20" s="79" t="inlineStr">
        <is>
          <t>Partial</t>
        </is>
      </c>
      <c r="D20" s="12" t="inlineStr">
        <is>
          <t>L2 escalation eventually submitted (ticket LTS00131695) - valid path - but delayed and customer-driven; known IR OLYMPUS-445 not recognized/applied.</t>
        </is>
      </c>
      <c r="E20" s="70" t="n"/>
      <c r="F20" s="69" t="n"/>
    </row>
    <row r="21" ht="28" customHeight="1">
      <c r="B21" s="14" t="inlineStr">
        <is>
          <t>Reasonable troubleshooting was completed before any conclusion was reached</t>
        </is>
      </c>
      <c r="C21" s="79" t="inlineStr">
        <is>
          <t>Partial</t>
        </is>
      </c>
      <c r="D21" s="14" t="inlineStr">
        <is>
          <t>Some steps attempted (local-vs-remote check, verify 192.168.1.1, disconnect modem to test offline, reset) but limited and repetitive; never isolated the actual fault.</t>
        </is>
      </c>
      <c r="E21" s="70" t="n"/>
      <c r="F21" s="69" t="n"/>
    </row>
    <row r="22" ht="28" customHeight="1">
      <c r="B22" s="12" t="inlineStr">
        <is>
          <t>Clear, actionable next steps were provided to the customer</t>
        </is>
      </c>
      <c r="C22" s="79" t="inlineStr">
        <is>
          <t>Partial</t>
        </is>
      </c>
      <c r="D22" s="12" t="inlineStr">
        <is>
          <t>Next step = 'wait for updates/maintenance' + 24h L2 callback; not clearly actionable and not explained why a LOCAL page would depend on that.</t>
        </is>
      </c>
      <c r="E22" s="70" t="n"/>
      <c r="F22" s="69" t="n"/>
    </row>
    <row r="23" ht="28" customHeight="1">
      <c r="B23" s="14" t="inlineStr">
        <is>
          <t>Resolution path was appropriate for the situation and warranty status</t>
        </is>
      </c>
      <c r="C23" s="79" t="inlineStr">
        <is>
          <t>Partial</t>
        </is>
      </c>
      <c r="D23" s="14" t="inlineStr">
        <is>
          <t>Escalation path appropriate, but 'server/Smart WiFi outage' framing and warranty mistag were not appropriate for a local-UI fault on an OOW unit.</t>
        </is>
      </c>
      <c r="E23" s="70" t="n"/>
      <c r="F23" s="69" t="n"/>
    </row>
    <row r="24" ht="28" customHeight="1">
      <c r="B24" s="12" t="inlineStr">
        <is>
          <t>Customer was moved meaningfully closer to a solution</t>
        </is>
      </c>
      <c r="C24" s="79" t="inlineStr">
        <is>
          <t>Missed</t>
        </is>
      </c>
      <c r="D24" s="12" t="inlineStr">
        <is>
          <t>Issue unchanged at end of call; only forward movement was the escalation the customer had to demand.</t>
        </is>
      </c>
      <c r="E24" s="70" t="n"/>
      <c r="F24" s="69" t="n"/>
    </row>
    <row r="25" ht="28" customHeight="1">
      <c r="B25" s="15" t="inlineStr">
        <is>
          <t>⚠ Does NOT count: customer simply ends call; generic KB sent without troubleshooting; warranty used as reason to stop helping; escalation as shortcut; unsupported ISP blame; 'monitor &amp; call back' with no plan; ownership transferred without expectations or documentation.</t>
        </is>
      </c>
      <c r="C25" s="70" t="n"/>
      <c r="D25" s="70" t="n"/>
      <c r="E25" s="70" t="n"/>
      <c r="F25" s="69" t="n"/>
    </row>
    <row r="26">
      <c r="B26" s="16" t="inlineStr">
        <is>
          <t>Suggested score (auto from indicators — advisory only; evaluator judgment prevails)</t>
        </is>
      </c>
      <c r="C26" s="17">
        <f>IF((COUNTIF(C20:C24,"Met")+COUNTIF(C20:C24,"Partial")+COUNTIF(C20:C24,"Missed"))=0,"",ROUND((COUNTIF(C20:C24,"Met")*5+COUNTIF(C20:C24,"Partial")*2.5)/(COUNTIF(C20:C24,"Met")+COUNTIF(C20:C24,"Partial")+COUNTIF(C20:C24,"Missed")),1))</f>
        <v/>
      </c>
      <c r="D26" s="18" t="inlineStr"/>
      <c r="E26" s="70" t="n"/>
      <c r="F26" s="69" t="n"/>
    </row>
    <row r="27" ht="24" customHeight="1">
      <c r="B27" s="19" t="inlineStr">
        <is>
          <t>FINAL CATEGORY SCORE (0–5)</t>
        </is>
      </c>
      <c r="C27" s="20" t="n">
        <v>2</v>
      </c>
      <c r="D27" s="21">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27" s="70" t="n"/>
      <c r="F27" s="69" t="n"/>
    </row>
    <row r="28" ht="36" customHeight="1">
      <c r="B28" s="19" t="inlineStr">
        <is>
          <t>Category comments / coaching notes</t>
        </is>
      </c>
      <c r="C28" s="7" t="inlineStr">
        <is>
          <t>Net progress = the L2 escalation only. Troubleshooting did not converge because the issue was framed as server-side. Recognizing the known IR (OLYMPUS-445) and escalating early would have been the strongest available outcome.</t>
        </is>
      </c>
      <c r="D28" s="70" t="n"/>
      <c r="E28" s="70" t="n"/>
      <c r="F28" s="69" t="n"/>
    </row>
    <row r="30" ht="18" customHeight="1">
      <c r="B30" s="125" t="inlineStr">
        <is>
          <t>2. TECHNICAL ACCURACY</t>
        </is>
      </c>
      <c r="C30" s="67" t="n"/>
      <c r="D30" s="67" t="n"/>
      <c r="E30" s="68" t="n"/>
      <c r="F30" s="9" t="inlineStr">
        <is>
          <t>Weight: 20%</t>
        </is>
      </c>
    </row>
    <row r="31" ht="28" customHeight="1">
      <c r="B31" s="10" t="inlineStr">
        <is>
          <t>Objective: Evaluate the quality of troubleshooting and technical guidance.</t>
        </is>
      </c>
      <c r="C31" s="70" t="n"/>
      <c r="D31" s="70" t="n"/>
      <c r="E31" s="70" t="n"/>
      <c r="F31" s="69" t="n"/>
    </row>
    <row r="32">
      <c r="B32" s="4" t="inlineStr">
        <is>
          <t>Behavioral Indicator</t>
        </is>
      </c>
      <c r="C32" s="11" t="inlineStr">
        <is>
          <t>Assessment</t>
        </is>
      </c>
      <c r="D32" s="4" t="inlineStr">
        <is>
          <t>Evidence / Observation (quote or timestamp where possible)</t>
        </is>
      </c>
      <c r="E32" s="70" t="n"/>
      <c r="F32" s="69" t="n"/>
    </row>
    <row r="33" ht="28" customHeight="1">
      <c r="B33" s="12" t="inlineStr">
        <is>
          <t>Symptoms were identified correctly</t>
        </is>
      </c>
      <c r="C33" s="79" t="inlineStr">
        <is>
          <t>Missed</t>
        </is>
      </c>
      <c r="D33" s="12" t="inlineStr">
        <is>
          <t>Local admin-page failure repeatedly treated as a server/cloud/Smart WiFi problem despite customer clarifying it is local and reproducible offline.</t>
        </is>
      </c>
      <c r="E33" s="70" t="n"/>
      <c r="F33" s="69" t="n"/>
    </row>
    <row r="34" ht="28" customHeight="1">
      <c r="B34" s="14" t="inlineStr">
        <is>
          <t>Relevant diagnostic questions were asked</t>
        </is>
      </c>
      <c r="C34" s="79" t="inlineStr">
        <is>
          <t>Partial</t>
        </is>
      </c>
      <c r="D34" s="14" t="inlineStr">
        <is>
          <t>Asked for router IP, computer private IP, local-vs-remote - but circular; re-asked items the customer had already answered.</t>
        </is>
      </c>
      <c r="E34" s="70" t="n"/>
      <c r="F34" s="69" t="n"/>
    </row>
    <row r="35" ht="28" customHeight="1">
      <c r="B35" s="12" t="inlineStr">
        <is>
          <t>Logical troubleshooting methodology was followed</t>
        </is>
      </c>
      <c r="C35" s="79" t="inlineStr">
        <is>
          <t>Missed</t>
        </is>
      </c>
      <c r="D35" s="12" t="inlineStr">
        <is>
          <t>No clear diagnostic flow; kept returning to reset/setup the customer had already completed.</t>
        </is>
      </c>
      <c r="E35" s="70" t="n"/>
      <c r="F35" s="69" t="n"/>
    </row>
    <row r="36" ht="28" customHeight="1">
      <c r="B36" s="14" t="inlineStr">
        <is>
          <t>Available tools were used appropriately</t>
        </is>
      </c>
      <c r="C36" s="79" t="inlineStr">
        <is>
          <t>Partial</t>
        </is>
      </c>
      <c r="D36" s="14" t="inlineStr">
        <is>
          <t>SN look-up performed (then mistagged warranty); disconnect-modem isolation test was a reasonable step.</t>
        </is>
      </c>
      <c r="E36" s="70" t="n"/>
      <c r="F36" s="69" t="n"/>
    </row>
    <row r="37" ht="28" customHeight="1">
      <c r="B37" s="12" t="inlineStr">
        <is>
          <t>Information provided was technically accurate</t>
        </is>
      </c>
      <c r="C37" s="79" t="inlineStr">
        <is>
          <t>Missed</t>
        </is>
      </c>
      <c r="D37" s="12" t="inlineStr">
        <is>
          <t>'The server of the web user interface is done as of the moment' - technically inaccurate for a locally hosted admin page.</t>
        </is>
      </c>
      <c r="E37" s="70" t="n"/>
      <c r="F37" s="69" t="n"/>
    </row>
    <row r="38" ht="28" customHeight="1">
      <c r="B38" s="14" t="inlineStr">
        <is>
          <t>Assumptions were validated; no unsupported conclusions</t>
        </is>
      </c>
      <c r="C38" s="79" t="inlineStr">
        <is>
          <t>Missed</t>
        </is>
      </c>
      <c r="D38" s="14" t="inlineStr">
        <is>
          <t>Assumed a server outage / pending maintenance with no evidence and against the customer's offline-repro demonstration.</t>
        </is>
      </c>
      <c r="E38" s="70" t="n"/>
      <c r="F38" s="69" t="n"/>
    </row>
    <row r="39" ht="28" customHeight="1">
      <c r="B39" s="12" t="inlineStr">
        <is>
          <t>Root cause (or likely cause) was identified when possible</t>
        </is>
      </c>
      <c r="C39" s="79" t="inlineStr">
        <is>
          <t>Missed</t>
        </is>
      </c>
      <c r="D39" s="12" t="inlineStr">
        <is>
          <t>Root cause not identified; not linked to the known widespread incident (IR OLYMPUS-445).</t>
        </is>
      </c>
      <c r="E39" s="70" t="n"/>
      <c r="F39" s="69" t="n"/>
    </row>
    <row r="40" ht="28" customHeight="1">
      <c r="B40" s="15" t="inlineStr">
        <is>
          <t>⚠ Deduct for: incorrect technical information; skipped critical troubleshooting; misdiagnosis; unnecessary actions recommended; ISP or customer blamed without evidence; repeating basic steps the customer already completed.</t>
        </is>
      </c>
      <c r="C40" s="70" t="n"/>
      <c r="D40" s="70" t="n"/>
      <c r="E40" s="70" t="n"/>
      <c r="F40" s="69" t="n"/>
    </row>
    <row r="41">
      <c r="B41" s="16" t="inlineStr">
        <is>
          <t>Suggested score (auto from indicators — advisory only; evaluator judgment prevails)</t>
        </is>
      </c>
      <c r="C41" s="17">
        <f>IF((COUNTIF(C33:C39,"Met")+COUNTIF(C33:C39,"Partial")+COUNTIF(C33:C39,"Missed"))=0,"",ROUND((COUNTIF(C33:C39,"Met")*5+COUNTIF(C33:C39,"Partial")*2.5)/(COUNTIF(C33:C39,"Met")+COUNTIF(C33:C39,"Partial")+COUNTIF(C33:C39,"Missed")),1))</f>
        <v/>
      </c>
      <c r="D41" s="18" t="inlineStr"/>
      <c r="E41" s="70" t="n"/>
      <c r="F41" s="69" t="n"/>
    </row>
    <row r="42" ht="24" customHeight="1">
      <c r="B42" s="19" t="inlineStr">
        <is>
          <t>FINAL CATEGORY SCORE (0–5)</t>
        </is>
      </c>
      <c r="C42" s="20" t="n">
        <v>2</v>
      </c>
      <c r="D42" s="21">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42" s="70" t="n"/>
      <c r="F42" s="69" t="n"/>
    </row>
    <row r="43" ht="36" customHeight="1">
      <c r="B43" s="19" t="inlineStr">
        <is>
          <t>Category comments / coaching notes</t>
        </is>
      </c>
      <c r="C43" s="7" t="inlineStr">
        <is>
          <t>Core gap of the call: the agent did not distinguish the local router UI from a cloud-managed page. Diagnosis drove the rest of the call in the wrong direction.</t>
        </is>
      </c>
      <c r="D43" s="70" t="n"/>
      <c r="E43" s="70" t="n"/>
      <c r="F43" s="69" t="n"/>
    </row>
    <row r="45" ht="18" customHeight="1">
      <c r="B45" s="125" t="inlineStr">
        <is>
          <t>3. COMMUNICATION &amp; CALL CONTROL</t>
        </is>
      </c>
      <c r="C45" s="67" t="n"/>
      <c r="D45" s="67" t="n"/>
      <c r="E45" s="68" t="n"/>
      <c r="F45" s="9" t="inlineStr">
        <is>
          <t>Weight: 15%</t>
        </is>
      </c>
    </row>
    <row r="46" ht="28" customHeight="1">
      <c r="B46" s="10" t="inlineStr">
        <is>
          <t>Objective: Evaluate how effectively the agent managed the interaction.</t>
        </is>
      </c>
      <c r="C46" s="70" t="n"/>
      <c r="D46" s="70" t="n"/>
      <c r="E46" s="70" t="n"/>
      <c r="F46" s="69" t="n"/>
    </row>
    <row r="47">
      <c r="B47" s="4" t="inlineStr">
        <is>
          <t>Behavioral Indicator</t>
        </is>
      </c>
      <c r="C47" s="11" t="inlineStr">
        <is>
          <t>Assessment</t>
        </is>
      </c>
      <c r="D47" s="4" t="inlineStr">
        <is>
          <t>Evidence / Observation (quote or timestamp where possible)</t>
        </is>
      </c>
      <c r="E47" s="70" t="n"/>
      <c r="F47" s="69" t="n"/>
    </row>
    <row r="48" ht="28" customHeight="1">
      <c r="B48" s="12" t="inlineStr">
        <is>
          <t>Expectations were set clearly from the start</t>
        </is>
      </c>
      <c r="C48" s="79" t="inlineStr">
        <is>
          <t>Partial</t>
        </is>
      </c>
      <c r="D48" s="12" t="inlineStr">
        <is>
          <t>Set a general expectation but tied it to vague 'maintenance/another team' rather than the actual issue.</t>
        </is>
      </c>
      <c r="E48" s="70" t="n"/>
      <c r="F48" s="69" t="n"/>
    </row>
    <row r="49" ht="28" customHeight="1">
      <c r="B49" s="14" t="inlineStr">
        <is>
          <t>Agent maintained control of the troubleshooting flow</t>
        </is>
      </c>
      <c r="C49" s="79" t="inlineStr">
        <is>
          <t>Missed</t>
        </is>
      </c>
      <c r="D49" s="14" t="inlineStr">
        <is>
          <t>Lost control of flow - customer repeatedly restated the issue and prior steps; circular IP clarification (00:09-00:23 holds).</t>
        </is>
      </c>
      <c r="E49" s="70" t="n"/>
      <c r="F49" s="69" t="n"/>
    </row>
    <row r="50" ht="28" customHeight="1">
      <c r="B50" s="12" t="inlineStr">
        <is>
          <t>Actions were explained in understandable, jargon-free language</t>
        </is>
      </c>
      <c r="C50" s="79" t="inlineStr">
        <is>
          <t>Partial</t>
        </is>
      </c>
      <c r="D50" s="12" t="inlineStr">
        <is>
          <t>Inconsistent terminology (site / server / web UI / router); jargon and unclear phrasing.</t>
        </is>
      </c>
      <c r="E50" s="70" t="n"/>
      <c r="F50" s="69" t="n"/>
    </row>
    <row r="51" ht="28" customHeight="1">
      <c r="B51" s="14" t="inlineStr">
        <is>
          <t>Questions were purposeful (no repetitive questioning)</t>
        </is>
      </c>
      <c r="C51" s="79" t="inlineStr">
        <is>
          <t>Missed</t>
        </is>
      </c>
      <c r="D51" s="14" t="inlineStr">
        <is>
          <t>Repetitive questioning and repeated reset guidance already addressed by the customer.</t>
        </is>
      </c>
      <c r="E51" s="70" t="n"/>
      <c r="F51" s="69" t="n"/>
    </row>
    <row r="52" ht="28" customHeight="1">
      <c r="B52" s="12" t="inlineStr">
        <is>
          <t>Customer understanding was confirmed at key points</t>
        </is>
      </c>
      <c r="C52" s="79" t="inlineStr">
        <is>
          <t>Partial</t>
        </is>
      </c>
      <c r="D52" s="12" t="inlineStr">
        <is>
          <t>Some confirmation, but customer understanding clearly broke down (had to re-explain computer IP vs router IP).</t>
        </is>
      </c>
      <c r="E52" s="70" t="n"/>
      <c r="F52" s="69" t="n"/>
    </row>
    <row r="53" ht="28" customHeight="1">
      <c r="B53" s="14" t="inlineStr">
        <is>
          <t>Clear transitions between troubleshooting steps; effective time management</t>
        </is>
      </c>
      <c r="C53" s="79" t="inlineStr">
        <is>
          <t>Missed</t>
        </is>
      </c>
      <c r="D53" s="14" t="inlineStr">
        <is>
          <t>45-minute call with little progress; two holds (00:09:20-00:13:02, 00:22:50-00:23:55) with no hold-time estimate.</t>
        </is>
      </c>
      <c r="E53" s="70" t="n"/>
      <c r="F53" s="69" t="n"/>
    </row>
    <row r="54" ht="28" customHeight="1">
      <c r="B54" s="12" t="inlineStr">
        <is>
          <t>Difficult moments were managed professionally</t>
        </is>
      </c>
      <c r="C54" s="79" t="inlineStr">
        <is>
          <t>Met</t>
        </is>
      </c>
      <c r="D54" s="12" t="inlineStr">
        <is>
          <t>Remained polite and patient throughout, even as the customer grew frustrated.</t>
        </is>
      </c>
      <c r="E54" s="70" t="n"/>
      <c r="F54" s="69" t="n"/>
    </row>
    <row r="55" ht="28" customHeight="1">
      <c r="B55" s="14" t="inlineStr">
        <is>
          <t>Communication adapted to the customer's accessibility needs (hearing, vision, age)</t>
        </is>
      </c>
      <c r="C55" s="79" t="inlineStr">
        <is>
          <t>N.A.</t>
        </is>
      </c>
      <c r="D55" s="14" t="inlineStr">
        <is>
          <t>No accessibility need indicated.</t>
        </is>
      </c>
      <c r="E55" s="70" t="n"/>
      <c r="F55" s="69" t="n"/>
    </row>
    <row r="56" ht="28" customHeight="1">
      <c r="B56" s="15" t="inlineStr">
        <is>
          <t>⚠ High performance: customer always knows what is happening and the agent drives the call confidently. One instruction at a time for customers who need it.</t>
        </is>
      </c>
      <c r="C56" s="70" t="n"/>
      <c r="D56" s="70" t="n"/>
      <c r="E56" s="70" t="n"/>
      <c r="F56" s="69" t="n"/>
    </row>
    <row r="57">
      <c r="B57" s="16" t="inlineStr">
        <is>
          <t>Suggested score (auto from indicators — advisory only; evaluator judgment prevails)</t>
        </is>
      </c>
      <c r="C57" s="17">
        <f>IF((COUNTIF(C48:C55,"Met")+COUNTIF(C48:C55,"Partial")+COUNTIF(C48:C55,"Missed"))=0,"",ROUND((COUNTIF(C48:C55,"Met")*5+COUNTIF(C48:C55,"Partial")*2.5)/(COUNTIF(C48:C55,"Met")+COUNTIF(C48:C55,"Partial")+COUNTIF(C48:C55,"Missed")),1))</f>
        <v/>
      </c>
      <c r="D57" s="18" t="inlineStr"/>
      <c r="E57" s="70" t="n"/>
      <c r="F57" s="69" t="n"/>
    </row>
    <row r="58" ht="24" customHeight="1">
      <c r="B58" s="19" t="inlineStr">
        <is>
          <t>FINAL CATEGORY SCORE (0–5)</t>
        </is>
      </c>
      <c r="C58" s="20" t="n">
        <v>2</v>
      </c>
      <c r="D58" s="21">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58" s="70" t="n"/>
      <c r="F58" s="69" t="n"/>
    </row>
    <row r="59" ht="36" customHeight="1">
      <c r="B59" s="19" t="inlineStr">
        <is>
          <t>Category comments / coaching notes</t>
        </is>
      </c>
      <c r="C59" s="7" t="inlineStr">
        <is>
          <t>Politeness was a genuine strength; clarity and call control were not. Inconsistent terms and repetition prolonged a call that did not advance.</t>
        </is>
      </c>
      <c r="D59" s="70" t="n"/>
      <c r="E59" s="70" t="n"/>
      <c r="F59" s="69" t="n"/>
    </row>
    <row r="61" ht="18" customHeight="1">
      <c r="B61" s="125" t="inlineStr">
        <is>
          <t>4. CUSTOMER OWNERSHIP</t>
        </is>
      </c>
      <c r="C61" s="67" t="n"/>
      <c r="D61" s="67" t="n"/>
      <c r="E61" s="68" t="n"/>
      <c r="F61" s="9" t="inlineStr">
        <is>
          <t>Weight: 15%</t>
        </is>
      </c>
    </row>
    <row r="62" ht="28" customHeight="1">
      <c r="B62" s="10" t="inlineStr">
        <is>
          <t>Objective: Measure the degree to which the agent accepted responsibility for moving the customer forward.</t>
        </is>
      </c>
      <c r="C62" s="70" t="n"/>
      <c r="D62" s="70" t="n"/>
      <c r="E62" s="70" t="n"/>
      <c r="F62" s="69" t="n"/>
    </row>
    <row r="63">
      <c r="B63" s="4" t="inlineStr">
        <is>
          <t>Behavioral Indicator</t>
        </is>
      </c>
      <c r="C63" s="11" t="inlineStr">
        <is>
          <t>Assessment</t>
        </is>
      </c>
      <c r="D63" s="4" t="inlineStr">
        <is>
          <t>Evidence / Observation (quote or timestamp where possible)</t>
        </is>
      </c>
      <c r="E63" s="70" t="n"/>
      <c r="F63" s="69" t="n"/>
    </row>
    <row r="64" ht="28" customHeight="1">
      <c r="B64" s="12" t="inlineStr">
        <is>
          <t>Agent demonstrated accountability for the customer's outcome</t>
        </is>
      </c>
      <c r="C64" s="79" t="inlineStr">
        <is>
          <t>Partial</t>
        </is>
      </c>
      <c r="D64" s="12" t="inlineStr">
        <is>
          <t>Took some accountability by ultimately escalating, but initially deflected to 'a team that manages that' and 'wait 24h and call back'.</t>
        </is>
      </c>
      <c r="E64" s="70" t="n"/>
      <c r="F64" s="69" t="n"/>
    </row>
    <row r="65" ht="28" customHeight="1">
      <c r="B65" s="14" t="inlineStr">
        <is>
          <t>Unnecessary transfers were avoided</t>
        </is>
      </c>
      <c r="C65" s="79" t="inlineStr">
        <is>
          <t>Met</t>
        </is>
      </c>
      <c r="D65" s="14" t="inlineStr">
        <is>
          <t>The L2 escalation was warranted, not an unnecessary transfer.</t>
        </is>
      </c>
      <c r="E65" s="70" t="n"/>
      <c r="F65" s="69" t="n"/>
    </row>
    <row r="66" ht="28" customHeight="1">
      <c r="B66" s="12" t="inlineStr">
        <is>
          <t>Commitments made during the interaction were followed through</t>
        </is>
      </c>
      <c r="C66" s="79" t="inlineStr">
        <is>
          <t>Met</t>
        </is>
      </c>
      <c r="D66" s="12" t="inlineStr">
        <is>
          <t>Created the L2 ticket and set the 24h callback commitment, which L2 acted on the same day.</t>
        </is>
      </c>
      <c r="E66" s="70" t="n"/>
      <c r="F66" s="69" t="n"/>
    </row>
    <row r="67" ht="28" customHeight="1">
      <c r="B67" s="14" t="inlineStr">
        <is>
          <t>A clear path forward was created for the customer</t>
        </is>
      </c>
      <c r="C67" s="79" t="inlineStr">
        <is>
          <t>Partial</t>
        </is>
      </c>
      <c r="D67" s="14" t="inlineStr">
        <is>
          <t>Path forward existed (escalation) but was reactive and initially framed as 'wait', not a driven plan.</t>
        </is>
      </c>
      <c r="E67" s="70" t="n"/>
      <c r="F67" s="69" t="n"/>
    </row>
    <row r="68" ht="28" customHeight="1">
      <c r="B68" s="12" t="inlineStr">
        <is>
          <t>Next actions were documented</t>
        </is>
      </c>
      <c r="C68" s="79" t="inlineStr">
        <is>
          <t>Met</t>
        </is>
      </c>
      <c r="D68" s="12" t="inlineStr">
        <is>
          <t>Ticket LTS00131695 logged with callback to number on file.</t>
        </is>
      </c>
      <c r="E68" s="70" t="n"/>
      <c r="F68" s="69" t="n"/>
    </row>
    <row r="69" ht="28" customHeight="1">
      <c r="B69" s="14" t="inlineStr">
        <is>
          <t>Realistic expectations were set</t>
        </is>
      </c>
      <c r="C69" s="79" t="inlineStr">
        <is>
          <t>Partial</t>
        </is>
      </c>
      <c r="D69" s="14" t="inlineStr">
        <is>
          <t>24h callback was realistic; 'wait for server/maintenance' was not a sound expectation.</t>
        </is>
      </c>
      <c r="E69" s="70" t="n"/>
      <c r="F69" s="69" t="n"/>
    </row>
    <row r="70" ht="28" customHeight="1">
      <c r="B70" s="12" t="inlineStr">
        <is>
          <t>Disconnect follow-up completed (callback / email / note) — mark N.A. if no disconnect</t>
        </is>
      </c>
      <c r="C70" s="79" t="inlineStr">
        <is>
          <t>N.A.</t>
        </is>
      </c>
      <c r="D70" s="12" t="inlineStr">
        <is>
          <t>Call did not disconnect; ended with agreed escalation.</t>
        </is>
      </c>
      <c r="E70" s="70" t="n"/>
      <c r="F70" s="69" t="n"/>
    </row>
    <row r="71" ht="28" customHeight="1">
      <c r="B71" s="14" t="inlineStr">
        <is>
          <t>Callback commitments were met within the agreed window (or proactively renegotiated before it lapsed)</t>
        </is>
      </c>
      <c r="C71" s="79" t="inlineStr">
        <is>
          <t>N.A.</t>
        </is>
      </c>
      <c r="D71" s="14" t="inlineStr">
        <is>
          <t>Callback ownership sat with L2 (Paulo Real), who attempted same day - see Touches 2-3.</t>
        </is>
      </c>
      <c r="E71" s="70" t="n"/>
      <c r="F71" s="69" t="n"/>
    </row>
    <row r="72" ht="28" customHeight="1">
      <c r="B72" s="15" t="inlineStr">
        <is>
          <t>⚠ Automatic deductions: no documented follow-up after disconnect; unclear next steps; passing responsibility without context; failure to complete promised actions; missed or late callbacks without proactive renegotiation.</t>
        </is>
      </c>
      <c r="C72" s="70" t="n"/>
      <c r="D72" s="70" t="n"/>
      <c r="E72" s="70" t="n"/>
      <c r="F72" s="69" t="n"/>
    </row>
    <row r="73">
      <c r="B73" s="16" t="inlineStr">
        <is>
          <t>Suggested score (auto from indicators — advisory only; evaluator judgment prevails)</t>
        </is>
      </c>
      <c r="C73" s="17">
        <f>IF((COUNTIF(C64:C71,"Met")+COUNTIF(C64:C71,"Partial")+COUNTIF(C64:C71,"Missed"))=0,"",ROUND((COUNTIF(C64:C71,"Met")*5+COUNTIF(C64:C71,"Partial")*2.5)/(COUNTIF(C64:C71,"Met")+COUNTIF(C64:C71,"Partial")+COUNTIF(C64:C71,"Missed")),1))</f>
        <v/>
      </c>
      <c r="D73" s="18" t="inlineStr"/>
      <c r="E73" s="70" t="n"/>
      <c r="F73" s="69" t="n"/>
    </row>
    <row r="74" ht="24" customHeight="1">
      <c r="B74" s="19" t="inlineStr">
        <is>
          <t>FINAL CATEGORY SCORE (0–5)</t>
        </is>
      </c>
      <c r="C74" s="20" t="n">
        <v>2</v>
      </c>
      <c r="D74" s="21">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74" s="70" t="n"/>
      <c r="F74" s="69" t="n"/>
    </row>
    <row r="75" ht="36" customHeight="1">
      <c r="B75" s="19" t="inlineStr">
        <is>
          <t>Category comments / coaching notes</t>
        </is>
      </c>
      <c r="C75" s="7" t="inlineStr">
        <is>
          <t>Ownership was present but reactive - the customer had to ask repeatedly before escalation. Proactive recognition of business impact (20-30 routers down) was the missing behavior.</t>
        </is>
      </c>
      <c r="D75" s="70" t="n"/>
      <c r="E75" s="70" t="n"/>
      <c r="F75" s="69" t="n"/>
    </row>
    <row r="77" ht="18" customHeight="1">
      <c r="B77" s="125" t="inlineStr">
        <is>
          <t>5. ESCALATION JUDGMENT</t>
        </is>
      </c>
      <c r="C77" s="67" t="n"/>
      <c r="D77" s="67" t="n"/>
      <c r="E77" s="68" t="n"/>
      <c r="F77" s="9" t="inlineStr">
        <is>
          <t>Weight: 10%</t>
        </is>
      </c>
    </row>
    <row r="78" ht="28" customHeight="1">
      <c r="B78" s="10" t="inlineStr">
        <is>
          <t>Objective: Determine whether escalation decisions were appropriate — including UPWARD escalations the customer requested (management, complaint, legal). Mark all N.A. if no escalation was involved and none was warranted.</t>
        </is>
      </c>
      <c r="C78" s="70" t="n"/>
      <c r="D78" s="70" t="n"/>
      <c r="E78" s="70" t="n"/>
      <c r="F78" s="69" t="n"/>
    </row>
    <row r="79">
      <c r="B79" s="4" t="inlineStr">
        <is>
          <t>Behavioral Indicator</t>
        </is>
      </c>
      <c r="C79" s="11" t="inlineStr">
        <is>
          <t>Assessment</t>
        </is>
      </c>
      <c r="D79" s="4" t="inlineStr">
        <is>
          <t>Evidence / Observation (quote or timestamp where possible)</t>
        </is>
      </c>
      <c r="E79" s="70" t="n"/>
      <c r="F79" s="69" t="n"/>
    </row>
    <row r="80" ht="28" customHeight="1">
      <c r="B80" s="12" t="inlineStr">
        <is>
          <t>Reasonable troubleshooting was completed before escalating</t>
        </is>
      </c>
      <c r="C80" s="79" t="inlineStr">
        <is>
          <t>Partial</t>
        </is>
      </c>
      <c r="D80" s="12" t="inlineStr">
        <is>
          <t>Some troubleshooting preceded escalation, but it was limited/misaligned.</t>
        </is>
      </c>
      <c r="E80" s="70" t="n"/>
      <c r="F80" s="69" t="n"/>
    </row>
    <row r="81" ht="28" customHeight="1">
      <c r="B81" s="14" t="inlineStr">
        <is>
          <t>Legitimate escalation criteria were identified (incl. complaint / management / legal-risk triggers)</t>
        </is>
      </c>
      <c r="C81" s="79" t="inlineStr">
        <is>
          <t>Met</t>
        </is>
      </c>
      <c r="D81" s="14" t="inlineStr">
        <is>
          <t>Legitimate criteria: widespread, reproducible, frontline troubleshooting insufficient - escalation justified.</t>
        </is>
      </c>
      <c r="E81" s="70" t="n"/>
      <c r="F81" s="69" t="n"/>
    </row>
    <row r="82" ht="28" customHeight="1">
      <c r="B82" s="12" t="inlineStr">
        <is>
          <t>Escalation contained complete, useful details (logs, findings, steps tried)</t>
        </is>
      </c>
      <c r="C82" s="79" t="inlineStr">
        <is>
          <t>Partial</t>
        </is>
      </c>
      <c r="D82" s="12" t="inlineStr">
        <is>
          <t>Handoff likely carried the incorrect 'server-side' framing; risk of misdirecting L2.</t>
        </is>
      </c>
      <c r="E82" s="70" t="n"/>
      <c r="F82" s="69" t="n"/>
    </row>
    <row r="83" ht="28" customHeight="1">
      <c r="B83" s="14" t="inlineStr">
        <is>
          <t>Correct escalation path was chosen</t>
        </is>
      </c>
      <c r="C83" s="79" t="inlineStr">
        <is>
          <t>Met</t>
        </is>
      </c>
      <c r="D83" s="14" t="inlineStr">
        <is>
          <t>L2 was the correct path for a widespread/known-incident issue.</t>
        </is>
      </c>
      <c r="E83" s="70" t="n"/>
      <c r="F83" s="69" t="n"/>
    </row>
    <row r="84" ht="28" customHeight="1">
      <c r="B84" s="12" t="inlineStr">
        <is>
          <t>Customer expectations about the escalation were set appropriately</t>
        </is>
      </c>
      <c r="C84" s="79" t="inlineStr">
        <is>
          <t>Partial</t>
        </is>
      </c>
      <c r="D84" s="12" t="inlineStr">
        <is>
          <t>24h callback expectation set, but only after the customer pressed and without explaining urgency.</t>
        </is>
      </c>
      <c r="E84" s="70" t="n"/>
      <c r="F84" s="69" t="n"/>
    </row>
    <row r="85" ht="28" customHeight="1">
      <c r="B85" s="15" t="inlineStr">
        <is>
          <t>⚠ Low score: premature, avoidable, poorly documented, used as a substitute for troubleshooting — or a warranted escalation (incl. a customer's management request) that was NOT made.</t>
        </is>
      </c>
      <c r="C85" s="70" t="n"/>
      <c r="D85" s="70" t="n"/>
      <c r="E85" s="70" t="n"/>
      <c r="F85" s="69" t="n"/>
    </row>
    <row r="86">
      <c r="B86" s="16" t="inlineStr">
        <is>
          <t>Suggested score (auto from indicators — advisory only; evaluator judgment prevails)</t>
        </is>
      </c>
      <c r="C86" s="17">
        <f>IF((COUNTIF(C80:C84,"Met")+COUNTIF(C80:C84,"Partial")+COUNTIF(C80:C84,"Missed"))=0,"",ROUND((COUNTIF(C80:C84,"Met")*5+COUNTIF(C80:C84,"Partial")*2.5)/(COUNTIF(C80:C84,"Met")+COUNTIF(C80:C84,"Partial")+COUNTIF(C80:C84,"Missed")),1))</f>
        <v/>
      </c>
      <c r="D86" s="18" t="inlineStr"/>
      <c r="E86" s="70" t="n"/>
      <c r="F86" s="69" t="n"/>
    </row>
    <row r="87" ht="24" customHeight="1">
      <c r="B87" s="19" t="inlineStr">
        <is>
          <t>FINAL CATEGORY SCORE (0–5)</t>
        </is>
      </c>
      <c r="C87" s="20" t="n">
        <v>3</v>
      </c>
      <c r="D87" s="21">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87" s="70" t="n"/>
      <c r="F87" s="69" t="n"/>
    </row>
    <row r="88" ht="36" customHeight="1">
      <c r="B88" s="19" t="inlineStr">
        <is>
          <t>Category comments / coaching notes</t>
        </is>
      </c>
      <c r="C88" s="7" t="inlineStr">
        <is>
          <t>The DECISION to escalate was correct; the TIMING (customer-driven, late) and the misframed technical narrative passed forward were the weaknesses.</t>
        </is>
      </c>
      <c r="D88" s="70" t="n"/>
      <c r="E88" s="70" t="n"/>
      <c r="F88" s="69" t="n"/>
    </row>
    <row r="90" ht="18" customHeight="1">
      <c r="B90" s="125" t="inlineStr">
        <is>
          <t>6. CUSTOMER EXPERIENCE</t>
        </is>
      </c>
      <c r="C90" s="67" t="n"/>
      <c r="D90" s="67" t="n"/>
      <c r="E90" s="68" t="n"/>
      <c r="F90" s="9" t="inlineStr">
        <is>
          <t>Weight: 5%</t>
        </is>
      </c>
    </row>
    <row r="91" ht="28" customHeight="1">
      <c r="B91" s="10" t="inlineStr">
        <is>
          <t>Objective: Measure the overall customer experience delivered during the interaction.</t>
        </is>
      </c>
      <c r="C91" s="70" t="n"/>
      <c r="D91" s="70" t="n"/>
      <c r="E91" s="70" t="n"/>
      <c r="F91" s="69" t="n"/>
    </row>
    <row r="92">
      <c r="B92" s="4" t="inlineStr">
        <is>
          <t>Behavioral Indicator</t>
        </is>
      </c>
      <c r="C92" s="11" t="inlineStr">
        <is>
          <t>Assessment</t>
        </is>
      </c>
      <c r="D92" s="4" t="inlineStr">
        <is>
          <t>Evidence / Observation (quote or timestamp where possible)</t>
        </is>
      </c>
      <c r="E92" s="70" t="n"/>
      <c r="F92" s="69" t="n"/>
    </row>
    <row r="93" ht="28" customHeight="1">
      <c r="B93" s="12" t="inlineStr">
        <is>
          <t>Empathy was demonstrated (incl. acknowledging cumulative effort and fatigue on repeat contacts)</t>
        </is>
      </c>
      <c r="C93" s="79" t="inlineStr">
        <is>
          <t>Partial</t>
        </is>
      </c>
      <c r="D93" s="12" t="inlineStr">
        <is>
          <t>Polite but did not acknowledge the operational urgency/business impact the customer stressed.</t>
        </is>
      </c>
      <c r="E93" s="70" t="n"/>
      <c r="F93" s="69" t="n"/>
    </row>
    <row r="94" ht="28" customHeight="1">
      <c r="B94" s="14" t="inlineStr">
        <is>
          <t>Professionalism was maintained throughout</t>
        </is>
      </c>
      <c r="C94" s="79" t="inlineStr">
        <is>
          <t>Met</t>
        </is>
      </c>
      <c r="D94" s="14" t="inlineStr">
        <is>
          <t>Professional and courteous throughout.</t>
        </is>
      </c>
      <c r="E94" s="70" t="n"/>
      <c r="F94" s="69" t="n"/>
    </row>
    <row r="95" ht="28" customHeight="1">
      <c r="B95" s="12" t="inlineStr">
        <is>
          <t>Communication style was adapted to the customer</t>
        </is>
      </c>
      <c r="C95" s="79" t="inlineStr">
        <is>
          <t>Missed</t>
        </is>
      </c>
      <c r="D95" s="12" t="inlineStr">
        <is>
          <t>Did not adapt to a clearly technical customer; kept offering basics he had ruled out.</t>
        </is>
      </c>
      <c r="E95" s="70" t="n"/>
      <c r="F95" s="69" t="n"/>
    </row>
    <row r="96" ht="28" customHeight="1">
      <c r="B96" s="14" t="inlineStr">
        <is>
          <t>Patience was maintained, even under pressure</t>
        </is>
      </c>
      <c r="C96" s="79" t="inlineStr">
        <is>
          <t>Met</t>
        </is>
      </c>
      <c r="D96" s="14" t="inlineStr">
        <is>
          <t>Patient despite repetition and customer frustration.</t>
        </is>
      </c>
      <c r="E96" s="70" t="n"/>
      <c r="F96" s="69" t="n"/>
    </row>
    <row r="97" ht="28" customHeight="1">
      <c r="B97" s="12" t="inlineStr">
        <is>
          <t>Customer effort was reduced where possible</t>
        </is>
      </c>
      <c r="C97" s="79" t="inlineStr">
        <is>
          <t>Missed</t>
        </is>
      </c>
      <c r="D97" s="12" t="inlineStr">
        <is>
          <t>Increased customer effort - he had to repeat the issue and prior steps multiple times.</t>
        </is>
      </c>
      <c r="E97" s="70" t="n"/>
      <c r="F97" s="69" t="n"/>
    </row>
    <row r="98" ht="28" customHeight="1">
      <c r="B98" s="14" t="inlineStr">
        <is>
          <t>Customer felt heard, understood next steps, and remained engaged</t>
        </is>
      </c>
      <c r="C98" s="79" t="inlineStr">
        <is>
          <t>Missed</t>
        </is>
      </c>
      <c r="D98" s="14" t="inlineStr">
        <is>
          <t>Customer did not feel heard; had to directly demand escalation to move forward.</t>
        </is>
      </c>
      <c r="E98" s="70" t="n"/>
      <c r="F98" s="69" t="n"/>
    </row>
    <row r="99" ht="28" customHeight="1">
      <c r="B99" s="15" t="inlineStr">
        <is>
          <t>⚠ Negative indicators: dismissive responses; robotic interactions; frustration escalation caused by agent behavior; marathon sessions pushed onto vulnerable customers without offering to pause and resume.</t>
        </is>
      </c>
      <c r="C99" s="70" t="n"/>
      <c r="D99" s="70" t="n"/>
      <c r="E99" s="70" t="n"/>
      <c r="F99" s="69" t="n"/>
    </row>
    <row r="100">
      <c r="B100" s="16" t="inlineStr">
        <is>
          <t>Suggested score (auto from indicators — advisory only; evaluator judgment prevails)</t>
        </is>
      </c>
      <c r="C100" s="17">
        <f>IF((COUNTIF(C93:C98,"Met")+COUNTIF(C93:C98,"Partial")+COUNTIF(C93:C98,"Missed"))=0,"",ROUND((COUNTIF(C93:C98,"Met")*5+COUNTIF(C93:C98,"Partial")*2.5)/(COUNTIF(C93:C98,"Met")+COUNTIF(C93:C98,"Partial")+COUNTIF(C93:C98,"Missed")),1))</f>
        <v/>
      </c>
      <c r="D100" s="18" t="inlineStr"/>
      <c r="E100" s="70" t="n"/>
      <c r="F100" s="69" t="n"/>
    </row>
    <row r="101" ht="24" customHeight="1">
      <c r="B101" s="19" t="inlineStr">
        <is>
          <t>FINAL CATEGORY SCORE (0–5)</t>
        </is>
      </c>
      <c r="C101" s="20" t="n">
        <v>2</v>
      </c>
      <c r="D101" s="21">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01" s="70" t="n"/>
      <c r="F101" s="69" t="n"/>
    </row>
    <row r="102" ht="36" customHeight="1">
      <c r="B102" s="19" t="inlineStr">
        <is>
          <t>Category comments / coaching notes</t>
        </is>
      </c>
      <c r="C102" s="7" t="inlineStr">
        <is>
          <t>Professional tone could not offset the effort and frustration created by weak listening and circular troubleshooting.</t>
        </is>
      </c>
      <c r="D102" s="70" t="n"/>
      <c r="E102" s="70" t="n"/>
      <c r="F102" s="69" t="n"/>
    </row>
    <row r="104" ht="18" customHeight="1">
      <c r="B104" s="125" t="inlineStr">
        <is>
          <t>7. DOCUMENTATION &amp; NOTES</t>
        </is>
      </c>
      <c r="C104" s="67" t="n"/>
      <c r="D104" s="67" t="n"/>
      <c r="E104" s="68" t="n"/>
      <c r="F104" s="9" t="inlineStr">
        <is>
          <t>Weight: 5%</t>
        </is>
      </c>
    </row>
    <row r="105" ht="28" customHeight="1">
      <c r="B105" s="10" t="inlineStr">
        <is>
          <t>Objective: Ensure future agents can quickly understand the case. Purpose is continuity, not compliance.</t>
        </is>
      </c>
      <c r="C105" s="70" t="n"/>
      <c r="D105" s="70" t="n"/>
      <c r="E105" s="70" t="n"/>
      <c r="F105" s="69" t="n"/>
    </row>
    <row r="106">
      <c r="B106" s="4" t="inlineStr">
        <is>
          <t>Behavioral Indicator</t>
        </is>
      </c>
      <c r="C106" s="11" t="inlineStr">
        <is>
          <t>Assessment</t>
        </is>
      </c>
      <c r="D106" s="4" t="inlineStr">
        <is>
          <t>Evidence / Observation (quote or timestamp where possible)</t>
        </is>
      </c>
      <c r="E106" s="70" t="n"/>
      <c r="F106" s="69" t="n"/>
    </row>
    <row r="107" ht="28" customHeight="1">
      <c r="B107" s="12" t="inlineStr">
        <is>
          <t>Customer issue summary recorded</t>
        </is>
      </c>
      <c r="C107" s="79" t="inlineStr">
        <is>
          <t>Partial</t>
        </is>
      </c>
      <c r="D107" s="12" t="inlineStr">
        <is>
          <t>Issue captured but framed inaccurately (server-side vs local).</t>
        </is>
      </c>
      <c r="E107" s="70" t="n"/>
      <c r="F107" s="69" t="n"/>
    </row>
    <row r="108" ht="28" customHeight="1">
      <c r="B108" s="14" t="inlineStr">
        <is>
          <t>Troubleshooting performed is documented</t>
        </is>
      </c>
      <c r="C108" s="79" t="inlineStr">
        <is>
          <t>Partial</t>
        </is>
      </c>
      <c r="D108" s="14" t="inlineStr">
        <is>
          <t>Steps attempted are recorded but thinly.</t>
        </is>
      </c>
      <c r="E108" s="70" t="n"/>
      <c r="F108" s="69" t="n"/>
    </row>
    <row r="109" ht="28" customHeight="1">
      <c r="B109" s="12" t="inlineStr">
        <is>
          <t>Key findings / discoveries noted</t>
        </is>
      </c>
      <c r="C109" s="79" t="inlineStr">
        <is>
          <t>Partial</t>
        </is>
      </c>
      <c r="D109" s="12" t="inlineStr">
        <is>
          <t>Key customer-provided facts (offline repro, 20-30 routers, post-reset) under-captured.</t>
        </is>
      </c>
      <c r="E109" s="70" t="n"/>
      <c r="F109" s="69" t="n"/>
    </row>
    <row r="110" ht="28" customHeight="1">
      <c r="B110" s="14" t="inlineStr">
        <is>
          <t>Agent reasoning is captured</t>
        </is>
      </c>
      <c r="C110" s="79" t="inlineStr">
        <is>
          <t>Partial</t>
        </is>
      </c>
      <c r="D110" s="14" t="inlineStr">
        <is>
          <t>Reasoning present but built on the wrong diagnosis.</t>
        </is>
      </c>
      <c r="E110" s="70" t="n"/>
      <c r="F110" s="69" t="n"/>
    </row>
    <row r="111" ht="28" customHeight="1">
      <c r="B111" s="12" t="inlineStr">
        <is>
          <t>Escalation justification included — mark N.A. if no escalation</t>
        </is>
      </c>
      <c r="C111" s="79" t="inlineStr">
        <is>
          <t>Partial</t>
        </is>
      </c>
      <c r="D111" s="12" t="inlineStr">
        <is>
          <t>Escalation noted; rationale would carry the misframing.</t>
        </is>
      </c>
      <c r="E111" s="70" t="n"/>
      <c r="F111" s="69" t="n"/>
    </row>
    <row r="112" ht="28" customHeight="1">
      <c r="B112" s="14" t="inlineStr">
        <is>
          <t>Next steps and follow-up actions listed (incl. callback records)</t>
        </is>
      </c>
      <c r="C112" s="79" t="inlineStr">
        <is>
          <t>Met</t>
        </is>
      </c>
      <c r="D112" s="14" t="inlineStr">
        <is>
          <t>Ticket LTS00131695 and 24h callback to number on file recorded.</t>
        </is>
      </c>
      <c r="E112" s="70" t="n"/>
      <c r="F112" s="69" t="n"/>
    </row>
    <row r="113" ht="28" customHeight="1">
      <c r="B113" s="12" t="inlineStr">
        <is>
          <t>Ticket status accurately reflects case state (no premature RESOLVED; closure reason documented)</t>
        </is>
      </c>
      <c r="C113" s="79" t="inlineStr">
        <is>
          <t>Missed</t>
        </is>
      </c>
      <c r="D113" s="12" t="inlineStr">
        <is>
          <t>Warranty mistagged IN WARRANTY vs OOW (exp Aug 15, 2025); case later shows RESOLVED while issue is unresolved.</t>
        </is>
      </c>
      <c r="E113" s="70" t="n"/>
      <c r="F113" s="69" t="n"/>
    </row>
    <row r="114" ht="28" customHeight="1">
      <c r="B114" s="15" t="inlineStr">
        <is>
          <t>⚠ Documentation supports outcomes but should not outweigh troubleshooting quality, communication, or ownership. Notes must carry the FULL history — including pre-ticket contacts — so no agent treats a long-running case as new.</t>
        </is>
      </c>
      <c r="C114" s="70" t="n"/>
      <c r="D114" s="70" t="n"/>
      <c r="E114" s="70" t="n"/>
      <c r="F114" s="69" t="n"/>
    </row>
    <row r="115">
      <c r="B115" s="16" t="inlineStr">
        <is>
          <t>Suggested score (auto from indicators — advisory only; evaluator judgment prevails)</t>
        </is>
      </c>
      <c r="C115" s="17">
        <f>IF((COUNTIF(C107:C113,"Met")+COUNTIF(C107:C113,"Partial")+COUNTIF(C107:C113,"Missed"))=0,"",ROUND((COUNTIF(C107:C113,"Met")*5+COUNTIF(C107:C113,"Partial")*2.5)/(COUNTIF(C107:C113,"Met")+COUNTIF(C107:C113,"Partial")+COUNTIF(C107:C113,"Missed")),1))</f>
        <v/>
      </c>
      <c r="D115" s="18" t="inlineStr"/>
      <c r="E115" s="70" t="n"/>
      <c r="F115" s="69" t="n"/>
    </row>
    <row r="116" ht="24" customHeight="1">
      <c r="B116" s="19" t="inlineStr">
        <is>
          <t>FINAL CATEGORY SCORE (0–5)</t>
        </is>
      </c>
      <c r="C116" s="20" t="n">
        <v>2</v>
      </c>
      <c r="D116" s="21">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16" s="70" t="n"/>
      <c r="F116" s="69" t="n"/>
    </row>
    <row r="117" ht="36" customHeight="1">
      <c r="B117" s="19" t="inlineStr">
        <is>
          <t>Category comments / coaching notes</t>
        </is>
      </c>
      <c r="C117" s="7" t="inlineStr">
        <is>
          <t>Continuity-usable notes exist (ticket + callback), but the warranty mistag and inaccurate problem framing reduce their reliability for the next agent.</t>
        </is>
      </c>
      <c r="D117" s="70" t="n"/>
      <c r="E117" s="70" t="n"/>
      <c r="F117" s="69" t="n"/>
    </row>
    <row r="119">
      <c r="B119" s="8" t="inlineStr">
        <is>
          <t>3 · SCORE SUMMARY</t>
        </is>
      </c>
      <c r="C119" s="67" t="n"/>
      <c r="D119" s="67" t="n"/>
      <c r="E119" s="67" t="n"/>
      <c r="F119" s="68" t="n"/>
    </row>
    <row r="120">
      <c r="B120" s="118" t="inlineStr">
        <is>
          <t>Category</t>
        </is>
      </c>
      <c r="C120" s="118" t="inlineStr">
        <is>
          <t>Weight</t>
        </is>
      </c>
      <c r="D120" s="118" t="inlineStr">
        <is>
          <t>Score (0-5)</t>
        </is>
      </c>
      <c r="E120" s="118" t="inlineStr">
        <is>
          <t>Weighted</t>
        </is>
      </c>
      <c r="F120" s="118" t="inlineStr">
        <is>
          <t>Band</t>
        </is>
      </c>
    </row>
    <row r="121">
      <c r="B121" s="23" t="inlineStr">
        <is>
          <t>Resolution / Progress Toward Resolution</t>
        </is>
      </c>
      <c r="C121" s="24" t="n">
        <v>0.3</v>
      </c>
      <c r="D121" s="25">
        <f>C27</f>
        <v/>
      </c>
      <c r="E121" s="83">
        <f>IF(D121="","",(D121/5)*C121)</f>
        <v/>
      </c>
      <c r="F121" s="132">
        <f>IF(D121="","",IF(D121&gt;=4,"Strong",IF(D121=3,"Developing","Needs Focus")))</f>
        <v/>
      </c>
    </row>
    <row r="122">
      <c r="B122" s="28" t="inlineStr">
        <is>
          <t>Technical Accuracy</t>
        </is>
      </c>
      <c r="C122" s="29" t="n">
        <v>0.2</v>
      </c>
      <c r="D122" s="30">
        <f>C42</f>
        <v/>
      </c>
      <c r="E122" s="78">
        <f>IF(D122="","",(D122/5)*C122)</f>
        <v/>
      </c>
      <c r="F122" s="131">
        <f>IF(D122="","",IF(D122&gt;=4,"Strong",IF(D122=3,"Developing","Needs Focus")))</f>
        <v/>
      </c>
    </row>
    <row r="123">
      <c r="B123" s="23" t="inlineStr">
        <is>
          <t>Communication &amp; Call Control</t>
        </is>
      </c>
      <c r="C123" s="24" t="n">
        <v>0.15</v>
      </c>
      <c r="D123" s="25">
        <f>C58</f>
        <v/>
      </c>
      <c r="E123" s="83">
        <f>IF(D123="","",(D123/5)*C123)</f>
        <v/>
      </c>
      <c r="F123" s="132">
        <f>IF(D123="","",IF(D123&gt;=4,"Strong",IF(D123=3,"Developing","Needs Focus")))</f>
        <v/>
      </c>
    </row>
    <row r="124">
      <c r="B124" s="28" t="inlineStr">
        <is>
          <t>Customer Ownership</t>
        </is>
      </c>
      <c r="C124" s="29" t="n">
        <v>0.15</v>
      </c>
      <c r="D124" s="30">
        <f>C74</f>
        <v/>
      </c>
      <c r="E124" s="78">
        <f>IF(D124="","",(D124/5)*C124)</f>
        <v/>
      </c>
      <c r="F124" s="131">
        <f>IF(D124="","",IF(D124&gt;=4,"Strong",IF(D124=3,"Developing","Needs Focus")))</f>
        <v/>
      </c>
    </row>
    <row r="125">
      <c r="B125" s="23" t="inlineStr">
        <is>
          <t>Escalation Judgment</t>
        </is>
      </c>
      <c r="C125" s="24" t="n">
        <v>0.1</v>
      </c>
      <c r="D125" s="25">
        <f>C87</f>
        <v/>
      </c>
      <c r="E125" s="83">
        <f>IF(D125="","",(D125/5)*C125)</f>
        <v/>
      </c>
      <c r="F125" s="132">
        <f>IF(D125="","",IF(D125&gt;=4,"Strong",IF(D125=3,"Developing","Needs Focus")))</f>
        <v/>
      </c>
    </row>
    <row r="126">
      <c r="B126" s="28" t="inlineStr">
        <is>
          <t>Customer Experience</t>
        </is>
      </c>
      <c r="C126" s="29" t="n">
        <v>0.05</v>
      </c>
      <c r="D126" s="30">
        <f>C101</f>
        <v/>
      </c>
      <c r="E126" s="78">
        <f>IF(D126="","",(D126/5)*C126)</f>
        <v/>
      </c>
      <c r="F126" s="131">
        <f>IF(D126="","",IF(D126&gt;=4,"Strong",IF(D126=3,"Developing","Needs Focus")))</f>
        <v/>
      </c>
    </row>
    <row r="127">
      <c r="B127" s="23" t="inlineStr">
        <is>
          <t>Documentation &amp; Notes</t>
        </is>
      </c>
      <c r="C127" s="24" t="n">
        <v>0.05</v>
      </c>
      <c r="D127" s="25">
        <f>C116</f>
        <v/>
      </c>
      <c r="E127" s="83">
        <f>IF(D127="","",(D127/5)*C127)</f>
        <v/>
      </c>
      <c r="F127" s="132">
        <f>IF(D127="","",IF(D127&gt;=4,"Strong",IF(D127=3,"Developing","Needs Focus")))</f>
        <v/>
      </c>
    </row>
    <row r="128" ht="24" customHeight="1">
      <c r="B128" s="8" t="inlineStr">
        <is>
          <t>WEIGHTED TOTAL SCORE</t>
        </is>
      </c>
      <c r="C128" s="33">
        <f>SUM(C121:C127)</f>
        <v/>
      </c>
      <c r="D128" s="34" t="inlineStr"/>
      <c r="E128" s="35">
        <f>SUM(E121:E127)</f>
        <v/>
      </c>
      <c r="F128" s="36">
        <f>IF(E128="","",IF(E128&gt;=0.85,"MEETS / EXCEEDS",IF(E128&gt;=0.7,"DEVELOPING","NEEDS IMPROVEMENT")))</f>
        <v/>
      </c>
    </row>
    <row r="130">
      <c r="B130" s="125" t="inlineStr">
        <is>
          <t>4 · RESOLUTION OUTCOME</t>
        </is>
      </c>
      <c r="C130" s="67" t="n"/>
      <c r="D130" s="67" t="n"/>
      <c r="E130" s="67" t="n"/>
      <c r="F130" s="68" t="n"/>
    </row>
    <row r="131">
      <c r="B131" s="4" t="inlineStr">
        <is>
          <t>Outcome classification</t>
        </is>
      </c>
      <c r="C131" s="37" t="inlineStr">
        <is>
          <t>Appropriate Escalation (delayed) - issue unresolved at first contact</t>
        </is>
      </c>
      <c r="D131" s="70" t="n"/>
      <c r="E131" s="70" t="n"/>
      <c r="F131" s="69" t="n"/>
    </row>
    <row r="132">
      <c r="B132" s="6" t="inlineStr">
        <is>
          <t>Primary positive outcome achieved</t>
        </is>
      </c>
      <c r="C132" s="81" t="inlineStr">
        <is>
          <t>Valid L2 escalation submitted (ticket LTS00131695) with a 24-hour callback commitment that L2 acted on the same day.</t>
        </is>
      </c>
      <c r="D132" s="70" t="n"/>
      <c r="E132" s="70" t="n"/>
      <c r="F132" s="69" t="n"/>
    </row>
    <row r="133" ht="52" customHeight="1">
      <c r="B133" s="4" t="inlineStr">
        <is>
          <t>Justification</t>
        </is>
      </c>
      <c r="C133" s="7" t="inlineStr">
        <is>
          <t>The interaction did not resolve or meaningfully diagnose the issue, but it ended on a valid escalation path. The outcome is downgraded by misdiagnosis (local UI treated as a server outage), customer-driven/late escalation, a warranty mistag, and failure to apply the known IR Alert OLYMPUS-445.</t>
        </is>
      </c>
      <c r="D133" s="70" t="n"/>
      <c r="E133" s="70" t="n"/>
      <c r="F133" s="69" t="n"/>
    </row>
    <row r="135">
      <c r="B135" s="125" t="inlineStr">
        <is>
          <t>5 · DISCONNECTED CALL FOLLOW-UP</t>
        </is>
      </c>
      <c r="C135" s="67" t="n"/>
      <c r="D135" s="67" t="n"/>
      <c r="E135" s="67" t="n"/>
      <c r="F135" s="68" t="n"/>
    </row>
    <row r="136">
      <c r="B136" s="6" t="inlineStr">
        <is>
          <t>Did the interaction disconnect before completion?</t>
        </is>
      </c>
      <c r="C136" s="79" t="inlineStr">
        <is>
          <t>No</t>
        </is>
      </c>
      <c r="D136" s="15" t="inlineStr">
        <is>
          <t>If Yes, at least one documented follow-up action is required.</t>
        </is>
      </c>
      <c r="E136" s="70" t="n"/>
      <c r="F136" s="69" t="n"/>
    </row>
    <row r="137" ht="30" customHeight="1">
      <c r="B137" s="4" t="inlineStr">
        <is>
          <t>Follow-up action taken</t>
        </is>
      </c>
      <c r="C137" s="81" t="inlineStr">
        <is>
          <t>N.A. - no disconnect</t>
        </is>
      </c>
      <c r="D137" s="69" t="n"/>
      <c r="E137" s="38">
        <f>IF(AND(C136="Yes",OR(C137="None",C137="N.A. — no disconnect")),"⚠ MISSED OWNERSHIP OPPORTUNITY — flag in Customer Ownership and Critical Failures","OK")</f>
        <v/>
      </c>
      <c r="F137" s="69" t="n"/>
    </row>
    <row r="139">
      <c r="B139" s="121" t="inlineStr">
        <is>
          <t>6 · CRITICAL FAILURE CONDITIONS  (any 'Yes' triggers automatic review / coaching / QA failure regardless of score)</t>
        </is>
      </c>
      <c r="C139" s="67" t="n"/>
      <c r="D139" s="67" t="n"/>
      <c r="E139" s="67" t="n"/>
      <c r="F139" s="68" t="n"/>
    </row>
    <row r="140">
      <c r="B140" s="125" t="inlineStr">
        <is>
          <t>Condition</t>
        </is>
      </c>
      <c r="C140" s="118" t="inlineStr">
        <is>
          <t>Present?</t>
        </is>
      </c>
      <c r="D140" s="125" t="inlineStr">
        <is>
          <t>Notes / Evidence</t>
        </is>
      </c>
      <c r="E140" s="67" t="n"/>
      <c r="F140" s="68" t="n"/>
    </row>
    <row r="141" ht="26" customHeight="1">
      <c r="B141" s="12" t="inlineStr">
        <is>
          <t>Harmful or incorrect troubleshooting provided</t>
        </is>
      </c>
      <c r="C141" s="79" t="inlineStr">
        <is>
          <t>No</t>
        </is>
      </c>
      <c r="D141" s="12" t="inlineStr"/>
      <c r="E141" s="70" t="n"/>
      <c r="F141" s="69" t="n"/>
    </row>
    <row r="142" ht="26" customHeight="1">
      <c r="B142" s="14" t="inlineStr">
        <is>
          <t>Misrepresented product capabilities</t>
        </is>
      </c>
      <c r="C142" s="79" t="inlineStr">
        <is>
          <t>Yes</t>
        </is>
      </c>
      <c r="D142" s="14" t="inlineStr">
        <is>
          <t>Told the customer the local admin page depended on 'a team/department that manages that' and pushed the app as a substitute - misrepresents how the locally hosted web UI works.</t>
        </is>
      </c>
      <c r="E142" s="70" t="n"/>
      <c r="F142" s="69" t="n"/>
    </row>
    <row r="143" ht="26" customHeight="1">
      <c r="B143" s="12" t="inlineStr">
        <is>
          <t>Unsupported root-cause claims (e.g., ISP/customer blame w/o evidence)</t>
        </is>
      </c>
      <c r="C143" s="79" t="inlineStr">
        <is>
          <t>Yes</t>
        </is>
      </c>
      <c r="D143" s="12" t="inlineStr">
        <is>
          <t>Repeatedly claimed 'the server of the web user interface is done as of the moment' / under maintenance with no evidence, contradicting the customer's offline reproduction.</t>
        </is>
      </c>
      <c r="E143" s="70" t="n"/>
      <c r="F143" s="69" t="n"/>
    </row>
    <row r="144" ht="26" customHeight="1">
      <c r="B144" s="14" t="inlineStr">
        <is>
          <t>No follow-up after disconnected call</t>
        </is>
      </c>
      <c r="C144" s="79" t="inlineStr">
        <is>
          <t>No</t>
        </is>
      </c>
      <c r="D144" s="14" t="inlineStr"/>
      <c r="E144" s="70" t="n"/>
      <c r="F144" s="69" t="n"/>
    </row>
    <row r="145" ht="26" customHeight="1">
      <c r="B145" s="12" t="inlineStr">
        <is>
          <t>Failed to complete a promised action (incl. missed agreed callback window)</t>
        </is>
      </c>
      <c r="C145" s="79" t="inlineStr">
        <is>
          <t>No</t>
        </is>
      </c>
      <c r="D145" s="12" t="inlineStr"/>
      <c r="E145" s="70" t="n"/>
      <c r="F145" s="69" t="n"/>
    </row>
    <row r="146" ht="26" customHeight="1">
      <c r="B146" s="14" t="inlineStr">
        <is>
          <t>Abandoned customer without a path forward</t>
        </is>
      </c>
      <c r="C146" s="79" t="inlineStr">
        <is>
          <t>No</t>
        </is>
      </c>
      <c r="D146" s="14" t="inlineStr"/>
      <c r="E146" s="70" t="n"/>
      <c r="F146" s="69" t="n"/>
    </row>
    <row r="147" ht="26" customHeight="1">
      <c r="B147" s="12" t="inlineStr">
        <is>
          <t>Escalated without reasonable troubleshooting / to avoid ownership</t>
        </is>
      </c>
      <c r="C147" s="79" t="inlineStr">
        <is>
          <t>No</t>
        </is>
      </c>
      <c r="D147" s="12" t="inlineStr"/>
      <c r="E147" s="70" t="n"/>
      <c r="F147" s="69" t="n"/>
    </row>
    <row r="148" ht="26" customHeight="1">
      <c r="B148" s="14" t="inlineStr">
        <is>
          <t>Unprofessional, rude, or dismissive conduct / policy violation</t>
        </is>
      </c>
      <c r="C148" s="79" t="inlineStr">
        <is>
          <t>No</t>
        </is>
      </c>
      <c r="D148" s="14" t="inlineStr"/>
      <c r="E148" s="70" t="n"/>
      <c r="F148" s="69" t="n"/>
    </row>
    <row r="149" ht="26" customHeight="1">
      <c r="B149" s="12" t="inlineStr">
        <is>
          <t>Compliance / security violation (e.g., payment card data spoken or stored in plaintext — PCI DSS)</t>
        </is>
      </c>
      <c r="C149" s="79" t="inlineStr">
        <is>
          <t>No</t>
        </is>
      </c>
      <c r="D149" s="12" t="inlineStr"/>
      <c r="E149" s="70" t="n"/>
      <c r="F149" s="69" t="n"/>
    </row>
    <row r="150" ht="26" customHeight="1">
      <c r="B150" s="14" t="inlineStr">
        <is>
          <t>Case marked Resolved while issue known to be unresolved (premature closure / no closure reason)</t>
        </is>
      </c>
      <c r="C150" s="79" t="inlineStr">
        <is>
          <t>No</t>
        </is>
      </c>
      <c r="D150" s="14" t="inlineStr"/>
      <c r="E150" s="70" t="n"/>
      <c r="F150" s="69" t="n"/>
    </row>
    <row r="151" ht="26" customHeight="1">
      <c r="B151" s="12" t="inlineStr">
        <is>
          <t>Customer complaint, management-contact, or legal-risk request not escalated</t>
        </is>
      </c>
      <c r="C151" s="79" t="inlineStr">
        <is>
          <t>No</t>
        </is>
      </c>
      <c r="D151" s="12" t="inlineStr"/>
      <c r="E151" s="70" t="n"/>
      <c r="F151" s="69" t="n"/>
    </row>
    <row r="152">
      <c r="B152" s="121" t="inlineStr">
        <is>
          <t>CRITICAL FAILURE FLAGGED?</t>
        </is>
      </c>
      <c r="C152" s="40">
        <f>IF(COUNTIF(C141:C151,"Yes")&gt;0,"YES — "&amp;COUNTIF(C141:C151,"Yes")&amp;" condition(s) flagged — automatic review required regardless of weighted score","No critical failures")</f>
        <v/>
      </c>
      <c r="D152" s="67" t="n"/>
      <c r="E152" s="67" t="n"/>
      <c r="F152" s="68" t="n"/>
    </row>
    <row r="154">
      <c r="B154" s="8" t="inlineStr">
        <is>
          <t>7 · COACHING &amp; FEEDBACK  (every review must produce at least one actionable coaching opportunity)</t>
        </is>
      </c>
      <c r="C154" s="67" t="n"/>
      <c r="D154" s="67" t="n"/>
      <c r="E154" s="67" t="n"/>
      <c r="F154" s="68" t="n"/>
    </row>
    <row r="155">
      <c r="B155" s="125" t="inlineStr">
        <is>
          <t>WHAT WENT WELL — behaviors to repeat</t>
        </is>
      </c>
      <c r="C155" s="67" t="n"/>
      <c r="D155" s="67" t="n"/>
      <c r="E155" s="67" t="n"/>
      <c r="F155" s="68" t="n"/>
    </row>
    <row r="156" ht="32" customHeight="1">
      <c r="B156" s="11" t="inlineStr">
        <is>
          <t>1.</t>
        </is>
      </c>
      <c r="C156" s="7" t="inlineStr">
        <is>
          <t>Maintained a polite, patient, professional tone throughout a long and increasingly frustrating call.</t>
        </is>
      </c>
      <c r="D156" s="70" t="n"/>
      <c r="E156" s="70" t="n"/>
      <c r="F156" s="69" t="n"/>
    </row>
    <row r="157" ht="32" customHeight="1">
      <c r="B157" s="11" t="inlineStr">
        <is>
          <t>2.</t>
        </is>
      </c>
      <c r="C157" s="7" t="inlineStr">
        <is>
          <t>Used a sound isolation step (disconnect modem / connect computer directly) to test offline access.</t>
        </is>
      </c>
      <c r="D157" s="70" t="n"/>
      <c r="E157" s="70" t="n"/>
      <c r="F157" s="69" t="n"/>
    </row>
    <row r="158" ht="32" customHeight="1">
      <c r="B158" s="11" t="inlineStr">
        <is>
          <t>3.</t>
        </is>
      </c>
      <c r="C158" s="7" t="inlineStr">
        <is>
          <t>Ultimately created a valid L2 escalation with a documented ticket and a clear 24-hour callback commitment.</t>
        </is>
      </c>
      <c r="D158" s="70" t="n"/>
      <c r="E158" s="70" t="n"/>
      <c r="F158" s="69" t="n"/>
    </row>
    <row r="159">
      <c r="B159" s="125" t="inlineStr">
        <is>
          <t>IMPROVEMENT OPPORTUNITIES — behaviors to improve</t>
        </is>
      </c>
      <c r="C159" s="67" t="n"/>
      <c r="D159" s="67" t="n"/>
      <c r="E159" s="67" t="n"/>
      <c r="F159" s="68" t="n"/>
    </row>
    <row r="160" ht="32" customHeight="1">
      <c r="B160" s="11" t="inlineStr">
        <is>
          <t>1.</t>
        </is>
      </c>
      <c r="C160" s="7" t="inlineStr">
        <is>
          <t>Distinguish a LOCAL router admin page (192.168.1.1) from cloud/Smart WiFi services; an offline-reproducible fault is not a server outage.</t>
        </is>
      </c>
      <c r="D160" s="70" t="n"/>
      <c r="E160" s="70" t="n"/>
      <c r="F160" s="69" t="n"/>
    </row>
    <row r="161" ht="32" customHeight="1">
      <c r="B161" s="11" t="inlineStr">
        <is>
          <t>2.</t>
        </is>
      </c>
      <c r="C161" s="7" t="inlineStr">
        <is>
          <t>Listen for and build on customer-provided facts (offline repro, 20-30 units, post-factory-reset) instead of re-running ruled-out steps.</t>
        </is>
      </c>
      <c r="D161" s="70" t="n"/>
      <c r="E161" s="70" t="n"/>
      <c r="F161" s="69" t="n"/>
    </row>
    <row r="162" ht="32" customHeight="1">
      <c r="B162" s="11" t="inlineStr">
        <is>
          <t>3.</t>
        </is>
      </c>
      <c r="C162" s="7" t="inlineStr">
        <is>
          <t>Recognize business-impact + 'frontline troubleshooting exhausted' signals and escalate proactively - and check for active IR Alerts (OLYMPUS-445) before troubleshooting.</t>
        </is>
      </c>
      <c r="D162" s="70" t="n"/>
      <c r="E162" s="70" t="n"/>
      <c r="F162" s="69" t="n"/>
    </row>
    <row r="163">
      <c r="B163" s="125" t="inlineStr">
        <is>
          <t>COACHING RECOMMENDATION — specific actions the agent should apply going forward</t>
        </is>
      </c>
      <c r="C163" s="67" t="n"/>
      <c r="D163" s="67" t="n"/>
      <c r="E163" s="67" t="n"/>
      <c r="F163" s="68" t="n"/>
    </row>
    <row r="164" ht="58" customHeight="1">
      <c r="B164" s="7" t="inlineStr">
        <is>
          <t>Run a focused coaching session on local-vs-cloud router architecture using this call. Practice: (1) restating the customer's confirmed facts back before proposing steps; (2) a decision rule - 'reproducible offline = local fault, not a server issue'; (3) checking the IR Alert board at call start; (4) proactive escalation when impact is widespread and L1 steps are exhausted, rather than 'wait 24h and call back'; (5) accurate warranty tagging from SN look-up; (6) always giving a hold-time estimate. Target: per CEA #18071, 48-hour SMART coaching with Action Owner Marc Joseph Baynos.</t>
        </is>
      </c>
      <c r="C164" s="70" t="n"/>
      <c r="D164" s="70" t="n"/>
      <c r="E164" s="70" t="n"/>
      <c r="F164" s="69" t="n"/>
    </row>
    <row r="165">
      <c r="B165" s="125" t="inlineStr">
        <is>
          <t>ORGANIZATIONAL INSIGHTS — training / process / KB / chatbot / tooling / product gaps discovered</t>
        </is>
      </c>
      <c r="C165" s="67" t="n"/>
      <c r="D165" s="67" t="n"/>
      <c r="E165" s="67" t="n"/>
      <c r="F165" s="68" t="n"/>
    </row>
    <row r="166" ht="70" customHeight="1">
      <c r="B166" s="7" t="inlineStr">
        <is>
          <t>1) Knowledge/Training gap: L1 agents conflating local router UI with cloud services - build/refresh a KB and quick-reference on local-admin-page troubleshooting. 2) Incident-awareness gap: a known IR Alert (OLYMPUS-445) existed but was not surfaced/applied at call start - reinforce the floor-walk push and an at-login IR banner. 3) Case-tagging accuracy: warranty status mistagged despite a clear SN look-up result - add a validation prompt. 4) Closure discipline: case shows RESOLVED while the issue is unresolved and the customer is unreached - reinforce the closure policy. 5) Hold etiquette: no hold-time estimate given on two holds.</t>
        </is>
      </c>
      <c r="C166" s="70" t="n"/>
      <c r="D166" s="70" t="n"/>
      <c r="E166" s="70" t="n"/>
      <c r="F166" s="69" t="n"/>
    </row>
    <row r="167">
      <c r="B167" s="125" t="inlineStr">
        <is>
          <t>MULTI-TOUCH / JOURNEY NOTES — handoff quality received &amp; passed, continuity, where the chain stands</t>
        </is>
      </c>
      <c r="C167" s="67" t="n"/>
      <c r="D167" s="67" t="n"/>
      <c r="E167" s="67" t="n"/>
      <c r="F167" s="68" t="n"/>
    </row>
    <row r="168" ht="58" customHeight="1">
      <c r="B168" s="7" t="inlineStr">
        <is>
          <t>3 touches, 2 agents, all on Jun 1, 2026. L1 (Aysah Bagumbaran) - weak technical diagnosis and late, customer-driven escalation on a widespread, known-incident issue; warranty mistagged. Handoff to L2 was prompt and clean: Paulo Real attempted two callbacks (4:27 PM, 4:40 PM) and sent an email plus the direct hotline the same day, but the customer was unreachable. The chain held on L2 ownership/continuity and broke on L1 diagnostic accuracy. Issue remains unresolved/pending customer contact; case status shows premature RESOLVED.</t>
        </is>
      </c>
      <c r="C168" s="70" t="n"/>
      <c r="D168" s="70" t="n"/>
      <c r="E168" s="70" t="n"/>
      <c r="F168" s="69" t="n"/>
    </row>
    <row r="169">
      <c r="B169" s="125" t="inlineStr">
        <is>
          <t>FINAL QA ASSESSMENT — customer outcome, support quality, and coaching value</t>
        </is>
      </c>
      <c r="C169" s="67" t="n"/>
      <c r="D169" s="67" t="n"/>
      <c r="E169" s="67" t="n"/>
      <c r="F169" s="68" t="n"/>
    </row>
    <row r="170" ht="58" customHeight="1">
      <c r="B170" s="7" t="inlineStr">
        <is>
          <t>Below standard at first contact. The customer received a polite but ineffective L1 interaction: his local-access issue was misdiagnosed as a server outage, established facts were not used, and escalation came only after he demanded it. The redeeming outcome is a valid, well-documented L2 escalation that the team followed up on the same day. Weighted score lands in the Needs Improvement band, with two critical-failure conditions flagged (misrepresented product capability; unsupported root-cause claim) that warrant the SMART coaching already requested. Highest-leverage fix: local-vs-cloud diagnostic competence and active-listening discipline.</t>
        </is>
      </c>
      <c r="C170" s="70" t="n"/>
      <c r="D170" s="70" t="n"/>
      <c r="E170" s="70" t="n"/>
      <c r="F170" s="69" t="n"/>
    </row>
  </sheetData>
  <mergeCells count="149">
    <mergeCell ref="B16:F16"/>
    <mergeCell ref="D116:F116"/>
    <mergeCell ref="B25:F25"/>
    <mergeCell ref="D66:F66"/>
    <mergeCell ref="D53:F53"/>
    <mergeCell ref="D47:F47"/>
    <mergeCell ref="B18:F18"/>
    <mergeCell ref="E8:F8"/>
    <mergeCell ref="C161:F161"/>
    <mergeCell ref="C13:F13"/>
    <mergeCell ref="B45:E45"/>
    <mergeCell ref="B2:F2"/>
    <mergeCell ref="D37:F37"/>
    <mergeCell ref="E137:F137"/>
    <mergeCell ref="D143:F143"/>
    <mergeCell ref="D92:F92"/>
    <mergeCell ref="B170:F170"/>
    <mergeCell ref="D39:F39"/>
    <mergeCell ref="B166:F166"/>
    <mergeCell ref="D142:F142"/>
    <mergeCell ref="D23:F23"/>
    <mergeCell ref="C88:F88"/>
    <mergeCell ref="D94:F94"/>
    <mergeCell ref="B168:F168"/>
    <mergeCell ref="D144:F144"/>
    <mergeCell ref="D80:F80"/>
    <mergeCell ref="C43:F43"/>
    <mergeCell ref="D96:F96"/>
    <mergeCell ref="D57:F57"/>
    <mergeCell ref="B135:F135"/>
    <mergeCell ref="E12:F12"/>
    <mergeCell ref="D27:F27"/>
    <mergeCell ref="D41:F41"/>
    <mergeCell ref="B72:F72"/>
    <mergeCell ref="D107:F107"/>
    <mergeCell ref="E5:F5"/>
    <mergeCell ref="C158:F158"/>
    <mergeCell ref="B104:E104"/>
    <mergeCell ref="D147:F147"/>
    <mergeCell ref="B56:F56"/>
    <mergeCell ref="C28:F28"/>
    <mergeCell ref="B167:F167"/>
    <mergeCell ref="B105:F105"/>
    <mergeCell ref="D106:F106"/>
    <mergeCell ref="D146:F146"/>
    <mergeCell ref="D93:F93"/>
    <mergeCell ref="C137:D137"/>
    <mergeCell ref="B90:E90"/>
    <mergeCell ref="D74:F74"/>
    <mergeCell ref="D68:F68"/>
    <mergeCell ref="D83:F83"/>
    <mergeCell ref="C14:F14"/>
    <mergeCell ref="D55:F55"/>
    <mergeCell ref="D67:F67"/>
    <mergeCell ref="D110:F110"/>
    <mergeCell ref="D54:F54"/>
    <mergeCell ref="C162:F162"/>
    <mergeCell ref="B77:E77"/>
    <mergeCell ref="B99:F99"/>
    <mergeCell ref="D69:F69"/>
    <mergeCell ref="D100:F100"/>
    <mergeCell ref="D109:F109"/>
    <mergeCell ref="B61:E61"/>
    <mergeCell ref="D111:F111"/>
    <mergeCell ref="B85:F85"/>
    <mergeCell ref="D108:F108"/>
    <mergeCell ref="D21:F21"/>
    <mergeCell ref="D86:F86"/>
    <mergeCell ref="D95:F95"/>
    <mergeCell ref="B4:F4"/>
    <mergeCell ref="C132:F132"/>
    <mergeCell ref="B62:F62"/>
    <mergeCell ref="D136:F136"/>
    <mergeCell ref="D150:F150"/>
    <mergeCell ref="D145:F145"/>
    <mergeCell ref="D32:F32"/>
    <mergeCell ref="D97:F97"/>
    <mergeCell ref="B31:F31"/>
    <mergeCell ref="B46:F46"/>
    <mergeCell ref="B159:F159"/>
    <mergeCell ref="D87:F87"/>
    <mergeCell ref="C102:F102"/>
    <mergeCell ref="D71:F71"/>
    <mergeCell ref="D58:F58"/>
    <mergeCell ref="C157:F157"/>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164:F164"/>
    <mergeCell ref="E7:F7"/>
    <mergeCell ref="B139:F139"/>
    <mergeCell ref="D84:F84"/>
    <mergeCell ref="D140:F140"/>
    <mergeCell ref="D22:F22"/>
    <mergeCell ref="D36:F36"/>
    <mergeCell ref="B114:F114"/>
    <mergeCell ref="D149:F149"/>
    <mergeCell ref="B154:F154"/>
    <mergeCell ref="D101:F101"/>
    <mergeCell ref="B163:F163"/>
    <mergeCell ref="B91:F91"/>
    <mergeCell ref="D151:F151"/>
    <mergeCell ref="B165:F165"/>
    <mergeCell ref="B30:E30"/>
    <mergeCell ref="D141:F141"/>
    <mergeCell ref="D70:F70"/>
    <mergeCell ref="D48:F48"/>
    <mergeCell ref="B155:F155"/>
    <mergeCell ref="C131:F131"/>
    <mergeCell ref="B130:F130"/>
    <mergeCell ref="D112:F112"/>
    <mergeCell ref="E10:F10"/>
    <mergeCell ref="E9:F9"/>
    <mergeCell ref="C156:F156"/>
    <mergeCell ref="B119:F119"/>
    <mergeCell ref="D24:F24"/>
    <mergeCell ref="D64:F64"/>
    <mergeCell ref="D38:F38"/>
    <mergeCell ref="D98:F98"/>
    <mergeCell ref="B78:F78"/>
    <mergeCell ref="D79:F79"/>
    <mergeCell ref="E11:F11"/>
    <mergeCell ref="D26:F26"/>
    <mergeCell ref="C117:F117"/>
    <mergeCell ref="B40:F40"/>
    <mergeCell ref="D63:F63"/>
    <mergeCell ref="D81:F81"/>
    <mergeCell ref="D19:F19"/>
    <mergeCell ref="C75:F75"/>
    <mergeCell ref="D65:F65"/>
    <mergeCell ref="B169:F169"/>
    <mergeCell ref="C59:F59"/>
    <mergeCell ref="D52:F52"/>
    <mergeCell ref="D49:F49"/>
  </mergeCells>
  <conditionalFormatting sqref="C20:C24">
    <cfRule type="cellIs" priority="1" operator="equal" dxfId="0">
      <formula>"Met"</formula>
    </cfRule>
    <cfRule type="cellIs" priority="2" operator="equal" dxfId="1">
      <formula>"Partial"</formula>
    </cfRule>
    <cfRule type="cellIs" priority="3" operator="equal" dxfId="2">
      <formula>"Missed"</formula>
    </cfRule>
  </conditionalFormatting>
  <conditionalFormatting sqref="C27">
    <cfRule type="cellIs" priority="4" operator="lessThanOrEqual" dxfId="2">
      <formula>2</formula>
    </cfRule>
    <cfRule type="cellIs" priority="5" operator="equal" dxfId="1">
      <formula>3</formula>
    </cfRule>
    <cfRule type="cellIs" priority="6" operator="greaterThanOrEqual" dxfId="0">
      <formula>4</formula>
    </cfRule>
  </conditionalFormatting>
  <conditionalFormatting sqref="C33:C39">
    <cfRule type="cellIs" priority="7" operator="equal" dxfId="0">
      <formula>"Met"</formula>
    </cfRule>
    <cfRule type="cellIs" priority="8" operator="equal" dxfId="1">
      <formula>"Partial"</formula>
    </cfRule>
    <cfRule type="cellIs" priority="9" operator="equal" dxfId="2">
      <formula>"Missed"</formula>
    </cfRule>
  </conditionalFormatting>
  <conditionalFormatting sqref="C42">
    <cfRule type="cellIs" priority="10" operator="lessThanOrEqual" dxfId="2">
      <formula>2</formula>
    </cfRule>
    <cfRule type="cellIs" priority="11" operator="equal" dxfId="1">
      <formula>3</formula>
    </cfRule>
    <cfRule type="cellIs" priority="12" operator="greaterThanOrEqual" dxfId="0">
      <formula>4</formula>
    </cfRule>
  </conditionalFormatting>
  <conditionalFormatting sqref="C48:C55">
    <cfRule type="cellIs" priority="13" operator="equal" dxfId="0">
      <formula>"Met"</formula>
    </cfRule>
    <cfRule type="cellIs" priority="14" operator="equal" dxfId="1">
      <formula>"Partial"</formula>
    </cfRule>
    <cfRule type="cellIs" priority="15" operator="equal" dxfId="2">
      <formula>"Missed"</formula>
    </cfRule>
  </conditionalFormatting>
  <conditionalFormatting sqref="C58">
    <cfRule type="cellIs" priority="16" operator="lessThanOrEqual" dxfId="2">
      <formula>2</formula>
    </cfRule>
    <cfRule type="cellIs" priority="17" operator="equal" dxfId="1">
      <formula>3</formula>
    </cfRule>
    <cfRule type="cellIs" priority="18" operator="greaterThanOrEqual" dxfId="0">
      <formula>4</formula>
    </cfRule>
  </conditionalFormatting>
  <conditionalFormatting sqref="C64:C71">
    <cfRule type="cellIs" priority="19" operator="equal" dxfId="0">
      <formula>"Met"</formula>
    </cfRule>
    <cfRule type="cellIs" priority="20" operator="equal" dxfId="1">
      <formula>"Partial"</formula>
    </cfRule>
    <cfRule type="cellIs" priority="21" operator="equal" dxfId="2">
      <formula>"Missed"</formula>
    </cfRule>
  </conditionalFormatting>
  <conditionalFormatting sqref="C74">
    <cfRule type="cellIs" priority="22" operator="lessThanOrEqual" dxfId="2">
      <formula>2</formula>
    </cfRule>
    <cfRule type="cellIs" priority="23" operator="equal" dxfId="1">
      <formula>3</formula>
    </cfRule>
    <cfRule type="cellIs" priority="24" operator="greaterThanOrEqual" dxfId="0">
      <formula>4</formula>
    </cfRule>
  </conditionalFormatting>
  <conditionalFormatting sqref="C80:C84">
    <cfRule type="cellIs" priority="25" operator="equal" dxfId="0">
      <formula>"Met"</formula>
    </cfRule>
    <cfRule type="cellIs" priority="26" operator="equal" dxfId="1">
      <formula>"Partial"</formula>
    </cfRule>
    <cfRule type="cellIs" priority="27" operator="equal" dxfId="2">
      <formula>"Missed"</formula>
    </cfRule>
  </conditionalFormatting>
  <conditionalFormatting sqref="C87">
    <cfRule type="cellIs" priority="28" operator="lessThanOrEqual" dxfId="2">
      <formula>2</formula>
    </cfRule>
    <cfRule type="cellIs" priority="29" operator="equal" dxfId="1">
      <formula>3</formula>
    </cfRule>
    <cfRule type="cellIs" priority="30" operator="greaterThanOrEqual" dxfId="0">
      <formula>4</formula>
    </cfRule>
  </conditionalFormatting>
  <conditionalFormatting sqref="C93:C98">
    <cfRule type="cellIs" priority="31" operator="equal" dxfId="0">
      <formula>"Met"</formula>
    </cfRule>
    <cfRule type="cellIs" priority="32" operator="equal" dxfId="1">
      <formula>"Partial"</formula>
    </cfRule>
    <cfRule type="cellIs" priority="33" operator="equal" dxfId="2">
      <formula>"Missed"</formula>
    </cfRule>
  </conditionalFormatting>
  <conditionalFormatting sqref="C101">
    <cfRule type="cellIs" priority="34" operator="lessThanOrEqual" dxfId="2">
      <formula>2</formula>
    </cfRule>
    <cfRule type="cellIs" priority="35" operator="equal" dxfId="1">
      <formula>3</formula>
    </cfRule>
    <cfRule type="cellIs" priority="36" operator="greaterThanOrEqual" dxfId="0">
      <formula>4</formula>
    </cfRule>
  </conditionalFormatting>
  <conditionalFormatting sqref="C107:C113">
    <cfRule type="cellIs" priority="37" operator="equal" dxfId="0">
      <formula>"Met"</formula>
    </cfRule>
    <cfRule type="cellIs" priority="38" operator="equal" dxfId="1">
      <formula>"Partial"</formula>
    </cfRule>
    <cfRule type="cellIs" priority="39" operator="equal" dxfId="2">
      <formula>"Missed"</formula>
    </cfRule>
  </conditionalFormatting>
  <conditionalFormatting sqref="C116">
    <cfRule type="cellIs" priority="40" operator="lessThanOrEqual" dxfId="2">
      <formula>2</formula>
    </cfRule>
    <cfRule type="cellIs" priority="41" operator="equal" dxfId="1">
      <formula>3</formula>
    </cfRule>
    <cfRule type="cellIs" priority="42" operator="greaterThanOrEqual" dxfId="0">
      <formula>4</formula>
    </cfRule>
  </conditionalFormatting>
  <conditionalFormatting sqref="E128">
    <cfRule type="cellIs" priority="43" operator="greaterThanOrEqual" dxfId="3">
      <formula>0.85</formula>
    </cfRule>
    <cfRule type="cellIs" priority="44" operator="between" dxfId="4">
      <formula>0.70</formula>
      <formula>0.8499</formula>
    </cfRule>
    <cfRule type="cellIs" priority="45" operator="lessThan" dxfId="5">
      <formula>0.70</formula>
    </cfRule>
  </conditionalFormatting>
  <conditionalFormatting sqref="F121:F127">
    <cfRule type="cellIs" priority="46" operator="equal" dxfId="6">
      <formula>"Strong"</formula>
    </cfRule>
    <cfRule type="cellIs" priority="47" operator="equal" dxfId="7">
      <formula>"Developing"</formula>
    </cfRule>
    <cfRule type="cellIs" priority="48" operator="equal" dxfId="8">
      <formula>"Needs Focus"</formula>
    </cfRule>
  </conditionalFormatting>
  <conditionalFormatting sqref="E137">
    <cfRule type="expression" priority="49" dxfId="2">
      <formula>E137&lt;&gt;"OK"</formula>
    </cfRule>
    <cfRule type="expression" priority="50" dxfId="0">
      <formula>E137="OK"</formula>
    </cfRule>
  </conditionalFormatting>
  <conditionalFormatting sqref="C141:C151">
    <cfRule type="cellIs" priority="51" operator="equal" dxfId="2">
      <formula>"Yes"</formula>
    </cfRule>
  </conditionalFormatting>
  <conditionalFormatting sqref="C152">
    <cfRule type="expression" priority="52" dxfId="2">
      <formula>ISNUMBER(SEARCH("YES",C152))</formula>
    </cfRule>
    <cfRule type="expression" priority="53" dxfId="0">
      <formula>NOT(ISNUMBER(SEARCH("YES",C152)))</formula>
    </cfRule>
  </conditionalFormatting>
  <dataValidations count="10">
    <dataValidation sqref="C20 C21 C22 C23 C24 C33 C34 C35 C36 C37 C38 C39 C48 C49 C50 C51 C52 C53 C54 C55 C64 C65 C66 C67 C68 C69 C70 C71 C80 C81 C82 C83 C84 C93 C94 C95 C96 C97 C98 C107 C108 C109 C110 C111 C112 C113" showDropDown="0" showInputMessage="0" showErrorMessage="0" allowBlank="1" type="list">
      <formula1>"Met,Partial,Missed,N.A."</formula1>
    </dataValidation>
    <dataValidation sqref="C27 C42 C58 C74 C87 C101 C116" showDropDown="0" showInputMessage="0" showErrorMessage="1" allowBlank="1" errorTitle="Invalid score" error="Enter a whole number from 0 to 5." type="whole" operator="between">
      <formula1>0</formula1>
      <formula2>5</formula2>
    </dataValidation>
    <dataValidation sqref="C136 C141 C142 C143 C144 C145 C146 C147 C148 C149 C150 C151 E10" showDropDown="0" showInputMessage="0" showErrorMessage="0" allowBlank="1" type="list">
      <formula1>"No,Yes"</formula1>
    </dataValidation>
    <dataValidation sqref="C8" showDropDown="0" showInputMessage="0" showErrorMessage="0" allowBlank="1" type="list">
      <formula1>"In-Warranty,Out-of-Warranty,Unknown"</formula1>
    </dataValidation>
    <dataValidation sqref="E7" showDropDown="0" showInputMessage="0" showErrorMessage="0" allowBlank="1" type="list">
      <formula1>"Phone,Chat,Email,Social,Other"</formula1>
    </dataValidation>
    <dataValidation sqref="C9" showDropDown="0" showInputMessage="0" showErrorMessage="0" allowBlank="1" type="list">
      <formula1>"Technical Issue,Setup/How-To,RMA/Replacement,Billing/Account,Connectivity,Other"</formula1>
    </dataValidation>
    <dataValidation sqref="E12" showDropDown="0" showInputMessage="0" showErrorMessage="0" allowBlank="1" type="list">
      <formula1>"Within SLA,Breached,N.A."</formula1>
    </dataValidation>
    <dataValidation sqref="C131" showDropDown="0" showInputMessage="0" showErrorMessage="0" allowBlank="1" type="list">
      <formula1>"Successful Resolution,Partial Resolution,Appropriate Escalation,Ownership Gap,Unresolved"</formula1>
    </dataValidation>
    <dataValidation sqref="C132" showDropDown="0" showInputMessage="0" showErrorMessage="0" allowBlank="1" type="list">
      <formula1>"Issue resolved,Proper RMA initiated (in-warranty / approved exception),Valid escalation submitted,Known limitation explained accurately,Customer educated with actionable next steps,Valid self-help guidance provided (out-of-warranty),Upgrade path recommended appropriately (out-of-warranty),Customer declined further troubleshooting after reasonable effort,None achieved"</formula1>
    </dataValidation>
    <dataValidation sqref="C137" showDropDown="0" showInputMessage="0" showErrorMessage="0" allowBlank="1" type="list">
      <formula1>"Callback attempt,Follow-up email,Private note documenting actions,Documented why follow-up not possible,None,N.A. — no disconnect"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F170"/>
  <sheetViews>
    <sheetView workbookViewId="0">
      <selection activeCell="A1" sqref="A1"/>
    </sheetView>
  </sheetViews>
  <sheetFormatPr baseColWidth="8" defaultRowHeight="15"/>
  <cols>
    <col width="4" customWidth="1" min="1" max="1"/>
    <col width="58" customWidth="1" min="2" max="2"/>
    <col width="14" customWidth="1" min="3" max="3"/>
    <col width="13" customWidth="1" min="4" max="4"/>
    <col width="15" customWidth="1" min="5" max="5"/>
    <col width="46" customWidth="1" min="6" max="6"/>
    <col width="3" customWidth="1" min="7" max="7"/>
  </cols>
  <sheetData>
    <row r="1" ht="28" customHeight="1">
      <c r="B1" s="104" t="inlineStr">
        <is>
          <t>SUPPORT QUALITY ASSURANCE — SCORING FORM</t>
        </is>
      </c>
      <c r="C1" s="67" t="n"/>
      <c r="D1" s="67" t="n"/>
      <c r="E1" s="67" t="n"/>
      <c r="F1" s="68" t="n"/>
    </row>
    <row r="2" ht="18" customHeight="1">
      <c r="B2" s="2" t="inlineStr">
        <is>
          <t>Resolution-Focused Coaching &amp; Performance Framework  |  Rate each behavior: Met / Partial / Missed / N.A. — then assign the 0-5 category score (suggested score is advisory).</t>
        </is>
      </c>
      <c r="C2" s="67" t="n"/>
      <c r="D2" s="67" t="n"/>
      <c r="E2" s="67" t="n"/>
      <c r="F2" s="68" t="n"/>
    </row>
    <row r="4">
      <c r="B4" s="125" t="inlineStr">
        <is>
          <t>1 · CASE INFORMATION</t>
        </is>
      </c>
      <c r="C4" s="67" t="n"/>
      <c r="D4" s="67" t="n"/>
      <c r="E4" s="67" t="n"/>
      <c r="F4" s="68" t="n"/>
    </row>
    <row r="5">
      <c r="B5" s="4" t="inlineStr">
        <is>
          <t>Agent Name</t>
        </is>
      </c>
      <c r="C5" s="81" t="inlineStr">
        <is>
          <t>Paulo Real</t>
        </is>
      </c>
      <c r="D5" s="6" t="inlineStr">
        <is>
          <t>Case / Ticket ID</t>
        </is>
      </c>
      <c r="E5" s="81" t="inlineStr">
        <is>
          <t>TE00131695 (L2: LTS00131695)</t>
        </is>
      </c>
      <c r="F5" s="69" t="n"/>
    </row>
    <row r="6">
      <c r="B6" s="4" t="inlineStr">
        <is>
          <t>Evaluator (QA)</t>
        </is>
      </c>
      <c r="C6" s="81" t="inlineStr">
        <is>
          <t>QA Review (per PMO Vincent Tobias request)</t>
        </is>
      </c>
      <c r="D6" s="6" t="inlineStr">
        <is>
          <t>Interaction Date</t>
        </is>
      </c>
      <c r="E6" s="81" t="inlineStr">
        <is>
          <t>Jun 1, 2026  4:27 PM &amp; 4:40 PM PST</t>
        </is>
      </c>
      <c r="F6" s="69" t="n"/>
    </row>
    <row r="7">
      <c r="B7" s="4" t="inlineStr">
        <is>
          <t>Product</t>
        </is>
      </c>
      <c r="C7" s="81" t="inlineStr">
        <is>
          <t>MR20EC  -  SN 50u10m17d09166</t>
        </is>
      </c>
      <c r="D7" s="6" t="inlineStr">
        <is>
          <t>Channel</t>
        </is>
      </c>
      <c r="E7" s="81" t="inlineStr">
        <is>
          <t>Phone / Voice (outbound callback)</t>
        </is>
      </c>
      <c r="F7" s="69" t="n"/>
    </row>
    <row r="8">
      <c r="B8" s="4" t="inlineStr">
        <is>
          <t>Warranty Status</t>
        </is>
      </c>
      <c r="C8" s="81" t="inlineStr">
        <is>
          <t>Out of Warranty (expired Aug 15, 2025)</t>
        </is>
      </c>
      <c r="D8" s="6" t="inlineStr">
        <is>
          <t>Review Date</t>
        </is>
      </c>
      <c r="E8" s="81" t="inlineStr">
        <is>
          <t>Jun 4, 2026</t>
        </is>
      </c>
      <c r="F8" s="69" t="n"/>
    </row>
    <row r="9">
      <c r="B9" s="4" t="inlineStr">
        <is>
          <t>Case Type</t>
        </is>
      </c>
      <c r="C9" s="81" t="inlineStr">
        <is>
          <t>Technical - L2 Customer Assurance callback on escalated case</t>
        </is>
      </c>
      <c r="D9" s="6" t="inlineStr">
        <is>
          <t>Interaction Duration</t>
        </is>
      </c>
      <c r="E9" s="81" t="inlineStr">
        <is>
          <t>58s + 1m23s (two callback attempts)</t>
        </is>
      </c>
      <c r="F9" s="69" t="n"/>
    </row>
    <row r="10">
      <c r="B10" s="4" t="inlineStr">
        <is>
          <t>Touch # (multi-touch case)</t>
        </is>
      </c>
      <c r="C10" s="81" t="inlineStr">
        <is>
          <t>2 &amp; 3 of 3  (consolidated - both L2 callbacks)</t>
        </is>
      </c>
      <c r="D10" s="6" t="inlineStr">
        <is>
          <t>Prior touches reviewed?</t>
        </is>
      </c>
      <c r="E10" s="81" t="inlineStr">
        <is>
          <t>Yes - full 3-touch journey reviewed</t>
        </is>
      </c>
      <c r="F10" s="69" t="n"/>
    </row>
    <row r="11">
      <c r="B11" s="4" t="inlineStr">
        <is>
          <t>CSAT / Survey result</t>
        </is>
      </c>
      <c r="C11" s="81" t="inlineStr">
        <is>
          <t>Not captured</t>
        </is>
      </c>
      <c r="D11" s="6" t="inlineStr">
        <is>
          <t>FCR / total contacts</t>
        </is>
      </c>
      <c r="E11" s="81" t="inlineStr">
        <is>
          <t>Not FCR - L2 follow-up on L1 escalation</t>
        </is>
      </c>
      <c r="F11" s="69" t="n"/>
    </row>
    <row r="12">
      <c r="B12" s="4" t="inlineStr">
        <is>
          <t>Total case time</t>
        </is>
      </c>
      <c r="C12" s="81" t="inlineStr">
        <is>
          <t>~47 min across 3 touches (single day)</t>
        </is>
      </c>
      <c r="D12" s="6" t="inlineStr">
        <is>
          <t>SLA status</t>
        </is>
      </c>
      <c r="E12" s="81" t="inlineStr">
        <is>
          <t>Callback made same day (well within 24h SLA); customer unreachable</t>
        </is>
      </c>
      <c r="F12" s="69" t="n"/>
    </row>
    <row r="13" ht="58" customHeight="1">
      <c r="B13" s="6" t="inlineStr">
        <is>
          <t>Case Summary (customer issue &amp; goal)</t>
        </is>
      </c>
      <c r="C13" s="7" t="inlineStr">
        <is>
          <t>Inherited escalated case: customer cannot reach the router's local admin page (192.168.1.1) across ~20-30 business routers. L1 (Aysah Bagumbaran) escalated to L2 with a 24-hour callback commitment. Paulo's role: L2 Customer Assurance callback to re-establish contact and drive next steps.</t>
        </is>
      </c>
      <c r="D13" s="70" t="n"/>
      <c r="E13" s="70" t="n"/>
      <c r="F13" s="69" t="n"/>
    </row>
    <row r="14" ht="46" customHeight="1">
      <c r="B14" s="6" t="inlineStr">
        <is>
          <t>Inherited context (what this agent received from prior touches)</t>
        </is>
      </c>
      <c r="C14" s="7" t="inlineStr">
        <is>
          <t>Received from L1 Touch 1: ticket LTS00131695, 24h callback commitment, customer phone on file. Note: L1 handoff framed the issue as a possible server-side outage (inaccurate).</t>
        </is>
      </c>
      <c r="D14" s="70" t="n"/>
      <c r="E14" s="70" t="n"/>
      <c r="F14" s="69" t="n"/>
    </row>
    <row r="16">
      <c r="B16" s="8" t="inlineStr">
        <is>
          <t>2 · CATEGORY ASSESSMENTS</t>
        </is>
      </c>
      <c r="C16" s="67" t="n"/>
      <c r="D16" s="67" t="n"/>
      <c r="E16" s="67" t="n"/>
      <c r="F16" s="68" t="n"/>
    </row>
    <row r="17" ht="18" customHeight="1">
      <c r="B17" s="125" t="inlineStr">
        <is>
          <t>1. RESOLUTION / PROGRESS TOWARD RESOLUTION</t>
        </is>
      </c>
      <c r="C17" s="67" t="n"/>
      <c r="D17" s="67" t="n"/>
      <c r="E17" s="68" t="n"/>
      <c r="F17" s="9" t="inlineStr">
        <is>
          <t>Weight: 30%</t>
        </is>
      </c>
    </row>
    <row r="18" ht="28" customHeight="1">
      <c r="B18" s="10" t="inlineStr">
        <is>
          <t>Objective: Determine whether the interaction moved the customer meaningfully closer to resolution.</t>
        </is>
      </c>
      <c r="C18" s="70" t="n"/>
      <c r="D18" s="70" t="n"/>
      <c r="E18" s="70" t="n"/>
      <c r="F18" s="69" t="n"/>
    </row>
    <row r="19">
      <c r="B19" s="4" t="inlineStr">
        <is>
          <t>Behavioral Indicator</t>
        </is>
      </c>
      <c r="C19" s="11" t="inlineStr">
        <is>
          <t>Assessment</t>
        </is>
      </c>
      <c r="D19" s="4" t="inlineStr">
        <is>
          <t>Evidence / Observation (quote or timestamp where possible)</t>
        </is>
      </c>
      <c r="E19" s="70" t="n"/>
      <c r="F19" s="69" t="n"/>
    </row>
    <row r="20" ht="28" customHeight="1">
      <c r="B20" s="12" t="inlineStr">
        <is>
          <t>Issue resolved, or the strongest available outcome was achieved (RMA, valid escalation, limitation explained, education)</t>
        </is>
      </c>
      <c r="C20" s="79" t="inlineStr">
        <is>
          <t>Partial</t>
        </is>
      </c>
      <c r="D20" s="12" t="inlineStr">
        <is>
          <t>Kept the escalation path alive with prompt callbacks, but no resolution possible without reaching the customer.</t>
        </is>
      </c>
      <c r="E20" s="70" t="n"/>
      <c r="F20" s="69" t="n"/>
    </row>
    <row r="21" ht="28" customHeight="1">
      <c r="B21" s="14" t="inlineStr">
        <is>
          <t>Reasonable troubleshooting was completed before any conclusion was reached</t>
        </is>
      </c>
      <c r="C21" s="79" t="inlineStr">
        <is>
          <t>N.A.</t>
        </is>
      </c>
      <c r="D21" s="14" t="inlineStr">
        <is>
          <t>No troubleshooting possible - customer did not answer either attempt.</t>
        </is>
      </c>
      <c r="E21" s="70" t="n"/>
      <c r="F21" s="69" t="n"/>
    </row>
    <row r="22" ht="28" customHeight="1">
      <c r="B22" s="12" t="inlineStr">
        <is>
          <t>Clear, actionable next steps were provided to the customer</t>
        </is>
      </c>
      <c r="C22" s="79" t="inlineStr">
        <is>
          <t>Met</t>
        </is>
      </c>
      <c r="D22" s="12" t="inlineStr">
        <is>
          <t>Provided clear next steps: a 10-15 min retry, the direct hotline number, and an email notification of the attempts.</t>
        </is>
      </c>
      <c r="E22" s="70" t="n"/>
      <c r="F22" s="69" t="n"/>
    </row>
    <row r="23" ht="28" customHeight="1">
      <c r="B23" s="14" t="inlineStr">
        <is>
          <t>Resolution path was appropriate for the situation and warranty status</t>
        </is>
      </c>
      <c r="C23" s="79" t="inlineStr">
        <is>
          <t>Met</t>
        </is>
      </c>
      <c r="D23" s="14" t="inlineStr">
        <is>
          <t>Outbound callback is the correct path for an escalated case awaiting contact.</t>
        </is>
      </c>
      <c r="E23" s="70" t="n"/>
      <c r="F23" s="69" t="n"/>
    </row>
    <row r="24" ht="28" customHeight="1">
      <c r="B24" s="12" t="inlineStr">
        <is>
          <t>Customer was moved meaningfully closer to a solution</t>
        </is>
      </c>
      <c r="C24" s="79" t="inlineStr">
        <is>
          <t>Partial</t>
        </is>
      </c>
      <c r="D24" s="12" t="inlineStr">
        <is>
          <t>Held the case position; advance impossible without customer response.</t>
        </is>
      </c>
      <c r="E24" s="70" t="n"/>
      <c r="F24" s="69" t="n"/>
    </row>
    <row r="25" ht="28" customHeight="1">
      <c r="B25" s="15" t="inlineStr">
        <is>
          <t>⚠ Does NOT count: customer simply ends call; generic KB sent without troubleshooting; warranty used as reason to stop helping; escalation as shortcut; unsupported ISP blame; 'monitor &amp; call back' with no plan; ownership transferred without expectations or documentation.</t>
        </is>
      </c>
      <c r="C25" s="70" t="n"/>
      <c r="D25" s="70" t="n"/>
      <c r="E25" s="70" t="n"/>
      <c r="F25" s="69" t="n"/>
    </row>
    <row r="26">
      <c r="B26" s="16" t="inlineStr">
        <is>
          <t>Suggested score (auto from indicators — advisory only; evaluator judgment prevails)</t>
        </is>
      </c>
      <c r="C26" s="17">
        <f>IF((COUNTIF(C20:C24,"Met")+COUNTIF(C20:C24,"Partial")+COUNTIF(C20:C24,"Missed"))=0,"",ROUND((COUNTIF(C20:C24,"Met")*5+COUNTIF(C20:C24,"Partial")*2.5)/(COUNTIF(C20:C24,"Met")+COUNTIF(C20:C24,"Partial")+COUNTIF(C20:C24,"Missed")),1))</f>
        <v/>
      </c>
      <c r="D26" s="18" t="inlineStr"/>
      <c r="E26" s="70" t="n"/>
      <c r="F26" s="69" t="n"/>
    </row>
    <row r="27" ht="24" customHeight="1">
      <c r="B27" s="19" t="inlineStr">
        <is>
          <t>FINAL CATEGORY SCORE (0–5)</t>
        </is>
      </c>
      <c r="C27" s="20" t="n">
        <v>3</v>
      </c>
      <c r="D27" s="21">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27" s="70" t="n"/>
      <c r="F27" s="69" t="n"/>
    </row>
    <row r="28" ht="36" customHeight="1">
      <c r="B28" s="19" t="inlineStr">
        <is>
          <t>Category comments / coaching notes</t>
        </is>
      </c>
      <c r="C28" s="7" t="inlineStr">
        <is>
          <t>Limited by the customer's non-response, not by the agent. The retry plan, hotline, and email kept a clear path open.</t>
        </is>
      </c>
      <c r="D28" s="70" t="n"/>
      <c r="E28" s="70" t="n"/>
      <c r="F28" s="69" t="n"/>
    </row>
    <row r="30" ht="18" customHeight="1">
      <c r="B30" s="125" t="inlineStr">
        <is>
          <t>2. TECHNICAL ACCURACY</t>
        </is>
      </c>
      <c r="C30" s="67" t="n"/>
      <c r="D30" s="67" t="n"/>
      <c r="E30" s="68" t="n"/>
      <c r="F30" s="9" t="inlineStr">
        <is>
          <t>Weight: 20%</t>
        </is>
      </c>
    </row>
    <row r="31" ht="28" customHeight="1">
      <c r="B31" s="10" t="inlineStr">
        <is>
          <t>Objective: Evaluate the quality of troubleshooting and technical guidance.</t>
        </is>
      </c>
      <c r="C31" s="70" t="n"/>
      <c r="D31" s="70" t="n"/>
      <c r="E31" s="70" t="n"/>
      <c r="F31" s="69" t="n"/>
    </row>
    <row r="32">
      <c r="B32" s="4" t="inlineStr">
        <is>
          <t>Behavioral Indicator</t>
        </is>
      </c>
      <c r="C32" s="11" t="inlineStr">
        <is>
          <t>Assessment</t>
        </is>
      </c>
      <c r="D32" s="4" t="inlineStr">
        <is>
          <t>Evidence / Observation (quote or timestamp where possible)</t>
        </is>
      </c>
      <c r="E32" s="70" t="n"/>
      <c r="F32" s="69" t="n"/>
    </row>
    <row r="33" ht="28" customHeight="1">
      <c r="B33" s="12" t="inlineStr">
        <is>
          <t>Symptoms were identified correctly</t>
        </is>
      </c>
      <c r="C33" s="79" t="inlineStr">
        <is>
          <t>N.A.</t>
        </is>
      </c>
      <c r="D33" s="12" t="inlineStr">
        <is>
          <t>No live interaction - customer did not answer; no symptoms could be worked.</t>
        </is>
      </c>
      <c r="E33" s="70" t="n"/>
      <c r="F33" s="69" t="n"/>
    </row>
    <row r="34" ht="28" customHeight="1">
      <c r="B34" s="14" t="inlineStr">
        <is>
          <t>Relevant diagnostic questions were asked</t>
        </is>
      </c>
      <c r="C34" s="79" t="inlineStr">
        <is>
          <t>N.A.</t>
        </is>
      </c>
      <c r="D34" s="14" t="inlineStr">
        <is>
          <t>No diagnostic exchange possible.</t>
        </is>
      </c>
      <c r="E34" s="70" t="n"/>
      <c r="F34" s="69" t="n"/>
    </row>
    <row r="35" ht="28" customHeight="1">
      <c r="B35" s="12" t="inlineStr">
        <is>
          <t>Logical troubleshooting methodology was followed</t>
        </is>
      </c>
      <c r="C35" s="79" t="inlineStr">
        <is>
          <t>N.A.</t>
        </is>
      </c>
      <c r="D35" s="12" t="inlineStr">
        <is>
          <t>No troubleshooting performed.</t>
        </is>
      </c>
      <c r="E35" s="70" t="n"/>
      <c r="F35" s="69" t="n"/>
    </row>
    <row r="36" ht="28" customHeight="1">
      <c r="B36" s="14" t="inlineStr">
        <is>
          <t>Available tools were used appropriately</t>
        </is>
      </c>
      <c r="C36" s="79" t="inlineStr">
        <is>
          <t>N.A.</t>
        </is>
      </c>
      <c r="D36" s="14" t="inlineStr">
        <is>
          <t>Not applicable to a no-answer callback.</t>
        </is>
      </c>
      <c r="E36" s="70" t="n"/>
      <c r="F36" s="69" t="n"/>
    </row>
    <row r="37" ht="28" customHeight="1">
      <c r="B37" s="12" t="inlineStr">
        <is>
          <t>Information provided was technically accurate</t>
        </is>
      </c>
      <c r="C37" s="79" t="inlineStr">
        <is>
          <t>N.A.</t>
        </is>
      </c>
      <c r="D37" s="12" t="inlineStr">
        <is>
          <t>No technical guidance delivered.</t>
        </is>
      </c>
      <c r="E37" s="70" t="n"/>
      <c r="F37" s="69" t="n"/>
    </row>
    <row r="38" ht="28" customHeight="1">
      <c r="B38" s="14" t="inlineStr">
        <is>
          <t>Assumptions were validated; no unsupported conclusions</t>
        </is>
      </c>
      <c r="C38" s="79" t="inlineStr">
        <is>
          <t>N.A.</t>
        </is>
      </c>
      <c r="D38" s="14" t="inlineStr">
        <is>
          <t>No conclusions drawn.</t>
        </is>
      </c>
      <c r="E38" s="70" t="n"/>
      <c r="F38" s="69" t="n"/>
    </row>
    <row r="39" ht="28" customHeight="1">
      <c r="B39" s="12" t="inlineStr">
        <is>
          <t>Root cause (or likely cause) was identified when possible</t>
        </is>
      </c>
      <c r="C39" s="79" t="inlineStr">
        <is>
          <t>N.A.</t>
        </is>
      </c>
      <c r="D39" s="12" t="inlineStr">
        <is>
          <t>No diagnosis attempted.</t>
        </is>
      </c>
      <c r="E39" s="70" t="n"/>
      <c r="F39" s="69" t="n"/>
    </row>
    <row r="40" ht="28" customHeight="1">
      <c r="B40" s="15" t="inlineStr">
        <is>
          <t>⚠ Deduct for: incorrect technical information; skipped critical troubleshooting; misdiagnosis; unnecessary actions recommended; ISP or customer blamed without evidence; repeating basic steps the customer already completed.</t>
        </is>
      </c>
      <c r="C40" s="70" t="n"/>
      <c r="D40" s="70" t="n"/>
      <c r="E40" s="70" t="n"/>
      <c r="F40" s="69" t="n"/>
    </row>
    <row r="41">
      <c r="B41" s="16" t="inlineStr">
        <is>
          <t>Suggested score (auto from indicators — advisory only; evaluator judgment prevails)</t>
        </is>
      </c>
      <c r="C41" s="17">
        <f>IF((COUNTIF(C33:C39,"Met")+COUNTIF(C33:C39,"Partial")+COUNTIF(C33:C39,"Missed"))=0,"",ROUND((COUNTIF(C33:C39,"Met")*5+COUNTIF(C33:C39,"Partial")*2.5)/(COUNTIF(C33:C39,"Met")+COUNTIF(C33:C39,"Partial")+COUNTIF(C33:C39,"Missed")),1))</f>
        <v/>
      </c>
      <c r="D41" s="18" t="inlineStr"/>
      <c r="E41" s="70" t="n"/>
      <c r="F41" s="69" t="n"/>
    </row>
    <row r="42" ht="24" customHeight="1">
      <c r="B42" s="19" t="inlineStr">
        <is>
          <t>FINAL CATEGORY SCORE (0–5)</t>
        </is>
      </c>
      <c r="C42" s="20" t="n">
        <v>3</v>
      </c>
      <c r="D42" s="21">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42" s="70" t="n"/>
      <c r="F42" s="69" t="n"/>
    </row>
    <row r="43" ht="36" customHeight="1">
      <c r="B43" s="19" t="inlineStr">
        <is>
          <t>Category comments / coaching notes</t>
        </is>
      </c>
      <c r="C43" s="7" t="inlineStr">
        <is>
          <t>Technical accuracy was not exercised on this touch - both callbacks went unanswered. Neutral score; no troubleshooting to assess.</t>
        </is>
      </c>
      <c r="D43" s="70" t="n"/>
      <c r="E43" s="70" t="n"/>
      <c r="F43" s="69" t="n"/>
    </row>
    <row r="45" ht="18" customHeight="1">
      <c r="B45" s="125" t="inlineStr">
        <is>
          <t>3. COMMUNICATION &amp; CALL CONTROL</t>
        </is>
      </c>
      <c r="C45" s="67" t="n"/>
      <c r="D45" s="67" t="n"/>
      <c r="E45" s="68" t="n"/>
      <c r="F45" s="9" t="inlineStr">
        <is>
          <t>Weight: 15%</t>
        </is>
      </c>
    </row>
    <row r="46" ht="28" customHeight="1">
      <c r="B46" s="10" t="inlineStr">
        <is>
          <t>Objective: Evaluate how effectively the agent managed the interaction.</t>
        </is>
      </c>
      <c r="C46" s="70" t="n"/>
      <c r="D46" s="70" t="n"/>
      <c r="E46" s="70" t="n"/>
      <c r="F46" s="69" t="n"/>
    </row>
    <row r="47">
      <c r="B47" s="4" t="inlineStr">
        <is>
          <t>Behavioral Indicator</t>
        </is>
      </c>
      <c r="C47" s="11" t="inlineStr">
        <is>
          <t>Assessment</t>
        </is>
      </c>
      <c r="D47" s="4" t="inlineStr">
        <is>
          <t>Evidence / Observation (quote or timestamp where possible)</t>
        </is>
      </c>
      <c r="E47" s="70" t="n"/>
      <c r="F47" s="69" t="n"/>
    </row>
    <row r="48" ht="28" customHeight="1">
      <c r="B48" s="12" t="inlineStr">
        <is>
          <t>Expectations were set clearly from the start</t>
        </is>
      </c>
      <c r="C48" s="79" t="inlineStr">
        <is>
          <t>Met</t>
        </is>
      </c>
      <c r="D48" s="12" t="inlineStr">
        <is>
          <t>Set expectations clearly - stated he would retry in 10-15 min and provided the hotline for the customer to reach back.</t>
        </is>
      </c>
      <c r="E48" s="70" t="n"/>
      <c r="F48" s="69" t="n"/>
    </row>
    <row r="49" ht="28" customHeight="1">
      <c r="B49" s="14" t="inlineStr">
        <is>
          <t>Agent maintained control of the troubleshooting flow</t>
        </is>
      </c>
      <c r="C49" s="79" t="inlineStr">
        <is>
          <t>Met</t>
        </is>
      </c>
      <c r="D49" s="14" t="inlineStr">
        <is>
          <t>Managed the no-answer situation in control and professionally.</t>
        </is>
      </c>
      <c r="E49" s="70" t="n"/>
      <c r="F49" s="69" t="n"/>
    </row>
    <row r="50" ht="28" customHeight="1">
      <c r="B50" s="12" t="inlineStr">
        <is>
          <t>Actions were explained in understandable, jargon-free language</t>
        </is>
      </c>
      <c r="C50" s="79" t="inlineStr">
        <is>
          <t>Met</t>
        </is>
      </c>
      <c r="D50" s="12" t="inlineStr">
        <is>
          <t>Plain, jargon-free language.</t>
        </is>
      </c>
      <c r="E50" s="70" t="n"/>
      <c r="F50" s="69" t="n"/>
    </row>
    <row r="51" ht="28" customHeight="1">
      <c r="B51" s="14" t="inlineStr">
        <is>
          <t>Questions were purposeful (no repetitive questioning)</t>
        </is>
      </c>
      <c r="C51" s="79" t="inlineStr">
        <is>
          <t>Missed</t>
        </is>
      </c>
      <c r="D51" s="14" t="inlineStr">
        <is>
          <t>PDF finding: the message was repetitive and could have been shorter and clearer.</t>
        </is>
      </c>
      <c r="E51" s="70" t="n"/>
      <c r="F51" s="69" t="n"/>
    </row>
    <row r="52" ht="28" customHeight="1">
      <c r="B52" s="12" t="inlineStr">
        <is>
          <t>Customer understanding was confirmed at key points</t>
        </is>
      </c>
      <c r="C52" s="79" t="inlineStr">
        <is>
          <t>N.A.</t>
        </is>
      </c>
      <c r="D52" s="12" t="inlineStr">
        <is>
          <t>No two-way contact to confirm understanding.</t>
        </is>
      </c>
      <c r="E52" s="70" t="n"/>
      <c r="F52" s="69" t="n"/>
    </row>
    <row r="53" ht="28" customHeight="1">
      <c r="B53" s="14" t="inlineStr">
        <is>
          <t>Clear transitions between troubleshooting steps; effective time management</t>
        </is>
      </c>
      <c r="C53" s="79" t="inlineStr">
        <is>
          <t>Partial</t>
        </is>
      </c>
      <c r="D53" s="14" t="inlineStr">
        <is>
          <t>Brief calls, but wordy/repetitive for a callback message.</t>
        </is>
      </c>
      <c r="E53" s="70" t="n"/>
      <c r="F53" s="69" t="n"/>
    </row>
    <row r="54" ht="28" customHeight="1">
      <c r="B54" s="12" t="inlineStr">
        <is>
          <t>Difficult moments were managed professionally</t>
        </is>
      </c>
      <c r="C54" s="79" t="inlineStr">
        <is>
          <t>Met</t>
        </is>
      </c>
      <c r="D54" s="12" t="inlineStr">
        <is>
          <t>Professional and courteous throughout both attempts.</t>
        </is>
      </c>
      <c r="E54" s="70" t="n"/>
      <c r="F54" s="69" t="n"/>
    </row>
    <row r="55" ht="28" customHeight="1">
      <c r="B55" s="14" t="inlineStr">
        <is>
          <t>Communication adapted to the customer's accessibility needs (hearing, vision, age)</t>
        </is>
      </c>
      <c r="C55" s="79" t="inlineStr">
        <is>
          <t>N.A.</t>
        </is>
      </c>
      <c r="D55" s="14" t="inlineStr">
        <is>
          <t>No accessibility need indicated.</t>
        </is>
      </c>
      <c r="E55" s="70" t="n"/>
      <c r="F55" s="69" t="n"/>
    </row>
    <row r="56" ht="28" customHeight="1">
      <c r="B56" s="15" t="inlineStr">
        <is>
          <t>⚠ High performance: customer always knows what is happening and the agent drives the call confidently. One instruction at a time for customers who need it.</t>
        </is>
      </c>
      <c r="C56" s="70" t="n"/>
      <c r="D56" s="70" t="n"/>
      <c r="E56" s="70" t="n"/>
      <c r="F56" s="69" t="n"/>
    </row>
    <row r="57">
      <c r="B57" s="16" t="inlineStr">
        <is>
          <t>Suggested score (auto from indicators — advisory only; evaluator judgment prevails)</t>
        </is>
      </c>
      <c r="C57" s="17">
        <f>IF((COUNTIF(C48:C55,"Met")+COUNTIF(C48:C55,"Partial")+COUNTIF(C48:C55,"Missed"))=0,"",ROUND((COUNTIF(C48:C55,"Met")*5+COUNTIF(C48:C55,"Partial")*2.5)/(COUNTIF(C48:C55,"Met")+COUNTIF(C48:C55,"Partial")+COUNTIF(C48:C55,"Missed")),1))</f>
        <v/>
      </c>
      <c r="D57" s="18" t="inlineStr"/>
      <c r="E57" s="70" t="n"/>
      <c r="F57" s="69" t="n"/>
    </row>
    <row r="58" ht="24" customHeight="1">
      <c r="B58" s="19" t="inlineStr">
        <is>
          <t>FINAL CATEGORY SCORE (0–5)</t>
        </is>
      </c>
      <c r="C58" s="20" t="n">
        <v>3</v>
      </c>
      <c r="D58" s="21">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58" s="70" t="n"/>
      <c r="F58" s="69" t="n"/>
    </row>
    <row r="59" ht="36" customHeight="1">
      <c r="B59" s="19" t="inlineStr">
        <is>
          <t>Category comments / coaching notes</t>
        </is>
      </c>
      <c r="C59" s="7" t="inlineStr">
        <is>
          <t>Polite and clear on intent; main gap is concision - tighten the no-answer callback message to a single, crisp ask.</t>
        </is>
      </c>
      <c r="D59" s="70" t="n"/>
      <c r="E59" s="70" t="n"/>
      <c r="F59" s="69" t="n"/>
    </row>
    <row r="61" ht="18" customHeight="1">
      <c r="B61" s="125" t="inlineStr">
        <is>
          <t>4. CUSTOMER OWNERSHIP</t>
        </is>
      </c>
      <c r="C61" s="67" t="n"/>
      <c r="D61" s="67" t="n"/>
      <c r="E61" s="68" t="n"/>
      <c r="F61" s="9" t="inlineStr">
        <is>
          <t>Weight: 15%</t>
        </is>
      </c>
    </row>
    <row r="62" ht="28" customHeight="1">
      <c r="B62" s="10" t="inlineStr">
        <is>
          <t>Objective: Measure the degree to which the agent accepted responsibility for moving the customer forward.</t>
        </is>
      </c>
      <c r="C62" s="70" t="n"/>
      <c r="D62" s="70" t="n"/>
      <c r="E62" s="70" t="n"/>
      <c r="F62" s="69" t="n"/>
    </row>
    <row r="63">
      <c r="B63" s="4" t="inlineStr">
        <is>
          <t>Behavioral Indicator</t>
        </is>
      </c>
      <c r="C63" s="11" t="inlineStr">
        <is>
          <t>Assessment</t>
        </is>
      </c>
      <c r="D63" s="4" t="inlineStr">
        <is>
          <t>Evidence / Observation (quote or timestamp where possible)</t>
        </is>
      </c>
      <c r="E63" s="70" t="n"/>
      <c r="F63" s="69" t="n"/>
    </row>
    <row r="64" ht="28" customHeight="1">
      <c r="B64" s="12" t="inlineStr">
        <is>
          <t>Agent demonstrated accountability for the customer's outcome</t>
        </is>
      </c>
      <c r="C64" s="79" t="inlineStr">
        <is>
          <t>Met</t>
        </is>
      </c>
      <c r="D64" s="12" t="inlineStr">
        <is>
          <t>Owned the promised callback and drove it personally.</t>
        </is>
      </c>
      <c r="E64" s="70" t="n"/>
      <c r="F64" s="69" t="n"/>
    </row>
    <row r="65" ht="28" customHeight="1">
      <c r="B65" s="14" t="inlineStr">
        <is>
          <t>Unnecessary transfers were avoided</t>
        </is>
      </c>
      <c r="C65" s="79" t="inlineStr">
        <is>
          <t>Met</t>
        </is>
      </c>
      <c r="D65" s="14" t="inlineStr">
        <is>
          <t>No unnecessary transfer - handled the L2 follow-up directly.</t>
        </is>
      </c>
      <c r="E65" s="70" t="n"/>
      <c r="F65" s="69" t="n"/>
    </row>
    <row r="66" ht="28" customHeight="1">
      <c r="B66" s="12" t="inlineStr">
        <is>
          <t>Commitments made during the interaction were followed through</t>
        </is>
      </c>
      <c r="C66" s="79" t="inlineStr">
        <is>
          <t>Met</t>
        </is>
      </c>
      <c r="D66" s="12" t="inlineStr">
        <is>
          <t>Honored the L1 commitment - 24h callback executed the SAME day.</t>
        </is>
      </c>
      <c r="E66" s="70" t="n"/>
      <c r="F66" s="69" t="n"/>
    </row>
    <row r="67" ht="28" customHeight="1">
      <c r="B67" s="14" t="inlineStr">
        <is>
          <t>A clear path forward was created for the customer</t>
        </is>
      </c>
      <c r="C67" s="79" t="inlineStr">
        <is>
          <t>Met</t>
        </is>
      </c>
      <c r="D67" s="14" t="inlineStr">
        <is>
          <t>Created a clear path forward: retry window + direct hotline + email.</t>
        </is>
      </c>
      <c r="E67" s="70" t="n"/>
      <c r="F67" s="69" t="n"/>
    </row>
    <row r="68" ht="28" customHeight="1">
      <c r="B68" s="12" t="inlineStr">
        <is>
          <t>Next actions were documented</t>
        </is>
      </c>
      <c r="C68" s="79" t="inlineStr">
        <is>
          <t>Met</t>
        </is>
      </c>
      <c r="D68" s="12" t="inlineStr">
        <is>
          <t>Both callback attempts and the email notification documented.</t>
        </is>
      </c>
      <c r="E68" s="70" t="n"/>
      <c r="F68" s="69" t="n"/>
    </row>
    <row r="69" ht="28" customHeight="1">
      <c r="B69" s="14" t="inlineStr">
        <is>
          <t>Realistic expectations were set</t>
        </is>
      </c>
      <c r="C69" s="79" t="inlineStr">
        <is>
          <t>Met</t>
        </is>
      </c>
      <c r="D69" s="14" t="inlineStr">
        <is>
          <t>Realistic expectation set (retry in 10-15 min).</t>
        </is>
      </c>
      <c r="E69" s="70" t="n"/>
      <c r="F69" s="69" t="n"/>
    </row>
    <row r="70" ht="28" customHeight="1">
      <c r="B70" s="12" t="inlineStr">
        <is>
          <t>Disconnect follow-up completed (callback / email / note) — mark N.A. if no disconnect</t>
        </is>
      </c>
      <c r="C70" s="79" t="inlineStr">
        <is>
          <t>Met</t>
        </is>
      </c>
      <c r="D70" s="12" t="inlineStr">
        <is>
          <t>No-answer follow-up completed: two attempts + email + hotline + note.</t>
        </is>
      </c>
      <c r="E70" s="70" t="n"/>
      <c r="F70" s="69" t="n"/>
    </row>
    <row r="71" ht="28" customHeight="1">
      <c r="B71" s="14" t="inlineStr">
        <is>
          <t>Callback commitments were met within the agreed window (or proactively renegotiated before it lapsed)</t>
        </is>
      </c>
      <c r="C71" s="79" t="inlineStr">
        <is>
          <t>Met</t>
        </is>
      </c>
      <c r="D71" s="14" t="inlineStr">
        <is>
          <t>Callback commitment met well within the agreed 24h window (same day).</t>
        </is>
      </c>
      <c r="E71" s="70" t="n"/>
      <c r="F71" s="69" t="n"/>
    </row>
    <row r="72" ht="28" customHeight="1">
      <c r="B72" s="15" t="inlineStr">
        <is>
          <t>⚠ Automatic deductions: no documented follow-up after disconnect; unclear next steps; passing responsibility without context; failure to complete promised actions; missed or late callbacks without proactive renegotiation.</t>
        </is>
      </c>
      <c r="C72" s="70" t="n"/>
      <c r="D72" s="70" t="n"/>
      <c r="E72" s="70" t="n"/>
      <c r="F72" s="69" t="n"/>
    </row>
    <row r="73">
      <c r="B73" s="16" t="inlineStr">
        <is>
          <t>Suggested score (auto from indicators — advisory only; evaluator judgment prevails)</t>
        </is>
      </c>
      <c r="C73" s="17">
        <f>IF((COUNTIF(C64:C71,"Met")+COUNTIF(C64:C71,"Partial")+COUNTIF(C64:C71,"Missed"))=0,"",ROUND((COUNTIF(C64:C71,"Met")*5+COUNTIF(C64:C71,"Partial")*2.5)/(COUNTIF(C64:C71,"Met")+COUNTIF(C64:C71,"Partial")+COUNTIF(C64:C71,"Missed")),1))</f>
        <v/>
      </c>
      <c r="D73" s="18" t="inlineStr"/>
      <c r="E73" s="70" t="n"/>
      <c r="F73" s="69" t="n"/>
    </row>
    <row r="74" ht="24" customHeight="1">
      <c r="B74" s="19" t="inlineStr">
        <is>
          <t>FINAL CATEGORY SCORE (0–5)</t>
        </is>
      </c>
      <c r="C74" s="20" t="n">
        <v>4</v>
      </c>
      <c r="D74" s="21">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74" s="70" t="n"/>
      <c r="F74" s="69" t="n"/>
    </row>
    <row r="75" ht="36" customHeight="1">
      <c r="B75" s="19" t="inlineStr">
        <is>
          <t>Category comments / coaching notes</t>
        </is>
      </c>
      <c r="C75" s="7" t="inlineStr">
        <is>
          <t>Model ownership for a no-answer scenario: prompt, multiple attempts, and a documented path back for the customer.</t>
        </is>
      </c>
      <c r="D75" s="70" t="n"/>
      <c r="E75" s="70" t="n"/>
      <c r="F75" s="69" t="n"/>
    </row>
    <row r="77" ht="18" customHeight="1">
      <c r="B77" s="125" t="inlineStr">
        <is>
          <t>5. ESCALATION JUDGMENT</t>
        </is>
      </c>
      <c r="C77" s="67" t="n"/>
      <c r="D77" s="67" t="n"/>
      <c r="E77" s="68" t="n"/>
      <c r="F77" s="9" t="inlineStr">
        <is>
          <t>Weight: 10%</t>
        </is>
      </c>
    </row>
    <row r="78" ht="28" customHeight="1">
      <c r="B78" s="10" t="inlineStr">
        <is>
          <t>Objective: Determine whether escalation decisions were appropriate — including UPWARD escalations the customer requested (management, complaint, legal). Mark all N.A. if no escalation was involved and none was warranted.</t>
        </is>
      </c>
      <c r="C78" s="70" t="n"/>
      <c r="D78" s="70" t="n"/>
      <c r="E78" s="70" t="n"/>
      <c r="F78" s="69" t="n"/>
    </row>
    <row r="79">
      <c r="B79" s="4" t="inlineStr">
        <is>
          <t>Behavioral Indicator</t>
        </is>
      </c>
      <c r="C79" s="11" t="inlineStr">
        <is>
          <t>Assessment</t>
        </is>
      </c>
      <c r="D79" s="4" t="inlineStr">
        <is>
          <t>Evidence / Observation (quote or timestamp where possible)</t>
        </is>
      </c>
      <c r="E79" s="70" t="n"/>
      <c r="F79" s="69" t="n"/>
    </row>
    <row r="80" ht="28" customHeight="1">
      <c r="B80" s="12" t="inlineStr">
        <is>
          <t>Reasonable troubleshooting was completed before escalating</t>
        </is>
      </c>
      <c r="C80" s="79" t="inlineStr">
        <is>
          <t>N.A.</t>
        </is>
      </c>
      <c r="D80" s="12" t="inlineStr">
        <is>
          <t>Paulo is the L2 callback owner, not escalating onward.</t>
        </is>
      </c>
      <c r="E80" s="70" t="n"/>
      <c r="F80" s="69" t="n"/>
    </row>
    <row r="81" ht="28" customHeight="1">
      <c r="B81" s="14" t="inlineStr">
        <is>
          <t>Legitimate escalation criteria were identified (incl. complaint / management / legal-risk triggers)</t>
        </is>
      </c>
      <c r="C81" s="79" t="inlineStr">
        <is>
          <t>N.A.</t>
        </is>
      </c>
      <c r="D81" s="14" t="inlineStr">
        <is>
          <t>No onward escalation decision required at this stage.</t>
        </is>
      </c>
      <c r="E81" s="70" t="n"/>
      <c r="F81" s="69" t="n"/>
    </row>
    <row r="82" ht="28" customHeight="1">
      <c r="B82" s="12" t="inlineStr">
        <is>
          <t>Escalation contained complete, useful details (logs, findings, steps tried)</t>
        </is>
      </c>
      <c r="C82" s="79" t="inlineStr">
        <is>
          <t>N.A.</t>
        </is>
      </c>
      <c r="D82" s="12" t="inlineStr">
        <is>
          <t>Not applicable.</t>
        </is>
      </c>
      <c r="E82" s="70" t="n"/>
      <c r="F82" s="69" t="n"/>
    </row>
    <row r="83" ht="28" customHeight="1">
      <c r="B83" s="14" t="inlineStr">
        <is>
          <t>Correct escalation path was chosen</t>
        </is>
      </c>
      <c r="C83" s="79" t="inlineStr">
        <is>
          <t>N.A.</t>
        </is>
      </c>
      <c r="D83" s="14" t="inlineStr">
        <is>
          <t>Not applicable.</t>
        </is>
      </c>
      <c r="E83" s="70" t="n"/>
      <c r="F83" s="69" t="n"/>
    </row>
    <row r="84" ht="28" customHeight="1">
      <c r="B84" s="12" t="inlineStr">
        <is>
          <t>Customer expectations about the escalation were set appropriately</t>
        </is>
      </c>
      <c r="C84" s="79" t="inlineStr">
        <is>
          <t>N.A.</t>
        </is>
      </c>
      <c r="D84" s="12" t="inlineStr">
        <is>
          <t>Not applicable.</t>
        </is>
      </c>
      <c r="E84" s="70" t="n"/>
      <c r="F84" s="69" t="n"/>
    </row>
    <row r="85" ht="28" customHeight="1">
      <c r="B85" s="15" t="inlineStr">
        <is>
          <t>⚠ Low score: premature, avoidable, poorly documented, used as a substitute for troubleshooting — or a warranted escalation (incl. a customer's management request) that was NOT made.</t>
        </is>
      </c>
      <c r="C85" s="70" t="n"/>
      <c r="D85" s="70" t="n"/>
      <c r="E85" s="70" t="n"/>
      <c r="F85" s="69" t="n"/>
    </row>
    <row r="86">
      <c r="B86" s="16" t="inlineStr">
        <is>
          <t>Suggested score (auto from indicators — advisory only; evaluator judgment prevails)</t>
        </is>
      </c>
      <c r="C86" s="17">
        <f>IF((COUNTIF(C80:C84,"Met")+COUNTIF(C80:C84,"Partial")+COUNTIF(C80:C84,"Missed"))=0,"",ROUND((COUNTIF(C80:C84,"Met")*5+COUNTIF(C80:C84,"Partial")*2.5)/(COUNTIF(C80:C84,"Met")+COUNTIF(C80:C84,"Partial")+COUNTIF(C80:C84,"Missed")),1))</f>
        <v/>
      </c>
      <c r="D86" s="18" t="inlineStr"/>
      <c r="E86" s="70" t="n"/>
      <c r="F86" s="69" t="n"/>
    </row>
    <row r="87" ht="24" customHeight="1">
      <c r="B87" s="19" t="inlineStr">
        <is>
          <t>FINAL CATEGORY SCORE (0–5)</t>
        </is>
      </c>
      <c r="C87" s="20" t="n">
        <v>3</v>
      </c>
      <c r="D87" s="21">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87" s="70" t="n"/>
      <c r="F87" s="69" t="n"/>
    </row>
    <row r="88" ht="36" customHeight="1">
      <c r="B88" s="19" t="inlineStr">
        <is>
          <t>Category comments / coaching notes</t>
        </is>
      </c>
      <c r="C88" s="7" t="inlineStr">
        <is>
          <t>No escalation decision was in scope - this is the receiving L2 callback. Neutral score.</t>
        </is>
      </c>
      <c r="D88" s="70" t="n"/>
      <c r="E88" s="70" t="n"/>
      <c r="F88" s="69" t="n"/>
    </row>
    <row r="90" ht="18" customHeight="1">
      <c r="B90" s="125" t="inlineStr">
        <is>
          <t>6. CUSTOMER EXPERIENCE</t>
        </is>
      </c>
      <c r="C90" s="67" t="n"/>
      <c r="D90" s="67" t="n"/>
      <c r="E90" s="68" t="n"/>
      <c r="F90" s="9" t="inlineStr">
        <is>
          <t>Weight: 5%</t>
        </is>
      </c>
    </row>
    <row r="91" ht="28" customHeight="1">
      <c r="B91" s="10" t="inlineStr">
        <is>
          <t>Objective: Measure the overall customer experience delivered during the interaction.</t>
        </is>
      </c>
      <c r="C91" s="70" t="n"/>
      <c r="D91" s="70" t="n"/>
      <c r="E91" s="70" t="n"/>
      <c r="F91" s="69" t="n"/>
    </row>
    <row r="92">
      <c r="B92" s="4" t="inlineStr">
        <is>
          <t>Behavioral Indicator</t>
        </is>
      </c>
      <c r="C92" s="11" t="inlineStr">
        <is>
          <t>Assessment</t>
        </is>
      </c>
      <c r="D92" s="4" t="inlineStr">
        <is>
          <t>Evidence / Observation (quote or timestamp where possible)</t>
        </is>
      </c>
      <c r="E92" s="70" t="n"/>
      <c r="F92" s="69" t="n"/>
    </row>
    <row r="93" ht="28" customHeight="1">
      <c r="B93" s="12" t="inlineStr">
        <is>
          <t>Empathy was demonstrated (incl. acknowledging cumulative effort and fatigue on repeat contacts)</t>
        </is>
      </c>
      <c r="C93" s="79" t="inlineStr">
        <is>
          <t>Partial</t>
        </is>
      </c>
      <c r="D93" s="12" t="inlineStr">
        <is>
          <t>Empathy implied through callback effort, but no live interaction to deliver it.</t>
        </is>
      </c>
      <c r="E93" s="70" t="n"/>
      <c r="F93" s="69" t="n"/>
    </row>
    <row r="94" ht="28" customHeight="1">
      <c r="B94" s="14" t="inlineStr">
        <is>
          <t>Professionalism was maintained throughout</t>
        </is>
      </c>
      <c r="C94" s="79" t="inlineStr">
        <is>
          <t>Met</t>
        </is>
      </c>
      <c r="D94" s="14" t="inlineStr">
        <is>
          <t>Professional and courteous on both attempts.</t>
        </is>
      </c>
      <c r="E94" s="70" t="n"/>
      <c r="F94" s="69" t="n"/>
    </row>
    <row r="95" ht="28" customHeight="1">
      <c r="B95" s="12" t="inlineStr">
        <is>
          <t>Communication style was adapted to the customer</t>
        </is>
      </c>
      <c r="C95" s="79" t="inlineStr">
        <is>
          <t>N.A.</t>
        </is>
      </c>
      <c r="D95" s="12" t="inlineStr">
        <is>
          <t>No live customer to adapt style to.</t>
        </is>
      </c>
      <c r="E95" s="70" t="n"/>
      <c r="F95" s="69" t="n"/>
    </row>
    <row r="96" ht="28" customHeight="1">
      <c r="B96" s="14" t="inlineStr">
        <is>
          <t>Patience was maintained, even under pressure</t>
        </is>
      </c>
      <c r="C96" s="79" t="inlineStr">
        <is>
          <t>Met</t>
        </is>
      </c>
      <c r="D96" s="14" t="inlineStr">
        <is>
          <t>Patient and composed despite no response.</t>
        </is>
      </c>
      <c r="E96" s="70" t="n"/>
      <c r="F96" s="69" t="n"/>
    </row>
    <row r="97" ht="28" customHeight="1">
      <c r="B97" s="12" t="inlineStr">
        <is>
          <t>Customer effort was reduced where possible</t>
        </is>
      </c>
      <c r="C97" s="79" t="inlineStr">
        <is>
          <t>Met</t>
        </is>
      </c>
      <c r="D97" s="12" t="inlineStr">
        <is>
          <t>Reduced customer effort by providing the direct hotline to reach back easily.</t>
        </is>
      </c>
      <c r="E97" s="70" t="n"/>
      <c r="F97" s="69" t="n"/>
    </row>
    <row r="98" ht="28" customHeight="1">
      <c r="B98" s="14" t="inlineStr">
        <is>
          <t>Customer felt heard, understood next steps, and remained engaged</t>
        </is>
      </c>
      <c r="C98" s="79" t="inlineStr">
        <is>
          <t>N.A.</t>
        </is>
      </c>
      <c r="D98" s="14" t="inlineStr">
        <is>
          <t>No contact established - customer engagement not measurable.</t>
        </is>
      </c>
      <c r="E98" s="70" t="n"/>
      <c r="F98" s="69" t="n"/>
    </row>
    <row r="99" ht="28" customHeight="1">
      <c r="B99" s="15" t="inlineStr">
        <is>
          <t>⚠ Negative indicators: dismissive responses; robotic interactions; frustration escalation caused by agent behavior; marathon sessions pushed onto vulnerable customers without offering to pause and resume.</t>
        </is>
      </c>
      <c r="C99" s="70" t="n"/>
      <c r="D99" s="70" t="n"/>
      <c r="E99" s="70" t="n"/>
      <c r="F99" s="69" t="n"/>
    </row>
    <row r="100">
      <c r="B100" s="16" t="inlineStr">
        <is>
          <t>Suggested score (auto from indicators — advisory only; evaluator judgment prevails)</t>
        </is>
      </c>
      <c r="C100" s="17">
        <f>IF((COUNTIF(C93:C98,"Met")+COUNTIF(C93:C98,"Partial")+COUNTIF(C93:C98,"Missed"))=0,"",ROUND((COUNTIF(C93:C98,"Met")*5+COUNTIF(C93:C98,"Partial")*2.5)/(COUNTIF(C93:C98,"Met")+COUNTIF(C93:C98,"Partial")+COUNTIF(C93:C98,"Missed")),1))</f>
        <v/>
      </c>
      <c r="D100" s="18" t="inlineStr"/>
      <c r="E100" s="70" t="n"/>
      <c r="F100" s="69" t="n"/>
    </row>
    <row r="101" ht="24" customHeight="1">
      <c r="B101" s="19" t="inlineStr">
        <is>
          <t>FINAL CATEGORY SCORE (0–5)</t>
        </is>
      </c>
      <c r="C101" s="20" t="n">
        <v>3</v>
      </c>
      <c r="D101" s="21">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01" s="70" t="n"/>
      <c r="F101" s="69" t="n"/>
    </row>
    <row r="102" ht="36" customHeight="1">
      <c r="B102" s="19" t="inlineStr">
        <is>
          <t>Category comments / coaching notes</t>
        </is>
      </c>
      <c r="C102" s="7" t="inlineStr">
        <is>
          <t>Professional callback effort; experience limited by lack of contact rather than agent behavior.</t>
        </is>
      </c>
      <c r="D102" s="70" t="n"/>
      <c r="E102" s="70" t="n"/>
      <c r="F102" s="69" t="n"/>
    </row>
    <row r="104" ht="18" customHeight="1">
      <c r="B104" s="125" t="inlineStr">
        <is>
          <t>7. DOCUMENTATION &amp; NOTES</t>
        </is>
      </c>
      <c r="C104" s="67" t="n"/>
      <c r="D104" s="67" t="n"/>
      <c r="E104" s="68" t="n"/>
      <c r="F104" s="9" t="inlineStr">
        <is>
          <t>Weight: 5%</t>
        </is>
      </c>
    </row>
    <row r="105" ht="28" customHeight="1">
      <c r="B105" s="10" t="inlineStr">
        <is>
          <t>Objective: Ensure future agents can quickly understand the case. Purpose is continuity, not compliance.</t>
        </is>
      </c>
      <c r="C105" s="70" t="n"/>
      <c r="D105" s="70" t="n"/>
      <c r="E105" s="70" t="n"/>
      <c r="F105" s="69" t="n"/>
    </row>
    <row r="106">
      <c r="B106" s="4" t="inlineStr">
        <is>
          <t>Behavioral Indicator</t>
        </is>
      </c>
      <c r="C106" s="11" t="inlineStr">
        <is>
          <t>Assessment</t>
        </is>
      </c>
      <c r="D106" s="4" t="inlineStr">
        <is>
          <t>Evidence / Observation (quote or timestamp where possible)</t>
        </is>
      </c>
      <c r="E106" s="70" t="n"/>
      <c r="F106" s="69" t="n"/>
    </row>
    <row r="107" ht="28" customHeight="1">
      <c r="B107" s="12" t="inlineStr">
        <is>
          <t>Customer issue summary recorded</t>
        </is>
      </c>
      <c r="C107" s="79" t="inlineStr">
        <is>
          <t>Met</t>
        </is>
      </c>
      <c r="D107" s="12" t="inlineStr">
        <is>
          <t>Inherited case context noted; callback purpose recorded.</t>
        </is>
      </c>
      <c r="E107" s="70" t="n"/>
      <c r="F107" s="69" t="n"/>
    </row>
    <row r="108" ht="28" customHeight="1">
      <c r="B108" s="14" t="inlineStr">
        <is>
          <t>Troubleshooting performed is documented</t>
        </is>
      </c>
      <c r="C108" s="79" t="inlineStr">
        <is>
          <t>N.A.</t>
        </is>
      </c>
      <c r="D108" s="14" t="inlineStr">
        <is>
          <t>No troubleshooting to document.</t>
        </is>
      </c>
      <c r="E108" s="70" t="n"/>
      <c r="F108" s="69" t="n"/>
    </row>
    <row r="109" ht="28" customHeight="1">
      <c r="B109" s="12" t="inlineStr">
        <is>
          <t>Key findings / discoveries noted</t>
        </is>
      </c>
      <c r="C109" s="79" t="inlineStr">
        <is>
          <t>N.A.</t>
        </is>
      </c>
      <c r="D109" s="12" t="inlineStr">
        <is>
          <t>No findings - no contact.</t>
        </is>
      </c>
      <c r="E109" s="70" t="n"/>
      <c r="F109" s="69" t="n"/>
    </row>
    <row r="110" ht="28" customHeight="1">
      <c r="B110" s="14" t="inlineStr">
        <is>
          <t>Agent reasoning is captured</t>
        </is>
      </c>
      <c r="C110" s="79" t="inlineStr">
        <is>
          <t>Met</t>
        </is>
      </c>
      <c r="D110" s="14" t="inlineStr">
        <is>
          <t>Reasoning for retry and hotline handoff captured.</t>
        </is>
      </c>
      <c r="E110" s="70" t="n"/>
      <c r="F110" s="69" t="n"/>
    </row>
    <row r="111" ht="28" customHeight="1">
      <c r="B111" s="12" t="inlineStr">
        <is>
          <t>Escalation justification included — mark N.A. if no escalation</t>
        </is>
      </c>
      <c r="C111" s="79" t="inlineStr">
        <is>
          <t>N.A.</t>
        </is>
      </c>
      <c r="D111" s="12" t="inlineStr">
        <is>
          <t>No onward escalation to justify.</t>
        </is>
      </c>
      <c r="E111" s="70" t="n"/>
      <c r="F111" s="69" t="n"/>
    </row>
    <row r="112" ht="28" customHeight="1">
      <c r="B112" s="14" t="inlineStr">
        <is>
          <t>Next steps and follow-up actions listed (incl. callback records)</t>
        </is>
      </c>
      <c r="C112" s="79" t="inlineStr">
        <is>
          <t>Met</t>
        </is>
      </c>
      <c r="D112" s="14" t="inlineStr">
        <is>
          <t>Both callback attempts and the customer email documented.</t>
        </is>
      </c>
      <c r="E112" s="70" t="n"/>
      <c r="F112" s="69" t="n"/>
    </row>
    <row r="113" ht="28" customHeight="1">
      <c r="B113" s="12" t="inlineStr">
        <is>
          <t>Ticket status accurately reflects case state (no premature RESOLVED; closure reason documented)</t>
        </is>
      </c>
      <c r="C113" s="79" t="inlineStr">
        <is>
          <t>Partial</t>
        </is>
      </c>
      <c r="D113" s="12" t="inlineStr">
        <is>
          <t>Paulo's callback notes are accurate, but the overall case shows RESOLVED while the issue is unresolved and the customer is unreached - a journey-level closure concern.</t>
        </is>
      </c>
      <c r="E113" s="70" t="n"/>
      <c r="F113" s="69" t="n"/>
    </row>
    <row r="114" ht="28" customHeight="1">
      <c r="B114" s="15" t="inlineStr">
        <is>
          <t>⚠ Documentation supports outcomes but should not outweigh troubleshooting quality, communication, or ownership. Notes must carry the FULL history — including pre-ticket contacts — so no agent treats a long-running case as new.</t>
        </is>
      </c>
      <c r="C114" s="70" t="n"/>
      <c r="D114" s="70" t="n"/>
      <c r="E114" s="70" t="n"/>
      <c r="F114" s="69" t="n"/>
    </row>
    <row r="115">
      <c r="B115" s="16" t="inlineStr">
        <is>
          <t>Suggested score (auto from indicators — advisory only; evaluator judgment prevails)</t>
        </is>
      </c>
      <c r="C115" s="17">
        <f>IF((COUNTIF(C107:C113,"Met")+COUNTIF(C107:C113,"Partial")+COUNTIF(C107:C113,"Missed"))=0,"",ROUND((COUNTIF(C107:C113,"Met")*5+COUNTIF(C107:C113,"Partial")*2.5)/(COUNTIF(C107:C113,"Met")+COUNTIF(C107:C113,"Partial")+COUNTIF(C107:C113,"Missed")),1))</f>
        <v/>
      </c>
      <c r="D115" s="18" t="inlineStr"/>
      <c r="E115" s="70" t="n"/>
      <c r="F115" s="69" t="n"/>
    </row>
    <row r="116" ht="24" customHeight="1">
      <c r="B116" s="19" t="inlineStr">
        <is>
          <t>FINAL CATEGORY SCORE (0–5)</t>
        </is>
      </c>
      <c r="C116" s="20" t="n">
        <v>4</v>
      </c>
      <c r="D116" s="21">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16" s="70" t="n"/>
      <c r="F116" s="69" t="n"/>
    </row>
    <row r="117" ht="36" customHeight="1">
      <c r="B117" s="19" t="inlineStr">
        <is>
          <t>Category comments / coaching notes</t>
        </is>
      </c>
      <c r="C117" s="7" t="inlineStr">
        <is>
          <t>Clear, continuity-ready callback records. Watch the case-level premature RESOLVED status.</t>
        </is>
      </c>
      <c r="D117" s="70" t="n"/>
      <c r="E117" s="70" t="n"/>
      <c r="F117" s="69" t="n"/>
    </row>
    <row r="119">
      <c r="B119" s="8" t="inlineStr">
        <is>
          <t>3 · SCORE SUMMARY</t>
        </is>
      </c>
      <c r="C119" s="67" t="n"/>
      <c r="D119" s="67" t="n"/>
      <c r="E119" s="67" t="n"/>
      <c r="F119" s="68" t="n"/>
    </row>
    <row r="120">
      <c r="B120" s="118" t="inlineStr">
        <is>
          <t>Category</t>
        </is>
      </c>
      <c r="C120" s="118" t="inlineStr">
        <is>
          <t>Weight</t>
        </is>
      </c>
      <c r="D120" s="118" t="inlineStr">
        <is>
          <t>Score (0-5)</t>
        </is>
      </c>
      <c r="E120" s="118" t="inlineStr">
        <is>
          <t>Weighted</t>
        </is>
      </c>
      <c r="F120" s="118" t="inlineStr">
        <is>
          <t>Band</t>
        </is>
      </c>
    </row>
    <row r="121">
      <c r="B121" s="23" t="inlineStr">
        <is>
          <t>Resolution / Progress Toward Resolution</t>
        </is>
      </c>
      <c r="C121" s="24" t="n">
        <v>0.3</v>
      </c>
      <c r="D121" s="25">
        <f>C27</f>
        <v/>
      </c>
      <c r="E121" s="83">
        <f>IF(D121="","",(D121/5)*C121)</f>
        <v/>
      </c>
      <c r="F121" s="132">
        <f>IF(D121="","",IF(D121&gt;=4,"Strong",IF(D121=3,"Developing","Needs Focus")))</f>
        <v/>
      </c>
    </row>
    <row r="122">
      <c r="B122" s="28" t="inlineStr">
        <is>
          <t>Technical Accuracy</t>
        </is>
      </c>
      <c r="C122" s="29" t="n">
        <v>0.2</v>
      </c>
      <c r="D122" s="30">
        <f>C42</f>
        <v/>
      </c>
      <c r="E122" s="78">
        <f>IF(D122="","",(D122/5)*C122)</f>
        <v/>
      </c>
      <c r="F122" s="131">
        <f>IF(D122="","",IF(D122&gt;=4,"Strong",IF(D122=3,"Developing","Needs Focus")))</f>
        <v/>
      </c>
    </row>
    <row r="123">
      <c r="B123" s="23" t="inlineStr">
        <is>
          <t>Communication &amp; Call Control</t>
        </is>
      </c>
      <c r="C123" s="24" t="n">
        <v>0.15</v>
      </c>
      <c r="D123" s="25">
        <f>C58</f>
        <v/>
      </c>
      <c r="E123" s="83">
        <f>IF(D123="","",(D123/5)*C123)</f>
        <v/>
      </c>
      <c r="F123" s="132">
        <f>IF(D123="","",IF(D123&gt;=4,"Strong",IF(D123=3,"Developing","Needs Focus")))</f>
        <v/>
      </c>
    </row>
    <row r="124">
      <c r="B124" s="28" t="inlineStr">
        <is>
          <t>Customer Ownership</t>
        </is>
      </c>
      <c r="C124" s="29" t="n">
        <v>0.15</v>
      </c>
      <c r="D124" s="30">
        <f>C74</f>
        <v/>
      </c>
      <c r="E124" s="78">
        <f>IF(D124="","",(D124/5)*C124)</f>
        <v/>
      </c>
      <c r="F124" s="131">
        <f>IF(D124="","",IF(D124&gt;=4,"Strong",IF(D124=3,"Developing","Needs Focus")))</f>
        <v/>
      </c>
    </row>
    <row r="125">
      <c r="B125" s="23" t="inlineStr">
        <is>
          <t>Escalation Judgment</t>
        </is>
      </c>
      <c r="C125" s="24" t="n">
        <v>0.1</v>
      </c>
      <c r="D125" s="25">
        <f>C87</f>
        <v/>
      </c>
      <c r="E125" s="83">
        <f>IF(D125="","",(D125/5)*C125)</f>
        <v/>
      </c>
      <c r="F125" s="132">
        <f>IF(D125="","",IF(D125&gt;=4,"Strong",IF(D125=3,"Developing","Needs Focus")))</f>
        <v/>
      </c>
    </row>
    <row r="126">
      <c r="B126" s="28" t="inlineStr">
        <is>
          <t>Customer Experience</t>
        </is>
      </c>
      <c r="C126" s="29" t="n">
        <v>0.05</v>
      </c>
      <c r="D126" s="30">
        <f>C101</f>
        <v/>
      </c>
      <c r="E126" s="78">
        <f>IF(D126="","",(D126/5)*C126)</f>
        <v/>
      </c>
      <c r="F126" s="131">
        <f>IF(D126="","",IF(D126&gt;=4,"Strong",IF(D126=3,"Developing","Needs Focus")))</f>
        <v/>
      </c>
    </row>
    <row r="127">
      <c r="B127" s="23" t="inlineStr">
        <is>
          <t>Documentation &amp; Notes</t>
        </is>
      </c>
      <c r="C127" s="24" t="n">
        <v>0.05</v>
      </c>
      <c r="D127" s="25">
        <f>C116</f>
        <v/>
      </c>
      <c r="E127" s="83">
        <f>IF(D127="","",(D127/5)*C127)</f>
        <v/>
      </c>
      <c r="F127" s="132">
        <f>IF(D127="","",IF(D127&gt;=4,"Strong",IF(D127=3,"Developing","Needs Focus")))</f>
        <v/>
      </c>
    </row>
    <row r="128" ht="24" customHeight="1">
      <c r="B128" s="8" t="inlineStr">
        <is>
          <t>WEIGHTED TOTAL SCORE</t>
        </is>
      </c>
      <c r="C128" s="33">
        <f>SUM(C121:C127)</f>
        <v/>
      </c>
      <c r="D128" s="34" t="inlineStr"/>
      <c r="E128" s="35">
        <f>SUM(E121:E127)</f>
        <v/>
      </c>
      <c r="F128" s="36">
        <f>IF(E128="","",IF(E128&gt;=0.85,"MEETS / EXCEEDS",IF(E128&gt;=0.7,"DEVELOPING","NEEDS IMPROVEMENT")))</f>
        <v/>
      </c>
    </row>
    <row r="130">
      <c r="B130" s="125" t="inlineStr">
        <is>
          <t>4 · RESOLUTION OUTCOME</t>
        </is>
      </c>
      <c r="C130" s="67" t="n"/>
      <c r="D130" s="67" t="n"/>
      <c r="E130" s="67" t="n"/>
      <c r="F130" s="68" t="n"/>
    </row>
    <row r="131">
      <c r="B131" s="4" t="inlineStr">
        <is>
          <t>Outcome classification</t>
        </is>
      </c>
      <c r="C131" s="37" t="inlineStr">
        <is>
          <t>Unresolved - proper follow-up completed (customer unreachable)</t>
        </is>
      </c>
      <c r="D131" s="70" t="n"/>
      <c r="E131" s="70" t="n"/>
      <c r="F131" s="69" t="n"/>
    </row>
    <row r="132">
      <c r="B132" s="6" t="inlineStr">
        <is>
          <t>Primary positive outcome achieved</t>
        </is>
      </c>
      <c r="C132" s="81" t="inlineStr">
        <is>
          <t>Promised 24-hour callback executed the same day (two attempts) with email notification and a direct hotline provided.</t>
        </is>
      </c>
      <c r="D132" s="70" t="n"/>
      <c r="E132" s="70" t="n"/>
      <c r="F132" s="69" t="n"/>
    </row>
    <row r="133" ht="52" customHeight="1">
      <c r="B133" s="4" t="inlineStr">
        <is>
          <t>Justification</t>
        </is>
      </c>
      <c r="C133" s="7" t="inlineStr">
        <is>
          <t>No resolution was achievable because the customer did not answer either callback, but ownership and continuity were handled correctly: prompt same-day attempts, an email record, and a direct path back for the customer.</t>
        </is>
      </c>
      <c r="D133" s="70" t="n"/>
      <c r="E133" s="70" t="n"/>
      <c r="F133" s="69" t="n"/>
    </row>
    <row r="135">
      <c r="B135" s="125" t="inlineStr">
        <is>
          <t>5 · DISCONNECTED CALL FOLLOW-UP</t>
        </is>
      </c>
      <c r="C135" s="67" t="n"/>
      <c r="D135" s="67" t="n"/>
      <c r="E135" s="67" t="n"/>
      <c r="F135" s="68" t="n"/>
    </row>
    <row r="136">
      <c r="B136" s="6" t="inlineStr">
        <is>
          <t>Did the interaction disconnect before completion?</t>
        </is>
      </c>
      <c r="C136" s="79" t="inlineStr">
        <is>
          <t>No</t>
        </is>
      </c>
      <c r="D136" s="15" t="inlineStr">
        <is>
          <t>If Yes, at least one documented follow-up action is required.</t>
        </is>
      </c>
      <c r="E136" s="70" t="n"/>
      <c r="F136" s="69" t="n"/>
    </row>
    <row r="137" ht="30" customHeight="1">
      <c r="B137" s="4" t="inlineStr">
        <is>
          <t>Follow-up action taken</t>
        </is>
      </c>
      <c r="C137" s="81" t="inlineStr">
        <is>
          <t>N.A. - no disconnect</t>
        </is>
      </c>
      <c r="D137" s="69" t="n"/>
      <c r="E137" s="38">
        <f>IF(AND(C136="Yes",OR(C137="None",C137="N.A. — no disconnect")),"⚠ MISSED OWNERSHIP OPPORTUNITY — flag in Customer Ownership and Critical Failures","OK")</f>
        <v/>
      </c>
      <c r="F137" s="69" t="n"/>
    </row>
    <row r="139">
      <c r="B139" s="121" t="inlineStr">
        <is>
          <t>6 · CRITICAL FAILURE CONDITIONS  (any 'Yes' triggers automatic review / coaching / QA failure regardless of score)</t>
        </is>
      </c>
      <c r="C139" s="67" t="n"/>
      <c r="D139" s="67" t="n"/>
      <c r="E139" s="67" t="n"/>
      <c r="F139" s="68" t="n"/>
    </row>
    <row r="140">
      <c r="B140" s="125" t="inlineStr">
        <is>
          <t>Condition</t>
        </is>
      </c>
      <c r="C140" s="118" t="inlineStr">
        <is>
          <t>Present?</t>
        </is>
      </c>
      <c r="D140" s="125" t="inlineStr">
        <is>
          <t>Notes / Evidence</t>
        </is>
      </c>
      <c r="E140" s="67" t="n"/>
      <c r="F140" s="68" t="n"/>
    </row>
    <row r="141" ht="26" customHeight="1">
      <c r="B141" s="12" t="inlineStr">
        <is>
          <t>Harmful or incorrect troubleshooting provided</t>
        </is>
      </c>
      <c r="C141" s="79" t="inlineStr">
        <is>
          <t>No</t>
        </is>
      </c>
      <c r="D141" s="12" t="inlineStr"/>
      <c r="E141" s="70" t="n"/>
      <c r="F141" s="69" t="n"/>
    </row>
    <row r="142" ht="26" customHeight="1">
      <c r="B142" s="14" t="inlineStr">
        <is>
          <t>Misrepresented product capabilities</t>
        </is>
      </c>
      <c r="C142" s="79" t="inlineStr">
        <is>
          <t>No</t>
        </is>
      </c>
      <c r="D142" s="14" t="n"/>
      <c r="E142" s="70" t="n"/>
      <c r="F142" s="69" t="n"/>
    </row>
    <row r="143" ht="26" customHeight="1">
      <c r="B143" s="12" t="inlineStr">
        <is>
          <t>Unsupported root-cause claims (e.g., ISP/customer blame w/o evidence)</t>
        </is>
      </c>
      <c r="C143" s="79" t="inlineStr">
        <is>
          <t>No</t>
        </is>
      </c>
      <c r="D143" s="12" t="n"/>
      <c r="E143" s="70" t="n"/>
      <c r="F143" s="69" t="n"/>
    </row>
    <row r="144" ht="26" customHeight="1">
      <c r="B144" s="14" t="inlineStr">
        <is>
          <t>No follow-up after disconnected call</t>
        </is>
      </c>
      <c r="C144" s="79" t="inlineStr">
        <is>
          <t>No</t>
        </is>
      </c>
      <c r="D144" s="14" t="inlineStr"/>
      <c r="E144" s="70" t="n"/>
      <c r="F144" s="69" t="n"/>
    </row>
    <row r="145" ht="26" customHeight="1">
      <c r="B145" s="12" t="inlineStr">
        <is>
          <t>Failed to complete a promised action (incl. missed agreed callback window)</t>
        </is>
      </c>
      <c r="C145" s="79" t="inlineStr">
        <is>
          <t>No</t>
        </is>
      </c>
      <c r="D145" s="12" t="inlineStr"/>
      <c r="E145" s="70" t="n"/>
      <c r="F145" s="69" t="n"/>
    </row>
    <row r="146" ht="26" customHeight="1">
      <c r="B146" s="14" t="inlineStr">
        <is>
          <t>Abandoned customer without a path forward</t>
        </is>
      </c>
      <c r="C146" s="79" t="inlineStr">
        <is>
          <t>No</t>
        </is>
      </c>
      <c r="D146" s="14" t="inlineStr"/>
      <c r="E146" s="70" t="n"/>
      <c r="F146" s="69" t="n"/>
    </row>
    <row r="147" ht="26" customHeight="1">
      <c r="B147" s="12" t="inlineStr">
        <is>
          <t>Escalated without reasonable troubleshooting / to avoid ownership</t>
        </is>
      </c>
      <c r="C147" s="79" t="inlineStr">
        <is>
          <t>No</t>
        </is>
      </c>
      <c r="D147" s="12" t="inlineStr"/>
      <c r="E147" s="70" t="n"/>
      <c r="F147" s="69" t="n"/>
    </row>
    <row r="148" ht="26" customHeight="1">
      <c r="B148" s="14" t="inlineStr">
        <is>
          <t>Unprofessional, rude, or dismissive conduct / policy violation</t>
        </is>
      </c>
      <c r="C148" s="79" t="inlineStr">
        <is>
          <t>No</t>
        </is>
      </c>
      <c r="D148" s="14" t="inlineStr"/>
      <c r="E148" s="70" t="n"/>
      <c r="F148" s="69" t="n"/>
    </row>
    <row r="149" ht="26" customHeight="1">
      <c r="B149" s="12" t="inlineStr">
        <is>
          <t>Compliance / security violation (e.g., payment card data spoken or stored in plaintext — PCI DSS)</t>
        </is>
      </c>
      <c r="C149" s="79" t="inlineStr">
        <is>
          <t>No</t>
        </is>
      </c>
      <c r="D149" s="12" t="inlineStr"/>
      <c r="E149" s="70" t="n"/>
      <c r="F149" s="69" t="n"/>
    </row>
    <row r="150" ht="26" customHeight="1">
      <c r="B150" s="14" t="inlineStr">
        <is>
          <t>Case marked Resolved while issue known to be unresolved (premature closure / no closure reason)</t>
        </is>
      </c>
      <c r="C150" s="79" t="inlineStr">
        <is>
          <t>No</t>
        </is>
      </c>
      <c r="D150" s="14" t="inlineStr"/>
      <c r="E150" s="70" t="n"/>
      <c r="F150" s="69" t="n"/>
    </row>
    <row r="151" ht="26" customHeight="1">
      <c r="B151" s="12" t="inlineStr">
        <is>
          <t>Customer complaint, management-contact, or legal-risk request not escalated</t>
        </is>
      </c>
      <c r="C151" s="79" t="inlineStr">
        <is>
          <t>No</t>
        </is>
      </c>
      <c r="D151" s="12" t="inlineStr"/>
      <c r="E151" s="70" t="n"/>
      <c r="F151" s="69" t="n"/>
    </row>
    <row r="152">
      <c r="B152" s="121" t="inlineStr">
        <is>
          <t>CRITICAL FAILURE FLAGGED?</t>
        </is>
      </c>
      <c r="C152" s="40">
        <f>IF(COUNTIF(C141:C151,"Yes")&gt;0,"YES — "&amp;COUNTIF(C141:C151,"Yes")&amp;" condition(s) flagged — automatic review required regardless of weighted score","No critical failures")</f>
        <v/>
      </c>
      <c r="D152" s="67" t="n"/>
      <c r="E152" s="67" t="n"/>
      <c r="F152" s="68" t="n"/>
    </row>
    <row r="154">
      <c r="B154" s="8" t="inlineStr">
        <is>
          <t>7 · COACHING &amp; FEEDBACK  (every review must produce at least one actionable coaching opportunity)</t>
        </is>
      </c>
      <c r="C154" s="67" t="n"/>
      <c r="D154" s="67" t="n"/>
      <c r="E154" s="67" t="n"/>
      <c r="F154" s="68" t="n"/>
    </row>
    <row r="155">
      <c r="B155" s="125" t="inlineStr">
        <is>
          <t>WHAT WENT WELL — behaviors to repeat</t>
        </is>
      </c>
      <c r="C155" s="67" t="n"/>
      <c r="D155" s="67" t="n"/>
      <c r="E155" s="67" t="n"/>
      <c r="F155" s="68" t="n"/>
    </row>
    <row r="156" ht="32" customHeight="1">
      <c r="B156" s="11" t="inlineStr">
        <is>
          <t>1.</t>
        </is>
      </c>
      <c r="C156" s="7" t="inlineStr">
        <is>
          <t>Honored the L1 callback commitment promptly - same-day attempts, well within the 24h SLA.</t>
        </is>
      </c>
      <c r="D156" s="70" t="n"/>
      <c r="E156" s="70" t="n"/>
      <c r="F156" s="69" t="n"/>
    </row>
    <row r="157" ht="32" customHeight="1">
      <c r="B157" s="11" t="inlineStr">
        <is>
          <t>2.</t>
        </is>
      </c>
      <c r="C157" s="7" t="inlineStr">
        <is>
          <t>Strong no-answer ownership: two attempts, plus an email and a direct hotline so the customer retains a path back.</t>
        </is>
      </c>
      <c r="D157" s="70" t="n"/>
      <c r="E157" s="70" t="n"/>
      <c r="F157" s="69" t="n"/>
    </row>
    <row r="158" ht="32" customHeight="1">
      <c r="B158" s="11" t="inlineStr">
        <is>
          <t>3.</t>
        </is>
      </c>
      <c r="C158" s="7" t="inlineStr">
        <is>
          <t>Maintained a professional, courteous tone and documented the attempts clearly.</t>
        </is>
      </c>
      <c r="D158" s="70" t="n"/>
      <c r="E158" s="70" t="n"/>
      <c r="F158" s="69" t="n"/>
    </row>
    <row r="159">
      <c r="B159" s="125" t="inlineStr">
        <is>
          <t>IMPROVEMENT OPPORTUNITIES — behaviors to improve</t>
        </is>
      </c>
      <c r="C159" s="67" t="n"/>
      <c r="D159" s="67" t="n"/>
      <c r="E159" s="67" t="n"/>
      <c r="F159" s="68" t="n"/>
    </row>
    <row r="160" ht="32" customHeight="1">
      <c r="B160" s="11" t="inlineStr">
        <is>
          <t>1.</t>
        </is>
      </c>
      <c r="C160" s="7" t="inlineStr">
        <is>
          <t>Tighten the no-answer callback message - shorter and clearer; the current message is repetitive (PDF finding).</t>
        </is>
      </c>
      <c r="D160" s="70" t="n"/>
      <c r="E160" s="70" t="n"/>
      <c r="F160" s="69" t="n"/>
    </row>
    <row r="161" ht="32" customHeight="1">
      <c r="B161" s="11" t="inlineStr">
        <is>
          <t>2.</t>
        </is>
      </c>
      <c r="C161" s="7" t="inlineStr">
        <is>
          <t>Use a concise voicemail/no-answer script: who is calling, why, two clear next steps, hotline, and best callback window.</t>
        </is>
      </c>
      <c r="D161" s="70" t="n"/>
      <c r="E161" s="70" t="n"/>
      <c r="F161" s="69" t="n"/>
    </row>
    <row r="162" ht="32" customHeight="1">
      <c r="B162" s="11" t="inlineStr">
        <is>
          <t>3.</t>
        </is>
      </c>
      <c r="C162" s="7" t="inlineStr">
        <is>
          <t>Confirm the case status reflects reality before closing the loop - flag/correct the premature RESOLVED status on an unresolved case.</t>
        </is>
      </c>
      <c r="D162" s="70" t="n"/>
      <c r="E162" s="70" t="n"/>
      <c r="F162" s="69" t="n"/>
    </row>
    <row r="163">
      <c r="B163" s="125" t="inlineStr">
        <is>
          <t>COACHING RECOMMENDATION — specific actions the agent should apply going forward</t>
        </is>
      </c>
      <c r="C163" s="67" t="n"/>
      <c r="D163" s="67" t="n"/>
      <c r="E163" s="67" t="n"/>
      <c r="F163" s="68" t="n"/>
    </row>
    <row r="164" ht="58" customHeight="1">
      <c r="B164" s="7" t="inlineStr">
        <is>
          <t>Coach on no-answer callback messaging. Provide a tight template: (1) name + 'Linksys Customer Assurance, calling back about ticket LTS00131695'; (2) one-line status; (3) two clear next steps (best callback window + direct hotline); keep under ~30 seconds and avoid repetition. Reinforce checking/correcting case status (RESOLVED vs. open) at handoff.</t>
        </is>
      </c>
      <c r="C164" s="70" t="n"/>
      <c r="D164" s="70" t="n"/>
      <c r="E164" s="70" t="n"/>
      <c r="F164" s="69" t="n"/>
    </row>
    <row r="165">
      <c r="B165" s="125" t="inlineStr">
        <is>
          <t>ORGANIZATIONAL INSIGHTS — training / process / KB / chatbot / tooling / product gaps discovered</t>
        </is>
      </c>
      <c r="C165" s="67" t="n"/>
      <c r="D165" s="67" t="n"/>
      <c r="E165" s="67" t="n"/>
      <c r="F165" s="68" t="n"/>
    </row>
    <row r="166" ht="70" customHeight="1">
      <c r="B166" s="7" t="inlineStr">
        <is>
          <t>1) Callback-message standard: a concise no-answer/voicemail template would resolve the repetitive-message finding seen here (and is reusable team-wide). 2) Closure discipline: the case shows RESOLVED while unresolved and the customer is unreached - reinforce the closure policy so L2 corrects status at handoff. Ownership behavior on this touch is a positive exemplar worth sharing.</t>
        </is>
      </c>
      <c r="C166" s="70" t="n"/>
      <c r="D166" s="70" t="n"/>
      <c r="E166" s="70" t="n"/>
      <c r="F166" s="69" t="n"/>
    </row>
    <row r="167">
      <c r="B167" s="125" t="inlineStr">
        <is>
          <t>MULTI-TOUCH / JOURNEY NOTES — handoff quality received &amp; passed, continuity, where the chain stands</t>
        </is>
      </c>
      <c r="C167" s="67" t="n"/>
      <c r="D167" s="67" t="n"/>
      <c r="E167" s="67" t="n"/>
      <c r="F167" s="68" t="n"/>
    </row>
    <row r="168" ht="58" customHeight="1">
      <c r="B168" s="7" t="inlineStr">
        <is>
          <t>Paulo was the receiving L2 in a 3-touch journey. Continuity into this touch was clean (ticket + callback commitment honored same day). The journey's weakness sits upstream at L1 (misdiagnosis + late escalation), not here. Paulo's two callbacks + email + hotline kept the chain intact; the case is now pending customer response.</t>
        </is>
      </c>
      <c r="C168" s="70" t="n"/>
      <c r="D168" s="70" t="n"/>
      <c r="E168" s="70" t="n"/>
      <c r="F168" s="69" t="n"/>
    </row>
    <row r="169">
      <c r="B169" s="125" t="inlineStr">
        <is>
          <t>FINAL QA ASSESSMENT — customer outcome, support quality, and coaching value</t>
        </is>
      </c>
      <c r="C169" s="67" t="n"/>
      <c r="D169" s="67" t="n"/>
      <c r="E169" s="67" t="n"/>
      <c r="F169" s="68" t="n"/>
    </row>
    <row r="170" ht="58" customHeight="1">
      <c r="B170" s="7" t="inlineStr">
        <is>
          <t>A strong ownership/continuity touch within a weak overall journey. No resolution was possible because the customer did not answer, but Paulo executed the promised callback promptly, attempted twice, and left a clear path back (email + hotline). The weighted score lands in the Needs Improvement band largely because several categories (technical, escalation) were not exercised on a no-contact touch; the only genuine coaching point is message concision. No critical-failure conditions are present.</t>
        </is>
      </c>
      <c r="C170" s="70" t="n"/>
      <c r="D170" s="70" t="n"/>
      <c r="E170" s="70" t="n"/>
      <c r="F170" s="69" t="n"/>
    </row>
  </sheetData>
  <mergeCells count="149">
    <mergeCell ref="B16:F16"/>
    <mergeCell ref="D116:F116"/>
    <mergeCell ref="B25:F25"/>
    <mergeCell ref="D66:F66"/>
    <mergeCell ref="D53:F53"/>
    <mergeCell ref="D47:F47"/>
    <mergeCell ref="B18:F18"/>
    <mergeCell ref="E8:F8"/>
    <mergeCell ref="C161:F161"/>
    <mergeCell ref="C13:F13"/>
    <mergeCell ref="B45:E45"/>
    <mergeCell ref="B2:F2"/>
    <mergeCell ref="D37:F37"/>
    <mergeCell ref="E137:F137"/>
    <mergeCell ref="D143:F143"/>
    <mergeCell ref="D92:F92"/>
    <mergeCell ref="B170:F170"/>
    <mergeCell ref="D39:F39"/>
    <mergeCell ref="B166:F166"/>
    <mergeCell ref="D142:F142"/>
    <mergeCell ref="D23:F23"/>
    <mergeCell ref="C88:F88"/>
    <mergeCell ref="D94:F94"/>
    <mergeCell ref="B168:F168"/>
    <mergeCell ref="D144:F144"/>
    <mergeCell ref="D80:F80"/>
    <mergeCell ref="C43:F43"/>
    <mergeCell ref="D96:F96"/>
    <mergeCell ref="D57:F57"/>
    <mergeCell ref="B135:F135"/>
    <mergeCell ref="E12:F12"/>
    <mergeCell ref="D27:F27"/>
    <mergeCell ref="D41:F41"/>
    <mergeCell ref="B72:F72"/>
    <mergeCell ref="D107:F107"/>
    <mergeCell ref="E5:F5"/>
    <mergeCell ref="C158:F158"/>
    <mergeCell ref="B104:E104"/>
    <mergeCell ref="D147:F147"/>
    <mergeCell ref="B56:F56"/>
    <mergeCell ref="C28:F28"/>
    <mergeCell ref="B167:F167"/>
    <mergeCell ref="B105:F105"/>
    <mergeCell ref="D106:F106"/>
    <mergeCell ref="D146:F146"/>
    <mergeCell ref="D93:F93"/>
    <mergeCell ref="C137:D137"/>
    <mergeCell ref="B90:E90"/>
    <mergeCell ref="D74:F74"/>
    <mergeCell ref="D68:F68"/>
    <mergeCell ref="D83:F83"/>
    <mergeCell ref="C14:F14"/>
    <mergeCell ref="D55:F55"/>
    <mergeCell ref="D67:F67"/>
    <mergeCell ref="D110:F110"/>
    <mergeCell ref="D54:F54"/>
    <mergeCell ref="C162:F162"/>
    <mergeCell ref="B77:E77"/>
    <mergeCell ref="B99:F99"/>
    <mergeCell ref="D69:F69"/>
    <mergeCell ref="D100:F100"/>
    <mergeCell ref="D109:F109"/>
    <mergeCell ref="B61:E61"/>
    <mergeCell ref="D111:F111"/>
    <mergeCell ref="B85:F85"/>
    <mergeCell ref="D108:F108"/>
    <mergeCell ref="D21:F21"/>
    <mergeCell ref="D86:F86"/>
    <mergeCell ref="D95:F95"/>
    <mergeCell ref="B4:F4"/>
    <mergeCell ref="C132:F132"/>
    <mergeCell ref="B62:F62"/>
    <mergeCell ref="D136:F136"/>
    <mergeCell ref="D150:F150"/>
    <mergeCell ref="D145:F145"/>
    <mergeCell ref="D32:F32"/>
    <mergeCell ref="D97:F97"/>
    <mergeCell ref="B31:F31"/>
    <mergeCell ref="B46:F46"/>
    <mergeCell ref="B159:F159"/>
    <mergeCell ref="D87:F87"/>
    <mergeCell ref="C102:F102"/>
    <mergeCell ref="D71:F71"/>
    <mergeCell ref="D58:F58"/>
    <mergeCell ref="C157:F157"/>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164:F164"/>
    <mergeCell ref="E7:F7"/>
    <mergeCell ref="B139:F139"/>
    <mergeCell ref="D84:F84"/>
    <mergeCell ref="D140:F140"/>
    <mergeCell ref="D22:F22"/>
    <mergeCell ref="D36:F36"/>
    <mergeCell ref="B114:F114"/>
    <mergeCell ref="D149:F149"/>
    <mergeCell ref="B154:F154"/>
    <mergeCell ref="D101:F101"/>
    <mergeCell ref="B163:F163"/>
    <mergeCell ref="B91:F91"/>
    <mergeCell ref="D151:F151"/>
    <mergeCell ref="B165:F165"/>
    <mergeCell ref="B30:E30"/>
    <mergeCell ref="D141:F141"/>
    <mergeCell ref="D70:F70"/>
    <mergeCell ref="D48:F48"/>
    <mergeCell ref="B155:F155"/>
    <mergeCell ref="C131:F131"/>
    <mergeCell ref="B130:F130"/>
    <mergeCell ref="D112:F112"/>
    <mergeCell ref="E10:F10"/>
    <mergeCell ref="E9:F9"/>
    <mergeCell ref="C156:F156"/>
    <mergeCell ref="B119:F119"/>
    <mergeCell ref="D24:F24"/>
    <mergeCell ref="D64:F64"/>
    <mergeCell ref="D38:F38"/>
    <mergeCell ref="D98:F98"/>
    <mergeCell ref="B78:F78"/>
    <mergeCell ref="D79:F79"/>
    <mergeCell ref="E11:F11"/>
    <mergeCell ref="D26:F26"/>
    <mergeCell ref="C117:F117"/>
    <mergeCell ref="B40:F40"/>
    <mergeCell ref="D63:F63"/>
    <mergeCell ref="D81:F81"/>
    <mergeCell ref="D19:F19"/>
    <mergeCell ref="C75:F75"/>
    <mergeCell ref="D65:F65"/>
    <mergeCell ref="B169:F169"/>
    <mergeCell ref="C59:F59"/>
    <mergeCell ref="D52:F52"/>
    <mergeCell ref="D49:F4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D42"/>
  <sheetViews>
    <sheetView showGridLines="0" workbookViewId="0">
      <selection activeCell="A1" sqref="A1"/>
    </sheetView>
  </sheetViews>
  <sheetFormatPr baseColWidth="8" defaultRowHeight="15"/>
  <cols>
    <col width="4" customWidth="1" min="1" max="1"/>
    <col width="30" customWidth="1" min="2" max="2"/>
    <col width="10" customWidth="1" min="3" max="3"/>
    <col width="80" customWidth="1" min="4" max="4"/>
  </cols>
  <sheetData>
    <row r="1" ht="26" customHeight="1">
      <c r="B1" s="104" t="inlineStr">
        <is>
          <t>SCORING GUIDE &amp; CATEGORY CRITERIA</t>
        </is>
      </c>
      <c r="C1" s="67" t="n"/>
      <c r="D1" s="68" t="n"/>
    </row>
    <row r="3">
      <c r="B3" s="125" t="inlineStr">
        <is>
          <t>How to use this form</t>
        </is>
      </c>
      <c r="C3" s="67" t="n"/>
      <c r="D3" s="68" t="n"/>
    </row>
    <row r="4">
      <c r="B4" s="12" t="inlineStr">
        <is>
          <t>1. Fill in Case Information, the Case Summary, and (for multi-touch cases) the Inherited Context field.</t>
        </is>
      </c>
      <c r="C4" s="70" t="n"/>
      <c r="D4" s="69" t="n"/>
    </row>
    <row r="5">
      <c r="B5" s="14" t="inlineStr">
        <is>
          <t>2. For each category, rate every behavioral indicator: Met / Partial / Missed / N.A. (N.A. excludes it from the suggested score).</t>
        </is>
      </c>
      <c r="C5" s="70" t="n"/>
      <c r="D5" s="69" t="n"/>
    </row>
    <row r="6">
      <c r="B6" s="12" t="inlineStr">
        <is>
          <t>3. Record evidence — quotes, timestamps, or note excerpts — beside each indicator.</t>
        </is>
      </c>
      <c r="C6" s="70" t="n"/>
      <c r="D6" s="69" t="n"/>
    </row>
    <row r="7">
      <c r="B7" s="14" t="inlineStr">
        <is>
          <t>4. Review the auto-suggested score, then assign the FINAL 0-5 score using evaluator judgment and the anchors below.</t>
        </is>
      </c>
      <c r="C7" s="70" t="n"/>
      <c r="D7" s="69" t="n"/>
    </row>
    <row r="8">
      <c r="B8" s="12" t="inlineStr">
        <is>
          <t>5. Classify the Resolution Outcome and the primary positive outcome achieved.</t>
        </is>
      </c>
      <c r="C8" s="70" t="n"/>
      <c r="D8" s="69" t="n"/>
    </row>
    <row r="9">
      <c r="B9" s="14" t="inlineStr">
        <is>
          <t>6. Complete the Disconnect Follow-Up check and the Critical Failure checklist.</t>
        </is>
      </c>
      <c r="C9" s="70" t="n"/>
      <c r="D9" s="69" t="n"/>
    </row>
    <row r="10">
      <c r="B10" s="12" t="inlineStr">
        <is>
          <t>7. Write coaching feedback: at least one actionable coaching opportunity is required; add an operational improvement recommendation where applicable.</t>
        </is>
      </c>
      <c r="C10" s="70" t="n"/>
      <c r="D10" s="69" t="n"/>
    </row>
    <row r="11">
      <c r="B11" s="14" t="inlineStr">
        <is>
          <t>8. For multi-touch cases, also read the Multi-Touch Guide sheet and log every touch in the Case Tracker under the same Case ID.</t>
        </is>
      </c>
      <c r="C11" s="70" t="n"/>
      <c r="D11" s="69" t="n"/>
    </row>
    <row r="13">
      <c r="B13" s="125" t="inlineStr">
        <is>
          <t>Score Anchors (0–5 scale)</t>
        </is>
      </c>
      <c r="C13" s="67" t="n"/>
      <c r="D13" s="68" t="n"/>
    </row>
    <row r="14">
      <c r="B14" s="118" t="inlineStr">
        <is>
          <t>Score</t>
        </is>
      </c>
      <c r="C14" s="125" t="inlineStr">
        <is>
          <t>Description</t>
        </is>
      </c>
      <c r="D14" s="68" t="n"/>
    </row>
    <row r="15">
      <c r="B15" s="41" t="inlineStr">
        <is>
          <t>5</t>
        </is>
      </c>
      <c r="C15" s="12" t="inlineStr">
        <is>
          <t>Issue resolved or strongest available outcome achieved</t>
        </is>
      </c>
      <c r="D15" s="69" t="n"/>
    </row>
    <row r="16">
      <c r="B16" s="42" t="inlineStr">
        <is>
          <t>4</t>
        </is>
      </c>
      <c r="C16" s="14" t="inlineStr">
        <is>
          <t>Significant progress made with clear next steps</t>
        </is>
      </c>
      <c r="D16" s="69" t="n"/>
    </row>
    <row r="17">
      <c r="B17" s="41" t="inlineStr">
        <is>
          <t>3</t>
        </is>
      </c>
      <c r="C17" s="12" t="inlineStr">
        <is>
          <t>Partial progress made but opportunities missed</t>
        </is>
      </c>
      <c r="D17" s="69" t="n"/>
    </row>
    <row r="18">
      <c r="B18" s="42" t="inlineStr">
        <is>
          <t>2</t>
        </is>
      </c>
      <c r="C18" s="14" t="inlineStr">
        <is>
          <t>Limited progress despite available troubleshooting paths</t>
        </is>
      </c>
      <c r="D18" s="69" t="n"/>
    </row>
    <row r="19">
      <c r="B19" s="41" t="inlineStr">
        <is>
          <t>1</t>
        </is>
      </c>
      <c r="C19" s="12" t="inlineStr">
        <is>
          <t>Little or no meaningful progress</t>
        </is>
      </c>
      <c r="D19" s="69" t="n"/>
    </row>
    <row r="20">
      <c r="B20" s="42" t="inlineStr">
        <is>
          <t>0</t>
        </is>
      </c>
      <c r="C20" s="14" t="inlineStr">
        <is>
          <t>Agent actions delayed, prevented, or negatively impacted resolution</t>
        </is>
      </c>
      <c r="D20" s="69" t="n"/>
    </row>
    <row r="22">
      <c r="B22" s="125" t="inlineStr">
        <is>
          <t>Indicator ratings</t>
        </is>
      </c>
      <c r="C22" s="67" t="n"/>
      <c r="D22" s="68" t="n"/>
    </row>
    <row r="23">
      <c r="B23" s="41" t="inlineStr">
        <is>
          <t>Met</t>
        </is>
      </c>
      <c r="C23" s="12" t="inlineStr">
        <is>
          <t>Behavior fully demonstrated (counts as 5 toward the suggested score)</t>
        </is>
      </c>
      <c r="D23" s="69" t="n"/>
    </row>
    <row r="24">
      <c r="B24" s="42" t="inlineStr">
        <is>
          <t>Partial</t>
        </is>
      </c>
      <c r="C24" s="14" t="inlineStr">
        <is>
          <t>Behavior attempted but incomplete or inconsistent (counts as 2.5)</t>
        </is>
      </c>
      <c r="D24" s="69" t="n"/>
    </row>
    <row r="25">
      <c r="B25" s="41" t="inlineStr">
        <is>
          <t>Missed</t>
        </is>
      </c>
      <c r="C25" s="12" t="inlineStr">
        <is>
          <t>Behavior expected but not demonstrated (counts as 0)</t>
        </is>
      </c>
      <c r="D25" s="69" t="n"/>
    </row>
    <row r="26">
      <c r="B26" s="42" t="inlineStr">
        <is>
          <t>N.A.</t>
        </is>
      </c>
      <c r="C26" s="14" t="inlineStr">
        <is>
          <t>Not applicable to this interaction (excluded from the suggested score)</t>
        </is>
      </c>
      <c r="D26" s="69" t="n"/>
    </row>
    <row r="28">
      <c r="B28" s="125" t="inlineStr">
        <is>
          <t>Category Objectives &amp; Watch-Fors</t>
        </is>
      </c>
      <c r="C28" s="67" t="n"/>
      <c r="D28" s="68" t="n"/>
    </row>
    <row r="29" ht="60" customHeight="1">
      <c r="B29" s="43" t="inlineStr">
        <is>
          <t>Resolution / Progress Toward Resolution (30%)</t>
        </is>
      </c>
      <c r="C29" s="12" t="inlineStr">
        <is>
          <t>Determine whether the interaction moved the customer meaningfully closer to resolution. Does NOT count: customer simply ends call; generic KB sent without troubleshooting; warranty used as reason to stop helping; escalation as shortcut; unsupported ISP blame; 'monitor &amp; call back' with no plan; ownership transferred without expectations or documentation.</t>
        </is>
      </c>
      <c r="D29" s="69" t="n"/>
    </row>
    <row r="30" ht="60" customHeight="1">
      <c r="B30" s="44" t="inlineStr">
        <is>
          <t>Technical Accuracy (20%)</t>
        </is>
      </c>
      <c r="C30" s="45" t="inlineStr">
        <is>
          <t>Evaluate the quality of troubleshooting and technical guidance. Deduct for: incorrect technical information; skipped critical troubleshooting; misdiagnosis; unnecessary actions recommended; ISP or customer blamed without evidence; repeating basic steps the customer already completed.</t>
        </is>
      </c>
      <c r="D30" s="69" t="n"/>
    </row>
    <row r="31" ht="60" customHeight="1">
      <c r="B31" s="43" t="inlineStr">
        <is>
          <t>Communication &amp; Call Control (15%)</t>
        </is>
      </c>
      <c r="C31" s="12" t="inlineStr">
        <is>
          <t>Evaluate how effectively the agent managed the interaction. High performance: customer always knows what is happening and the agent drives the call confidently. One instruction at a time for customers who need it.</t>
        </is>
      </c>
      <c r="D31" s="69" t="n"/>
    </row>
    <row r="32" ht="60" customHeight="1">
      <c r="B32" s="44" t="inlineStr">
        <is>
          <t>Customer Ownership (15%)</t>
        </is>
      </c>
      <c r="C32" s="45" t="inlineStr">
        <is>
          <t>Measure the degree to which the agent accepted responsibility for moving the customer forward. Automatic deductions: no documented follow-up after disconnect; unclear next steps; passing responsibility without context; failure to complete promised actions; missed or late callbacks without proactive renegotiation.</t>
        </is>
      </c>
      <c r="D32" s="69" t="n"/>
    </row>
    <row r="33" ht="60" customHeight="1">
      <c r="B33" s="43" t="inlineStr">
        <is>
          <t>Escalation Judgment (10%)</t>
        </is>
      </c>
      <c r="C33" s="12" t="inlineStr">
        <is>
          <t>Determine whether escalation decisions were appropriate — including UPWARD escalations the customer requested (management, complaint, legal). Mark all N.A. if no escalation was involved and none was warranted. Low score: premature, avoidable, poorly documented, used as a substitute for troubleshooting — or a warranted escalation (incl. a customer's management request) that was NOT made.</t>
        </is>
      </c>
      <c r="D33" s="69" t="n"/>
    </row>
    <row r="34" ht="60" customHeight="1">
      <c r="B34" s="44" t="inlineStr">
        <is>
          <t>Customer Experience (5%)</t>
        </is>
      </c>
      <c r="C34" s="45" t="inlineStr">
        <is>
          <t>Measure the overall customer experience delivered during the interaction. Negative indicators: dismissive responses; robotic interactions; frustration escalation caused by agent behavior; marathon sessions pushed onto vulnerable customers without offering to pause and resume.</t>
        </is>
      </c>
      <c r="D34" s="69" t="n"/>
    </row>
    <row r="35" ht="60" customHeight="1">
      <c r="B35" s="43" t="inlineStr">
        <is>
          <t>Documentation &amp; Notes (5%)</t>
        </is>
      </c>
      <c r="C35" s="12" t="inlineStr">
        <is>
          <t>Ensure future agents can quickly understand the case. Purpose is continuity, not compliance. Documentation supports outcomes but should not outweigh troubleshooting quality, communication, or ownership. Notes must carry the FULL history — including pre-ticket contacts — so no agent treats a long-running case as new.</t>
        </is>
      </c>
      <c r="D35" s="69" t="n"/>
    </row>
    <row r="37">
      <c r="B37" s="125" t="inlineStr">
        <is>
          <t>Overall Result Bands</t>
        </is>
      </c>
      <c r="C37" s="67" t="n"/>
      <c r="D37" s="68" t="n"/>
    </row>
    <row r="38">
      <c r="B38" s="46" t="inlineStr">
        <is>
          <t>≥ 85%</t>
        </is>
      </c>
      <c r="C38" s="47" t="inlineStr">
        <is>
          <t>Meets / Exceeds — strong support behavior</t>
        </is>
      </c>
      <c r="D38" s="69" t="n"/>
    </row>
    <row r="39">
      <c r="B39" s="48" t="inlineStr">
        <is>
          <t>70–84%</t>
        </is>
      </c>
      <c r="C39" s="49" t="inlineStr">
        <is>
          <t>Developing — coaching opportunities present</t>
        </is>
      </c>
      <c r="D39" s="69" t="n"/>
    </row>
    <row r="40">
      <c r="B40" s="50" t="inlineStr">
        <is>
          <t>&lt; 70%</t>
        </is>
      </c>
      <c r="C40" s="51" t="inlineStr">
        <is>
          <t>Needs improvement — prioritized coaching required</t>
        </is>
      </c>
      <c r="D40" s="69" t="n"/>
    </row>
    <row r="42" ht="40" customHeight="1">
      <c r="B42" s="52" t="inlineStr">
        <is>
          <t>A critical failure overrides the band: any flagged condition requires automatic review regardless of the weighted total. Every review must produce at least one actionable coaching opportunity and, where applicable, one operational improvement recommendation.</t>
        </is>
      </c>
      <c r="C42" s="67" t="n"/>
      <c r="D42" s="68" t="n"/>
    </row>
  </sheetData>
  <mergeCells count="36">
    <mergeCell ref="B11:D11"/>
    <mergeCell ref="C34:D34"/>
    <mergeCell ref="B42:D42"/>
    <mergeCell ref="C24:D24"/>
    <mergeCell ref="C30:D30"/>
    <mergeCell ref="C15:D15"/>
    <mergeCell ref="C33:D33"/>
    <mergeCell ref="B1:D1"/>
    <mergeCell ref="B8:D8"/>
    <mergeCell ref="B13:D13"/>
    <mergeCell ref="C14:D14"/>
    <mergeCell ref="C26:D26"/>
    <mergeCell ref="C35:D35"/>
    <mergeCell ref="B10:D10"/>
    <mergeCell ref="C20:D20"/>
    <mergeCell ref="B28:D28"/>
    <mergeCell ref="C29:D29"/>
    <mergeCell ref="B37:D37"/>
    <mergeCell ref="C16:D16"/>
    <mergeCell ref="C25:D25"/>
    <mergeCell ref="B9:D9"/>
    <mergeCell ref="C40:D40"/>
    <mergeCell ref="C31:D31"/>
    <mergeCell ref="B6:D6"/>
    <mergeCell ref="B5:D5"/>
    <mergeCell ref="B4:D4"/>
    <mergeCell ref="B7:D7"/>
    <mergeCell ref="C17:D17"/>
    <mergeCell ref="C23:D23"/>
    <mergeCell ref="C39:D39"/>
    <mergeCell ref="B3:D3"/>
    <mergeCell ref="C32:D32"/>
    <mergeCell ref="C38:D38"/>
    <mergeCell ref="B22:D22"/>
    <mergeCell ref="C19:D19"/>
    <mergeCell ref="C18:D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C47"/>
  <sheetViews>
    <sheetView showGridLines="0" workbookViewId="0">
      <pane ySplit="2" topLeftCell="A3" activePane="bottomLeft" state="frozen"/>
      <selection pane="bottomLeft" activeCell="A1" sqref="A1"/>
    </sheetView>
  </sheetViews>
  <sheetFormatPr baseColWidth="8" defaultRowHeight="15"/>
  <cols>
    <col width="4" customWidth="1" min="1" max="1"/>
    <col width="34" customWidth="1" min="2" max="2"/>
    <col width="110" customWidth="1" min="3" max="3"/>
  </cols>
  <sheetData>
    <row r="1" ht="26" customHeight="1">
      <c r="B1" s="104" t="inlineStr">
        <is>
          <t>MULTI-TOUCH CASE SCORING — HOW IT WORKS</t>
        </is>
      </c>
      <c r="C1" s="68" t="n"/>
    </row>
    <row r="3">
      <c r="B3" s="125" t="inlineStr">
        <is>
          <t>THE MECHANICS</t>
        </is>
      </c>
      <c r="C3" s="68" t="n"/>
    </row>
    <row r="4" ht="72" customHeight="1">
      <c r="B4" s="43" t="inlineStr">
        <is>
          <t>1. One scoring form per touch, not per case</t>
        </is>
      </c>
      <c r="C4" s="12" t="inlineStr">
        <is>
          <t>Each agent who handles the case gets their own complete evaluation (indicators, 0-5 scores, weighted total). Set Touch # on the form and mark 'Prior touches reviewed?' = Yes. The rubric requires assessing the entire customer journey, so read the earlier touches before scoring any of them. Use the 'Inherited context' field to record what the agent received.</t>
        </is>
      </c>
    </row>
    <row r="5" ht="72" customHeight="1">
      <c r="B5" s="44" t="inlineStr">
        <is>
          <t>2. Score each agent on THEIR contribution, in the context they inherited</t>
        </is>
      </c>
      <c r="C5" s="45" t="inlineStr">
        <is>
          <t>Resolution/Progress measures whether THAT touch moved the customer closer — an agent who inherits a mess and makes real progress can score 4-5 even on an old, ugly case. Agents are NOT penalized for problems they inherited, but they ARE penalized for problems they pass downstream: thin handoff notes, undocumented promises, premature RESOLVED statuses, missed callbacks.</t>
        </is>
      </c>
    </row>
    <row r="6" ht="72" customHeight="1">
      <c r="B6" s="43" t="inlineStr">
        <is>
          <t>3. Handoff quality is scored on the SENDING agent</t>
        </is>
      </c>
      <c r="C6" s="12" t="inlineStr">
        <is>
          <t>Customer Ownership ('ownership transfer without context' = automatic deduction) and Documentation ('could another agent quickly understand the case?') belong to the agent who wrote the notes. If a later agent re-runs all diagnostics because earlier notes were unusable, that hits the EARLIER touch. But if good notes existed and the later agent ignored them and made the customer repeat everything, that hits the LATER agent's Communication (repetitive questioning) and Customer Experience (increased effort).</t>
        </is>
      </c>
    </row>
    <row r="7" ht="72" customHeight="1">
      <c r="B7" s="44" t="inlineStr">
        <is>
          <t>4. Critical failures attach to a specific touch</t>
        </is>
      </c>
      <c r="C7" s="45" t="inlineStr">
        <is>
          <t>A premature RESOLVED, a missed callback window, a compliance violation, or an unescalated complaint fails THAT touch's review regardless of how the journey ends — and regardless of that touch's weighted score.</t>
        </is>
      </c>
    </row>
    <row r="8" ht="72" customHeight="1">
      <c r="B8" s="43" t="inlineStr">
        <is>
          <t>5. The journey rolls up in the Case Tracker</t>
        </is>
      </c>
      <c r="C8" s="12" t="inlineStr">
        <is>
          <t>Log every touch under the same Case ID with an incrementing Touch #. Per-touch weighted scores sit side by side so you can pinpoint exactly where the support chain broke or recovered. The journey's final outcome classification comes from the last touch; journey-level findings (process, KB, tooling, product) go into Organizational Insights — not into any single agent's score.</t>
        </is>
      </c>
    </row>
    <row r="9" ht="72" customHeight="1">
      <c r="B9" s="44" t="inlineStr">
        <is>
          <t>6. Watch for journey-level failure patterns</t>
        </is>
      </c>
      <c r="C9" s="45" t="inlineStr">
        <is>
          <t>Repeated premature closures, shifting callback promises, each agent re-starting from zero, escalation ping-pong, and unacknowledged cumulative customer effort are SYSTEMIC findings. Score the touch that caused each one, then raise the pattern as an organizational insight with a named process owner.</t>
        </is>
      </c>
    </row>
    <row r="11">
      <c r="B11" s="125" t="inlineStr">
        <is>
          <t>WORKED JOURNEY — TE00124020 / TE00127492 (Richard &amp; Diana Stell, Linksys WHW03 → MX4200, Apr 1 – May 30, 2026)</t>
        </is>
      </c>
      <c r="C11" s="68" t="n"/>
    </row>
    <row r="12" ht="58" customHeight="1">
      <c r="B12" s="53" t="inlineStr">
        <is>
          <t>Sources: Call Analysis Report 2026-05-25 (13 recordings) and Concentrix Case Investigation 2026-05-27. An 80-year-old couple in a 7,000 sq ft home; 7-week journey across 2 tickets, 10+ agents, 15+ hours; ended with CSAT 1/5, an SLA breach (&gt;30 days), a legal threat, and the customer scrapping Linksys for Eero. Per-touch scores are in the Case Tracker; the full scored form for the final touch (Eric Marbella, May 18-19) is on the Example (Filled) sheet.</t>
        </is>
      </c>
      <c r="C12" s="69" t="n"/>
    </row>
    <row r="13">
      <c r="B13" s="121" t="inlineStr">
        <is>
          <t>WHERE THE CHAIN BROKE</t>
        </is>
      </c>
      <c r="C13" s="121" t="inlineStr">
        <is>
          <t>Scored against the touch that caused it</t>
        </is>
      </c>
    </row>
    <row r="14" ht="66" customHeight="1">
      <c r="B14" s="54" t="inlineStr">
        <is>
          <t>Pre-ticket history lost (CRITICAL)</t>
        </is>
      </c>
      <c r="C14" s="12" t="inlineStr">
        <is>
          <t>Recordings 1-6 (April 1-23: WHW03 failure, $30 paid session, L2 escalation, compatibility advice that drove the MX4200 purchase) never made it into ticket TE00127492. Every later agent treated a months-long pattern as a new case. → Documentation failure on the early touches; organizational insight on ticket-linking process.</t>
        </is>
      </c>
    </row>
    <row r="15" ht="66" customHeight="1">
      <c r="B15" s="55" t="inlineStr">
        <is>
          <t>PCI DSS violation (CRITICAL)</t>
        </is>
      </c>
      <c r="C15" s="14" t="inlineStr">
        <is>
          <t>Recording 3 (Apr 1, paid support): full card number, CVV, and expiry spoken aloud and captured in plaintext transcript; the $30 charge itself never documented in any ticket. → Critical failure on that touch + immediate compliance escalation.</t>
        </is>
      </c>
    </row>
    <row r="16" ht="66" customHeight="1">
      <c r="B16" s="54" t="inlineStr">
        <is>
          <t>Receipt-gate before troubleshooting</t>
        </is>
      </c>
      <c r="C16" s="12" t="inlineStr">
        <is>
          <t>May 1 (Riojene Ladera): customer with active 5-min drop cycles was refused troubleshooting until a warranty receipt was emailed; note reads 'No trouble shooting made.' → Resolution &amp; Ownership failure: warranty validation must not replace support on an active issue.</t>
        </is>
      </c>
    </row>
    <row r="17" ht="66" customHeight="1">
      <c r="B17" s="55" t="inlineStr">
        <is>
          <t>Premature RESOLVED ×5</t>
        </is>
      </c>
      <c r="C17" s="14" t="inlineStr">
        <is>
          <t>Ticket marked RESOLVED on Apr 28, May 1, May 4, May 18, May 19 while the streaming-stability complaint was never confirmed fixed. Final closure had no private-note reason. → Documentation/Ownership failures on each closing touch; masks true case age and breaks SLA monitoring.</t>
        </is>
      </c>
    </row>
    <row r="18" ht="66" customHeight="1">
      <c r="B18" s="54" t="inlineStr">
        <is>
          <t>Callback management collapse</t>
        </is>
      </c>
      <c r="C18" s="12" t="inlineStr">
        <is>
          <t>Apr 1: promised 2-3h L2 callback vs the 24-48h process. May 18: customer waited 3+ hours through 3 L1 calls. May 19: agreed 4-5 PM window missed by 42-66 min, with conflicting explanations in notes ('in a meeting' vs 'engaged with another task'). → Ownership failures on the promising/missing touches; systemic trend finding.</t>
        </is>
      </c>
    </row>
    <row r="19" ht="66" customHeight="1">
      <c r="B19" s="55" t="inlineStr">
        <is>
          <t>Complaint &amp; legal threat not escalated (CRITICAL)</t>
        </is>
      </c>
      <c r="C19" s="14" t="inlineStr">
        <is>
          <t>May 19, 3:33 PM: customer email requests management contact 'before I talk to a lawyer.' Response (after TC consult) apologized but never escalated to management; no DSAT/management record until PMO intervened May 27. → Escalation Judgment failure on the final touch.</t>
        </is>
      </c>
    </row>
    <row r="20" ht="66" customHeight="1">
      <c r="B20" s="54" t="inlineStr">
        <is>
          <t>Accessibility never adapted</t>
        </is>
      </c>
      <c r="C20" s="12" t="inlineStr">
        <is>
          <t>Customer stated hearing aids and age on nearly every call; investigation cites the same 'simplify, slow down, one step at a time' opportunity for 4+ different agents. → Communication finding per touch + training-level organizational insight.</t>
        </is>
      </c>
    </row>
    <row r="22">
      <c r="B22" s="125" t="inlineStr">
        <is>
          <t>WHERE THE CHAIN RECOVERED (recognize these touches)</t>
        </is>
      </c>
      <c r="C22" s="68" t="n"/>
    </row>
    <row r="23" ht="50" customHeight="1">
      <c r="B23" s="56" t="inlineStr">
        <is>
          <t>Venn-Emir Calvin (Apr 23)</t>
        </is>
      </c>
      <c r="C23" s="12" t="inlineStr">
        <is>
          <t>Caught the mis-captured email address in under 2 minutes, corrected it, re-sent the guide — clean continuity fix; investigation found no opportunities.</t>
        </is>
      </c>
    </row>
    <row r="24" ht="50" customHeight="1">
      <c r="B24" s="57" t="inlineStr">
        <is>
          <t>Paolo Ebora (May 4)</t>
        </is>
      </c>
      <c r="C24" s="45" t="inlineStr">
        <is>
          <t>98-minute deep dive: HomeKit isolation, interference analysis, firmware validation, captured sysinfo/network logs via remote access, identified 2 bad-RSSI nodes (-90/-93 dBm), provided L2 hotline. Best diagnostics of the journey.</t>
        </is>
      </c>
    </row>
    <row r="25" ht="50" customHeight="1">
      <c r="B25" s="56" t="inlineStr">
        <is>
          <t>Eric Marbella (May 18, technical leg)</t>
        </is>
      </c>
      <c r="C25" s="12" t="inlineStr">
        <is>
          <t>3h26m session after the modem swap: correctly isolated the fault away from the ISP to the MX4200 parent node, restored internet, set up 4 child nodes with documented RSSI. The technical work was strong — the ownership collapse came the next day.</t>
        </is>
      </c>
    </row>
    <row r="27">
      <c r="B27" s="125" t="inlineStr">
        <is>
          <t>JOURNEY-LEVEL ORGANIZATIONAL INSIGHTS (do not assign to any single agent's score)</t>
        </is>
      </c>
      <c r="C27" s="68" t="n"/>
    </row>
    <row r="28" ht="40" customHeight="1">
      <c r="B28" s="12" t="inlineStr">
        <is>
          <t>• Callback management is systemic, not individual: promised windows shifted repeatedly across L1 and L2; the post-case survey says technicians 'never call back as promised.' Recommend enforced callback calendaring and a contingency script when a window is at risk.</t>
        </is>
      </c>
      <c r="C28" s="69" t="n"/>
    </row>
    <row r="29" ht="40" customHeight="1">
      <c r="B29" s="14" t="inlineStr">
        <is>
          <t>• Case Management &amp; Closure Process needs reinforcement (per investigation): RESOLVED requires customer-confirmed resolution or a documented closure reason; CALLBACK/PENDING states must be used while work is open.</t>
        </is>
      </c>
      <c r="C29" s="69" t="n"/>
    </row>
    <row r="30" ht="40" customHeight="1">
      <c r="B30" s="12" t="inlineStr">
        <is>
          <t>• Ticket linking: pre-purchase and pre-ticket history must be attached or cross-referenced when a new ticket is opened for the same customer/issue (TE00124020 → TE00127492 gap).</t>
        </is>
      </c>
      <c r="C30" s="69" t="n"/>
    </row>
    <row r="31" ht="40" customHeight="1">
      <c r="B31" s="14" t="inlineStr">
        <is>
          <t>• Compliance: PCI-safe payment flow required for paid support (no card data spoken on a recorded line); audit recordings/transcripts retention for Rec 3.</t>
        </is>
      </c>
      <c r="C31" s="69" t="n"/>
    </row>
    <row r="32" ht="40" customHeight="1">
      <c r="B32" s="12" t="inlineStr">
        <is>
          <t>• Product/advice loop: the MX4200 mixed-mesh recommendation for a 7,000 sq ft home with legacy WHW03 nodes drove 6 purchases without a coverage/topology consult — feed back to sales-advice scripts and KB.</t>
        </is>
      </c>
      <c r="C32" s="69" t="n"/>
    </row>
    <row r="33" ht="40" customHeight="1">
      <c r="B33" s="14" t="inlineStr">
        <is>
          <t>• Vulnerable-customer handling: a standard for elderly / hard-of-hearing customers (pace, one-step instructions, session-length checkpoints, offer to pause and resume) would have changed this journey's trajectory.</t>
        </is>
      </c>
      <c r="C33" s="69" t="n"/>
    </row>
    <row r="35">
      <c r="B35" s="125" t="inlineStr">
        <is>
          <t>THE TEAM / JOURNEY SCORE — SCORING THE CHAIN, NOT JUST THE LINKS</t>
        </is>
      </c>
      <c r="C35" s="68" t="n"/>
    </row>
    <row r="36" ht="46" customHeight="1">
      <c r="B36" s="52" t="inlineStr">
        <is>
          <t>Per the incentive philosophy (team improvement first, shared accountability), every multi-touch case also receives one Team Score covering all agents who touched it. It lives at the bottom of the Case Tracker. It drives team-level coaching, process fixes, and recognition — it is never used for individual discipline; individual feedback comes only from each agent's own touch form.</t>
        </is>
      </c>
      <c r="C36" s="68" t="n"/>
    </row>
    <row r="37" ht="58" customHeight="1">
      <c r="B37" s="72" t="inlineStr">
        <is>
          <t>Formula</t>
        </is>
      </c>
      <c r="C37" s="12" t="inlineStr">
        <is>
          <t>Team Score = 50% × Average Touch Weighted Score  +  30% × (Journey Outcome ÷ 5)  +  20% × (Continuity &amp; Handoffs ÷ 5). Execution gets half the weight; the other half belongs to what the customer actually experienced — the end result and how well the chain held together. Same result bands as individual scores (≥85% / 70-84% / &lt;70%). Any journey containing a critical failure carries the automatic-review flag regardless of its Team Score.</t>
        </is>
      </c>
    </row>
    <row r="38" ht="52" customHeight="1">
      <c r="B38" s="44" t="inlineStr">
        <is>
          <t>Journey Outcome anchors (0-5)</t>
        </is>
      </c>
      <c r="C38" s="14" t="inlineStr">
        <is>
          <t>5 = issue resolved AND confirmed with the customer, positive close · 4 = resolved with minor friction · 3 = partial resolution or accepted workaround with a clear path · 2 = unresolved but customer holds a valid, owned next step · 1 = unresolved and the customer disengaged · 0 = customer harmed, churned, or left with legal/compliance exposure.</t>
        </is>
      </c>
    </row>
    <row r="39" ht="52" customHeight="1">
      <c r="B39" s="44" t="inlineStr">
        <is>
          <t>Continuity &amp; Handoffs anchors (0-5)</t>
        </is>
      </c>
      <c r="C39" s="12" t="inlineStr">
        <is>
          <t>5 = seamless handoffs; no agent restarted from zero; statuses always truthful · 4 = minor gaps, quickly recovered · 3 = some repeated work, but the thread held · 2 = significant rework caused by thin notes or wrong statuses · 1 = chain repeatedly broke (lost history, premature closures, shifting promises) · 0 = continuity collapse itself drove the complaint.</t>
        </is>
      </c>
    </row>
    <row r="40" ht="84" customHeight="1">
      <c r="B40" s="44" t="inlineStr">
        <is>
          <t>Worked example (Stell journey)</t>
        </is>
      </c>
      <c r="C40" s="14" t="inlineStr">
        <is>
          <t>Average of the 13 touch scores ≈ 57% — individually, most touches were mediocre-to-fair and two were strong. But Outcome = 0 (churned, CSAT 1/5, legal threat) and Continuity = 1 (history lost, 5 premature closures). Team Score = 50%×57% + 30%×0 + 20%×(1/5) ≈ 33% — Needs Improvement. That 24-point gap between average execution and the Team Score IS the finding: no single agent failed badly enough to explain losing the customer; the chain did. The fixes are therefore process-level (callback management, closure discipline, ticket linking), which is exactly what the investigation concluded.</t>
        </is>
      </c>
    </row>
    <row r="41" ht="52" customHeight="1">
      <c r="B41" s="44" t="inlineStr">
        <is>
          <t>Crediting the team</t>
        </is>
      </c>
      <c r="C41" s="12" t="inlineStr">
        <is>
          <t>Quality is created collectively (L1, escalation teams, trainers, QA, team leads, operations). When a Team Score is strong, recognize the whole chain — including agents whose touch was a 2-minute continuity save (e.g., Venn-Emir's email fix). When it is weak despite strong individual touches, the coaching target is the handoff process and its owners, not the agents.</t>
        </is>
      </c>
    </row>
    <row r="43">
      <c r="B43" s="125" t="inlineStr">
        <is>
          <t>CONTRIBUTION TYPE &amp; HANDOFF QUALITY — PER-TOUCH IMPACT TAGS</t>
        </is>
      </c>
      <c r="C43" s="68" t="n"/>
    </row>
    <row r="44" ht="46" customHeight="1">
      <c r="B44" s="52" t="inlineStr">
        <is>
          <t>Two extra columns on the Case Tracker (Contribution Type, Handoff Quality) tag what each touch actually did for the case, separately from its category scores. They make the Team Score's Continuity component an informed judgment instead of a guess, and they stop the first agent on a hard case from being penalised for complexity while the last agent gets all the credit.</t>
        </is>
      </c>
      <c r="C44" s="68" t="n"/>
    </row>
    <row r="45" ht="66" customHeight="1">
      <c r="B45" s="44" t="inlineStr">
        <is>
          <t>Contribution Type (per touch)</t>
        </is>
      </c>
      <c r="C45" s="12" t="inlineStr">
        <is>
          <t>Resolver = delivered the final fix, correct escalation, or proper closure for that thread · Progress Builder = advanced diagnosis or troubleshooting that moved the case forward, even if not fully fixed · Maintainer = kept momentum, clarified, documented, escalated appropriately without new ground gained · Regression Contributor = reset progress, misdiagnosed, premature closure, or otherwise caused regression. Use 'N/A' only when a touch is purely administrative with no case impact.</t>
        </is>
      </c>
    </row>
    <row r="46" ht="78" customHeight="1">
      <c r="B46" s="44" t="inlineStr">
        <is>
          <t>Handoff Quality (0-5, per touch)</t>
        </is>
      </c>
      <c r="C46" s="14" t="inlineStr">
        <is>
          <t>Rates the OUTGOING handoff this touch left for whoever (or whatever) came next, across four dimensions: context completeness (did notes explain what was done?), continuity preservation (did it avoid forcing a restart?), expectation alignment (was the customer told something accurate about what happens next?), technical clarity (are logs/findings usable by the next agent?). 5 = clean handoff, nothing to redo · 3-4 = usable with minor gaps · 1-2 = next agent effectively restarts or inherits a broken promise · 0 = handoff itself caused the next failure. Leave blank or mark N/A for a case's final touch.</t>
        </is>
      </c>
    </row>
    <row r="47" ht="70" customHeight="1">
      <c r="B47" s="44" t="inlineStr">
        <is>
          <t>Stell journey pattern</t>
        </is>
      </c>
      <c r="C47" s="12" t="inlineStr">
        <is>
          <t>Of the 13 touches, 4 carry Handoff Quality of 1 (Dorothy's wrong callback window, Joziel's 10-15 min promise, Charmaigne's mis-captured email, Riojene's receipt-gate refusal, Jerald's third shifting promise) and 2 are Regression Contributor-tagged for premature RESOLVED closures (Nathan, and via Riojene's refusal). Only Paolo Real and Venn-Emir produced clean Resolver handoffs (4-5). This is what a Continuity score of 1/5 looks like in practice — see the Team Scoring sheet for the live breakdown.</t>
        </is>
      </c>
    </row>
  </sheetData>
  <mergeCells count="16">
    <mergeCell ref="B30:C30"/>
    <mergeCell ref="B44:C44"/>
    <mergeCell ref="B29:C29"/>
    <mergeCell ref="B33:C33"/>
    <mergeCell ref="B11:C11"/>
    <mergeCell ref="B3:C3"/>
    <mergeCell ref="B28:C28"/>
    <mergeCell ref="B22:C22"/>
    <mergeCell ref="B36:C36"/>
    <mergeCell ref="B32:C32"/>
    <mergeCell ref="B31:C31"/>
    <mergeCell ref="B27:C27"/>
    <mergeCell ref="B1:C1"/>
    <mergeCell ref="B35:C35"/>
    <mergeCell ref="B43:C43"/>
    <mergeCell ref="B12:C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D91"/>
  <sheetViews>
    <sheetView showGridLines="0" workbookViewId="0">
      <pane ySplit="11" topLeftCell="A12" activePane="bottomLeft" state="frozen"/>
      <selection pane="bottomLeft" activeCell="A1" sqref="A1"/>
    </sheetView>
  </sheetViews>
  <sheetFormatPr baseColWidth="8" defaultRowHeight="15"/>
  <cols>
    <col width="3" customWidth="1" min="1" max="1"/>
    <col width="36" customWidth="1" min="2" max="2"/>
    <col width="52" customWidth="1" min="3" max="3"/>
    <col width="58" customWidth="1" min="4" max="4"/>
  </cols>
  <sheetData>
    <row r="1" ht="28" customHeight="1">
      <c r="B1" s="104" t="inlineStr">
        <is>
          <t>TEAM SCORING — METHODOLOGY &amp; TEAM OPPORTUNITY ANALYSIS</t>
        </is>
      </c>
      <c r="C1" s="67" t="n"/>
      <c r="D1" s="68" t="n"/>
    </row>
    <row r="2" ht="32" customHeight="1">
      <c r="B2" s="105" t="inlineStr">
        <is>
          <t>Individual forms answer 'how did this agent do?'. Team Scoring answers 'how did the CHAIN perform for the customer?' and 'what should we coach, fix, or build as a TEAM?'. The scorecard below is live from the Case Tracker for TE00131695 (Marty Kerby — 3-touch, 2-agent journey).</t>
        </is>
      </c>
      <c r="C2" s="67" t="n"/>
      <c r="D2" s="68" t="n"/>
    </row>
    <row r="4" ht="24" customHeight="1">
      <c r="B4" s="106" t="inlineStr">
        <is>
          <t>LIVE TEAM SCORECARD  -  TE00131695 (Marty Kerby - 3-touch, 2-agent journey)</t>
        </is>
      </c>
      <c r="C4" s="126" t="n"/>
      <c r="D4" s="127" t="n"/>
    </row>
    <row r="5" ht="16" customHeight="1">
      <c r="B5" s="107" t="inlineStr">
        <is>
          <t>TEAM SCORE</t>
        </is>
      </c>
      <c r="C5" s="107" t="inlineStr">
        <is>
          <t>RESULT BAND</t>
        </is>
      </c>
      <c r="D5" s="107" t="inlineStr">
        <is>
          <t>CONTAINS CRITICAL FAILURE?</t>
        </is>
      </c>
    </row>
    <row r="6" ht="64" customHeight="1">
      <c r="B6" s="108">
        <f>'Case Tracker'!G56</f>
        <v/>
      </c>
      <c r="C6" s="109">
        <f>UPPER('Case Tracker'!H56)</f>
        <v/>
      </c>
      <c r="D6" s="110" t="inlineStr">
        <is>
          <t>YES - automatic review (2 critical failure conditions on Touch 1 L1 call; see Scoring Form)</t>
        </is>
      </c>
    </row>
    <row r="7" ht="16" customHeight="1">
      <c r="B7" s="111" t="inlineStr">
        <is>
          <t>EXECUTION  (50% weight)</t>
        </is>
      </c>
      <c r="C7" s="111" t="inlineStr">
        <is>
          <t>JOURNEY OUTCOME  (30% weight)</t>
        </is>
      </c>
      <c r="D7" s="111" t="inlineStr">
        <is>
          <t>CONTINUITY &amp; HANDOFFS  (20% weight)</t>
        </is>
      </c>
    </row>
    <row r="8" ht="28" customHeight="1">
      <c r="B8" s="112">
        <f>TEXT('Case Tracker'!D56,"0.0%")&amp;"  avg of "&amp;'Case Tracker'!C56&amp;" touches"</f>
        <v/>
      </c>
      <c r="C8" s="113">
        <f>'Case Tracker'!E56&amp;" / 5"</f>
        <v/>
      </c>
      <c r="D8" s="113">
        <f>'Case Tracker'!F56&amp;" / 5"</f>
        <v/>
      </c>
    </row>
    <row r="9" ht="22" customHeight="1">
      <c r="B9" s="114">
        <f>" = 50% × "&amp;TEXT('Case Tracker'!D56,"0.0%")&amp;"  +  30% × ("&amp;'Case Tracker'!E56&amp;"÷5)  +  20% × ("&amp;'Case Tracker'!F56&amp;"÷5)  =  "&amp;TEXT('Case Tracker'!G56,"0.0%")&amp;"   (the chain, not just the links)"</f>
        <v/>
      </c>
      <c r="C9" s="126" t="n"/>
      <c r="D9" s="127" t="n"/>
    </row>
    <row r="10" ht="28" customHeight="1">
      <c r="B10" s="115" t="inlineStr">
        <is>
          <t>↑ Updates automatically from the Case Tracker (Team/Journey Scores, row 56). Edit Outcome / Continuity there and this scorecard moves with it. For your own journeys, copy this block and point it at the relevant journey row.</t>
        </is>
      </c>
      <c r="C10" s="70" t="n"/>
      <c r="D10" s="69" t="n"/>
    </row>
    <row r="12">
      <c r="B12" s="125" t="inlineStr">
        <is>
          <t>1 · WHY A TEAM SCORE EXISTS</t>
        </is>
      </c>
      <c r="C12" s="67" t="n"/>
      <c r="D12" s="68" t="n"/>
    </row>
    <row r="13" ht="72" customHeight="1">
      <c r="B13" s="89" t="inlineStr">
        <is>
          <t>The rubric's incentive philosophy ranks team improvement FIRST, then individual excellence, then shared accountability. Quality is created collectively — L1, escalation teams, trainers, QA, team leads, operations. A multi-touch case is the truest test: the customer experiences ONE journey, not thirteen separate calls. The Team Score makes the chain itself a scored, coachable unit, so process failures stop hiding between individually 'acceptable' touches. Rule: the Team Score drives team coaching, process fixes, and chain-wide recognition. It is NEVER used for individual discipline — individual feedback comes only from each agent's own touch form.</t>
        </is>
      </c>
      <c r="C13" s="70" t="n"/>
      <c r="D13" s="69" t="n"/>
    </row>
    <row r="15">
      <c r="B15" s="125" t="inlineStr">
        <is>
          <t>2 · THE FORMULA, COMPONENT BY COMPONENT</t>
        </is>
      </c>
      <c r="C15" s="67" t="n"/>
      <c r="D15" s="68" t="n"/>
    </row>
    <row r="16">
      <c r="B16" s="125" t="inlineStr">
        <is>
          <t>Component</t>
        </is>
      </c>
      <c r="C16" s="125" t="inlineStr">
        <is>
          <t>What it measures &amp; why this weight</t>
        </is>
      </c>
      <c r="D16" s="125" t="inlineStr">
        <is>
          <t>TE00131695 (Marty Kerby) — journey numbers</t>
        </is>
      </c>
    </row>
    <row r="17" ht="104" customHeight="1">
      <c r="B17" s="88" t="inlineStr">
        <is>
          <t>EXECUTION — 50%
Average of all touch weighted scores</t>
        </is>
      </c>
      <c r="C17" s="89" t="inlineStr">
        <is>
          <t>The team's average quality of work, touch by touch. Auto-computed in the tracker (AVERAGE of the Weighted column for the journey's rows). Gets half the weight because good execution is necessary — but deliberately NOT more than half, because a chain of individually fine touches can still lose a customer.</t>
        </is>
      </c>
      <c r="D17" s="89" t="inlineStr">
        <is>
          <t>3 touches averaging ≈ 56%. L1 (Aysah) 42% on a misdiagnosed call; two L2 callbacks (Paulo) 63% and 64%. A short journey held up by L2 ownership.</t>
        </is>
      </c>
    </row>
    <row r="18" ht="104" customHeight="1">
      <c r="B18" s="90" t="inlineStr">
        <is>
          <t>JOURNEY OUTCOME — 30%
Evaluator-judged 0-5</t>
        </is>
      </c>
      <c r="C18" s="91" t="inlineStr">
        <is>
          <t>What the customer actually got at the end of the whole journey. Anchors: 5 = resolved AND confirmed, positive close · 4 = resolved, minor friction · 3 = partial/accepted workaround with clear path · 2 = unresolved but customer holds a valid, owned next step · 1 = unresolved, customer disengaged · 0 = customer harmed, churned, or left with legal/compliance exposure. Judged once per journey, against the FINAL state.</t>
        </is>
      </c>
      <c r="D18" s="91" t="inlineStr">
        <is>
          <t>2/5 — unresolved at first contact (widespread local-UI fault matching IR OLYMPUS-445); valid L2 escalation + two same-day callbacks + email, but the customer was unreachable; case shows a premature RESOLVED status.</t>
        </is>
      </c>
    </row>
    <row r="19" ht="104" customHeight="1">
      <c r="B19" s="88" t="inlineStr">
        <is>
          <t>CONTINUITY &amp; HANDOFFS — 20%
Evaluator-judged 0-5</t>
        </is>
      </c>
      <c r="C19" s="89" t="inlineStr">
        <is>
          <t>How well the chain held together BETWEEN touches: did notes carry forward, were statuses truthful, did promises survive handoffs, did anyone restart from zero? Anchors: 5 = seamless · 4 = minor gaps, quickly recovered · 3 = some repeated work, thread held · 2 = significant rework from thin notes/wrong statuses · 1 = chain repeatedly broke · 0 = the continuity collapse itself drove the complaint.</t>
        </is>
      </c>
      <c r="D19" s="89" t="inlineStr">
        <is>
          <t>3/5 — prompt, documented L1→L2 handoff (ticket + 24h callback honored same day), but L1 passed a wrong 'server-side' framing and a warranty mistag; case status not corrected.</t>
        </is>
      </c>
    </row>
    <row r="20" ht="30" customHeight="1">
      <c r="B20" s="117" t="inlineStr">
        <is>
          <t>TEAM SCORE  =  50% × 56%  +  30% × (2÷5)  +  20% × (3÷5)  ≈  52%   →   NEEDS IMPROVEMENT   (automatic-review flag also applies: 2 critical-failure conditions on Aysah Bagumbaran's Touch-1 form)</t>
        </is>
      </c>
      <c r="C20" s="67" t="n"/>
      <c r="D20" s="68" t="n"/>
    </row>
    <row r="22">
      <c r="B22" s="125" t="inlineStr">
        <is>
          <t>3 · READING THE RESULT — THE GAP IS THE DIAGNOSIS</t>
        </is>
      </c>
      <c r="C22" s="67" t="n"/>
      <c r="D22" s="68" t="n"/>
    </row>
    <row r="23" ht="46" customHeight="1">
      <c r="B23" s="88" t="inlineStr">
        <is>
          <t>Team Score ≈ Execution average  ← Kerby: 56% vs 52% (small negative gap)</t>
        </is>
      </c>
      <c r="C23" s="89" t="inlineStr">
        <is>
          <t>The chain neither helped nor hurt. Coach individuals on their own findings; no major process action.</t>
        </is>
      </c>
      <c r="D23" s="69" t="n"/>
    </row>
    <row r="24" ht="46" customHeight="1">
      <c r="B24" s="90" t="inlineStr">
        <is>
          <t>Team Score WELL ABOVE Execution average</t>
        </is>
      </c>
      <c r="C24" s="91" t="inlineStr">
        <is>
          <t>Strong outcome/continuity lifted ordinary touches — the process carried the team. Recognize the chain and the process owners; capture what worked as a standard.</t>
        </is>
      </c>
      <c r="D24" s="69" t="n"/>
    </row>
    <row r="25" ht="46" customHeight="1">
      <c r="B25" s="88" t="inlineStr">
        <is>
          <t>Team Score WELL BELOW Execution average</t>
        </is>
      </c>
      <c r="C25" s="89" t="inlineStr">
        <is>
          <t>Individually 'acceptable' agents, collectively a lost customer. The failure lives BETWEEN touches: handoffs, statuses, callbacks, ticket linking. Coaching individuals harder will NOT fix this — the action plan must target process, with named owners and dates.</t>
        </is>
      </c>
      <c r="D25" s="69" t="n"/>
    </row>
    <row r="27">
      <c r="B27" s="125" t="inlineStr">
        <is>
          <t>4 · TEAM CATEGORY HEATMAP — WHERE THE TEAM IS WEAK (live formulas over Case Tracker rows 5-7)</t>
        </is>
      </c>
      <c r="C27" s="67" t="n"/>
      <c r="D27" s="68" t="n"/>
    </row>
    <row r="28" ht="40" customHeight="1">
      <c r="B28" s="98" t="inlineStr">
        <is>
          <t>Averaging each category ACROSS all 3 touches turns the journey into one team profile. Compare each to the 0-5 scale; &lt;2.75 is a team coaching theme.</t>
        </is>
      </c>
      <c r="C28" s="70" t="n"/>
      <c r="D28" s="69" t="n"/>
    </row>
    <row r="29">
      <c r="B29" s="125" t="inlineStr">
        <is>
          <t>Category (weight)</t>
        </is>
      </c>
      <c r="C29" s="118" t="inlineStr">
        <is>
          <t>Team avg (0-5)</t>
        </is>
      </c>
      <c r="D29" s="125" t="inlineStr">
        <is>
          <t>What the journey shows</t>
        </is>
      </c>
    </row>
    <row r="30" ht="44" customHeight="1">
      <c r="B30" s="88" t="inlineStr">
        <is>
          <t>Resolution / Progress (30%)</t>
        </is>
      </c>
      <c r="C30" s="119">
        <f>ROUND(AVERAGE('Case Tracker'!E5:E7),2)</f>
        <v/>
      </c>
      <c r="D30" s="89" t="inlineStr">
        <is>
          <t>RED. L1 misdiagnosed a local admin-page fault as a server outage; resolution came only via an escalation the customer had to demand.</t>
        </is>
      </c>
    </row>
    <row r="31" ht="44" customHeight="1">
      <c r="B31" s="90" t="inlineStr">
        <is>
          <t>Technical Accuracy (20%)</t>
        </is>
      </c>
      <c r="C31" s="120">
        <f>ROUND(AVERAGE('Case Tracker'!F5:F7),2)</f>
        <v/>
      </c>
      <c r="D31" s="91" t="inlineStr">
        <is>
          <t>RED. The core miss — the local router UI was treated as a cloud/server issue; known IR OLYMPUS-445 was not applied.</t>
        </is>
      </c>
    </row>
    <row r="32" ht="44" customHeight="1">
      <c r="B32" s="88" t="inlineStr">
        <is>
          <t>Communication &amp; Call Control (15%)</t>
        </is>
      </c>
      <c r="C32" s="119">
        <f>ROUND(AVERAGE('Case Tracker'!G5:G7),2)</f>
        <v/>
      </c>
      <c r="D32" s="89" t="inlineStr">
        <is>
          <t>RED. L1 was repetitive with inconsistent terminology (site/server/web UI/router); L2 callback messages were wordy.</t>
        </is>
      </c>
    </row>
    <row r="33" ht="44" customHeight="1">
      <c r="B33" s="90" t="inlineStr">
        <is>
          <t>Customer Ownership (15%)</t>
        </is>
      </c>
      <c r="C33" s="120">
        <f>ROUND(AVERAGE('Case Tracker'!H5:H7),2)</f>
        <v/>
      </c>
      <c r="D33" s="91" t="inlineStr">
        <is>
          <t>RELATIVE STRENGTH. L2 (Paulo) honored the callback the same day, twice, with email + hotline.</t>
        </is>
      </c>
    </row>
    <row r="34" ht="44" customHeight="1">
      <c r="B34" s="88" t="inlineStr">
        <is>
          <t>Escalation Judgment (10%)</t>
        </is>
      </c>
      <c r="C34" s="119">
        <f>ROUND(AVERAGE('Case Tracker'!I5:I7),2)</f>
        <v/>
      </c>
      <c r="D34" s="89" t="inlineStr">
        <is>
          <t>Escalation was correct but late and customer-driven at L1; L2 had no onward escalation in scope.</t>
        </is>
      </c>
    </row>
    <row r="35" ht="44" customHeight="1">
      <c r="B35" s="90" t="inlineStr">
        <is>
          <t>Customer Experience (5%)</t>
        </is>
      </c>
      <c r="C35" s="120">
        <f>ROUND(AVERAGE('Case Tracker'!J5:J7),2)</f>
        <v/>
      </c>
      <c r="D35" s="91" t="inlineStr">
        <is>
          <t>RED. Polite throughout, but the customer had to repeat himself and demand escalation to move forward.</t>
        </is>
      </c>
    </row>
    <row r="36" ht="44" customHeight="1">
      <c r="B36" s="88" t="inlineStr">
        <is>
          <t>Documentation &amp; Notes (5%)</t>
        </is>
      </c>
      <c r="C36" s="119">
        <f>ROUND(AVERAGE('Case Tracker'!K5:K7),2)</f>
        <v/>
      </c>
      <c r="D36" s="89" t="inlineStr">
        <is>
          <t>Ticket + callback recorded, but warranty was mistagged and a premature RESOLVED status was left on an unresolved case.</t>
        </is>
      </c>
    </row>
    <row r="37" ht="44" customHeight="1">
      <c r="B37" s="93" t="inlineStr">
        <is>
          <t>Reading: red (&lt;2.75) = team coaching theme · yellow (2.75-3.49) = monitor &amp; spot-coach · green (≥3.5) = team strength to protect. Kerby profile: an L1 diagnostic miss (Resolution/Technical/CX red) on a local-vs-cloud issue, partly recovered by strong L2 Ownership — escalation was correct but late and customer-driven.</t>
        </is>
      </c>
      <c r="C37" s="67" t="n"/>
      <c r="D37" s="68" t="n"/>
    </row>
    <row r="39">
      <c r="B39" s="121" t="inlineStr">
        <is>
          <t>5 · TEAM OPPORTUNITIES IDENTIFIED — TE00131695 (MARTY KERBY) (the team action plan)</t>
        </is>
      </c>
      <c r="C39" s="67" t="n"/>
      <c r="D39" s="68" t="n"/>
    </row>
    <row r="40">
      <c r="B40" s="125" t="inlineStr">
        <is>
          <t>Opportunity (category)</t>
        </is>
      </c>
      <c r="C40" s="125" t="inlineStr">
        <is>
          <t>Evidence across touches (why it's a TEAM issue, not one agent)</t>
        </is>
      </c>
      <c r="D40" s="125" t="inlineStr">
        <is>
          <t>Team action &amp; suggested owner</t>
        </is>
      </c>
    </row>
    <row r="41" ht="88" customHeight="1">
      <c r="B41" s="88" t="inlineStr">
        <is>
          <t>1. Local-vs-cloud diagnostic competence (Technical / Training)</t>
        </is>
      </c>
      <c r="C41" s="89" t="inlineStr">
        <is>
          <t>Aysah (L1) treated the local 192.168.1.1 admin page as a server/Smart WiFi outage despite the customer's offline reproduction.</t>
        </is>
      </c>
      <c r="D41" s="89" t="inlineStr">
        <is>
          <t>Train local-vs-cloud router architecture; decision rule 'reproducible offline = local fault'. Owner: Training/KB. → repeated technical gaps; weak troubleshooting.</t>
        </is>
      </c>
    </row>
    <row r="42" ht="88" customHeight="1">
      <c r="B42" s="90" t="inlineStr">
        <is>
          <t>2. IR Alert awareness at call start (Process / Tooling)</t>
        </is>
      </c>
      <c r="C42" s="91" t="inlineStr">
        <is>
          <t>A known incident (IR OLYMPUS-445) covered this exact issue but was not surfaced or applied during the call.</t>
        </is>
      </c>
      <c r="D42" s="91" t="inlineStr">
        <is>
          <t>At-login IR banner + floor-walk push so active alerts are applied before troubleshooting. Owner: QA/Tooling. → broken process.</t>
        </is>
      </c>
    </row>
    <row r="43" ht="88" customHeight="1">
      <c r="B43" s="88" t="inlineStr">
        <is>
          <t>3. Escalation timing (Escalation)</t>
        </is>
      </c>
      <c r="C43" s="89" t="inlineStr">
        <is>
          <t>Escalation happened only after the customer repeatedly asked and explained widespread business impact (20-30 routers).</t>
        </is>
      </c>
      <c r="D43" s="89" t="inlineStr">
        <is>
          <t>Coach proactive escalation when impact is widespread and L1 steps are exhausted. Owner: Coaching. → poor escalation habits.</t>
        </is>
      </c>
    </row>
    <row r="44" ht="88" customHeight="1">
      <c r="B44" s="90" t="inlineStr">
        <is>
          <t>4. Warranty case-tagging accuracy (Process / Documentation)</t>
        </is>
      </c>
      <c r="C44" s="91" t="inlineStr">
        <is>
          <t>Warranty mistagged 'In Warranty' despite an SN look-up showing expiry Aug 15, 2025.</t>
        </is>
      </c>
      <c r="D44" s="91" t="inlineStr">
        <is>
          <t>Add a warranty-tag validation prompt from SN look-up results. Owner: Process. → broken process.</t>
        </is>
      </c>
    </row>
    <row r="45" ht="88" customHeight="1">
      <c r="B45" s="88" t="inlineStr">
        <is>
          <t>5. Closure &amp; status accuracy (Documentation)</t>
        </is>
      </c>
      <c r="C45" s="89" t="inlineStr">
        <is>
          <t>Case shows a RESOLVED status while the issue is unresolved and the customer is unreached.</t>
        </is>
      </c>
      <c r="D45" s="89" t="inlineStr">
        <is>
          <t>Reinforce closure policy; correct status at L2 handoff. Owner: QA/Process. → broken process.</t>
        </is>
      </c>
    </row>
    <row r="46" ht="88" customHeight="1">
      <c r="B46" s="90" t="inlineStr">
        <is>
          <t>6. Knowledge base content (Knowledge)</t>
        </is>
      </c>
      <c r="C46" s="91" t="inlineStr">
        <is>
          <t>No KB / quick-reference for local-admin-page (web UI) troubleshooting — the agent improvised.</t>
        </is>
      </c>
      <c r="D46" s="91" t="inlineStr">
        <is>
          <t>Publish a local-admin-page troubleshooting article. Owner: KB team. → missing/outdated KB content.</t>
        </is>
      </c>
    </row>
    <row r="47" ht="88" customHeight="1">
      <c r="B47" s="88" t="inlineStr">
        <is>
          <t>7. Product / contact driver (Product)</t>
        </is>
      </c>
      <c r="C47" s="89" t="inlineStr">
        <is>
          <t>A widespread local-UI failure (matching IR OLYMPUS-445) was the underlying contact driver across multiple sites/ISPs.</t>
        </is>
      </c>
      <c r="D47" s="89" t="inlineStr">
        <is>
          <t>Feed the defect to product + contact-driver tracking; confirm fix/firmware path. Owner: Product. → product issue creating repeat contacts.</t>
        </is>
      </c>
    </row>
    <row r="48" ht="88" customHeight="1">
      <c r="B48" s="90" t="inlineStr">
        <is>
          <t>8. Chatbot / callback-message standard (Org / Communication)</t>
        </is>
      </c>
      <c r="C48" s="91" t="inlineStr">
        <is>
          <t>No chatbot touchpoints (no chatbot gap observed); L2 no-answer callback messages were repetitive.</t>
        </is>
      </c>
      <c r="D48" s="91" t="inlineStr">
        <is>
          <t>Add a concise no-answer callback template; consider chatbot/IVR coverage for this defect. Owner: Knowledge/Training. → chatbot (N/A here) + comms.</t>
        </is>
      </c>
    </row>
    <row r="50">
      <c r="B50" s="125" t="inlineStr">
        <is>
          <t>6 · HOW TO RUN A TEAM REVIEW FOR YOUR OWN JOURNEYS (~30 min once touches are scored)</t>
        </is>
      </c>
      <c r="C50" s="67" t="n"/>
      <c r="D50" s="68" t="n"/>
    </row>
    <row r="51" ht="40" customHeight="1">
      <c r="B51" s="122" t="inlineStr">
        <is>
          <t>Step 1</t>
        </is>
      </c>
      <c r="C51" s="89" t="inlineStr">
        <is>
          <t>Score every touch individually first (Scoring Form per agent) and log all rows in the Case Tracker under the same Case ID.</t>
        </is>
      </c>
      <c r="D51" s="69" t="n"/>
    </row>
    <row r="52" ht="40" customHeight="1">
      <c r="B52" s="123" t="inlineStr">
        <is>
          <t>Step 2</t>
        </is>
      </c>
      <c r="C52" s="91" t="inlineStr">
        <is>
          <t>In the Team/Journey Scores section (Case Tracker, row 53+), enter the Case ID — Touches and Avg Touch % auto-fill. Judge Outcome (0-5) and Continuity (0-5) with the anchors in section 2. The Team Score computes; the hero scorecard at the top of this sheet mirrors it.</t>
        </is>
      </c>
      <c r="D52" s="69" t="n"/>
    </row>
    <row r="53" ht="40" customHeight="1">
      <c r="B53" s="122" t="inlineStr">
        <is>
          <t>Step 3</t>
        </is>
      </c>
      <c r="C53" s="89" t="inlineStr">
        <is>
          <t>Compare Team Score vs Execution average (section 3). A big negative gap = process problem; flag it as such in your report.</t>
        </is>
      </c>
      <c r="D53" s="69" t="n"/>
    </row>
    <row r="54" ht="40" customHeight="1">
      <c r="B54" s="123" t="inlineStr">
        <is>
          <t>Step 4</t>
        </is>
      </c>
      <c r="C54" s="91" t="inlineStr">
        <is>
          <t>Build the category heatmap: average each category column across the journey's tracker rows (copy the section-4 formulas, adjusting the row range). Bottom two categories = your team coaching themes.</t>
        </is>
      </c>
      <c r="D54" s="69" t="n"/>
    </row>
    <row r="55" ht="40" customHeight="1">
      <c r="B55" s="122" t="inlineStr">
        <is>
          <t>Step 5</t>
        </is>
      </c>
      <c r="C55" s="89" t="inlineStr">
        <is>
          <t>Scan for recurring patterns: same coaching note on 3+ agents (training gap) · same broken-promise type on 2+ touches (process gap) · any premature closure, lost history, or unescalated complaint (critical — name it).</t>
        </is>
      </c>
      <c r="D55" s="69" t="n"/>
    </row>
    <row r="56" ht="40" customHeight="1">
      <c r="B56" s="123" t="inlineStr">
        <is>
          <t>Step 6</t>
        </is>
      </c>
      <c r="C56" s="91" t="inlineStr">
        <is>
          <t>Write the team action plan: every opportunity gets an action, a NAMED owner, and a date (section 5 is the model). Recognize the chain's best touches explicitly — including small continuity saves. Deliver individual feedback separately from this team review.</t>
        </is>
      </c>
      <c r="D56" s="69" t="n"/>
    </row>
    <row r="58" ht="36" customHeight="1">
      <c r="B58" s="93" t="inlineStr">
        <is>
          <t>Recognition rule: when the Team Score is strong, credit the WHOLE chain — including 2-minute continuity saves like Venn-Emir's email fix. When it is weak despite strong individual touches, the coaching target is the handoff process and its owners, never a hunt for one culprit.</t>
        </is>
      </c>
      <c r="C58" s="67" t="n"/>
      <c r="D58" s="68" t="n"/>
    </row>
    <row r="60" ht="22" customHeight="1">
      <c r="B60" s="125" t="inlineStr">
        <is>
          <t>7 · CONTRIBUTION TYPE &amp; HANDOFF QUALITY — LIVE PER-TOUCH BREAKDOWN</t>
        </is>
      </c>
      <c r="C60" s="67" t="n"/>
      <c r="D60" s="68" t="n"/>
    </row>
    <row r="61" ht="32" customHeight="1">
      <c r="B61" s="52" t="inlineStr">
        <is>
          <t>Pulled live from the Case Tracker (columns O &amp; P). Use this to judge the Continuity &amp; Handoffs component above — it shows WHERE the chain held and WHERE it broke, touch by touch, instead of one averaged number.</t>
        </is>
      </c>
      <c r="C61" s="67" t="n"/>
      <c r="D61" s="68" t="n"/>
    </row>
    <row r="62" ht="34" customHeight="1">
      <c r="B62" s="128">
        <f>"Contribution mix across "&amp;COUNTA('Case Tracker'!C5:C7)&amp;" touches:  "&amp;COUNTIF('Case Tracker'!O5:O7,"Resolver")&amp;" Resolver · "&amp;COUNTIF('Case Tracker'!O5:O7,"Progress Builder")&amp;" Progress Builder · "&amp;COUNTIF('Case Tracker'!O5:O7,"Maintainer")&amp;" Maintainer · "&amp;COUNTIF('Case Tracker'!O5:O7,"Regression Contributor")&amp;" Regression Contributor"</f>
        <v/>
      </c>
      <c r="C62" s="67" t="n"/>
      <c r="D62" s="68" t="n"/>
    </row>
    <row r="63" ht="24" customHeight="1">
      <c r="B63" s="129" t="inlineStr">
        <is>
          <t>Touch (Agent)</t>
        </is>
      </c>
      <c r="C63" s="130" t="inlineStr">
        <is>
          <t>Contribution Type</t>
        </is>
      </c>
      <c r="D63" s="130" t="inlineStr">
        <is>
          <t>Handoff Quality (0-5)</t>
        </is>
      </c>
    </row>
    <row r="64">
      <c r="B64" s="14">
        <f>'Case Tracker'!D5&amp;" - "&amp;'Case Tracker'!C5</f>
        <v/>
      </c>
      <c r="C64" s="131">
        <f>'Case Tracker'!O5</f>
        <v/>
      </c>
      <c r="D64" s="131">
        <f>'Case Tracker'!P5</f>
        <v/>
      </c>
    </row>
    <row r="65">
      <c r="B65" s="14">
        <f>'Case Tracker'!D6&amp;" - "&amp;'Case Tracker'!C6</f>
        <v/>
      </c>
      <c r="C65" s="131">
        <f>'Case Tracker'!O6</f>
        <v/>
      </c>
      <c r="D65" s="131">
        <f>'Case Tracker'!P6</f>
        <v/>
      </c>
    </row>
    <row r="66">
      <c r="B66" s="14">
        <f>'Case Tracker'!D7&amp;" - "&amp;'Case Tracker'!C7</f>
        <v/>
      </c>
      <c r="C66" s="131">
        <f>'Case Tracker'!O7</f>
        <v/>
      </c>
      <c r="D66" s="131">
        <f>'Case Tracker'!P7</f>
        <v/>
      </c>
    </row>
    <row r="67">
      <c r="B67" s="133" t="n"/>
      <c r="C67" s="134" t="n"/>
      <c r="D67" s="134" t="n"/>
    </row>
    <row r="68">
      <c r="B68" s="15" t="inlineStr">
        <is>
          <t>Reading this table: a long run of Regression Contributor / low Handoff Quality rows is a process problem (closure discipline, callback management), not an individual one — see Team Opportunities above. A single Regression Contributor surrounded by Resolvers/Progress Builders points at one agent or one moment, and belongs in that agent's individual coaching instead.</t>
        </is>
      </c>
      <c r="C68" s="70" t="n"/>
      <c r="D68" s="69" t="n"/>
    </row>
    <row r="69">
      <c r="B69" s="133" t="n"/>
      <c r="C69" s="134" t="n"/>
      <c r="D69" s="134" t="n"/>
    </row>
    <row r="70">
      <c r="B70" s="133" t="n"/>
      <c r="C70" s="134" t="n"/>
      <c r="D70" s="134" t="n"/>
    </row>
    <row r="71">
      <c r="B71" s="133" t="n"/>
      <c r="C71" s="134" t="n"/>
      <c r="D71" s="134" t="n"/>
    </row>
    <row r="72">
      <c r="B72" s="133" t="n"/>
      <c r="C72" s="134" t="n"/>
      <c r="D72" s="134" t="n"/>
    </row>
    <row r="73">
      <c r="B73" s="133" t="n"/>
      <c r="C73" s="134" t="n"/>
      <c r="D73" s="134" t="n"/>
    </row>
    <row r="74">
      <c r="B74" s="133" t="n"/>
      <c r="C74" s="134" t="n"/>
      <c r="D74" s="134" t="n"/>
    </row>
    <row r="75">
      <c r="B75" s="133" t="n"/>
      <c r="C75" s="134" t="n"/>
      <c r="D75" s="134" t="n"/>
    </row>
    <row r="76">
      <c r="B76" s="133" t="n"/>
      <c r="C76" s="134" t="n"/>
      <c r="D76" s="134" t="n"/>
    </row>
    <row r="77" ht="40" customHeight="1">
      <c r="B77" s="135" t="n"/>
      <c r="C77" s="136" t="n"/>
      <c r="D77" s="136" t="n"/>
    </row>
    <row r="78">
      <c r="B78" s="136" t="n"/>
      <c r="C78" s="136" t="n"/>
      <c r="D78" s="136" t="n"/>
    </row>
    <row r="79">
      <c r="B79" s="136" t="n"/>
      <c r="C79" s="136" t="n"/>
      <c r="D79" s="136" t="n"/>
    </row>
    <row r="80">
      <c r="B80" s="136" t="n"/>
      <c r="C80" s="136" t="n"/>
      <c r="D80" s="136" t="n"/>
    </row>
    <row r="81">
      <c r="B81" s="136" t="n"/>
      <c r="C81" s="136" t="n"/>
      <c r="D81" s="136" t="n"/>
    </row>
    <row r="82">
      <c r="B82" s="136" t="n"/>
      <c r="C82" s="136" t="n"/>
      <c r="D82" s="136" t="n"/>
    </row>
    <row r="83">
      <c r="B83" s="136" t="n"/>
      <c r="C83" s="136" t="n"/>
      <c r="D83" s="136" t="n"/>
    </row>
    <row r="84">
      <c r="B84" s="136" t="n"/>
      <c r="C84" s="136" t="n"/>
      <c r="D84" s="136" t="n"/>
    </row>
    <row r="85">
      <c r="B85" s="136" t="n"/>
      <c r="C85" s="136" t="n"/>
      <c r="D85" s="136" t="n"/>
    </row>
    <row r="86">
      <c r="B86" s="136" t="n"/>
      <c r="C86" s="136" t="n"/>
      <c r="D86" s="136" t="n"/>
    </row>
    <row r="87">
      <c r="B87" s="136" t="n"/>
      <c r="C87" s="136" t="n"/>
      <c r="D87" s="136" t="n"/>
    </row>
    <row r="88">
      <c r="B88" s="136" t="n"/>
      <c r="C88" s="136" t="n"/>
      <c r="D88" s="136" t="n"/>
    </row>
    <row r="89">
      <c r="B89" s="136" t="n"/>
      <c r="C89" s="136" t="n"/>
      <c r="D89" s="136" t="n"/>
    </row>
    <row r="90">
      <c r="B90" s="136" t="n"/>
      <c r="C90" s="136" t="n"/>
      <c r="D90" s="136" t="n"/>
    </row>
    <row r="91">
      <c r="B91" s="136" t="n"/>
      <c r="C91" s="136" t="n"/>
      <c r="D91" s="136" t="n"/>
    </row>
  </sheetData>
  <mergeCells count="29">
    <mergeCell ref="B60:D60"/>
    <mergeCell ref="C24:D24"/>
    <mergeCell ref="B61:D61"/>
    <mergeCell ref="B1:D1"/>
    <mergeCell ref="B13:D13"/>
    <mergeCell ref="B10:D10"/>
    <mergeCell ref="B28:D28"/>
    <mergeCell ref="B37:D37"/>
    <mergeCell ref="C54:D54"/>
    <mergeCell ref="C25:D25"/>
    <mergeCell ref="C55:D55"/>
    <mergeCell ref="B9:D9"/>
    <mergeCell ref="C53:D53"/>
    <mergeCell ref="B68:D68"/>
    <mergeCell ref="B15:D15"/>
    <mergeCell ref="C56:D56"/>
    <mergeCell ref="B20:D20"/>
    <mergeCell ref="C51:D51"/>
    <mergeCell ref="B4:D4"/>
    <mergeCell ref="B50:D50"/>
    <mergeCell ref="C52:D52"/>
    <mergeCell ref="B62:D62"/>
    <mergeCell ref="C23:D23"/>
    <mergeCell ref="B22:D22"/>
    <mergeCell ref="B27:D27"/>
    <mergeCell ref="B58:D58"/>
    <mergeCell ref="B12:D12"/>
    <mergeCell ref="B39:D39"/>
    <mergeCell ref="B2:D2"/>
  </mergeCells>
  <conditionalFormatting sqref="B6">
    <cfRule type="cellIs" priority="1" operator="greaterThanOrEqual" dxfId="9">
      <formula>'Case Tracker'!G56&gt;=0.85</formula>
    </cfRule>
    <cfRule type="cellIs" priority="3" operator="greaterThanOrEqual" dxfId="9">
      <formula>0.85</formula>
    </cfRule>
    <cfRule type="cellIs" priority="4" operator="between" dxfId="10">
      <formula>0.70</formula>
      <formula>0.8499</formula>
    </cfRule>
    <cfRule type="cellIs" priority="5" operator="lessThan" dxfId="11">
      <formula>0.70</formula>
    </cfRule>
  </conditionalFormatting>
  <conditionalFormatting sqref="C6">
    <cfRule type="cellIs" priority="2" operator="greaterThanOrEqual" dxfId="12">
      <formula>'Case Tracker'!G56&gt;=0.85</formula>
    </cfRule>
  </conditionalFormatting>
  <conditionalFormatting sqref="C30:C36">
    <cfRule type="cellIs" priority="6" operator="lessThan" dxfId="2">
      <formula>2.75</formula>
    </cfRule>
    <cfRule type="cellIs" priority="7" operator="between" dxfId="1">
      <formula>2.75</formula>
      <formula>3.49</formula>
    </cfRule>
    <cfRule type="cellIs" priority="8" operator="greaterThanOrEqual" dxfId="0">
      <formula>3.5</formula>
    </cfRule>
  </conditionalFormatting>
  <conditionalFormatting sqref="C64:C76">
    <cfRule type="cellIs" priority="9" operator="equal" dxfId="0">
      <formula>"Resolver"</formula>
    </cfRule>
    <cfRule type="cellIs" priority="10" operator="equal" dxfId="0">
      <formula>"Progress Builder"</formula>
    </cfRule>
    <cfRule type="cellIs" priority="11" operator="equal" dxfId="17">
      <formula>"Maintainer"</formula>
    </cfRule>
    <cfRule type="cellIs" priority="12" operator="equal" dxfId="2">
      <formula>"Regression Contributor"</formula>
    </cfRule>
  </conditionalFormatting>
  <conditionalFormatting sqref="D64:D76">
    <cfRule type="cellIs" priority="13" operator="greaterThanOrEqual" dxfId="0">
      <formula>4</formula>
    </cfRule>
    <cfRule type="cellIs" priority="14" operator="between" dxfId="1">
      <formula>2</formula>
      <formula>3</formula>
    </cfRule>
    <cfRule type="cellIs" priority="15" operator="lessThanOrEqual" dxfId="2">
      <formula>1</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B1:F170"/>
  <sheetViews>
    <sheetView showGridLines="0" workbookViewId="0">
      <pane ySplit="2" topLeftCell="A3" activePane="bottomLeft" state="frozen"/>
      <selection pane="bottomLeft" activeCell="A1" sqref="A1"/>
    </sheetView>
  </sheetViews>
  <sheetFormatPr baseColWidth="8" defaultRowHeight="15"/>
  <cols>
    <col width="4" customWidth="1" min="1" max="1"/>
    <col width="58" customWidth="1" min="2" max="2"/>
    <col width="14" customWidth="1" min="3" max="3"/>
    <col width="13" customWidth="1" min="4" max="4"/>
    <col width="15" customWidth="1" min="5" max="5"/>
    <col width="46" customWidth="1" min="6" max="6"/>
    <col width="3" customWidth="1" min="7" max="7"/>
  </cols>
  <sheetData>
    <row r="1" ht="28" customHeight="1">
      <c r="B1" s="73" t="inlineStr">
        <is>
          <t>SUPPORT QA — SCORING FORM  (WORKED EXAMPLE — FINAL TOUCH OF A MULTI-TOUCH CASE)</t>
        </is>
      </c>
      <c r="C1" s="67" t="n"/>
      <c r="D1" s="67" t="n"/>
      <c r="E1" s="67" t="n"/>
      <c r="F1" s="68" t="n"/>
    </row>
    <row r="2" ht="18" customHeight="1">
      <c r="B2" s="2" t="inlineStr">
        <is>
          <t>Resolution-Focused Coaching &amp; Performance Framework  |  Rate each behavior: Met / Partial / Missed / N.A. — then assign the 0-5 category score (suggested score is advisory).</t>
        </is>
      </c>
      <c r="C2" s="67" t="n"/>
      <c r="D2" s="67" t="n"/>
      <c r="E2" s="67" t="n"/>
      <c r="F2" s="68" t="n"/>
    </row>
    <row r="4">
      <c r="B4" s="125" t="inlineStr">
        <is>
          <t>1 · CASE INFORMATION</t>
        </is>
      </c>
      <c r="C4" s="67" t="n"/>
      <c r="D4" s="67" t="n"/>
      <c r="E4" s="67" t="n"/>
      <c r="F4" s="68" t="n"/>
    </row>
    <row r="5">
      <c r="B5" s="4" t="inlineStr">
        <is>
          <t>Agent Name</t>
        </is>
      </c>
      <c r="C5" s="81" t="inlineStr">
        <is>
          <t>Eric Marbella (L2 / CAT)</t>
        </is>
      </c>
      <c r="D5" s="6" t="inlineStr">
        <is>
          <t>Case / Ticket ID</t>
        </is>
      </c>
      <c r="E5" s="81" t="inlineStr">
        <is>
          <t>TE00127492 (prior: TE00124020)</t>
        </is>
      </c>
      <c r="F5" s="69" t="n"/>
    </row>
    <row r="6">
      <c r="B6" s="4" t="inlineStr">
        <is>
          <t>Evaluator (QA)</t>
        </is>
      </c>
      <c r="C6" s="81" t="inlineStr">
        <is>
          <t>QA Specialist</t>
        </is>
      </c>
      <c r="D6" s="6" t="inlineStr">
        <is>
          <t>Interaction Date</t>
        </is>
      </c>
      <c r="E6" s="81" t="inlineStr">
        <is>
          <t>2026-05-18 to 2026-05-19</t>
        </is>
      </c>
      <c r="F6" s="69" t="n"/>
    </row>
    <row r="7">
      <c r="B7" s="4" t="inlineStr">
        <is>
          <t>Product</t>
        </is>
      </c>
      <c r="C7" s="81" t="inlineStr">
        <is>
          <t>Linksys MX4200 Velop Mesh (6× MX4200 + 5× WHW03)</t>
        </is>
      </c>
      <c r="D7" s="6" t="inlineStr">
        <is>
          <t>Channel</t>
        </is>
      </c>
      <c r="E7" s="81" t="inlineStr">
        <is>
          <t>Phone</t>
        </is>
      </c>
      <c r="F7" s="69" t="n"/>
    </row>
    <row r="8">
      <c r="B8" s="4" t="inlineStr">
        <is>
          <t>Warranty Status</t>
        </is>
      </c>
      <c r="C8" s="81" t="inlineStr">
        <is>
          <t>In-Warranty</t>
        </is>
      </c>
      <c r="D8" s="6" t="inlineStr">
        <is>
          <t>Review Date</t>
        </is>
      </c>
      <c r="E8" s="81" t="inlineStr">
        <is>
          <t>2026-05-25</t>
        </is>
      </c>
      <c r="F8" s="69" t="n"/>
    </row>
    <row r="9">
      <c r="B9" s="4" t="inlineStr">
        <is>
          <t>Case Type</t>
        </is>
      </c>
      <c r="C9" s="81" t="inlineStr">
        <is>
          <t>Connectivity</t>
        </is>
      </c>
      <c r="D9" s="6" t="inlineStr">
        <is>
          <t>Interaction Duration</t>
        </is>
      </c>
      <c r="E9" s="81" t="inlineStr">
        <is>
          <t>3 hr 26 min (session) + May 19 follow-up</t>
        </is>
      </c>
      <c r="F9" s="69" t="n"/>
    </row>
    <row r="10">
      <c r="B10" s="4" t="inlineStr">
        <is>
          <t>Touch # (multi-touch case)</t>
        </is>
      </c>
      <c r="C10" s="81" t="inlineStr">
        <is>
          <t>13 of 13 (final)</t>
        </is>
      </c>
      <c r="D10" s="6" t="inlineStr">
        <is>
          <t>Prior touches reviewed?</t>
        </is>
      </c>
      <c r="E10" s="81" t="inlineStr">
        <is>
          <t>Yes</t>
        </is>
      </c>
      <c r="F10" s="69" t="n"/>
    </row>
    <row r="11">
      <c r="B11" s="4" t="inlineStr">
        <is>
          <t>CSAT / Survey result</t>
        </is>
      </c>
      <c r="C11" s="81" t="inlineStr">
        <is>
          <t>1 / 5 — Resolution Rate: No</t>
        </is>
      </c>
      <c r="D11" s="6" t="inlineStr">
        <is>
          <t>FCR / total contacts</t>
        </is>
      </c>
      <c r="E11" s="81" t="inlineStr">
        <is>
          <t>4+ contacts (survey); 13+ recorded touches</t>
        </is>
      </c>
      <c r="F11" s="69" t="n"/>
    </row>
    <row r="12">
      <c r="B12" s="4" t="inlineStr">
        <is>
          <t>Total case time</t>
        </is>
      </c>
      <c r="C12" s="81" t="inlineStr">
        <is>
          <t>15 hr 12 min (ticket)</t>
        </is>
      </c>
      <c r="D12" s="6" t="inlineStr">
        <is>
          <t>SLA status</t>
        </is>
      </c>
      <c r="E12" s="81" t="inlineStr">
        <is>
          <t>Breached</t>
        </is>
      </c>
      <c r="F12" s="69" t="n"/>
    </row>
    <row r="13" ht="58" customHeight="1">
      <c r="B13" s="6" t="inlineStr">
        <is>
          <t>Case Summary (customer issue &amp; goal)</t>
        </is>
      </c>
      <c r="C13" s="7" t="inlineStr">
        <is>
          <t>Richard &amp; Diana Stell (80+, hearing aids, 7,000 sq ft Dallas home, AT&amp;T fiber): 7 weeks of mesh instability after Linksys advised replacing a failed WHW03 with MX4200 (6 purchased). Streaming, cameras, and pool equipment kept dropping. May 18: customer had replaced the AT&amp;T modem per prior L2 advice and could not reconnect the mesh.</t>
        </is>
      </c>
      <c r="D13" s="70" t="n"/>
      <c r="E13" s="70" t="n"/>
      <c r="F13" s="69" t="n"/>
    </row>
    <row r="14" ht="46" customHeight="1">
      <c r="B14" s="6" t="inlineStr">
        <is>
          <t>Inherited context (what this agent received from prior touches)</t>
        </is>
      </c>
      <c r="C14" s="7" t="inlineStr">
        <is>
          <t>Escalated CAT case; customer had waited 3+ hours through three L1 calls that day after multiple missed callbacks. Prior L2 (Paolo Ebora) notes: 2 bad-RSSI nodes (-90/-93 dBm), AT&amp;T SSID interference suspected (disabling never confirmed), sysinfo logs on ticket. Pre-ticket history (Recs 1-6, incl. $30 paid session) absent from the ticket.</t>
        </is>
      </c>
      <c r="D14" s="70" t="n"/>
      <c r="E14" s="70" t="n"/>
      <c r="F14" s="69" t="n"/>
    </row>
    <row r="16">
      <c r="B16" s="8" t="inlineStr">
        <is>
          <t>2 · CATEGORY ASSESSMENTS</t>
        </is>
      </c>
      <c r="C16" s="67" t="n"/>
      <c r="D16" s="67" t="n"/>
      <c r="E16" s="67" t="n"/>
      <c r="F16" s="68" t="n"/>
    </row>
    <row r="17" ht="18" customHeight="1">
      <c r="B17" s="125" t="inlineStr">
        <is>
          <t>1. RESOLUTION / PROGRESS TOWARD RESOLUTION</t>
        </is>
      </c>
      <c r="C17" s="67" t="n"/>
      <c r="D17" s="67" t="n"/>
      <c r="E17" s="68" t="n"/>
      <c r="F17" s="9" t="inlineStr">
        <is>
          <t>Weight: 30%</t>
        </is>
      </c>
    </row>
    <row r="18" ht="28" customHeight="1">
      <c r="B18" s="10" t="inlineStr">
        <is>
          <t>Objective: Determine whether the interaction moved the customer meaningfully closer to resolution.</t>
        </is>
      </c>
      <c r="C18" s="70" t="n"/>
      <c r="D18" s="70" t="n"/>
      <c r="E18" s="70" t="n"/>
      <c r="F18" s="69" t="n"/>
    </row>
    <row r="19">
      <c r="B19" s="4" t="inlineStr">
        <is>
          <t>Behavioral Indicator</t>
        </is>
      </c>
      <c r="C19" s="11" t="inlineStr">
        <is>
          <t>Assessment</t>
        </is>
      </c>
      <c r="D19" s="4" t="inlineStr">
        <is>
          <t>Evidence / Observation (quote or timestamp where possible)</t>
        </is>
      </c>
      <c r="E19" s="70" t="n"/>
      <c r="F19" s="69" t="n"/>
    </row>
    <row r="20" ht="28" customHeight="1">
      <c r="B20" s="12" t="inlineStr">
        <is>
          <t>Issue resolved, or the strongest available outcome was achieved (RMA, valid escalation, limitation explained, education)</t>
        </is>
      </c>
      <c r="C20" s="79" t="inlineStr">
        <is>
          <t>Partial</t>
        </is>
      </c>
      <c r="D20" s="12" t="inlineStr">
        <is>
          <t>Internet restored May 18 (482-530 Mbps down); but primary complaint — streaming stability — never confirmed; TV still flashing red at session end; case closed RESOLVED May 19 anyway</t>
        </is>
      </c>
      <c r="E20" s="70" t="n"/>
      <c r="F20" s="69" t="n"/>
    </row>
    <row r="21" ht="28" customHeight="1">
      <c r="B21" s="14" t="inlineStr">
        <is>
          <t>Reasonable troubleshooting was completed before any conclusion was reached</t>
        </is>
      </c>
      <c r="C21" s="79" t="inlineStr">
        <is>
          <t>Met</t>
        </is>
      </c>
      <c r="D21" s="14" t="inlineStr">
        <is>
          <t>Confirmed modem install, isolated fault away from ISP to MX4200 parent node before acting</t>
        </is>
      </c>
      <c r="E21" s="70" t="n"/>
      <c r="F21" s="69" t="n"/>
    </row>
    <row r="22" ht="28" customHeight="1">
      <c r="B22" s="12" t="inlineStr">
        <is>
          <t>Clear, actionable next steps were provided to the customer</t>
        </is>
      </c>
      <c r="C22" s="79" t="inlineStr">
        <is>
          <t>Partial</t>
        </is>
      </c>
      <c r="D22" s="12" t="inlineStr">
        <is>
          <t>Callback agreed 4-5 PM CT May 19 — then missed; final email only asked customer to propose a new time</t>
        </is>
      </c>
      <c r="E22" s="70" t="n"/>
      <c r="F22" s="69" t="n"/>
    </row>
    <row r="23" ht="28" customHeight="1">
      <c r="B23" s="14" t="inlineStr">
        <is>
          <t>Resolution path was appropriate for the situation and warranty status</t>
        </is>
      </c>
      <c r="C23" s="79" t="inlineStr">
        <is>
          <t>Partial</t>
        </is>
      </c>
      <c r="D23" s="14" t="inlineStr">
        <is>
          <t>Restoration path correct; closure path was not (RESOLVED on an unresolved case)</t>
        </is>
      </c>
      <c r="E23" s="70" t="n"/>
      <c r="F23" s="69" t="n"/>
    </row>
    <row r="24" ht="28" customHeight="1">
      <c r="B24" s="12" t="inlineStr">
        <is>
          <t>Customer was moved meaningfully closer to a solution</t>
        </is>
      </c>
      <c r="C24" s="79" t="inlineStr">
        <is>
          <t>Met</t>
        </is>
      </c>
      <c r="D24" s="12" t="inlineStr">
        <is>
          <t>4 child nodes added with documented RSSI; 1st-floor optimization and sequence reboot still outstanding</t>
        </is>
      </c>
      <c r="E24" s="70" t="n"/>
      <c r="F24" s="69" t="n"/>
    </row>
    <row r="25" ht="28" customHeight="1">
      <c r="B25" s="15" t="inlineStr">
        <is>
          <t>⚠ Does NOT count: customer simply ends call; generic KB sent without troubleshooting; warranty used as reason to stop helping; escalation as shortcut; unsupported ISP blame; 'monitor &amp; call back' with no plan; ownership transferred without expectations or documentation.</t>
        </is>
      </c>
      <c r="C25" s="70" t="n"/>
      <c r="D25" s="70" t="n"/>
      <c r="E25" s="70" t="n"/>
      <c r="F25" s="69" t="n"/>
    </row>
    <row r="26">
      <c r="B26" s="16" t="inlineStr">
        <is>
          <t>Suggested score (auto from indicators — advisory only; evaluator judgment prevails)</t>
        </is>
      </c>
      <c r="C26" s="17">
        <f>IF((COUNTIF(C20:C24,"Met")+COUNTIF(C20:C24,"Partial")+COUNTIF(C20:C24,"Missed"))=0,"",ROUND((COUNTIF(C20:C24,"Met")*5+COUNTIF(C20:C24,"Partial")*2.5)/(COUNTIF(C20:C24,"Met")+COUNTIF(C20:C24,"Partial")+COUNTIF(C20:C24,"Missed")),1))</f>
        <v/>
      </c>
      <c r="D26" s="18" t="inlineStr"/>
      <c r="E26" s="70" t="n"/>
      <c r="F26" s="69" t="n"/>
    </row>
    <row r="27" ht="24" customHeight="1">
      <c r="B27" s="19" t="inlineStr">
        <is>
          <t>FINAL CATEGORY SCORE (0–5)</t>
        </is>
      </c>
      <c r="C27" s="20" t="n">
        <v>3</v>
      </c>
      <c r="D27" s="21">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27" s="70" t="n"/>
      <c r="F27" s="69" t="n"/>
    </row>
    <row r="28" ht="36" customHeight="1">
      <c r="B28" s="19" t="inlineStr">
        <is>
          <t>Category comments / coaching notes</t>
        </is>
      </c>
      <c r="C28" s="7" t="inlineStr">
        <is>
          <t>Real technical progress (internet restored) — judged in inherited context, a genuine recovery. Capped by unconfirmed primary complaint and premature closure.</t>
        </is>
      </c>
      <c r="D28" s="70" t="n"/>
      <c r="E28" s="70" t="n"/>
      <c r="F28" s="69" t="n"/>
    </row>
    <row r="30" ht="18" customHeight="1">
      <c r="B30" s="125" t="inlineStr">
        <is>
          <t>2. TECHNICAL ACCURACY</t>
        </is>
      </c>
      <c r="C30" s="67" t="n"/>
      <c r="D30" s="67" t="n"/>
      <c r="E30" s="68" t="n"/>
      <c r="F30" s="9" t="inlineStr">
        <is>
          <t>Weight: 20%</t>
        </is>
      </c>
    </row>
    <row r="31" ht="28" customHeight="1">
      <c r="B31" s="10" t="inlineStr">
        <is>
          <t>Objective: Evaluate the quality of troubleshooting and technical guidance.</t>
        </is>
      </c>
      <c r="C31" s="70" t="n"/>
      <c r="D31" s="70" t="n"/>
      <c r="E31" s="70" t="n"/>
      <c r="F31" s="69" t="n"/>
    </row>
    <row r="32">
      <c r="B32" s="4" t="inlineStr">
        <is>
          <t>Behavioral Indicator</t>
        </is>
      </c>
      <c r="C32" s="11" t="inlineStr">
        <is>
          <t>Assessment</t>
        </is>
      </c>
      <c r="D32" s="4" t="inlineStr">
        <is>
          <t>Evidence / Observation (quote or timestamp where possible)</t>
        </is>
      </c>
      <c r="E32" s="70" t="n"/>
      <c r="F32" s="69" t="n"/>
    </row>
    <row r="33" ht="28" customHeight="1">
      <c r="B33" s="12" t="inlineStr">
        <is>
          <t>Symptoms were identified correctly</t>
        </is>
      </c>
      <c r="C33" s="79" t="inlineStr">
        <is>
          <t>Met</t>
        </is>
      </c>
      <c r="D33" s="12" t="inlineStr">
        <is>
          <t>Correctly framed issue as wireless coverage/stability, not internet speed</t>
        </is>
      </c>
      <c r="E33" s="70" t="n"/>
      <c r="F33" s="69" t="n"/>
    </row>
    <row r="34" ht="28" customHeight="1">
      <c r="B34" s="14" t="inlineStr">
        <is>
          <t>Relevant diagnostic questions were asked</t>
        </is>
      </c>
      <c r="C34" s="79" t="inlineStr">
        <is>
          <t>Met</t>
        </is>
      </c>
      <c r="D34" s="14" t="inlineStr">
        <is>
          <t>Verified inventory (6× MX4200), modem state, node placement before troubleshooting</t>
        </is>
      </c>
      <c r="E34" s="70" t="n"/>
      <c r="F34" s="69" t="n"/>
    </row>
    <row r="35" ht="28" customHeight="1">
      <c r="B35" s="12" t="inlineStr">
        <is>
          <t>Logical troubleshooting methodology was followed</t>
        </is>
      </c>
      <c r="C35" s="79" t="inlineStr">
        <is>
          <t>Met</t>
        </is>
      </c>
      <c r="D35" s="12" t="inlineStr">
        <is>
          <t>Logical narrowing: modem supplying internet → fault domain = parent node config</t>
        </is>
      </c>
      <c r="E35" s="70" t="n"/>
      <c r="F35" s="69" t="n"/>
    </row>
    <row r="36" ht="28" customHeight="1">
      <c r="B36" s="14" t="inlineStr">
        <is>
          <t>Available tools were used appropriately</t>
        </is>
      </c>
      <c r="C36" s="79" t="inlineStr">
        <is>
          <t>Met</t>
        </is>
      </c>
      <c r="D36" s="14" t="inlineStr">
        <is>
          <t>ZOHO remote session 480107042; RSSI per node: 04512 -68, 02733 -61, 02853 -56, 16475 -59 dBm</t>
        </is>
      </c>
      <c r="E36" s="70" t="n"/>
      <c r="F36" s="69" t="n"/>
    </row>
    <row r="37" ht="28" customHeight="1">
      <c r="B37" s="12" t="inlineStr">
        <is>
          <t>Information provided was technically accurate</t>
        </is>
      </c>
      <c r="C37" s="79" t="inlineStr">
        <is>
          <t>Met</t>
        </is>
      </c>
      <c r="D37" s="12" t="inlineStr">
        <is>
          <t>Speed and topology explanations accurate; overlap node (16267, -18 dBm) correctly identified</t>
        </is>
      </c>
      <c r="E37" s="70" t="n"/>
      <c r="F37" s="69" t="n"/>
    </row>
    <row r="38" ht="28" customHeight="1">
      <c r="B38" s="14" t="inlineStr">
        <is>
          <t>Assumptions were validated; no unsupported conclusions</t>
        </is>
      </c>
      <c r="C38" s="79" t="inlineStr">
        <is>
          <t>Partial</t>
        </is>
      </c>
      <c r="D38" s="14" t="inlineStr">
        <is>
          <t>AT&amp;T SSID disabling — prior touch's open isolation step — never confirmed during the session</t>
        </is>
      </c>
      <c r="E38" s="70" t="n"/>
      <c r="F38" s="69" t="n"/>
    </row>
    <row r="39" ht="28" customHeight="1">
      <c r="B39" s="12" t="inlineStr">
        <is>
          <t>Root cause (or likely cause) was identified when possible</t>
        </is>
      </c>
      <c r="C39" s="79" t="inlineStr">
        <is>
          <t>Partial</t>
        </is>
      </c>
      <c r="D39" s="12" t="inlineStr">
        <is>
          <t>Overlap node found, but stability root cause left unconfirmed at close</t>
        </is>
      </c>
      <c r="E39" s="70" t="n"/>
      <c r="F39" s="69" t="n"/>
    </row>
    <row r="40" ht="28" customHeight="1">
      <c r="B40" s="15" t="inlineStr">
        <is>
          <t>⚠ Deduct for: incorrect technical information; skipped critical troubleshooting; misdiagnosis; unnecessary actions recommended; ISP or customer blamed without evidence; repeating basic steps the customer already completed.</t>
        </is>
      </c>
      <c r="C40" s="70" t="n"/>
      <c r="D40" s="70" t="n"/>
      <c r="E40" s="70" t="n"/>
      <c r="F40" s="69" t="n"/>
    </row>
    <row r="41">
      <c r="B41" s="16" t="inlineStr">
        <is>
          <t>Suggested score (auto from indicators — advisory only; evaluator judgment prevails)</t>
        </is>
      </c>
      <c r="C41" s="17">
        <f>IF((COUNTIF(C33:C39,"Met")+COUNTIF(C33:C39,"Partial")+COUNTIF(C33:C39,"Missed"))=0,"",ROUND((COUNTIF(C33:C39,"Met")*5+COUNTIF(C33:C39,"Partial")*2.5)/(COUNTIF(C33:C39,"Met")+COUNTIF(C33:C39,"Partial")+COUNTIF(C33:C39,"Missed")),1))</f>
        <v/>
      </c>
      <c r="D41" s="18" t="inlineStr"/>
      <c r="E41" s="70" t="n"/>
      <c r="F41" s="69" t="n"/>
    </row>
    <row r="42" ht="24" customHeight="1">
      <c r="B42" s="19" t="inlineStr">
        <is>
          <t>FINAL CATEGORY SCORE (0–5)</t>
        </is>
      </c>
      <c r="C42" s="20" t="n">
        <v>4</v>
      </c>
      <c r="D42" s="21">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42" s="70" t="n"/>
      <c r="F42" s="69" t="n"/>
    </row>
    <row r="43" ht="36" customHeight="1">
      <c r="B43" s="19" t="inlineStr">
        <is>
          <t>Category comments / coaching notes</t>
        </is>
      </c>
      <c r="C43" s="7" t="inlineStr">
        <is>
          <t>Strongest technical touch of the journey alongside Paolo Ebora's May 4 session. Close the loop on inherited open steps (AT&amp;T SSID) next time.</t>
        </is>
      </c>
      <c r="D43" s="70" t="n"/>
      <c r="E43" s="70" t="n"/>
      <c r="F43" s="69" t="n"/>
    </row>
    <row r="45" ht="18" customHeight="1">
      <c r="B45" s="125" t="inlineStr">
        <is>
          <t>3. COMMUNICATION &amp; CALL CONTROL</t>
        </is>
      </c>
      <c r="C45" s="67" t="n"/>
      <c r="D45" s="67" t="n"/>
      <c r="E45" s="68" t="n"/>
      <c r="F45" s="9" t="inlineStr">
        <is>
          <t>Weight: 15%</t>
        </is>
      </c>
    </row>
    <row r="46" ht="28" customHeight="1">
      <c r="B46" s="10" t="inlineStr">
        <is>
          <t>Objective: Evaluate how effectively the agent managed the interaction.</t>
        </is>
      </c>
      <c r="C46" s="70" t="n"/>
      <c r="D46" s="70" t="n"/>
      <c r="E46" s="70" t="n"/>
      <c r="F46" s="69" t="n"/>
    </row>
    <row r="47">
      <c r="B47" s="4" t="inlineStr">
        <is>
          <t>Behavioral Indicator</t>
        </is>
      </c>
      <c r="C47" s="11" t="inlineStr">
        <is>
          <t>Assessment</t>
        </is>
      </c>
      <c r="D47" s="4" t="inlineStr">
        <is>
          <t>Evidence / Observation (quote or timestamp where possible)</t>
        </is>
      </c>
      <c r="E47" s="70" t="n"/>
      <c r="F47" s="69" t="n"/>
    </row>
    <row r="48" ht="28" customHeight="1">
      <c r="B48" s="12" t="inlineStr">
        <is>
          <t>Expectations were set clearly from the start</t>
        </is>
      </c>
      <c r="C48" s="79" t="inlineStr">
        <is>
          <t>Partial</t>
        </is>
      </c>
      <c r="D48" s="12" t="inlineStr">
        <is>
          <t>Callback window agreed clearly — then broken without proactive renegotiation</t>
        </is>
      </c>
      <c r="E48" s="70" t="n"/>
      <c r="F48" s="69" t="n"/>
    </row>
    <row r="49" ht="28" customHeight="1">
      <c r="B49" s="14" t="inlineStr">
        <is>
          <t>Agent maintained control of the troubleshooting flow</t>
        </is>
      </c>
      <c r="C49" s="79" t="inlineStr">
        <is>
          <t>Met</t>
        </is>
      </c>
      <c r="D49" s="14" t="inlineStr">
        <is>
          <t>Drove a focused 3h26m session; investigation: 'more focused than earlier contacts'</t>
        </is>
      </c>
      <c r="E49" s="70" t="n"/>
      <c r="F49" s="69" t="n"/>
    </row>
    <row r="50" ht="28" customHeight="1">
      <c r="B50" s="12" t="inlineStr">
        <is>
          <t>Actions were explained in understandable, jargon-free language</t>
        </is>
      </c>
      <c r="C50" s="79" t="inlineStr">
        <is>
          <t>Partial</t>
        </is>
      </c>
      <c r="D50" s="12" t="inlineStr">
        <is>
          <t>Investigation: 'simplify technical explanations' — terms like RSSI/SSID needed clarification</t>
        </is>
      </c>
      <c r="E50" s="70" t="n"/>
      <c r="F50" s="69" t="n"/>
    </row>
    <row r="51" ht="28" customHeight="1">
      <c r="B51" s="14" t="inlineStr">
        <is>
          <t>Questions were purposeful (no repetitive questioning)</t>
        </is>
      </c>
      <c r="C51" s="79" t="inlineStr">
        <is>
          <t>Met</t>
        </is>
      </c>
      <c r="D51" s="14" t="inlineStr">
        <is>
          <t>Questions tied to isolation; no redundant re-asking of inherited facts</t>
        </is>
      </c>
      <c r="E51" s="70" t="n"/>
      <c r="F51" s="69" t="n"/>
    </row>
    <row r="52" ht="28" customHeight="1">
      <c r="B52" s="12" t="inlineStr">
        <is>
          <t>Customer understanding was confirmed at key points</t>
        </is>
      </c>
      <c r="C52" s="79" t="inlineStr">
        <is>
          <t>Partial</t>
        </is>
      </c>
      <c r="D52" s="12" t="inlineStr">
        <is>
          <t>Investigation: 'strengthen recap and final action ownership'</t>
        </is>
      </c>
      <c r="E52" s="70" t="n"/>
      <c r="F52" s="69" t="n"/>
    </row>
    <row r="53" ht="28" customHeight="1">
      <c r="B53" s="14" t="inlineStr">
        <is>
          <t>Clear transitions between troubleshooting steps; effective time management</t>
        </is>
      </c>
      <c r="C53" s="79" t="inlineStr">
        <is>
          <t>Partial</t>
        </is>
      </c>
      <c r="D53" s="14" t="inlineStr">
        <is>
          <t>Session ran ~6 PM to 11 PM for an 80-year-old couple; no checkpoint offered to pause/resume</t>
        </is>
      </c>
      <c r="E53" s="70" t="n"/>
      <c r="F53" s="69" t="n"/>
    </row>
    <row r="54" ht="28" customHeight="1">
      <c r="B54" s="12" t="inlineStr">
        <is>
          <t>Difficult moments were managed professionally</t>
        </is>
      </c>
      <c r="C54" s="79" t="inlineStr">
        <is>
          <t>Met</t>
        </is>
      </c>
      <c r="D54" s="12" t="inlineStr">
        <is>
          <t>Stayed professional with an exhausted, frustrated customer</t>
        </is>
      </c>
      <c r="E54" s="70" t="n"/>
      <c r="F54" s="69" t="n"/>
    </row>
    <row r="55" ht="28" customHeight="1">
      <c r="B55" s="14" t="inlineStr">
        <is>
          <t>Communication adapted to the customer's accessibility needs (hearing, vision, age)</t>
        </is>
      </c>
      <c r="C55" s="79" t="inlineStr">
        <is>
          <t>Missed</t>
        </is>
      </c>
      <c r="D55" s="14" t="inlineStr">
        <is>
          <t>Hearing-difficulty adaptation cited as opportunity for this and 3 prior agents; pace unchanged</t>
        </is>
      </c>
      <c r="E55" s="70" t="n"/>
      <c r="F55" s="69" t="n"/>
    </row>
    <row r="56" ht="28" customHeight="1">
      <c r="B56" s="15" t="inlineStr">
        <is>
          <t>⚠ High performance: customer always knows what is happening and the agent drives the call confidently. One instruction at a time for customers who need it.</t>
        </is>
      </c>
      <c r="C56" s="70" t="n"/>
      <c r="D56" s="70" t="n"/>
      <c r="E56" s="70" t="n"/>
      <c r="F56" s="69" t="n"/>
    </row>
    <row r="57">
      <c r="B57" s="16" t="inlineStr">
        <is>
          <t>Suggested score (auto from indicators — advisory only; evaluator judgment prevails)</t>
        </is>
      </c>
      <c r="C57" s="17">
        <f>IF((COUNTIF(C48:C55,"Met")+COUNTIF(C48:C55,"Partial")+COUNTIF(C48:C55,"Missed"))=0,"",ROUND((COUNTIF(C48:C55,"Met")*5+COUNTIF(C48:C55,"Partial")*2.5)/(COUNTIF(C48:C55,"Met")+COUNTIF(C48:C55,"Partial")+COUNTIF(C48:C55,"Missed")),1))</f>
        <v/>
      </c>
      <c r="D57" s="18" t="inlineStr"/>
      <c r="E57" s="70" t="n"/>
      <c r="F57" s="69" t="n"/>
    </row>
    <row r="58" ht="24" customHeight="1">
      <c r="B58" s="19" t="inlineStr">
        <is>
          <t>FINAL CATEGORY SCORE (0–5)</t>
        </is>
      </c>
      <c r="C58" s="20" t="n">
        <v>3</v>
      </c>
      <c r="D58" s="21">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58" s="70" t="n"/>
      <c r="F58" s="69" t="n"/>
    </row>
    <row r="59" ht="36" customHeight="1">
      <c r="B59" s="19" t="inlineStr">
        <is>
          <t>Category comments / coaching notes</t>
        </is>
      </c>
      <c r="C59" s="7" t="inlineStr">
        <is>
          <t>Focused and professional; needs accessibility adaptation and a stronger recap/next-step close (per investigation findings).</t>
        </is>
      </c>
      <c r="D59" s="70" t="n"/>
      <c r="E59" s="70" t="n"/>
      <c r="F59" s="69" t="n"/>
    </row>
    <row r="61" ht="18" customHeight="1">
      <c r="B61" s="125" t="inlineStr">
        <is>
          <t>4. CUSTOMER OWNERSHIP</t>
        </is>
      </c>
      <c r="C61" s="67" t="n"/>
      <c r="D61" s="67" t="n"/>
      <c r="E61" s="68" t="n"/>
      <c r="F61" s="9" t="inlineStr">
        <is>
          <t>Weight: 15%</t>
        </is>
      </c>
    </row>
    <row r="62" ht="28" customHeight="1">
      <c r="B62" s="10" t="inlineStr">
        <is>
          <t>Objective: Measure the degree to which the agent accepted responsibility for moving the customer forward.</t>
        </is>
      </c>
      <c r="C62" s="70" t="n"/>
      <c r="D62" s="70" t="n"/>
      <c r="E62" s="70" t="n"/>
      <c r="F62" s="69" t="n"/>
    </row>
    <row r="63">
      <c r="B63" s="4" t="inlineStr">
        <is>
          <t>Behavioral Indicator</t>
        </is>
      </c>
      <c r="C63" s="11" t="inlineStr">
        <is>
          <t>Assessment</t>
        </is>
      </c>
      <c r="D63" s="4" t="inlineStr">
        <is>
          <t>Evidence / Observation (quote or timestamp where possible)</t>
        </is>
      </c>
      <c r="E63" s="70" t="n"/>
      <c r="F63" s="69" t="n"/>
    </row>
    <row r="64" ht="28" customHeight="1">
      <c r="B64" s="12" t="inlineStr">
        <is>
          <t>Agent demonstrated accountability for the customer's outcome</t>
        </is>
      </c>
      <c r="C64" s="79" t="inlineStr">
        <is>
          <t>Partial</t>
        </is>
      </c>
      <c r="D64" s="12" t="inlineStr">
        <is>
          <t>Claimed queue, drove session, attempted callbacks + emails — but closure undermined accountability</t>
        </is>
      </c>
      <c r="E64" s="70" t="n"/>
      <c r="F64" s="69" t="n"/>
    </row>
    <row r="65" ht="28" customHeight="1">
      <c r="B65" s="14" t="inlineStr">
        <is>
          <t>Unnecessary transfers were avoided</t>
        </is>
      </c>
      <c r="C65" s="79" t="inlineStr">
        <is>
          <t>Met</t>
        </is>
      </c>
      <c r="D65" s="14" t="inlineStr">
        <is>
          <t>Owned at L2 end-to-end; no bouncing</t>
        </is>
      </c>
      <c r="E65" s="70" t="n"/>
      <c r="F65" s="69" t="n"/>
    </row>
    <row r="66" ht="28" customHeight="1">
      <c r="B66" s="12" t="inlineStr">
        <is>
          <t>Commitments made during the interaction were followed through</t>
        </is>
      </c>
      <c r="C66" s="79" t="inlineStr">
        <is>
          <t>Missed</t>
        </is>
      </c>
      <c r="D66" s="12" t="inlineStr">
        <is>
          <t>Agreed 4-5 PM CT callback missed: calls at 5:42 &amp; 6:06 PM (42-66 min late); customer: 'you called at 5:45 — 1 and 3/4 hours late'</t>
        </is>
      </c>
      <c r="E66" s="70" t="n"/>
      <c r="F66" s="69" t="n"/>
    </row>
    <row r="67" ht="28" customHeight="1">
      <c r="B67" s="14" t="inlineStr">
        <is>
          <t>A clear path forward was created for the customer</t>
        </is>
      </c>
      <c r="C67" s="79" t="inlineStr">
        <is>
          <t>Partial</t>
        </is>
      </c>
      <c r="D67" s="14" t="inlineStr">
        <is>
          <t>Replacement plan after missed callback = customer must propose a time; weak for a 7-week case</t>
        </is>
      </c>
      <c r="E67" s="70" t="n"/>
      <c r="F67" s="69" t="n"/>
    </row>
    <row r="68" ht="28" customHeight="1">
      <c r="B68" s="12" t="inlineStr">
        <is>
          <t>Next actions were documented</t>
        </is>
      </c>
      <c r="C68" s="79" t="inlineStr">
        <is>
          <t>Met</t>
        </is>
      </c>
      <c r="D68" s="12" t="inlineStr">
        <is>
          <t>Session notes detailed: speeds, RSSI per node, declined reboot, agreed window — all recorded</t>
        </is>
      </c>
      <c r="E68" s="70" t="n"/>
      <c r="F68" s="69" t="n"/>
    </row>
    <row r="69" ht="28" customHeight="1">
      <c r="B69" s="14" t="inlineStr">
        <is>
          <t>Realistic expectations were set</t>
        </is>
      </c>
      <c r="C69" s="79" t="inlineStr">
        <is>
          <t>Partial</t>
        </is>
      </c>
      <c r="D69" s="14" t="inlineStr">
        <is>
          <t>Knew 4-5 PM window conflicted with TC/OM meetings (private notes 13:48/14:42) yet did not renegotiate in advance</t>
        </is>
      </c>
      <c r="E69" s="70" t="n"/>
      <c r="F69" s="69" t="n"/>
    </row>
    <row r="70" ht="28" customHeight="1">
      <c r="B70" s="12" t="inlineStr">
        <is>
          <t>Disconnect follow-up completed (callback / email / note) — mark N.A. if no disconnect</t>
        </is>
      </c>
      <c r="C70" s="79" t="inlineStr">
        <is>
          <t>N.A.</t>
        </is>
      </c>
      <c r="D70" s="12" t="inlineStr">
        <is>
          <t>No disconnect on this touch</t>
        </is>
      </c>
      <c r="E70" s="70" t="n"/>
      <c r="F70" s="69" t="n"/>
    </row>
    <row r="71" ht="28" customHeight="1">
      <c r="B71" s="14" t="inlineStr">
        <is>
          <t>Callback commitments were met within the agreed window (or proactively renegotiated before it lapsed)</t>
        </is>
      </c>
      <c r="C71" s="79" t="inlineStr">
        <is>
          <t>Missed</t>
        </is>
      </c>
      <c r="D71" s="14" t="inlineStr">
        <is>
          <t>Window missed; conflicting explanations later ('meeting' vs 'engaged with another task')</t>
        </is>
      </c>
      <c r="E71" s="70" t="n"/>
      <c r="F71" s="69" t="n"/>
    </row>
    <row r="72" ht="28" customHeight="1">
      <c r="B72" s="15" t="inlineStr">
        <is>
          <t>⚠ Automatic deductions: no documented follow-up after disconnect; unclear next steps; passing responsibility without context; failure to complete promised actions; missed or late callbacks without proactive renegotiation.</t>
        </is>
      </c>
      <c r="C72" s="70" t="n"/>
      <c r="D72" s="70" t="n"/>
      <c r="E72" s="70" t="n"/>
      <c r="F72" s="69" t="n"/>
    </row>
    <row r="73">
      <c r="B73" s="16" t="inlineStr">
        <is>
          <t>Suggested score (auto from indicators — advisory only; evaluator judgment prevails)</t>
        </is>
      </c>
      <c r="C73" s="17">
        <f>IF((COUNTIF(C64:C71,"Met")+COUNTIF(C64:C71,"Partial")+COUNTIF(C64:C71,"Missed"))=0,"",ROUND((COUNTIF(C64:C71,"Met")*5+COUNTIF(C64:C71,"Partial")*2.5)/(COUNTIF(C64:C71,"Met")+COUNTIF(C64:C71,"Partial")+COUNTIF(C64:C71,"Missed")),1))</f>
        <v/>
      </c>
      <c r="D73" s="18" t="inlineStr"/>
      <c r="E73" s="70" t="n"/>
      <c r="F73" s="69" t="n"/>
    </row>
    <row r="74" ht="24" customHeight="1">
      <c r="B74" s="19" t="inlineStr">
        <is>
          <t>FINAL CATEGORY SCORE (0–5)</t>
        </is>
      </c>
      <c r="C74" s="20" t="n">
        <v>1</v>
      </c>
      <c r="D74" s="21">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74" s="70" t="n"/>
      <c r="F74" s="69" t="n"/>
    </row>
    <row r="75" ht="36" customHeight="1">
      <c r="B75" s="19" t="inlineStr">
        <is>
          <t>Category comments / coaching notes</t>
        </is>
      </c>
      <c r="C75" s="7" t="inlineStr">
        <is>
          <t>Automatic deductions applied: missed agreed callback window without proactive renegotiation + premature RESOLVED. The calendar conflict was visible in advance.</t>
        </is>
      </c>
      <c r="D75" s="70" t="n"/>
      <c r="E75" s="70" t="n"/>
      <c r="F75" s="69" t="n"/>
    </row>
    <row r="77" ht="18" customHeight="1">
      <c r="B77" s="125" t="inlineStr">
        <is>
          <t>5. ESCALATION JUDGMENT</t>
        </is>
      </c>
      <c r="C77" s="67" t="n"/>
      <c r="D77" s="67" t="n"/>
      <c r="E77" s="68" t="n"/>
      <c r="F77" s="9" t="inlineStr">
        <is>
          <t>Weight: 10%</t>
        </is>
      </c>
    </row>
    <row r="78" ht="28" customHeight="1">
      <c r="B78" s="10" t="inlineStr">
        <is>
          <t>Objective: Determine whether escalation decisions were appropriate — including UPWARD escalations the customer requested (management, complaint, legal). Mark all N.A. if no escalation was involved and none was warranted.</t>
        </is>
      </c>
      <c r="C78" s="70" t="n"/>
      <c r="D78" s="70" t="n"/>
      <c r="E78" s="70" t="n"/>
      <c r="F78" s="69" t="n"/>
    </row>
    <row r="79">
      <c r="B79" s="4" t="inlineStr">
        <is>
          <t>Behavioral Indicator</t>
        </is>
      </c>
      <c r="C79" s="11" t="inlineStr">
        <is>
          <t>Assessment</t>
        </is>
      </c>
      <c r="D79" s="4" t="inlineStr">
        <is>
          <t>Evidence / Observation (quote or timestamp where possible)</t>
        </is>
      </c>
      <c r="E79" s="70" t="n"/>
      <c r="F79" s="69" t="n"/>
    </row>
    <row r="80" ht="28" customHeight="1">
      <c r="B80" s="12" t="inlineStr">
        <is>
          <t>Reasonable troubleshooting was completed before escalating</t>
        </is>
      </c>
      <c r="C80" s="79" t="inlineStr">
        <is>
          <t>N.A.</t>
        </is>
      </c>
      <c r="D80" s="12" t="inlineStr">
        <is>
          <t>No technical escalation needed — agent is the L2 endpoint</t>
        </is>
      </c>
      <c r="E80" s="70" t="n"/>
      <c r="F80" s="69" t="n"/>
    </row>
    <row r="81" ht="28" customHeight="1">
      <c r="B81" s="14" t="inlineStr">
        <is>
          <t>Legitimate escalation criteria were identified (incl. complaint / management / legal-risk triggers)</t>
        </is>
      </c>
      <c r="C81" s="79" t="inlineStr">
        <is>
          <t>Missed</t>
        </is>
      </c>
      <c r="D81" s="14" t="inlineStr">
        <is>
          <t>May 19, 3:33 PM customer email: 'I would like to talk to your management, before I talk to a lawyer' — a textbook management/legal-risk trigger, not actioned</t>
        </is>
      </c>
      <c r="E81" s="70" t="n"/>
      <c r="F81" s="69" t="n"/>
    </row>
    <row r="82" ht="28" customHeight="1">
      <c r="B82" s="12" t="inlineStr">
        <is>
          <t>Escalation contained complete, useful details (logs, findings, steps tried)</t>
        </is>
      </c>
      <c r="C82" s="79" t="inlineStr">
        <is>
          <t>N.A.</t>
        </is>
      </c>
      <c r="D82" s="12" t="inlineStr">
        <is>
          <t>No management/DSAT escalation record until PMO intervened May 27</t>
        </is>
      </c>
      <c r="E82" s="70" t="n"/>
      <c r="F82" s="69" t="n"/>
    </row>
    <row r="83" ht="28" customHeight="1">
      <c r="B83" s="14" t="inlineStr">
        <is>
          <t>Correct escalation path was chosen</t>
        </is>
      </c>
      <c r="C83" s="79" t="inlineStr">
        <is>
          <t>Missed</t>
        </is>
      </c>
      <c r="D83" s="14" t="inlineStr">
        <is>
          <t>Consulted TC Marc Baynos about how to WORD the reply — not to escalate the complaint</t>
        </is>
      </c>
      <c r="E83" s="70" t="n"/>
      <c r="F83" s="69" t="n"/>
    </row>
    <row r="84" ht="28" customHeight="1">
      <c r="B84" s="12" t="inlineStr">
        <is>
          <t>Customer expectations about the escalation were set appropriately</t>
        </is>
      </c>
      <c r="C84" s="79" t="inlineStr">
        <is>
          <t>Missed</t>
        </is>
      </c>
      <c r="D84" s="12" t="inlineStr">
        <is>
          <t>Final email never acknowledged the management request</t>
        </is>
      </c>
      <c r="E84" s="70" t="n"/>
      <c r="F84" s="69" t="n"/>
    </row>
    <row r="85" ht="28" customHeight="1">
      <c r="B85" s="15" t="inlineStr">
        <is>
          <t>⚠ Low score: premature, avoidable, poorly documented, used as a substitute for troubleshooting — or a warranted escalation (incl. a customer's management request) that was NOT made.</t>
        </is>
      </c>
      <c r="C85" s="70" t="n"/>
      <c r="D85" s="70" t="n"/>
      <c r="E85" s="70" t="n"/>
      <c r="F85" s="69" t="n"/>
    </row>
    <row r="86">
      <c r="B86" s="16" t="inlineStr">
        <is>
          <t>Suggested score (auto from indicators — advisory only; evaluator judgment prevails)</t>
        </is>
      </c>
      <c r="C86" s="17">
        <f>IF((COUNTIF(C80:C84,"Met")+COUNTIF(C80:C84,"Partial")+COUNTIF(C80:C84,"Missed"))=0,"",ROUND((COUNTIF(C80:C84,"Met")*5+COUNTIF(C80:C84,"Partial")*2.5)/(COUNTIF(C80:C84,"Met")+COUNTIF(C80:C84,"Partial")+COUNTIF(C80:C84,"Missed")),1))</f>
        <v/>
      </c>
      <c r="D86" s="18" t="inlineStr"/>
      <c r="E86" s="70" t="n"/>
      <c r="F86" s="69" t="n"/>
    </row>
    <row r="87" ht="24" customHeight="1">
      <c r="B87" s="19" t="inlineStr">
        <is>
          <t>FINAL CATEGORY SCORE (0–5)</t>
        </is>
      </c>
      <c r="C87" s="20" t="n">
        <v>1</v>
      </c>
      <c r="D87" s="21">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87" s="70" t="n"/>
      <c r="F87" s="69" t="n"/>
    </row>
    <row r="88" ht="36" customHeight="1">
      <c r="B88" s="19" t="inlineStr">
        <is>
          <t>Category comments / coaching notes</t>
        </is>
      </c>
      <c r="C88" s="7" t="inlineStr">
        <is>
          <t>The escalation that mattered was upward: an explicit management request with a legal threat from a vulnerable customer. It was not made. Scored 1 (TC consult occurred) rather than 0.</t>
        </is>
      </c>
      <c r="D88" s="70" t="n"/>
      <c r="E88" s="70" t="n"/>
      <c r="F88" s="69" t="n"/>
    </row>
    <row r="90" ht="18" customHeight="1">
      <c r="B90" s="125" t="inlineStr">
        <is>
          <t>6. CUSTOMER EXPERIENCE</t>
        </is>
      </c>
      <c r="C90" s="67" t="n"/>
      <c r="D90" s="67" t="n"/>
      <c r="E90" s="68" t="n"/>
      <c r="F90" s="9" t="inlineStr">
        <is>
          <t>Weight: 5%</t>
        </is>
      </c>
    </row>
    <row r="91" ht="28" customHeight="1">
      <c r="B91" s="10" t="inlineStr">
        <is>
          <t>Objective: Measure the overall customer experience delivered during the interaction.</t>
        </is>
      </c>
      <c r="C91" s="70" t="n"/>
      <c r="D91" s="70" t="n"/>
      <c r="E91" s="70" t="n"/>
      <c r="F91" s="69" t="n"/>
    </row>
    <row r="92">
      <c r="B92" s="4" t="inlineStr">
        <is>
          <t>Behavioral Indicator</t>
        </is>
      </c>
      <c r="C92" s="11" t="inlineStr">
        <is>
          <t>Assessment</t>
        </is>
      </c>
      <c r="D92" s="4" t="inlineStr">
        <is>
          <t>Evidence / Observation (quote or timestamp where possible)</t>
        </is>
      </c>
      <c r="E92" s="70" t="n"/>
      <c r="F92" s="69" t="n"/>
    </row>
    <row r="93" ht="28" customHeight="1">
      <c r="B93" s="12" t="inlineStr">
        <is>
          <t>Empathy was demonstrated (incl. acknowledging cumulative effort and fatigue on repeat contacts)</t>
        </is>
      </c>
      <c r="C93" s="79" t="inlineStr">
        <is>
          <t>Partial</t>
        </is>
      </c>
      <c r="D93" s="12" t="inlineStr">
        <is>
          <t>Apologies sent, but investigation: 'acknowledge customer effort and fatigue more explicitly' (20-30 hrs, no dinner, age 80)</t>
        </is>
      </c>
      <c r="E93" s="70" t="n"/>
      <c r="F93" s="69" t="n"/>
    </row>
    <row r="94" ht="28" customHeight="1">
      <c r="B94" s="14" t="inlineStr">
        <is>
          <t>Professionalism was maintained throughout</t>
        </is>
      </c>
      <c r="C94" s="79" t="inlineStr">
        <is>
          <t>Met</t>
        </is>
      </c>
      <c r="D94" s="14" t="inlineStr">
        <is>
          <t>Courteous and calm in all calls and emails</t>
        </is>
      </c>
      <c r="E94" s="70" t="n"/>
      <c r="F94" s="69" t="n"/>
    </row>
    <row r="95" ht="28" customHeight="1">
      <c r="B95" s="12" t="inlineStr">
        <is>
          <t>Communication style was adapted to the customer</t>
        </is>
      </c>
      <c r="C95" s="79" t="inlineStr">
        <is>
          <t>Partial</t>
        </is>
      </c>
      <c r="D95" s="12" t="inlineStr">
        <is>
          <t>Some simplification, but pace/jargon unadjusted for hearing difficulty</t>
        </is>
      </c>
      <c r="E95" s="70" t="n"/>
      <c r="F95" s="69" t="n"/>
    </row>
    <row r="96" ht="28" customHeight="1">
      <c r="B96" s="14" t="inlineStr">
        <is>
          <t>Patience was maintained, even under pressure</t>
        </is>
      </c>
      <c r="C96" s="79" t="inlineStr">
        <is>
          <t>Met</t>
        </is>
      </c>
      <c r="D96" s="14" t="inlineStr">
        <is>
          <t>Patient through a 3h26m session</t>
        </is>
      </c>
      <c r="E96" s="70" t="n"/>
      <c r="F96" s="69" t="n"/>
    </row>
    <row r="97" ht="28" customHeight="1">
      <c r="B97" s="12" t="inlineStr">
        <is>
          <t>Customer effort was reduced where possible</t>
        </is>
      </c>
      <c r="C97" s="79" t="inlineStr">
        <is>
          <t>Missed</t>
        </is>
      </c>
      <c r="D97" s="12" t="inlineStr">
        <is>
          <t>11 PM finish, then customer expected to chase the reschedule; survey: 'almost impossible to get a technician who can help'</t>
        </is>
      </c>
      <c r="E97" s="70" t="n"/>
      <c r="F97" s="69" t="n"/>
    </row>
    <row r="98" ht="28" customHeight="1">
      <c r="B98" s="14" t="inlineStr">
        <is>
          <t>Customer felt heard, understood next steps, and remained engaged</t>
        </is>
      </c>
      <c r="C98" s="79" t="inlineStr">
        <is>
          <t>Missed</t>
        </is>
      </c>
      <c r="D98" s="14" t="inlineStr">
        <is>
          <t>CSAT 1/5; 'worst customer service I have ever had'; customer scrapped Linksys for Eero</t>
        </is>
      </c>
      <c r="E98" s="70" t="n"/>
      <c r="F98" s="69" t="n"/>
    </row>
    <row r="99" ht="28" customHeight="1">
      <c r="B99" s="15" t="inlineStr">
        <is>
          <t>⚠ Negative indicators: dismissive responses; robotic interactions; frustration escalation caused by agent behavior; marathon sessions pushed onto vulnerable customers without offering to pause and resume.</t>
        </is>
      </c>
      <c r="C99" s="70" t="n"/>
      <c r="D99" s="70" t="n"/>
      <c r="E99" s="70" t="n"/>
      <c r="F99" s="69" t="n"/>
    </row>
    <row r="100">
      <c r="B100" s="16" t="inlineStr">
        <is>
          <t>Suggested score (auto from indicators — advisory only; evaluator judgment prevails)</t>
        </is>
      </c>
      <c r="C100" s="17">
        <f>IF((COUNTIF(C93:C98,"Met")+COUNTIF(C93:C98,"Partial")+COUNTIF(C93:C98,"Missed"))=0,"",ROUND((COUNTIF(C93:C98,"Met")*5+COUNTIF(C93:C98,"Partial")*2.5)/(COUNTIF(C93:C98,"Met")+COUNTIF(C93:C98,"Partial")+COUNTIF(C93:C98,"Missed")),1))</f>
        <v/>
      </c>
      <c r="D100" s="18" t="inlineStr"/>
      <c r="E100" s="70" t="n"/>
      <c r="F100" s="69" t="n"/>
    </row>
    <row r="101" ht="24" customHeight="1">
      <c r="B101" s="19" t="inlineStr">
        <is>
          <t>FINAL CATEGORY SCORE (0–5)</t>
        </is>
      </c>
      <c r="C101" s="20" t="n">
        <v>2</v>
      </c>
      <c r="D101" s="21">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01" s="70" t="n"/>
      <c r="F101" s="69" t="n"/>
    </row>
    <row r="102" ht="36" customHeight="1">
      <c r="B102" s="19" t="inlineStr">
        <is>
          <t>Category comments / coaching notes</t>
        </is>
      </c>
      <c r="C102" s="7" t="inlineStr">
        <is>
          <t>Patience and courtesy present; effort-reduction and fatigue acknowledgment absent. The outcome data (CSAT 1, churn) reflects the journey, but this touch's choices contributed directly.</t>
        </is>
      </c>
      <c r="D102" s="70" t="n"/>
      <c r="E102" s="70" t="n"/>
      <c r="F102" s="69" t="n"/>
    </row>
    <row r="104" ht="18" customHeight="1">
      <c r="B104" s="125" t="inlineStr">
        <is>
          <t>7. DOCUMENTATION &amp; NOTES</t>
        </is>
      </c>
      <c r="C104" s="67" t="n"/>
      <c r="D104" s="67" t="n"/>
      <c r="E104" s="68" t="n"/>
      <c r="F104" s="9" t="inlineStr">
        <is>
          <t>Weight: 5%</t>
        </is>
      </c>
    </row>
    <row r="105" ht="28" customHeight="1">
      <c r="B105" s="10" t="inlineStr">
        <is>
          <t>Objective: Ensure future agents can quickly understand the case. Purpose is continuity, not compliance.</t>
        </is>
      </c>
      <c r="C105" s="70" t="n"/>
      <c r="D105" s="70" t="n"/>
      <c r="E105" s="70" t="n"/>
      <c r="F105" s="69" t="n"/>
    </row>
    <row r="106">
      <c r="B106" s="4" t="inlineStr">
        <is>
          <t>Behavioral Indicator</t>
        </is>
      </c>
      <c r="C106" s="11" t="inlineStr">
        <is>
          <t>Assessment</t>
        </is>
      </c>
      <c r="D106" s="4" t="inlineStr">
        <is>
          <t>Evidence / Observation (quote or timestamp where possible)</t>
        </is>
      </c>
      <c r="E106" s="70" t="n"/>
      <c r="F106" s="69" t="n"/>
    </row>
    <row r="107" ht="28" customHeight="1">
      <c r="B107" s="12" t="inlineStr">
        <is>
          <t>Customer issue summary recorded</t>
        </is>
      </c>
      <c r="C107" s="79" t="inlineStr">
        <is>
          <t>Met</t>
        </is>
      </c>
      <c r="D107" s="12" t="inlineStr">
        <is>
          <t>Issue and modem-replacement context captured on claim</t>
        </is>
      </c>
      <c r="E107" s="70" t="n"/>
      <c r="F107" s="69" t="n"/>
    </row>
    <row r="108" ht="28" customHeight="1">
      <c r="B108" s="14" t="inlineStr">
        <is>
          <t>Troubleshooting performed is documented</t>
        </is>
      </c>
      <c r="C108" s="79" t="inlineStr">
        <is>
          <t>Met</t>
        </is>
      </c>
      <c r="D108" s="14" t="inlineStr">
        <is>
          <t>Session note: speeds, 4 child nodes, RSSI per node, overlap node, declined sequence reboot</t>
        </is>
      </c>
      <c r="E108" s="70" t="n"/>
      <c r="F108" s="69" t="n"/>
    </row>
    <row r="109" ht="28" customHeight="1">
      <c r="B109" s="12" t="inlineStr">
        <is>
          <t>Key findings / discoveries noted</t>
        </is>
      </c>
      <c r="C109" s="79" t="inlineStr">
        <is>
          <t>Met</t>
        </is>
      </c>
      <c r="D109" s="12" t="inlineStr">
        <is>
          <t>Key findings recorded incl. 16267 overlap at -18 dBm</t>
        </is>
      </c>
      <c r="E109" s="70" t="n"/>
      <c r="F109" s="69" t="n"/>
    </row>
    <row r="110" ht="28" customHeight="1">
      <c r="B110" s="14" t="inlineStr">
        <is>
          <t>Agent reasoning is captured</t>
        </is>
      </c>
      <c r="C110" s="79" t="inlineStr">
        <is>
          <t>Partial</t>
        </is>
      </c>
      <c r="D110" s="14" t="inlineStr">
        <is>
          <t>Why RESOLVED was chosen is nowhere — investigation: 'no private note indicating the reason for closing the unresolved case'</t>
        </is>
      </c>
      <c r="E110" s="70" t="n"/>
      <c r="F110" s="69" t="n"/>
    </row>
    <row r="111" ht="28" customHeight="1">
      <c r="B111" s="12" t="inlineStr">
        <is>
          <t>Escalation justification included — mark N.A. if no escalation</t>
        </is>
      </c>
      <c r="C111" s="79" t="inlineStr">
        <is>
          <t>Missed</t>
        </is>
      </c>
      <c r="D111" s="12" t="inlineStr">
        <is>
          <t>Customer's management/legal request never documented as an escalation item</t>
        </is>
      </c>
      <c r="E111" s="70" t="n"/>
      <c r="F111" s="69" t="n"/>
    </row>
    <row r="112" ht="28" customHeight="1">
      <c r="B112" s="14" t="inlineStr">
        <is>
          <t>Next steps and follow-up actions listed (incl. callback records)</t>
        </is>
      </c>
      <c r="C112" s="79" t="inlineStr">
        <is>
          <t>Partial</t>
        </is>
      </c>
      <c r="D112" s="14" t="inlineStr">
        <is>
          <t>Callback agreement noted; post-miss plan vague ('reply with preferred date/time')</t>
        </is>
      </c>
      <c r="E112" s="70" t="n"/>
      <c r="F112" s="69" t="n"/>
    </row>
    <row r="113" ht="28" customHeight="1">
      <c r="B113" s="12" t="inlineStr">
        <is>
          <t>Ticket status accurately reflects case state (no premature RESOLVED; closure reason documented)</t>
        </is>
      </c>
      <c r="C113" s="79" t="inlineStr">
        <is>
          <t>Missed</t>
        </is>
      </c>
      <c r="D113" s="12" t="inlineStr">
        <is>
          <t>RESOLVED set May 19 on a known-unresolved case — 5th premature closure on this ticket; NTE requested by investigation</t>
        </is>
      </c>
      <c r="E113" s="70" t="n"/>
      <c r="F113" s="69" t="n"/>
    </row>
    <row r="114" ht="28" customHeight="1">
      <c r="B114" s="15" t="inlineStr">
        <is>
          <t>⚠ Documentation supports outcomes but should not outweigh troubleshooting quality, communication, or ownership. Notes must carry the FULL history — including pre-ticket contacts — so no agent treats a long-running case as new.</t>
        </is>
      </c>
      <c r="C114" s="70" t="n"/>
      <c r="D114" s="70" t="n"/>
      <c r="E114" s="70" t="n"/>
      <c r="F114" s="69" t="n"/>
    </row>
    <row r="115">
      <c r="B115" s="16" t="inlineStr">
        <is>
          <t>Suggested score (auto from indicators — advisory only; evaluator judgment prevails)</t>
        </is>
      </c>
      <c r="C115" s="17">
        <f>IF((COUNTIF(C107:C113,"Met")+COUNTIF(C107:C113,"Partial")+COUNTIF(C107:C113,"Missed"))=0,"",ROUND((COUNTIF(C107:C113,"Met")*5+COUNTIF(C107:C113,"Partial")*2.5)/(COUNTIF(C107:C113,"Met")+COUNTIF(C107:C113,"Partial")+COUNTIF(C107:C113,"Missed")),1))</f>
        <v/>
      </c>
      <c r="D115" s="18" t="inlineStr"/>
      <c r="E115" s="70" t="n"/>
      <c r="F115" s="69" t="n"/>
    </row>
    <row r="116" ht="24" customHeight="1">
      <c r="B116" s="19" t="inlineStr">
        <is>
          <t>FINAL CATEGORY SCORE (0–5)</t>
        </is>
      </c>
      <c r="C116" s="20" t="n">
        <v>2</v>
      </c>
      <c r="D116" s="21">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16" s="70" t="n"/>
      <c r="F116" s="69" t="n"/>
    </row>
    <row r="117" ht="36" customHeight="1">
      <c r="B117" s="19" t="inlineStr">
        <is>
          <t>Category comments / coaching notes</t>
        </is>
      </c>
      <c r="C117" s="7" t="inlineStr">
        <is>
          <t>Technical notes excellent; closure documentation failed — no reason for RESOLVED, conflicting missed-callback explanations across notes.</t>
        </is>
      </c>
      <c r="D117" s="70" t="n"/>
      <c r="E117" s="70" t="n"/>
      <c r="F117" s="69" t="n"/>
    </row>
    <row r="119">
      <c r="B119" s="8" t="inlineStr">
        <is>
          <t>3 · SCORE SUMMARY</t>
        </is>
      </c>
      <c r="C119" s="67" t="n"/>
      <c r="D119" s="67" t="n"/>
      <c r="E119" s="67" t="n"/>
      <c r="F119" s="68" t="n"/>
    </row>
    <row r="120">
      <c r="B120" s="118" t="inlineStr">
        <is>
          <t>Category</t>
        </is>
      </c>
      <c r="C120" s="118" t="inlineStr">
        <is>
          <t>Weight</t>
        </is>
      </c>
      <c r="D120" s="118" t="inlineStr">
        <is>
          <t>Score (0-5)</t>
        </is>
      </c>
      <c r="E120" s="118" t="inlineStr">
        <is>
          <t>Weighted</t>
        </is>
      </c>
      <c r="F120" s="118" t="inlineStr">
        <is>
          <t>Band</t>
        </is>
      </c>
    </row>
    <row r="121">
      <c r="B121" s="23" t="inlineStr">
        <is>
          <t>Resolution / Progress Toward Resolution</t>
        </is>
      </c>
      <c r="C121" s="24" t="n">
        <v>0.3</v>
      </c>
      <c r="D121" s="25">
        <f>C27</f>
        <v/>
      </c>
      <c r="E121" s="83">
        <f>IF(D121="","",(D121/5)*C121)</f>
        <v/>
      </c>
      <c r="F121" s="132">
        <f>IF(D121="","",IF(D121&gt;=4,"Strong",IF(D121=3,"Developing","Needs Focus")))</f>
        <v/>
      </c>
    </row>
    <row r="122">
      <c r="B122" s="28" t="inlineStr">
        <is>
          <t>Technical Accuracy</t>
        </is>
      </c>
      <c r="C122" s="29" t="n">
        <v>0.2</v>
      </c>
      <c r="D122" s="30">
        <f>C42</f>
        <v/>
      </c>
      <c r="E122" s="78">
        <f>IF(D122="","",(D122/5)*C122)</f>
        <v/>
      </c>
      <c r="F122" s="131">
        <f>IF(D122="","",IF(D122&gt;=4,"Strong",IF(D122=3,"Developing","Needs Focus")))</f>
        <v/>
      </c>
    </row>
    <row r="123">
      <c r="B123" s="23" t="inlineStr">
        <is>
          <t>Communication &amp; Call Control</t>
        </is>
      </c>
      <c r="C123" s="24" t="n">
        <v>0.15</v>
      </c>
      <c r="D123" s="25">
        <f>C58</f>
        <v/>
      </c>
      <c r="E123" s="83">
        <f>IF(D123="","",(D123/5)*C123)</f>
        <v/>
      </c>
      <c r="F123" s="132">
        <f>IF(D123="","",IF(D123&gt;=4,"Strong",IF(D123=3,"Developing","Needs Focus")))</f>
        <v/>
      </c>
    </row>
    <row r="124">
      <c r="B124" s="28" t="inlineStr">
        <is>
          <t>Customer Ownership</t>
        </is>
      </c>
      <c r="C124" s="29" t="n">
        <v>0.15</v>
      </c>
      <c r="D124" s="30">
        <f>C74</f>
        <v/>
      </c>
      <c r="E124" s="78">
        <f>IF(D124="","",(D124/5)*C124)</f>
        <v/>
      </c>
      <c r="F124" s="131">
        <f>IF(D124="","",IF(D124&gt;=4,"Strong",IF(D124=3,"Developing","Needs Focus")))</f>
        <v/>
      </c>
    </row>
    <row r="125">
      <c r="B125" s="23" t="inlineStr">
        <is>
          <t>Escalation Judgment</t>
        </is>
      </c>
      <c r="C125" s="24" t="n">
        <v>0.1</v>
      </c>
      <c r="D125" s="25">
        <f>C87</f>
        <v/>
      </c>
      <c r="E125" s="83">
        <f>IF(D125="","",(D125/5)*C125)</f>
        <v/>
      </c>
      <c r="F125" s="132">
        <f>IF(D125="","",IF(D125&gt;=4,"Strong",IF(D125=3,"Developing","Needs Focus")))</f>
        <v/>
      </c>
    </row>
    <row r="126">
      <c r="B126" s="28" t="inlineStr">
        <is>
          <t>Customer Experience</t>
        </is>
      </c>
      <c r="C126" s="29" t="n">
        <v>0.05</v>
      </c>
      <c r="D126" s="30">
        <f>C101</f>
        <v/>
      </c>
      <c r="E126" s="78">
        <f>IF(D126="","",(D126/5)*C126)</f>
        <v/>
      </c>
      <c r="F126" s="131">
        <f>IF(D126="","",IF(D126&gt;=4,"Strong",IF(D126=3,"Developing","Needs Focus")))</f>
        <v/>
      </c>
    </row>
    <row r="127">
      <c r="B127" s="23" t="inlineStr">
        <is>
          <t>Documentation &amp; Notes</t>
        </is>
      </c>
      <c r="C127" s="24" t="n">
        <v>0.05</v>
      </c>
      <c r="D127" s="25">
        <f>C116</f>
        <v/>
      </c>
      <c r="E127" s="83">
        <f>IF(D127="","",(D127/5)*C127)</f>
        <v/>
      </c>
      <c r="F127" s="132">
        <f>IF(D127="","",IF(D127&gt;=4,"Strong",IF(D127=3,"Developing","Needs Focus")))</f>
        <v/>
      </c>
    </row>
    <row r="128" ht="24" customHeight="1">
      <c r="B128" s="8" t="inlineStr">
        <is>
          <t>WEIGHTED TOTAL SCORE</t>
        </is>
      </c>
      <c r="C128" s="33">
        <f>SUM(C121:C127)</f>
        <v/>
      </c>
      <c r="D128" s="34" t="inlineStr"/>
      <c r="E128" s="35">
        <f>SUM(E121:E127)</f>
        <v/>
      </c>
      <c r="F128" s="36">
        <f>IF(E128="","",IF(E128&gt;=0.85,"MEETS / EXCEEDS",IF(E128&gt;=0.7,"DEVELOPING","NEEDS IMPROVEMENT")))</f>
        <v/>
      </c>
    </row>
    <row r="130">
      <c r="B130" s="125" t="inlineStr">
        <is>
          <t>4 · RESOLUTION OUTCOME</t>
        </is>
      </c>
      <c r="C130" s="67" t="n"/>
      <c r="D130" s="67" t="n"/>
      <c r="E130" s="67" t="n"/>
      <c r="F130" s="68" t="n"/>
    </row>
    <row r="131">
      <c r="B131" s="4" t="inlineStr">
        <is>
          <t>Outcome classification</t>
        </is>
      </c>
      <c r="C131" s="37" t="inlineStr">
        <is>
          <t>Ownership Gap</t>
        </is>
      </c>
      <c r="D131" s="70" t="n"/>
      <c r="E131" s="70" t="n"/>
      <c r="F131" s="69" t="n"/>
    </row>
    <row r="132">
      <c r="B132" s="6" t="inlineStr">
        <is>
          <t>Primary positive outcome achieved</t>
        </is>
      </c>
      <c r="C132" s="81" t="inlineStr">
        <is>
          <t>None achieved</t>
        </is>
      </c>
      <c r="D132" s="70" t="n"/>
      <c r="E132" s="70" t="n"/>
      <c r="F132" s="69" t="n"/>
    </row>
    <row r="133" ht="52" customHeight="1">
      <c r="B133" s="4" t="inlineStr">
        <is>
          <t>Justification</t>
        </is>
      </c>
      <c r="C133" s="7" t="inlineStr">
        <is>
          <t>Internet restoration was real progress, but the customer's primary complaint (wireless streaming stability) was never confirmed fixed, the agreed follow-up was missed, the case was closed RESOLVED without a documented reason, and an explicit management/legal escalation request went unactioned. Customer churned to a competitor. The journey's final classification is Ownership Gap — strong technical work undone by ownership and escalation failures.</t>
        </is>
      </c>
      <c r="D133" s="70" t="n"/>
      <c r="E133" s="70" t="n"/>
      <c r="F133" s="69" t="n"/>
    </row>
    <row r="135">
      <c r="B135" s="125" t="inlineStr">
        <is>
          <t>5 · DISCONNECTED CALL FOLLOW-UP</t>
        </is>
      </c>
      <c r="C135" s="67" t="n"/>
      <c r="D135" s="67" t="n"/>
      <c r="E135" s="67" t="n"/>
      <c r="F135" s="68" t="n"/>
    </row>
    <row r="136">
      <c r="B136" s="6" t="inlineStr">
        <is>
          <t>Did the interaction disconnect before completion?</t>
        </is>
      </c>
      <c r="C136" s="79" t="inlineStr">
        <is>
          <t>No</t>
        </is>
      </c>
      <c r="D136" s="15" t="inlineStr">
        <is>
          <t>If Yes, at least one documented follow-up action is required.</t>
        </is>
      </c>
      <c r="E136" s="70" t="n"/>
      <c r="F136" s="69" t="n"/>
    </row>
    <row r="137" ht="30" customHeight="1">
      <c r="B137" s="4" t="inlineStr">
        <is>
          <t>Follow-up action taken</t>
        </is>
      </c>
      <c r="C137" s="81" t="inlineStr">
        <is>
          <t>N.A. — no disconnect</t>
        </is>
      </c>
      <c r="D137" s="69" t="n"/>
      <c r="E137" s="38">
        <f>IF(AND(C136="Yes",OR(C137="None",C137="N.A. — no disconnect")),"⚠ MISSED OWNERSHIP OPPORTUNITY — flag in Customer Ownership and Critical Failures","OK")</f>
        <v/>
      </c>
      <c r="F137" s="69" t="n"/>
    </row>
    <row r="139">
      <c r="B139" s="121" t="inlineStr">
        <is>
          <t>6 · CRITICAL FAILURE CONDITIONS  (any 'Yes' triggers automatic review / coaching / QA failure regardless of score)</t>
        </is>
      </c>
      <c r="C139" s="67" t="n"/>
      <c r="D139" s="67" t="n"/>
      <c r="E139" s="67" t="n"/>
      <c r="F139" s="68" t="n"/>
    </row>
    <row r="140">
      <c r="B140" s="125" t="inlineStr">
        <is>
          <t>Condition</t>
        </is>
      </c>
      <c r="C140" s="118" t="inlineStr">
        <is>
          <t>Present?</t>
        </is>
      </c>
      <c r="D140" s="125" t="inlineStr">
        <is>
          <t>Notes / Evidence</t>
        </is>
      </c>
      <c r="E140" s="67" t="n"/>
      <c r="F140" s="68" t="n"/>
    </row>
    <row r="141" ht="26" customHeight="1">
      <c r="B141" s="12" t="inlineStr">
        <is>
          <t>Harmful or incorrect troubleshooting provided</t>
        </is>
      </c>
      <c r="C141" s="79" t="inlineStr">
        <is>
          <t>No</t>
        </is>
      </c>
      <c r="D141" s="12" t="inlineStr"/>
      <c r="E141" s="70" t="n"/>
      <c r="F141" s="69" t="n"/>
    </row>
    <row r="142" ht="26" customHeight="1">
      <c r="B142" s="14" t="inlineStr">
        <is>
          <t>Misrepresented product capabilities</t>
        </is>
      </c>
      <c r="C142" s="79" t="inlineStr">
        <is>
          <t>No</t>
        </is>
      </c>
      <c r="D142" s="14" t="inlineStr"/>
      <c r="E142" s="70" t="n"/>
      <c r="F142" s="69" t="n"/>
    </row>
    <row r="143" ht="26" customHeight="1">
      <c r="B143" s="12" t="inlineStr">
        <is>
          <t>Unsupported root-cause claims (e.g., ISP/customer blame w/o evidence)</t>
        </is>
      </c>
      <c r="C143" s="79" t="inlineStr">
        <is>
          <t>No</t>
        </is>
      </c>
      <c r="D143" s="12" t="inlineStr"/>
      <c r="E143" s="70" t="n"/>
      <c r="F143" s="69" t="n"/>
    </row>
    <row r="144" ht="26" customHeight="1">
      <c r="B144" s="14" t="inlineStr">
        <is>
          <t>No follow-up after disconnected call</t>
        </is>
      </c>
      <c r="C144" s="79" t="inlineStr">
        <is>
          <t>No</t>
        </is>
      </c>
      <c r="D144" s="14" t="inlineStr"/>
      <c r="E144" s="70" t="n"/>
      <c r="F144" s="69" t="n"/>
    </row>
    <row r="145" ht="26" customHeight="1">
      <c r="B145" s="12" t="inlineStr">
        <is>
          <t>Failed to complete a promised action (incl. missed agreed callback window)</t>
        </is>
      </c>
      <c r="C145" s="79" t="inlineStr">
        <is>
          <t>Yes</t>
        </is>
      </c>
      <c r="D145" s="12" t="inlineStr">
        <is>
          <t>Agreed 4-5 PM CT window May 19; calls placed 5:42 &amp; 6:06 PM (42-66 min late). Conflicting explanations in notes.</t>
        </is>
      </c>
      <c r="E145" s="70" t="n"/>
      <c r="F145" s="69" t="n"/>
    </row>
    <row r="146" ht="26" customHeight="1">
      <c r="B146" s="14" t="inlineStr">
        <is>
          <t>Abandoned customer without a path forward</t>
        </is>
      </c>
      <c r="C146" s="79" t="inlineStr">
        <is>
          <t>No</t>
        </is>
      </c>
      <c r="D146" s="14" t="inlineStr"/>
      <c r="E146" s="70" t="n"/>
      <c r="F146" s="69" t="n"/>
    </row>
    <row r="147" ht="26" customHeight="1">
      <c r="B147" s="12" t="inlineStr">
        <is>
          <t>Escalated without reasonable troubleshooting / to avoid ownership</t>
        </is>
      </c>
      <c r="C147" s="79" t="inlineStr">
        <is>
          <t>No</t>
        </is>
      </c>
      <c r="D147" s="12" t="inlineStr"/>
      <c r="E147" s="70" t="n"/>
      <c r="F147" s="69" t="n"/>
    </row>
    <row r="148" ht="26" customHeight="1">
      <c r="B148" s="14" t="inlineStr">
        <is>
          <t>Unprofessional, rude, or dismissive conduct / policy violation</t>
        </is>
      </c>
      <c r="C148" s="79" t="inlineStr">
        <is>
          <t>No</t>
        </is>
      </c>
      <c r="D148" s="14" t="inlineStr"/>
      <c r="E148" s="70" t="n"/>
      <c r="F148" s="69" t="n"/>
    </row>
    <row r="149" ht="26" customHeight="1">
      <c r="B149" s="12" t="inlineStr">
        <is>
          <t>Compliance / security violation (e.g., payment card data spoken or stored in plaintext — PCI DSS)</t>
        </is>
      </c>
      <c r="C149" s="79" t="inlineStr">
        <is>
          <t>No</t>
        </is>
      </c>
      <c r="D149" s="12" t="inlineStr"/>
      <c r="E149" s="70" t="n"/>
      <c r="F149" s="69" t="n"/>
    </row>
    <row r="150" ht="26" customHeight="1">
      <c r="B150" s="14" t="inlineStr">
        <is>
          <t>Case marked Resolved while issue known to be unresolved (premature closure / no closure reason)</t>
        </is>
      </c>
      <c r="C150" s="79" t="inlineStr">
        <is>
          <t>Yes</t>
        </is>
      </c>
      <c r="D150" s="14" t="inlineStr">
        <is>
          <t>RESOLVED set May 19 after apology email; no private note with closure reason; survey 3 days later: Resolution Rate = No. 5th premature RESOLVED on this ticket.</t>
        </is>
      </c>
      <c r="E150" s="70" t="n"/>
      <c r="F150" s="69" t="n"/>
    </row>
    <row r="151" ht="26" customHeight="1">
      <c r="B151" s="12" t="inlineStr">
        <is>
          <t>Customer complaint, management-contact, or legal-risk request not escalated</t>
        </is>
      </c>
      <c r="C151" s="79" t="inlineStr">
        <is>
          <t>Yes</t>
        </is>
      </c>
      <c r="D151" s="12" t="inlineStr">
        <is>
          <t>Customer email 3:33 PM May 19 requested management contact and referenced a lawyer; no management/DSAT escalation until PMO intervention May 27.</t>
        </is>
      </c>
      <c r="E151" s="70" t="n"/>
      <c r="F151" s="69" t="n"/>
    </row>
    <row r="152">
      <c r="B152" s="121" t="inlineStr">
        <is>
          <t>CRITICAL FAILURE FLAGGED?</t>
        </is>
      </c>
      <c r="C152" s="40">
        <f>IF(COUNTIF(C141:C151,"Yes")&gt;0,"YES — "&amp;COUNTIF(C141:C151,"Yes")&amp;" condition(s) flagged — automatic review required regardless of weighted score","No critical failures")</f>
        <v/>
      </c>
      <c r="D152" s="67" t="n"/>
      <c r="E152" s="67" t="n"/>
      <c r="F152" s="68" t="n"/>
    </row>
    <row r="154">
      <c r="B154" s="8" t="inlineStr">
        <is>
          <t>7 · COACHING &amp; FEEDBACK  (every review must produce at least one actionable coaching opportunity)</t>
        </is>
      </c>
      <c r="C154" s="67" t="n"/>
      <c r="D154" s="67" t="n"/>
      <c r="E154" s="67" t="n"/>
      <c r="F154" s="68" t="n"/>
    </row>
    <row r="155">
      <c r="B155" s="125" t="inlineStr">
        <is>
          <t>WHAT WENT WELL — behaviors to repeat</t>
        </is>
      </c>
      <c r="C155" s="67" t="n"/>
      <c r="D155" s="67" t="n"/>
      <c r="E155" s="67" t="n"/>
      <c r="F155" s="68" t="n"/>
    </row>
    <row r="156" ht="32" customHeight="1">
      <c r="B156" s="11" t="inlineStr">
        <is>
          <t>1.</t>
        </is>
      </c>
      <c r="C156" s="7" t="inlineStr">
        <is>
          <t>Took over a collapsing case and delivered the journey's decisive technical win: fault isolated away from the ISP to the MX4200 parent node, internet restored, 4 child nodes configured with per-node RSSI documented</t>
        </is>
      </c>
      <c r="D156" s="70" t="n"/>
      <c r="E156" s="70" t="n"/>
      <c r="F156" s="69" t="n"/>
    </row>
    <row r="157" ht="32" customHeight="1">
      <c r="B157" s="11" t="inlineStr">
        <is>
          <t>2.</t>
        </is>
      </c>
      <c r="C157" s="7" t="inlineStr">
        <is>
          <t>End-to-end L2 ownership of the technical work — no bouncing, 3h26m of focused troubleshooting with remote tooling (ZOHO)</t>
        </is>
      </c>
      <c r="D157" s="70" t="n"/>
      <c r="E157" s="70" t="n"/>
      <c r="F157" s="69" t="n"/>
    </row>
    <row r="158" ht="32" customHeight="1">
      <c r="B158" s="11" t="inlineStr">
        <is>
          <t>3.</t>
        </is>
      </c>
      <c r="C158" s="7" t="inlineStr">
        <is>
          <t>Recovery attempts after the miss (2 calls, voicemails, 2 emails with reference number and hotline) show the follow-up instinct exists — the failure was timing and closure, not absence</t>
        </is>
      </c>
      <c r="D158" s="70" t="n"/>
      <c r="E158" s="70" t="n"/>
      <c r="F158" s="69" t="n"/>
    </row>
    <row r="159">
      <c r="B159" s="125" t="inlineStr">
        <is>
          <t>IMPROVEMENT OPPORTUNITIES — behaviors to improve</t>
        </is>
      </c>
      <c r="C159" s="67" t="n"/>
      <c r="D159" s="67" t="n"/>
      <c r="E159" s="67" t="n"/>
      <c r="F159" s="68" t="n"/>
    </row>
    <row r="160" ht="32" customHeight="1">
      <c r="B160" s="11" t="inlineStr">
        <is>
          <t>1.</t>
        </is>
      </c>
      <c r="C160" s="7" t="inlineStr">
        <is>
          <t>Protect or renegotiate callback commitments: the May 19 TC/OM meetings were known before the 4-5 PM window — a 2-minute proactive 'can we move to 6 PM?' email would have prevented the complaint</t>
        </is>
      </c>
      <c r="D160" s="70" t="n"/>
      <c r="E160" s="70" t="n"/>
      <c r="F160" s="69" t="n"/>
    </row>
    <row r="161" ht="32" customHeight="1">
      <c r="B161" s="11" t="inlineStr">
        <is>
          <t>2.</t>
        </is>
      </c>
      <c r="C161" s="7" t="inlineStr">
        <is>
          <t>Never set RESOLVED on a known-unresolved case: use CALLBACK/PENDING and document a closure reason; this ticket's 5th premature closure triggered an NTE</t>
        </is>
      </c>
      <c r="D161" s="70" t="n"/>
      <c r="E161" s="70" t="n"/>
      <c r="F161" s="69" t="n"/>
    </row>
    <row r="162" ht="32" customHeight="1">
      <c r="B162" s="11" t="inlineStr">
        <is>
          <t>3.</t>
        </is>
      </c>
      <c r="C162" s="7" t="inlineStr">
        <is>
          <t>Treat an explicit management request + legal reference from a vulnerable customer as a same-day mandatory escalation, independent of any apology email</t>
        </is>
      </c>
      <c r="D162" s="70" t="n"/>
      <c r="E162" s="70" t="n"/>
      <c r="F162" s="69" t="n"/>
    </row>
    <row r="163">
      <c r="B163" s="125" t="inlineStr">
        <is>
          <t>COACHING RECOMMENDATION — specific actions the agent should apply going forward</t>
        </is>
      </c>
      <c r="C163" s="67" t="n"/>
      <c r="D163" s="67" t="n"/>
      <c r="E163" s="67" t="n"/>
      <c r="F163" s="68" t="n"/>
    </row>
    <row r="164" ht="58" customHeight="1">
      <c r="B164" s="7" t="inlineStr">
        <is>
          <t>SMART (Action Owner: TC Kirby Dona, 48h per investigation): (1) For the next 30 days, every callback commitment goes on the calendar at agreement time, with a proactive renegotiation message sent BEFORE any window that conflicts. (2) Provide NTE clarifying the May 19 RESOLVED status; going forward, closure requires customer confirmation or a documented reason in a private note. (3) Complete complaint-handling refresher: management/legal requests are escalated same-day with a documented handoff.</t>
        </is>
      </c>
      <c r="C164" s="70" t="n"/>
      <c r="D164" s="70" t="n"/>
      <c r="E164" s="70" t="n"/>
      <c r="F164" s="69" t="n"/>
    </row>
    <row r="165">
      <c r="B165" s="125" t="inlineStr">
        <is>
          <t>ORGANIZATIONAL INSIGHTS — training / process / KB / chatbot / tooling / product gaps discovered</t>
        </is>
      </c>
      <c r="C165" s="67" t="n"/>
      <c r="D165" s="67" t="n"/>
      <c r="E165" s="67" t="n"/>
      <c r="F165" s="68" t="n"/>
    </row>
    <row r="166" ht="70" customHeight="1">
      <c r="B166" s="7" t="inlineStr">
        <is>
          <t>(1) Callback management is a systemic failure across L1 and L2 — enforced callback calendaring + contingency script. (2) Reinforce 'Linksys CAT Case Management and Closure Process' (Action: TCs Baynos &amp; Dona) — RESOLVED toggled 5× on this unresolved ticket. (3) Ticket-linking gap: pre-ticket history (TE00124020, Recs 1-6, $30 paid session) invisible to every later agent. (4) PCI: Rec 3 contains card number/CVV/expiry in plaintext — immediate compliance review + PCI-safe payment flow. (5) Vulnerable-customer standard needed (pace, one-step instructions, session-length checkpoints). (6) Product-advice loop: mixed WHW03/MX4200 mesh recommendation for 7,000 sq ft drove 6 purchases without a topology consult.</t>
        </is>
      </c>
      <c r="C166" s="70" t="n"/>
      <c r="D166" s="70" t="n"/>
      <c r="E166" s="70" t="n"/>
      <c r="F166" s="69" t="n"/>
    </row>
    <row r="167">
      <c r="B167" s="125" t="inlineStr">
        <is>
          <t>MULTI-TOUCH / JOURNEY NOTES — handoff quality received &amp; passed, continuity, where the chain stands</t>
        </is>
      </c>
      <c r="C167" s="67" t="n"/>
      <c r="D167" s="67" t="n"/>
      <c r="E167" s="67" t="n"/>
      <c r="F167" s="68" t="n"/>
    </row>
    <row r="168" ht="58" customHeight="1">
      <c r="B168" s="7" t="inlineStr">
        <is>
          <t>Touch 13 of 13. Handoff RECEIVED: adequate from Paolo Ebora (RSSI findings, logs) but burdened by the day's 3-hour callback chaos and 7 weeks of erosion; pre-ticket history missing through no fault of this agent. Handoff PASSED: case closed RESOLVED with no closure note and an unescalated legal-risk complaint — the chain ended here with the customer churning to Eero. See Multi-Touch Guide for the full chain analysis and Case Tracker rows 5-17 for per-touch scores.</t>
        </is>
      </c>
      <c r="C168" s="70" t="n"/>
      <c r="D168" s="70" t="n"/>
      <c r="E168" s="70" t="n"/>
      <c r="F168" s="69" t="n"/>
    </row>
    <row r="169">
      <c r="B169" s="125" t="inlineStr">
        <is>
          <t>FINAL QA ASSESSMENT — customer outcome, support quality, and coaching value</t>
        </is>
      </c>
      <c r="C169" s="67" t="n"/>
      <c r="D169" s="67" t="n"/>
      <c r="E169" s="67" t="n"/>
      <c r="F169" s="68" t="n"/>
    </row>
    <row r="170" ht="58" customHeight="1">
      <c r="B170" s="7" t="inlineStr">
        <is>
          <t>Weighted 52% (Needs Improvement) with 3 critical failures — automatic review applies regardless of score. The paradox of this touch is the coaching value: technically it was the journey's best recovery; the case was lost on ownership basics — a missed window the agent saw coming, a closure that misrepresented case state, and a complaint that demanded escalation. Fix the ownership discipline and this agent is a journey-saver, not a journey-ender.</t>
        </is>
      </c>
      <c r="C170" s="70" t="n"/>
      <c r="D170" s="70" t="n"/>
      <c r="E170" s="70" t="n"/>
      <c r="F170" s="69" t="n"/>
    </row>
  </sheetData>
  <mergeCells count="149">
    <mergeCell ref="B16:F16"/>
    <mergeCell ref="D116:F116"/>
    <mergeCell ref="B25:F25"/>
    <mergeCell ref="D66:F66"/>
    <mergeCell ref="D53:F53"/>
    <mergeCell ref="D47:F47"/>
    <mergeCell ref="B18:F18"/>
    <mergeCell ref="E8:F8"/>
    <mergeCell ref="C161:F161"/>
    <mergeCell ref="C13:F13"/>
    <mergeCell ref="B45:E45"/>
    <mergeCell ref="B2:F2"/>
    <mergeCell ref="D37:F37"/>
    <mergeCell ref="E137:F137"/>
    <mergeCell ref="D143:F143"/>
    <mergeCell ref="D92:F92"/>
    <mergeCell ref="B170:F170"/>
    <mergeCell ref="D39:F39"/>
    <mergeCell ref="B166:F166"/>
    <mergeCell ref="D142:F142"/>
    <mergeCell ref="D23:F23"/>
    <mergeCell ref="C88:F88"/>
    <mergeCell ref="D94:F94"/>
    <mergeCell ref="B168:F168"/>
    <mergeCell ref="D144:F144"/>
    <mergeCell ref="D80:F80"/>
    <mergeCell ref="C43:F43"/>
    <mergeCell ref="D96:F96"/>
    <mergeCell ref="D57:F57"/>
    <mergeCell ref="B135:F135"/>
    <mergeCell ref="E12:F12"/>
    <mergeCell ref="D27:F27"/>
    <mergeCell ref="D41:F41"/>
    <mergeCell ref="B72:F72"/>
    <mergeCell ref="D107:F107"/>
    <mergeCell ref="E5:F5"/>
    <mergeCell ref="C158:F158"/>
    <mergeCell ref="B104:E104"/>
    <mergeCell ref="D147:F147"/>
    <mergeCell ref="B56:F56"/>
    <mergeCell ref="C28:F28"/>
    <mergeCell ref="B167:F167"/>
    <mergeCell ref="B105:F105"/>
    <mergeCell ref="D106:F106"/>
    <mergeCell ref="D146:F146"/>
    <mergeCell ref="D93:F93"/>
    <mergeCell ref="C137:D137"/>
    <mergeCell ref="B90:E90"/>
    <mergeCell ref="D74:F74"/>
    <mergeCell ref="D68:F68"/>
    <mergeCell ref="D83:F83"/>
    <mergeCell ref="C14:F14"/>
    <mergeCell ref="D55:F55"/>
    <mergeCell ref="D67:F67"/>
    <mergeCell ref="D110:F110"/>
    <mergeCell ref="D54:F54"/>
    <mergeCell ref="C162:F162"/>
    <mergeCell ref="B77:E77"/>
    <mergeCell ref="B99:F99"/>
    <mergeCell ref="D69:F69"/>
    <mergeCell ref="D100:F100"/>
    <mergeCell ref="D109:F109"/>
    <mergeCell ref="B61:E61"/>
    <mergeCell ref="D111:F111"/>
    <mergeCell ref="B85:F85"/>
    <mergeCell ref="D108:F108"/>
    <mergeCell ref="D21:F21"/>
    <mergeCell ref="D86:F86"/>
    <mergeCell ref="D95:F95"/>
    <mergeCell ref="B4:F4"/>
    <mergeCell ref="C132:F132"/>
    <mergeCell ref="B62:F62"/>
    <mergeCell ref="D136:F136"/>
    <mergeCell ref="D150:F150"/>
    <mergeCell ref="D145:F145"/>
    <mergeCell ref="D32:F32"/>
    <mergeCell ref="D97:F97"/>
    <mergeCell ref="B31:F31"/>
    <mergeCell ref="B46:F46"/>
    <mergeCell ref="B159:F159"/>
    <mergeCell ref="D87:F87"/>
    <mergeCell ref="C102:F102"/>
    <mergeCell ref="D71:F71"/>
    <mergeCell ref="D58:F58"/>
    <mergeCell ref="C157:F157"/>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164:F164"/>
    <mergeCell ref="E7:F7"/>
    <mergeCell ref="B139:F139"/>
    <mergeCell ref="D84:F84"/>
    <mergeCell ref="D140:F140"/>
    <mergeCell ref="D22:F22"/>
    <mergeCell ref="D36:F36"/>
    <mergeCell ref="B114:F114"/>
    <mergeCell ref="D149:F149"/>
    <mergeCell ref="B154:F154"/>
    <mergeCell ref="D101:F101"/>
    <mergeCell ref="B163:F163"/>
    <mergeCell ref="B91:F91"/>
    <mergeCell ref="D151:F151"/>
    <mergeCell ref="B165:F165"/>
    <mergeCell ref="B30:E30"/>
    <mergeCell ref="D141:F141"/>
    <mergeCell ref="D70:F70"/>
    <mergeCell ref="D48:F48"/>
    <mergeCell ref="B155:F155"/>
    <mergeCell ref="C131:F131"/>
    <mergeCell ref="B130:F130"/>
    <mergeCell ref="D112:F112"/>
    <mergeCell ref="E10:F10"/>
    <mergeCell ref="E9:F9"/>
    <mergeCell ref="C156:F156"/>
    <mergeCell ref="B119:F119"/>
    <mergeCell ref="D24:F24"/>
    <mergeCell ref="D64:F64"/>
    <mergeCell ref="D38:F38"/>
    <mergeCell ref="D98:F98"/>
    <mergeCell ref="B78:F78"/>
    <mergeCell ref="D79:F79"/>
    <mergeCell ref="E11:F11"/>
    <mergeCell ref="D26:F26"/>
    <mergeCell ref="C117:F117"/>
    <mergeCell ref="B40:F40"/>
    <mergeCell ref="D63:F63"/>
    <mergeCell ref="D81:F81"/>
    <mergeCell ref="D19:F19"/>
    <mergeCell ref="C75:F75"/>
    <mergeCell ref="D65:F65"/>
    <mergeCell ref="B169:F169"/>
    <mergeCell ref="C59:F59"/>
    <mergeCell ref="D52:F52"/>
    <mergeCell ref="D49:F49"/>
  </mergeCells>
  <conditionalFormatting sqref="C20:C24">
    <cfRule type="cellIs" priority="1" operator="equal" dxfId="0">
      <formula>"Met"</formula>
    </cfRule>
    <cfRule type="cellIs" priority="2" operator="equal" dxfId="1">
      <formula>"Partial"</formula>
    </cfRule>
    <cfRule type="cellIs" priority="3" operator="equal" dxfId="2">
      <formula>"Missed"</formula>
    </cfRule>
  </conditionalFormatting>
  <conditionalFormatting sqref="C27">
    <cfRule type="cellIs" priority="4" operator="lessThanOrEqual" dxfId="2">
      <formula>2</formula>
    </cfRule>
    <cfRule type="cellIs" priority="5" operator="equal" dxfId="1">
      <formula>3</formula>
    </cfRule>
    <cfRule type="cellIs" priority="6" operator="greaterThanOrEqual" dxfId="0">
      <formula>4</formula>
    </cfRule>
  </conditionalFormatting>
  <conditionalFormatting sqref="C33:C39">
    <cfRule type="cellIs" priority="7" operator="equal" dxfId="0">
      <formula>"Met"</formula>
    </cfRule>
    <cfRule type="cellIs" priority="8" operator="equal" dxfId="1">
      <formula>"Partial"</formula>
    </cfRule>
    <cfRule type="cellIs" priority="9" operator="equal" dxfId="2">
      <formula>"Missed"</formula>
    </cfRule>
  </conditionalFormatting>
  <conditionalFormatting sqref="C42">
    <cfRule type="cellIs" priority="10" operator="lessThanOrEqual" dxfId="2">
      <formula>2</formula>
    </cfRule>
    <cfRule type="cellIs" priority="11" operator="equal" dxfId="1">
      <formula>3</formula>
    </cfRule>
    <cfRule type="cellIs" priority="12" operator="greaterThanOrEqual" dxfId="0">
      <formula>4</formula>
    </cfRule>
  </conditionalFormatting>
  <conditionalFormatting sqref="C48:C55">
    <cfRule type="cellIs" priority="13" operator="equal" dxfId="0">
      <formula>"Met"</formula>
    </cfRule>
    <cfRule type="cellIs" priority="14" operator="equal" dxfId="1">
      <formula>"Partial"</formula>
    </cfRule>
    <cfRule type="cellIs" priority="15" operator="equal" dxfId="2">
      <formula>"Missed"</formula>
    </cfRule>
  </conditionalFormatting>
  <conditionalFormatting sqref="C58">
    <cfRule type="cellIs" priority="16" operator="lessThanOrEqual" dxfId="2">
      <formula>2</formula>
    </cfRule>
    <cfRule type="cellIs" priority="17" operator="equal" dxfId="1">
      <formula>3</formula>
    </cfRule>
    <cfRule type="cellIs" priority="18" operator="greaterThanOrEqual" dxfId="0">
      <formula>4</formula>
    </cfRule>
  </conditionalFormatting>
  <conditionalFormatting sqref="C64:C71">
    <cfRule type="cellIs" priority="19" operator="equal" dxfId="0">
      <formula>"Met"</formula>
    </cfRule>
    <cfRule type="cellIs" priority="20" operator="equal" dxfId="1">
      <formula>"Partial"</formula>
    </cfRule>
    <cfRule type="cellIs" priority="21" operator="equal" dxfId="2">
      <formula>"Missed"</formula>
    </cfRule>
  </conditionalFormatting>
  <conditionalFormatting sqref="C74">
    <cfRule type="cellIs" priority="22" operator="lessThanOrEqual" dxfId="2">
      <formula>2</formula>
    </cfRule>
    <cfRule type="cellIs" priority="23" operator="equal" dxfId="1">
      <formula>3</formula>
    </cfRule>
    <cfRule type="cellIs" priority="24" operator="greaterThanOrEqual" dxfId="0">
      <formula>4</formula>
    </cfRule>
  </conditionalFormatting>
  <conditionalFormatting sqref="C80:C84">
    <cfRule type="cellIs" priority="25" operator="equal" dxfId="0">
      <formula>"Met"</formula>
    </cfRule>
    <cfRule type="cellIs" priority="26" operator="equal" dxfId="1">
      <formula>"Partial"</formula>
    </cfRule>
    <cfRule type="cellIs" priority="27" operator="equal" dxfId="2">
      <formula>"Missed"</formula>
    </cfRule>
  </conditionalFormatting>
  <conditionalFormatting sqref="C87">
    <cfRule type="cellIs" priority="28" operator="lessThanOrEqual" dxfId="2">
      <formula>2</formula>
    </cfRule>
    <cfRule type="cellIs" priority="29" operator="equal" dxfId="1">
      <formula>3</formula>
    </cfRule>
    <cfRule type="cellIs" priority="30" operator="greaterThanOrEqual" dxfId="0">
      <formula>4</formula>
    </cfRule>
  </conditionalFormatting>
  <conditionalFormatting sqref="C93:C98">
    <cfRule type="cellIs" priority="31" operator="equal" dxfId="0">
      <formula>"Met"</formula>
    </cfRule>
    <cfRule type="cellIs" priority="32" operator="equal" dxfId="1">
      <formula>"Partial"</formula>
    </cfRule>
    <cfRule type="cellIs" priority="33" operator="equal" dxfId="2">
      <formula>"Missed"</formula>
    </cfRule>
  </conditionalFormatting>
  <conditionalFormatting sqref="C101">
    <cfRule type="cellIs" priority="34" operator="lessThanOrEqual" dxfId="2">
      <formula>2</formula>
    </cfRule>
    <cfRule type="cellIs" priority="35" operator="equal" dxfId="1">
      <formula>3</formula>
    </cfRule>
    <cfRule type="cellIs" priority="36" operator="greaterThanOrEqual" dxfId="0">
      <formula>4</formula>
    </cfRule>
  </conditionalFormatting>
  <conditionalFormatting sqref="C107:C113">
    <cfRule type="cellIs" priority="37" operator="equal" dxfId="0">
      <formula>"Met"</formula>
    </cfRule>
    <cfRule type="cellIs" priority="38" operator="equal" dxfId="1">
      <formula>"Partial"</formula>
    </cfRule>
    <cfRule type="cellIs" priority="39" operator="equal" dxfId="2">
      <formula>"Missed"</formula>
    </cfRule>
  </conditionalFormatting>
  <conditionalFormatting sqref="C116">
    <cfRule type="cellIs" priority="40" operator="lessThanOrEqual" dxfId="2">
      <formula>2</formula>
    </cfRule>
    <cfRule type="cellIs" priority="41" operator="equal" dxfId="1">
      <formula>3</formula>
    </cfRule>
    <cfRule type="cellIs" priority="42" operator="greaterThanOrEqual" dxfId="0">
      <formula>4</formula>
    </cfRule>
  </conditionalFormatting>
  <conditionalFormatting sqref="E128">
    <cfRule type="cellIs" priority="43" operator="greaterThanOrEqual" dxfId="3">
      <formula>0.85</formula>
    </cfRule>
    <cfRule type="cellIs" priority="44" operator="between" dxfId="4">
      <formula>0.70</formula>
      <formula>0.8499</formula>
    </cfRule>
    <cfRule type="cellIs" priority="45" operator="lessThan" dxfId="5">
      <formula>0.70</formula>
    </cfRule>
  </conditionalFormatting>
  <conditionalFormatting sqref="F121:F127">
    <cfRule type="cellIs" priority="46" operator="equal" dxfId="6">
      <formula>"Strong"</formula>
    </cfRule>
    <cfRule type="cellIs" priority="47" operator="equal" dxfId="7">
      <formula>"Developing"</formula>
    </cfRule>
    <cfRule type="cellIs" priority="48" operator="equal" dxfId="8">
      <formula>"Needs Focus"</formula>
    </cfRule>
  </conditionalFormatting>
  <conditionalFormatting sqref="E137">
    <cfRule type="expression" priority="49" dxfId="2">
      <formula>E137&lt;&gt;"OK"</formula>
    </cfRule>
    <cfRule type="expression" priority="50" dxfId="0">
      <formula>E137="OK"</formula>
    </cfRule>
  </conditionalFormatting>
  <conditionalFormatting sqref="C141:C151">
    <cfRule type="cellIs" priority="51" operator="equal" dxfId="2">
      <formula>"Yes"</formula>
    </cfRule>
  </conditionalFormatting>
  <conditionalFormatting sqref="C152">
    <cfRule type="expression" priority="52" dxfId="2">
      <formula>ISNUMBER(SEARCH("YES",C152))</formula>
    </cfRule>
    <cfRule type="expression" priority="53" dxfId="0">
      <formula>NOT(ISNUMBER(SEARCH("YES",C152)))</formula>
    </cfRule>
  </conditionalFormatting>
  <dataValidations count="10">
    <dataValidation sqref="C20 C21 C22 C23 C24 C33 C34 C35 C36 C37 C38 C39 C48 C49 C50 C51 C52 C53 C54 C55 C64 C65 C66 C67 C68 C69 C70 C71 C80 C81 C82 C83 C84 C93 C94 C95 C96 C97 C98 C107 C108 C109 C110 C111 C112 C113" showDropDown="0" showInputMessage="0" showErrorMessage="0" allowBlank="1" type="list">
      <formula1>"Met,Partial,Missed,N.A."</formula1>
    </dataValidation>
    <dataValidation sqref="C27 C42 C58 C74 C87 C101 C116" showDropDown="0" showInputMessage="0" showErrorMessage="1" allowBlank="1" errorTitle="Invalid score" error="Enter a whole number from 0 to 5." type="whole" operator="between">
      <formula1>0</formula1>
      <formula2>5</formula2>
    </dataValidation>
    <dataValidation sqref="C136 C141 C142 C143 C144 C145 C146 C147 C148 C149 C150 C151 E10" showDropDown="0" showInputMessage="0" showErrorMessage="0" allowBlank="1" type="list">
      <formula1>"No,Yes"</formula1>
    </dataValidation>
    <dataValidation sqref="C8" showDropDown="0" showInputMessage="0" showErrorMessage="0" allowBlank="1" type="list">
      <formula1>"In-Warranty,Out-of-Warranty,Unknown"</formula1>
    </dataValidation>
    <dataValidation sqref="E7" showDropDown="0" showInputMessage="0" showErrorMessage="0" allowBlank="1" type="list">
      <formula1>"Phone,Chat,Email,Social,Other"</formula1>
    </dataValidation>
    <dataValidation sqref="C9" showDropDown="0" showInputMessage="0" showErrorMessage="0" allowBlank="1" type="list">
      <formula1>"Technical Issue,Setup/How-To,RMA/Replacement,Billing/Account,Connectivity,Other"</formula1>
    </dataValidation>
    <dataValidation sqref="E12" showDropDown="0" showInputMessage="0" showErrorMessage="0" allowBlank="1" type="list">
      <formula1>"Within SLA,Breached,N.A."</formula1>
    </dataValidation>
    <dataValidation sqref="C131" showDropDown="0" showInputMessage="0" showErrorMessage="0" allowBlank="1" type="list">
      <formula1>"Successful Resolution,Partial Resolution,Appropriate Escalation,Ownership Gap,Unresolved"</formula1>
    </dataValidation>
    <dataValidation sqref="C132" showDropDown="0" showInputMessage="0" showErrorMessage="0" allowBlank="1" type="list">
      <formula1>"Issue resolved,Proper RMA initiated (in-warranty / approved exception),Valid escalation submitted,Known limitation explained accurately,Customer educated with actionable next steps,Valid self-help guidance provided (out-of-warranty),Upgrade path recommended appropriately (out-of-warranty),Customer declined further troubleshooting after reasonable effort,None achieved"</formula1>
    </dataValidation>
    <dataValidation sqref="C137" showDropDown="0" showInputMessage="0" showErrorMessage="0" allowBlank="1" type="list">
      <formula1>"Callback attempt,Follow-up email,Private note documenting actions,Documented why follow-up not possible,None,N.A. — no disconnect"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60"/>
  <sheetViews>
    <sheetView showGridLines="0" workbookViewId="0">
      <pane ySplit="4" topLeftCell="A5" activePane="bottomLeft" state="frozen"/>
      <selection pane="bottomLeft" activeCell="A1" sqref="A1"/>
    </sheetView>
  </sheetViews>
  <sheetFormatPr baseColWidth="8" defaultRowHeight="15"/>
  <cols>
    <col width="11" customWidth="1" min="1" max="1"/>
    <col width="13" customWidth="1" min="2" max="2"/>
    <col width="1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10" customWidth="1" min="12" max="12"/>
    <col width="13" customWidth="1" min="13" max="13"/>
    <col width="60" customWidth="1" min="14" max="14"/>
    <col width="22" customWidth="1" min="15" max="15"/>
    <col width="14" customWidth="1" min="16" max="16"/>
  </cols>
  <sheetData>
    <row r="1" ht="26" customHeight="1">
      <c r="A1" s="104" t="inlineStr">
        <is>
          <t>CASE TRACKER — Multi-Case &amp; Multi-Touch Log</t>
        </is>
      </c>
      <c r="B1" s="67" t="n"/>
      <c r="C1" s="67" t="n"/>
      <c r="D1" s="67" t="n"/>
      <c r="E1" s="67" t="n"/>
      <c r="F1" s="67" t="n"/>
      <c r="G1" s="67" t="n"/>
      <c r="H1" s="67" t="n"/>
      <c r="I1" s="67" t="n"/>
      <c r="J1" s="67" t="n"/>
      <c r="K1" s="67" t="n"/>
      <c r="L1" s="67" t="n"/>
      <c r="M1" s="67" t="n"/>
      <c r="N1" s="67" t="n"/>
      <c r="O1" s="67" t="n"/>
      <c r="P1" s="68" t="n"/>
    </row>
    <row r="2" ht="16" customHeight="1">
      <c r="A2" s="59" t="inlineStr">
        <is>
          <t>One row per touch. Reuse a Case ID across rows to track a multi-touch journey. Scores 0-5; Weighted % and Result calculate automatically. Pre-loaded: the TE00124020 / TE00127492 journey (see Multi-Touch Guide).</t>
        </is>
      </c>
      <c r="B2" s="67" t="n"/>
      <c r="C2" s="67" t="n"/>
      <c r="D2" s="67" t="n"/>
      <c r="E2" s="67" t="n"/>
      <c r="F2" s="67" t="n"/>
      <c r="G2" s="67" t="n"/>
      <c r="H2" s="67" t="n"/>
      <c r="I2" s="67" t="n"/>
      <c r="J2" s="67" t="n"/>
      <c r="K2" s="67" t="n"/>
      <c r="L2" s="67" t="n"/>
      <c r="M2" s="67" t="n"/>
      <c r="N2" s="67" t="n"/>
      <c r="O2" s="67" t="n"/>
      <c r="P2" s="68" t="n"/>
    </row>
    <row r="3" ht="24" customHeight="1">
      <c r="A3" s="124">
        <f>" LOADED JOURNEY TEAM SCORE  &gt;  TE00131695 (Marty Kerby):  "&amp;TEXT(G56,"0.0%")&amp;"   ("&amp;H56&amp;")"</f>
        <v/>
      </c>
      <c r="B3" s="67" t="n"/>
      <c r="C3" s="67" t="n"/>
      <c r="D3" s="67" t="n"/>
      <c r="E3" s="67" t="n"/>
      <c r="F3" s="67" t="n"/>
      <c r="G3" s="67" t="n"/>
      <c r="H3" s="67" t="n"/>
      <c r="I3" s="67" t="n"/>
      <c r="J3" s="67" t="n"/>
      <c r="K3" s="67" t="n"/>
      <c r="L3" s="67" t="n"/>
      <c r="M3" s="67" t="n"/>
      <c r="N3" s="67" t="n"/>
      <c r="O3" s="67" t="n"/>
      <c r="P3" s="68" t="n"/>
    </row>
    <row r="4" ht="30" customHeight="1">
      <c r="A4" s="60" t="inlineStr">
        <is>
          <t>Date</t>
        </is>
      </c>
      <c r="B4" s="60" t="inlineStr">
        <is>
          <t>Case ID</t>
        </is>
      </c>
      <c r="C4" s="60" t="inlineStr">
        <is>
          <t>Agent</t>
        </is>
      </c>
      <c r="D4" s="60" t="inlineStr">
        <is>
          <t>Touch #</t>
        </is>
      </c>
      <c r="E4" s="60" t="inlineStr">
        <is>
          <t>Res 30%</t>
        </is>
      </c>
      <c r="F4" s="60" t="inlineStr">
        <is>
          <t>Tech 20%</t>
        </is>
      </c>
      <c r="G4" s="60" t="inlineStr">
        <is>
          <t>Comm 15%</t>
        </is>
      </c>
      <c r="H4" s="60" t="inlineStr">
        <is>
          <t>Own 15%</t>
        </is>
      </c>
      <c r="I4" s="60" t="inlineStr">
        <is>
          <t>Esc 10%</t>
        </is>
      </c>
      <c r="J4" s="60" t="inlineStr">
        <is>
          <t>CX 5%</t>
        </is>
      </c>
      <c r="K4" s="60" t="inlineStr">
        <is>
          <t>Doc 5%</t>
        </is>
      </c>
      <c r="L4" s="60" t="inlineStr">
        <is>
          <t>Weighted</t>
        </is>
      </c>
      <c r="M4" s="60" t="inlineStr">
        <is>
          <t>Result</t>
        </is>
      </c>
      <c r="N4" s="60" t="inlineStr">
        <is>
          <t>Outcome / Notes</t>
        </is>
      </c>
      <c r="O4" s="130" t="inlineStr">
        <is>
          <t>Contribution Type</t>
        </is>
      </c>
      <c r="P4" s="130" t="inlineStr">
        <is>
          <t>Handoff Quality (0-5)</t>
        </is>
      </c>
    </row>
    <row r="5" ht="40" customHeight="1">
      <c r="A5" s="61" t="inlineStr">
        <is>
          <t>2026-06-01</t>
        </is>
      </c>
      <c r="B5" s="61" t="inlineStr">
        <is>
          <t>TE00131695</t>
        </is>
      </c>
      <c r="C5" s="61" t="inlineStr">
        <is>
          <t>Aysah Bagumbaran</t>
        </is>
      </c>
      <c r="D5" s="61" t="n">
        <v>1</v>
      </c>
      <c r="E5" s="61" t="n">
        <v>2</v>
      </c>
      <c r="F5" s="61" t="n">
        <v>2</v>
      </c>
      <c r="G5" s="61" t="n">
        <v>2</v>
      </c>
      <c r="H5" s="61" t="n">
        <v>2</v>
      </c>
      <c r="I5" s="61" t="n">
        <v>3</v>
      </c>
      <c r="J5" s="61" t="n">
        <v>2</v>
      </c>
      <c r="K5" s="61" t="n">
        <v>2</v>
      </c>
      <c r="L5" s="62">
        <f>IF((COUNT(E5)+COUNT(F5)+COUNT(G5)+COUNT(H5)+COUNT(I5)+COUNT(J5)+COUNT(K5))=0,"",IFERROR(E5/5*0.3,0)+IFERROR(F5/5*0.2,0)+IFERROR(G5/5*0.15,0)+IFERROR(H5/5*0.15,0)+IFERROR(I5/5*0.1,0)+IFERROR(J5/5*0.05,0)+IFERROR(K5/5*0.05,0))</f>
        <v/>
      </c>
      <c r="M5" s="132">
        <f>IF(L5="","",IF(L5&gt;=0.85,"Meets/Exceeds",IF(L5&gt;=0.70,"Developing","Needs Improv.")))</f>
        <v/>
      </c>
      <c r="N5" s="12" t="inlineStr">
        <is>
          <t>44m59s L1 call: misdiagnosed local admin-page failure (192.168.1.1 blue screen, ~20-30 routers, offline-reproducible) as a server/Smart WiFi outage; circular reset/IP steps; warranty mistagged IN (actually OOW, exp 8/15/25); escalated to L2 only after customer demanded. Ticket LTS00131695, 24h callback set. Known IR OLYMPUS-445 not applied.</t>
        </is>
      </c>
      <c r="O5" s="132" t="inlineStr">
        <is>
          <t>Progress Builder</t>
        </is>
      </c>
      <c r="P5" s="132" t="n">
        <v>2</v>
      </c>
    </row>
    <row r="6" ht="40" customHeight="1">
      <c r="A6" s="61" t="inlineStr">
        <is>
          <t>2026-06-01</t>
        </is>
      </c>
      <c r="B6" s="61" t="inlineStr">
        <is>
          <t>TE00131695</t>
        </is>
      </c>
      <c r="C6" s="61" t="inlineStr">
        <is>
          <t>Paulo Real</t>
        </is>
      </c>
      <c r="D6" s="61" t="n">
        <v>2</v>
      </c>
      <c r="E6" s="61" t="n">
        <v>3</v>
      </c>
      <c r="F6" s="61" t="n">
        <v>3</v>
      </c>
      <c r="G6" s="61" t="n">
        <v>3</v>
      </c>
      <c r="H6" s="61" t="n">
        <v>4</v>
      </c>
      <c r="I6" s="61" t="n">
        <v>3</v>
      </c>
      <c r="J6" s="61" t="n">
        <v>3</v>
      </c>
      <c r="K6" s="61" t="n">
        <v>3</v>
      </c>
      <c r="L6" s="63">
        <f>IF((COUNT(E6)+COUNT(F6)+COUNT(G6)+COUNT(H6)+COUNT(I6)+COUNT(J6)+COUNT(K6))=0,"",IFERROR(E6/5*0.3,0)+IFERROR(F6/5*0.2,0)+IFERROR(G6/5*0.15,0)+IFERROR(H6/5*0.15,0)+IFERROR(I6/5*0.1,0)+IFERROR(J6/5*0.05,0)+IFERROR(K6/5*0.05,0))</f>
        <v/>
      </c>
      <c r="M6" s="131">
        <f>IF(L6="","",IF(L6&gt;=0.85,"Meets/Exceeds",IF(L6&gt;=0.70,"Developing","Needs Improv.")))</f>
        <v/>
      </c>
      <c r="N6" s="14" t="inlineStr">
        <is>
          <t>L2 outbound callback #1 (58s, 4:27 PM): no response from customer; asked to check if phone was muted; advised a retry in 10-15 min.</t>
        </is>
      </c>
      <c r="O6" s="131" t="inlineStr">
        <is>
          <t>Maintainer</t>
        </is>
      </c>
      <c r="P6" s="131" t="n">
        <v>3</v>
      </c>
    </row>
    <row r="7" ht="40" customHeight="1">
      <c r="A7" s="61" t="inlineStr">
        <is>
          <t>2026-06-01</t>
        </is>
      </c>
      <c r="B7" s="61" t="inlineStr">
        <is>
          <t>TE00131695</t>
        </is>
      </c>
      <c r="C7" s="61" t="inlineStr">
        <is>
          <t>Paulo Real</t>
        </is>
      </c>
      <c r="D7" s="61" t="n">
        <v>3</v>
      </c>
      <c r="E7" s="61" t="n">
        <v>3</v>
      </c>
      <c r="F7" s="61" t="n">
        <v>3</v>
      </c>
      <c r="G7" s="61" t="n">
        <v>3</v>
      </c>
      <c r="H7" s="61" t="n">
        <v>4</v>
      </c>
      <c r="I7" s="61" t="n">
        <v>3</v>
      </c>
      <c r="J7" s="61" t="n">
        <v>3</v>
      </c>
      <c r="K7" s="61" t="n">
        <v>4</v>
      </c>
      <c r="L7" s="62">
        <f>IF((COUNT(E7)+COUNT(F7)+COUNT(G7)+COUNT(H7)+COUNT(I7)+COUNT(J7)+COUNT(K7))=0,"",IFERROR(E7/5*0.3,0)+IFERROR(F7/5*0.2,0)+IFERROR(G7/5*0.15,0)+IFERROR(H7/5*0.15,0)+IFERROR(I7/5*0.1,0)+IFERROR(J7/5*0.05,0)+IFERROR(K7/5*0.05,0))</f>
        <v/>
      </c>
      <c r="M7" s="132">
        <f>IF(L7="","",IF(L7&gt;=0.85,"Meets/Exceeds",IF(L7&gt;=0.70,"Developing","Needs Improv.")))</f>
        <v/>
      </c>
      <c r="N7" s="12" t="inlineStr">
        <is>
          <t>L2 outbound callback #2 (1m23s, 4:40 PM): no response; provided the direct hotline and sent an email notifying the customer of the callback attempts. Case pending customer contact.</t>
        </is>
      </c>
      <c r="O7" s="132" t="inlineStr">
        <is>
          <t>Maintainer</t>
        </is>
      </c>
      <c r="P7" s="132" t="n">
        <v>3</v>
      </c>
    </row>
    <row r="8" ht="40" customHeight="1">
      <c r="A8" s="61" t="n"/>
      <c r="B8" s="61" t="n"/>
      <c r="C8" s="61" t="n"/>
      <c r="D8" s="61" t="n"/>
      <c r="E8" s="61" t="n"/>
      <c r="F8" s="61" t="n"/>
      <c r="G8" s="61" t="n"/>
      <c r="H8" s="61" t="n"/>
      <c r="I8" s="61" t="n"/>
      <c r="J8" s="61" t="n"/>
      <c r="K8" s="61" t="n"/>
      <c r="L8" s="63">
        <f>IF((COUNT(E8)+COUNT(F8)+COUNT(G8)+COUNT(H8)+COUNT(I8)+COUNT(J8)+COUNT(K8))=0,"",IFERROR(E8/5*0.3,0)+IFERROR(F8/5*0.2,0)+IFERROR(G8/5*0.15,0)+IFERROR(H8/5*0.15,0)+IFERROR(I8/5*0.1,0)+IFERROR(J8/5*0.05,0)+IFERROR(K8/5*0.05,0))</f>
        <v/>
      </c>
      <c r="M8" s="131">
        <f>IF(L8="","",IF(L8&gt;=0.85,"Meets/Exceeds",IF(L8&gt;=0.70,"Developing","Needs Improv.")))</f>
        <v/>
      </c>
      <c r="N8" s="14" t="n"/>
      <c r="O8" s="131" t="n"/>
      <c r="P8" s="131" t="n"/>
    </row>
    <row r="9" ht="40" customHeight="1">
      <c r="A9" s="61" t="n"/>
      <c r="B9" s="61" t="n"/>
      <c r="C9" s="61" t="n"/>
      <c r="D9" s="61" t="n"/>
      <c r="E9" s="61" t="n"/>
      <c r="F9" s="61" t="n"/>
      <c r="G9" s="61" t="n"/>
      <c r="H9" s="61" t="n"/>
      <c r="I9" s="61" t="n"/>
      <c r="J9" s="61" t="n"/>
      <c r="K9" s="61" t="n"/>
      <c r="L9" s="62">
        <f>IF((COUNT(E9)+COUNT(F9)+COUNT(G9)+COUNT(H9)+COUNT(I9)+COUNT(J9)+COUNT(K9))=0,"",IFERROR(E9/5*0.3,0)+IFERROR(F9/5*0.2,0)+IFERROR(G9/5*0.15,0)+IFERROR(H9/5*0.15,0)+IFERROR(I9/5*0.1,0)+IFERROR(J9/5*0.05,0)+IFERROR(K9/5*0.05,0))</f>
        <v/>
      </c>
      <c r="M9" s="132">
        <f>IF(L9="","",IF(L9&gt;=0.85,"Meets/Exceeds",IF(L9&gt;=0.70,"Developing","Needs Improv.")))</f>
        <v/>
      </c>
      <c r="N9" s="12" t="n"/>
      <c r="O9" s="132" t="n"/>
      <c r="P9" s="132" t="n"/>
    </row>
    <row r="10" ht="40" customHeight="1">
      <c r="A10" s="61" t="n"/>
      <c r="B10" s="61" t="n"/>
      <c r="C10" s="61" t="n"/>
      <c r="D10" s="61" t="n"/>
      <c r="E10" s="61" t="n"/>
      <c r="F10" s="61" t="n"/>
      <c r="G10" s="61" t="n"/>
      <c r="H10" s="61" t="n"/>
      <c r="I10" s="61" t="n"/>
      <c r="J10" s="61" t="n"/>
      <c r="K10" s="61" t="n"/>
      <c r="L10" s="63">
        <f>IF((COUNT(E10)+COUNT(F10)+COUNT(G10)+COUNT(H10)+COUNT(I10)+COUNT(J10)+COUNT(K10))=0,"",IFERROR(E10/5*0.3,0)+IFERROR(F10/5*0.2,0)+IFERROR(G10/5*0.15,0)+IFERROR(H10/5*0.15,0)+IFERROR(I10/5*0.1,0)+IFERROR(J10/5*0.05,0)+IFERROR(K10/5*0.05,0))</f>
        <v/>
      </c>
      <c r="M10" s="131">
        <f>IF(L10="","",IF(L10&gt;=0.85,"Meets/Exceeds",IF(L10&gt;=0.70,"Developing","Needs Improv.")))</f>
        <v/>
      </c>
      <c r="N10" s="14" t="n"/>
      <c r="O10" s="131" t="n"/>
      <c r="P10" s="131" t="n"/>
    </row>
    <row r="11" ht="40" customHeight="1">
      <c r="A11" s="61" t="n"/>
      <c r="B11" s="61" t="n"/>
      <c r="C11" s="61" t="n"/>
      <c r="D11" s="61" t="n"/>
      <c r="E11" s="61" t="n"/>
      <c r="F11" s="61" t="n"/>
      <c r="G11" s="61" t="n"/>
      <c r="H11" s="61" t="n"/>
      <c r="I11" s="61" t="n"/>
      <c r="J11" s="61" t="n"/>
      <c r="K11" s="61" t="n"/>
      <c r="L11" s="62">
        <f>IF((COUNT(E11)+COUNT(F11)+COUNT(G11)+COUNT(H11)+COUNT(I11)+COUNT(J11)+COUNT(K11))=0,"",IFERROR(E11/5*0.3,0)+IFERROR(F11/5*0.2,0)+IFERROR(G11/5*0.15,0)+IFERROR(H11/5*0.15,0)+IFERROR(I11/5*0.1,0)+IFERROR(J11/5*0.05,0)+IFERROR(K11/5*0.05,0))</f>
        <v/>
      </c>
      <c r="M11" s="132">
        <f>IF(L11="","",IF(L11&gt;=0.85,"Meets/Exceeds",IF(L11&gt;=0.70,"Developing","Needs Improv.")))</f>
        <v/>
      </c>
      <c r="N11" s="12" t="n"/>
      <c r="O11" s="132" t="n"/>
      <c r="P11" s="132" t="n"/>
    </row>
    <row r="12" ht="40" customHeight="1">
      <c r="A12" s="61" t="n"/>
      <c r="B12" s="61" t="n"/>
      <c r="C12" s="61" t="n"/>
      <c r="D12" s="61" t="n"/>
      <c r="E12" s="61" t="n"/>
      <c r="F12" s="61" t="n"/>
      <c r="G12" s="61" t="n"/>
      <c r="H12" s="61" t="n"/>
      <c r="I12" s="61" t="n"/>
      <c r="J12" s="61" t="n"/>
      <c r="K12" s="61" t="n"/>
      <c r="L12" s="63">
        <f>IF((COUNT(E12)+COUNT(F12)+COUNT(G12)+COUNT(H12)+COUNT(I12)+COUNT(J12)+COUNT(K12))=0,"",IFERROR(E12/5*0.3,0)+IFERROR(F12/5*0.2,0)+IFERROR(G12/5*0.15,0)+IFERROR(H12/5*0.15,0)+IFERROR(I12/5*0.1,0)+IFERROR(J12/5*0.05,0)+IFERROR(K12/5*0.05,0))</f>
        <v/>
      </c>
      <c r="M12" s="131">
        <f>IF(L12="","",IF(L12&gt;=0.85,"Meets/Exceeds",IF(L12&gt;=0.70,"Developing","Needs Improv.")))</f>
        <v/>
      </c>
      <c r="N12" s="14" t="n"/>
      <c r="O12" s="131" t="n"/>
      <c r="P12" s="131" t="n"/>
    </row>
    <row r="13" ht="40" customHeight="1">
      <c r="A13" s="61" t="n"/>
      <c r="B13" s="61" t="n"/>
      <c r="C13" s="61" t="n"/>
      <c r="D13" s="61" t="n"/>
      <c r="E13" s="61" t="n"/>
      <c r="F13" s="61" t="n"/>
      <c r="G13" s="61" t="n"/>
      <c r="H13" s="61" t="n"/>
      <c r="I13" s="61" t="n"/>
      <c r="J13" s="61" t="n"/>
      <c r="K13" s="61" t="n"/>
      <c r="L13" s="62">
        <f>IF((COUNT(E13)+COUNT(F13)+COUNT(G13)+COUNT(H13)+COUNT(I13)+COUNT(J13)+COUNT(K13))=0,"",IFERROR(E13/5*0.3,0)+IFERROR(F13/5*0.2,0)+IFERROR(G13/5*0.15,0)+IFERROR(H13/5*0.15,0)+IFERROR(I13/5*0.1,0)+IFERROR(J13/5*0.05,0)+IFERROR(K13/5*0.05,0))</f>
        <v/>
      </c>
      <c r="M13" s="132">
        <f>IF(L13="","",IF(L13&gt;=0.85,"Meets/Exceeds",IF(L13&gt;=0.70,"Developing","Needs Improv.")))</f>
        <v/>
      </c>
      <c r="N13" s="12" t="n"/>
      <c r="O13" s="132" t="n"/>
      <c r="P13" s="132" t="n"/>
    </row>
    <row r="14" ht="40" customHeight="1">
      <c r="A14" s="61" t="n"/>
      <c r="B14" s="61" t="n"/>
      <c r="C14" s="61" t="n"/>
      <c r="D14" s="61" t="n"/>
      <c r="E14" s="61" t="n"/>
      <c r="F14" s="61" t="n"/>
      <c r="G14" s="61" t="n"/>
      <c r="H14" s="61" t="n"/>
      <c r="I14" s="61" t="n"/>
      <c r="J14" s="61" t="n"/>
      <c r="K14" s="61" t="n"/>
      <c r="L14" s="63">
        <f>IF((COUNT(E14)+COUNT(F14)+COUNT(G14)+COUNT(H14)+COUNT(I14)+COUNT(J14)+COUNT(K14))=0,"",IFERROR(E14/5*0.3,0)+IFERROR(F14/5*0.2,0)+IFERROR(G14/5*0.15,0)+IFERROR(H14/5*0.15,0)+IFERROR(I14/5*0.1,0)+IFERROR(J14/5*0.05,0)+IFERROR(K14/5*0.05,0))</f>
        <v/>
      </c>
      <c r="M14" s="131">
        <f>IF(L14="","",IF(L14&gt;=0.85,"Meets/Exceeds",IF(L14&gt;=0.70,"Developing","Needs Improv.")))</f>
        <v/>
      </c>
      <c r="N14" s="14" t="n"/>
      <c r="O14" s="131" t="n"/>
      <c r="P14" s="131" t="n"/>
    </row>
    <row r="15" ht="40" customHeight="1">
      <c r="A15" s="61" t="n"/>
      <c r="B15" s="61" t="n"/>
      <c r="C15" s="61" t="n"/>
      <c r="D15" s="61" t="n"/>
      <c r="E15" s="61" t="n"/>
      <c r="F15" s="61" t="n"/>
      <c r="G15" s="61" t="n"/>
      <c r="H15" s="61" t="n"/>
      <c r="I15" s="61" t="n"/>
      <c r="J15" s="61" t="n"/>
      <c r="K15" s="61" t="n"/>
      <c r="L15" s="62">
        <f>IF((COUNT(E15)+COUNT(F15)+COUNT(G15)+COUNT(H15)+COUNT(I15)+COUNT(J15)+COUNT(K15))=0,"",IFERROR(E15/5*0.3,0)+IFERROR(F15/5*0.2,0)+IFERROR(G15/5*0.15,0)+IFERROR(H15/5*0.15,0)+IFERROR(I15/5*0.1,0)+IFERROR(J15/5*0.05,0)+IFERROR(K15/5*0.05,0))</f>
        <v/>
      </c>
      <c r="M15" s="132">
        <f>IF(L15="","",IF(L15&gt;=0.85,"Meets/Exceeds",IF(L15&gt;=0.70,"Developing","Needs Improv.")))</f>
        <v/>
      </c>
      <c r="N15" s="12" t="n"/>
      <c r="O15" s="132" t="n"/>
      <c r="P15" s="132" t="n"/>
    </row>
    <row r="16" ht="40" customHeight="1">
      <c r="A16" s="61" t="n"/>
      <c r="B16" s="61" t="n"/>
      <c r="C16" s="61" t="n"/>
      <c r="D16" s="61" t="n"/>
      <c r="E16" s="61" t="n"/>
      <c r="F16" s="61" t="n"/>
      <c r="G16" s="61" t="n"/>
      <c r="H16" s="61" t="n"/>
      <c r="I16" s="61" t="n"/>
      <c r="J16" s="61" t="n"/>
      <c r="K16" s="61" t="n"/>
      <c r="L16" s="63">
        <f>IF((COUNT(E16)+COUNT(F16)+COUNT(G16)+COUNT(H16)+COUNT(I16)+COUNT(J16)+COUNT(K16))=0,"",IFERROR(E16/5*0.3,0)+IFERROR(F16/5*0.2,0)+IFERROR(G16/5*0.15,0)+IFERROR(H16/5*0.15,0)+IFERROR(I16/5*0.1,0)+IFERROR(J16/5*0.05,0)+IFERROR(K16/5*0.05,0))</f>
        <v/>
      </c>
      <c r="M16" s="131">
        <f>IF(L16="","",IF(L16&gt;=0.85,"Meets/Exceeds",IF(L16&gt;=0.70,"Developing","Needs Improv.")))</f>
        <v/>
      </c>
      <c r="N16" s="14" t="n"/>
      <c r="O16" s="131" t="n"/>
      <c r="P16" s="131" t="n"/>
    </row>
    <row r="17" ht="40" customHeight="1">
      <c r="A17" s="61" t="n"/>
      <c r="B17" s="61" t="n"/>
      <c r="C17" s="61" t="n"/>
      <c r="D17" s="61" t="n"/>
      <c r="E17" s="61" t="n"/>
      <c r="F17" s="61" t="n"/>
      <c r="G17" s="61" t="n"/>
      <c r="H17" s="61" t="n"/>
      <c r="I17" s="61" t="n"/>
      <c r="J17" s="61" t="n"/>
      <c r="K17" s="61" t="n"/>
      <c r="L17" s="62">
        <f>IF((COUNT(E17)+COUNT(F17)+COUNT(G17)+COUNT(H17)+COUNT(I17)+COUNT(J17)+COUNT(K17))=0,"",IFERROR(E17/5*0.3,0)+IFERROR(F17/5*0.2,0)+IFERROR(G17/5*0.15,0)+IFERROR(H17/5*0.15,0)+IFERROR(I17/5*0.1,0)+IFERROR(J17/5*0.05,0)+IFERROR(K17/5*0.05,0))</f>
        <v/>
      </c>
      <c r="M17" s="132">
        <f>IF(L17="","",IF(L17&gt;=0.85,"Meets/Exceeds",IF(L17&gt;=0.70,"Developing","Needs Improv.")))</f>
        <v/>
      </c>
      <c r="N17" s="12" t="n"/>
      <c r="O17" s="132" t="n"/>
      <c r="P17" s="132" t="n"/>
    </row>
    <row r="18">
      <c r="A18" s="61" t="inlineStr"/>
      <c r="B18" s="61" t="inlineStr"/>
      <c r="C18" s="61" t="inlineStr"/>
      <c r="D18" s="61" t="inlineStr"/>
      <c r="E18" s="61" t="n"/>
      <c r="F18" s="61" t="n"/>
      <c r="G18" s="61" t="n"/>
      <c r="H18" s="61" t="n"/>
      <c r="I18" s="61" t="n"/>
      <c r="J18" s="61" t="n"/>
      <c r="K18" s="61" t="n"/>
      <c r="L18" s="63">
        <f>IF((COUNT(E18)+COUNT(F18)+COUNT(G18)+COUNT(H18)+COUNT(I18)+COUNT(J18)+COUNT(K18))=0,"",IFERROR(E18/5*0.3,0)+IFERROR(F18/5*0.2,0)+IFERROR(G18/5*0.15,0)+IFERROR(H18/5*0.15,0)+IFERROR(I18/5*0.1,0)+IFERROR(J18/5*0.05,0)+IFERROR(K18/5*0.05,0))</f>
        <v/>
      </c>
      <c r="M18" s="131">
        <f>IF(L18="","",IF(L18&gt;=0.85,"Meets/Exceeds",IF(L18&gt;=0.70,"Developing","Needs Improv.")))</f>
        <v/>
      </c>
      <c r="N18" s="14" t="inlineStr"/>
      <c r="O18" s="131" t="inlineStr"/>
      <c r="P18" s="131" t="inlineStr"/>
    </row>
    <row r="19">
      <c r="A19" s="61" t="inlineStr"/>
      <c r="B19" s="61" t="inlineStr"/>
      <c r="C19" s="61" t="inlineStr"/>
      <c r="D19" s="61" t="inlineStr"/>
      <c r="E19" s="61" t="n"/>
      <c r="F19" s="61" t="n"/>
      <c r="G19" s="61" t="n"/>
      <c r="H19" s="61" t="n"/>
      <c r="I19" s="61" t="n"/>
      <c r="J19" s="61" t="n"/>
      <c r="K19" s="61" t="n"/>
      <c r="L19" s="62">
        <f>IF((COUNT(E19)+COUNT(F19)+COUNT(G19)+COUNT(H19)+COUNT(I19)+COUNT(J19)+COUNT(K19))=0,"",IFERROR(E19/5*0.3,0)+IFERROR(F19/5*0.2,0)+IFERROR(G19/5*0.15,0)+IFERROR(H19/5*0.15,0)+IFERROR(I19/5*0.1,0)+IFERROR(J19/5*0.05,0)+IFERROR(K19/5*0.05,0))</f>
        <v/>
      </c>
      <c r="M19" s="132">
        <f>IF(L19="","",IF(L19&gt;=0.85,"Meets/Exceeds",IF(L19&gt;=0.70,"Developing","Needs Improv.")))</f>
        <v/>
      </c>
      <c r="N19" s="12" t="inlineStr"/>
      <c r="O19" s="132" t="inlineStr"/>
      <c r="P19" s="132" t="inlineStr"/>
    </row>
    <row r="20">
      <c r="A20" s="61" t="inlineStr"/>
      <c r="B20" s="61" t="inlineStr"/>
      <c r="C20" s="61" t="inlineStr"/>
      <c r="D20" s="61" t="inlineStr"/>
      <c r="E20" s="61" t="n"/>
      <c r="F20" s="61" t="n"/>
      <c r="G20" s="61" t="n"/>
      <c r="H20" s="61" t="n"/>
      <c r="I20" s="61" t="n"/>
      <c r="J20" s="61" t="n"/>
      <c r="K20" s="61" t="n"/>
      <c r="L20" s="63">
        <f>IF((COUNT(E20)+COUNT(F20)+COUNT(G20)+COUNT(H20)+COUNT(I20)+COUNT(J20)+COUNT(K20))=0,"",IFERROR(E20/5*0.3,0)+IFERROR(F20/5*0.2,0)+IFERROR(G20/5*0.15,0)+IFERROR(H20/5*0.15,0)+IFERROR(I20/5*0.1,0)+IFERROR(J20/5*0.05,0)+IFERROR(K20/5*0.05,0))</f>
        <v/>
      </c>
      <c r="M20" s="131">
        <f>IF(L20="","",IF(L20&gt;=0.85,"Meets/Exceeds",IF(L20&gt;=0.70,"Developing","Needs Improv.")))</f>
        <v/>
      </c>
      <c r="N20" s="14" t="inlineStr"/>
      <c r="O20" s="131" t="inlineStr"/>
      <c r="P20" s="131" t="inlineStr"/>
    </row>
    <row r="21">
      <c r="A21" s="61" t="inlineStr"/>
      <c r="B21" s="61" t="inlineStr"/>
      <c r="C21" s="61" t="inlineStr"/>
      <c r="D21" s="61" t="inlineStr"/>
      <c r="E21" s="61" t="n"/>
      <c r="F21" s="61" t="n"/>
      <c r="G21" s="61" t="n"/>
      <c r="H21" s="61" t="n"/>
      <c r="I21" s="61" t="n"/>
      <c r="J21" s="61" t="n"/>
      <c r="K21" s="61" t="n"/>
      <c r="L21" s="62">
        <f>IF((COUNT(E21)+COUNT(F21)+COUNT(G21)+COUNT(H21)+COUNT(I21)+COUNT(J21)+COUNT(K21))=0,"",IFERROR(E21/5*0.3,0)+IFERROR(F21/5*0.2,0)+IFERROR(G21/5*0.15,0)+IFERROR(H21/5*0.15,0)+IFERROR(I21/5*0.1,0)+IFERROR(J21/5*0.05,0)+IFERROR(K21/5*0.05,0))</f>
        <v/>
      </c>
      <c r="M21" s="132">
        <f>IF(L21="","",IF(L21&gt;=0.85,"Meets/Exceeds",IF(L21&gt;=0.70,"Developing","Needs Improv.")))</f>
        <v/>
      </c>
      <c r="N21" s="12" t="inlineStr"/>
      <c r="O21" s="132" t="inlineStr"/>
      <c r="P21" s="132" t="inlineStr"/>
    </row>
    <row r="22">
      <c r="A22" s="61" t="inlineStr"/>
      <c r="B22" s="61" t="inlineStr"/>
      <c r="C22" s="61" t="inlineStr"/>
      <c r="D22" s="61" t="inlineStr"/>
      <c r="E22" s="61" t="n"/>
      <c r="F22" s="61" t="n"/>
      <c r="G22" s="61" t="n"/>
      <c r="H22" s="61" t="n"/>
      <c r="I22" s="61" t="n"/>
      <c r="J22" s="61" t="n"/>
      <c r="K22" s="61" t="n"/>
      <c r="L22" s="63">
        <f>IF((COUNT(E22)+COUNT(F22)+COUNT(G22)+COUNT(H22)+COUNT(I22)+COUNT(J22)+COUNT(K22))=0,"",IFERROR(E22/5*0.3,0)+IFERROR(F22/5*0.2,0)+IFERROR(G22/5*0.15,0)+IFERROR(H22/5*0.15,0)+IFERROR(I22/5*0.1,0)+IFERROR(J22/5*0.05,0)+IFERROR(K22/5*0.05,0))</f>
        <v/>
      </c>
      <c r="M22" s="131">
        <f>IF(L22="","",IF(L22&gt;=0.85,"Meets/Exceeds",IF(L22&gt;=0.70,"Developing","Needs Improv.")))</f>
        <v/>
      </c>
      <c r="N22" s="14" t="inlineStr"/>
      <c r="O22" s="131" t="inlineStr"/>
      <c r="P22" s="131" t="inlineStr"/>
    </row>
    <row r="23">
      <c r="A23" s="61" t="inlineStr"/>
      <c r="B23" s="61" t="inlineStr"/>
      <c r="C23" s="61" t="inlineStr"/>
      <c r="D23" s="61" t="inlineStr"/>
      <c r="E23" s="61" t="n"/>
      <c r="F23" s="61" t="n"/>
      <c r="G23" s="61" t="n"/>
      <c r="H23" s="61" t="n"/>
      <c r="I23" s="61" t="n"/>
      <c r="J23" s="61" t="n"/>
      <c r="K23" s="61" t="n"/>
      <c r="L23" s="62">
        <f>IF((COUNT(E23)+COUNT(F23)+COUNT(G23)+COUNT(H23)+COUNT(I23)+COUNT(J23)+COUNT(K23))=0,"",IFERROR(E23/5*0.3,0)+IFERROR(F23/5*0.2,0)+IFERROR(G23/5*0.15,0)+IFERROR(H23/5*0.15,0)+IFERROR(I23/5*0.1,0)+IFERROR(J23/5*0.05,0)+IFERROR(K23/5*0.05,0))</f>
        <v/>
      </c>
      <c r="M23" s="132">
        <f>IF(L23="","",IF(L23&gt;=0.85,"Meets/Exceeds",IF(L23&gt;=0.70,"Developing","Needs Improv.")))</f>
        <v/>
      </c>
      <c r="N23" s="12" t="inlineStr"/>
      <c r="O23" s="132" t="inlineStr"/>
      <c r="P23" s="132" t="inlineStr"/>
    </row>
    <row r="24">
      <c r="A24" s="61" t="inlineStr"/>
      <c r="B24" s="61" t="inlineStr"/>
      <c r="C24" s="61" t="inlineStr"/>
      <c r="D24" s="61" t="inlineStr"/>
      <c r="E24" s="61" t="n"/>
      <c r="F24" s="61" t="n"/>
      <c r="G24" s="61" t="n"/>
      <c r="H24" s="61" t="n"/>
      <c r="I24" s="61" t="n"/>
      <c r="J24" s="61" t="n"/>
      <c r="K24" s="61" t="n"/>
      <c r="L24" s="63">
        <f>IF((COUNT(E24)+COUNT(F24)+COUNT(G24)+COUNT(H24)+COUNT(I24)+COUNT(J24)+COUNT(K24))=0,"",IFERROR(E24/5*0.3,0)+IFERROR(F24/5*0.2,0)+IFERROR(G24/5*0.15,0)+IFERROR(H24/5*0.15,0)+IFERROR(I24/5*0.1,0)+IFERROR(J24/5*0.05,0)+IFERROR(K24/5*0.05,0))</f>
        <v/>
      </c>
      <c r="M24" s="131">
        <f>IF(L24="","",IF(L24&gt;=0.85,"Meets/Exceeds",IF(L24&gt;=0.70,"Developing","Needs Improv.")))</f>
        <v/>
      </c>
      <c r="N24" s="14" t="inlineStr"/>
      <c r="O24" s="131" t="inlineStr"/>
      <c r="P24" s="131" t="inlineStr"/>
    </row>
    <row r="25">
      <c r="A25" s="61" t="inlineStr"/>
      <c r="B25" s="61" t="inlineStr"/>
      <c r="C25" s="61" t="inlineStr"/>
      <c r="D25" s="61" t="inlineStr"/>
      <c r="E25" s="61" t="n"/>
      <c r="F25" s="61" t="n"/>
      <c r="G25" s="61" t="n"/>
      <c r="H25" s="61" t="n"/>
      <c r="I25" s="61" t="n"/>
      <c r="J25" s="61" t="n"/>
      <c r="K25" s="61" t="n"/>
      <c r="L25" s="62">
        <f>IF((COUNT(E25)+COUNT(F25)+COUNT(G25)+COUNT(H25)+COUNT(I25)+COUNT(J25)+COUNT(K25))=0,"",IFERROR(E25/5*0.3,0)+IFERROR(F25/5*0.2,0)+IFERROR(G25/5*0.15,0)+IFERROR(H25/5*0.15,0)+IFERROR(I25/5*0.1,0)+IFERROR(J25/5*0.05,0)+IFERROR(K25/5*0.05,0))</f>
        <v/>
      </c>
      <c r="M25" s="132">
        <f>IF(L25="","",IF(L25&gt;=0.85,"Meets/Exceeds",IF(L25&gt;=0.70,"Developing","Needs Improv.")))</f>
        <v/>
      </c>
      <c r="N25" s="12" t="inlineStr"/>
      <c r="O25" s="132" t="inlineStr"/>
      <c r="P25" s="132" t="inlineStr"/>
    </row>
    <row r="26">
      <c r="A26" s="61" t="inlineStr"/>
      <c r="B26" s="61" t="inlineStr"/>
      <c r="C26" s="61" t="inlineStr"/>
      <c r="D26" s="61" t="inlineStr"/>
      <c r="E26" s="61" t="n"/>
      <c r="F26" s="61" t="n"/>
      <c r="G26" s="61" t="n"/>
      <c r="H26" s="61" t="n"/>
      <c r="I26" s="61" t="n"/>
      <c r="J26" s="61" t="n"/>
      <c r="K26" s="61" t="n"/>
      <c r="L26" s="63">
        <f>IF((COUNT(E26)+COUNT(F26)+COUNT(G26)+COUNT(H26)+COUNT(I26)+COUNT(J26)+COUNT(K26))=0,"",IFERROR(E26/5*0.3,0)+IFERROR(F26/5*0.2,0)+IFERROR(G26/5*0.15,0)+IFERROR(H26/5*0.15,0)+IFERROR(I26/5*0.1,0)+IFERROR(J26/5*0.05,0)+IFERROR(K26/5*0.05,0))</f>
        <v/>
      </c>
      <c r="M26" s="131">
        <f>IF(L26="","",IF(L26&gt;=0.85,"Meets/Exceeds",IF(L26&gt;=0.70,"Developing","Needs Improv.")))</f>
        <v/>
      </c>
      <c r="N26" s="14" t="inlineStr"/>
      <c r="O26" s="131" t="inlineStr"/>
      <c r="P26" s="131" t="inlineStr"/>
    </row>
    <row r="27">
      <c r="A27" s="61" t="inlineStr"/>
      <c r="B27" s="61" t="inlineStr"/>
      <c r="C27" s="61" t="inlineStr"/>
      <c r="D27" s="61" t="inlineStr"/>
      <c r="E27" s="61" t="n"/>
      <c r="F27" s="61" t="n"/>
      <c r="G27" s="61" t="n"/>
      <c r="H27" s="61" t="n"/>
      <c r="I27" s="61" t="n"/>
      <c r="J27" s="61" t="n"/>
      <c r="K27" s="61" t="n"/>
      <c r="L27" s="62">
        <f>IF((COUNT(E27)+COUNT(F27)+COUNT(G27)+COUNT(H27)+COUNT(I27)+COUNT(J27)+COUNT(K27))=0,"",IFERROR(E27/5*0.3,0)+IFERROR(F27/5*0.2,0)+IFERROR(G27/5*0.15,0)+IFERROR(H27/5*0.15,0)+IFERROR(I27/5*0.1,0)+IFERROR(J27/5*0.05,0)+IFERROR(K27/5*0.05,0))</f>
        <v/>
      </c>
      <c r="M27" s="132">
        <f>IF(L27="","",IF(L27&gt;=0.85,"Meets/Exceeds",IF(L27&gt;=0.70,"Developing","Needs Improv.")))</f>
        <v/>
      </c>
      <c r="N27" s="12" t="inlineStr"/>
      <c r="O27" s="132" t="inlineStr"/>
      <c r="P27" s="132" t="inlineStr"/>
    </row>
    <row r="28">
      <c r="A28" s="61" t="inlineStr"/>
      <c r="B28" s="61" t="inlineStr"/>
      <c r="C28" s="61" t="inlineStr"/>
      <c r="D28" s="61" t="inlineStr"/>
      <c r="E28" s="61" t="n"/>
      <c r="F28" s="61" t="n"/>
      <c r="G28" s="61" t="n"/>
      <c r="H28" s="61" t="n"/>
      <c r="I28" s="61" t="n"/>
      <c r="J28" s="61" t="n"/>
      <c r="K28" s="61" t="n"/>
      <c r="L28" s="63">
        <f>IF((COUNT(E28)+COUNT(F28)+COUNT(G28)+COUNT(H28)+COUNT(I28)+COUNT(J28)+COUNT(K28))=0,"",IFERROR(E28/5*0.3,0)+IFERROR(F28/5*0.2,0)+IFERROR(G28/5*0.15,0)+IFERROR(H28/5*0.15,0)+IFERROR(I28/5*0.1,0)+IFERROR(J28/5*0.05,0)+IFERROR(K28/5*0.05,0))</f>
        <v/>
      </c>
      <c r="M28" s="131">
        <f>IF(L28="","",IF(L28&gt;=0.85,"Meets/Exceeds",IF(L28&gt;=0.70,"Developing","Needs Improv.")))</f>
        <v/>
      </c>
      <c r="N28" s="14" t="inlineStr"/>
      <c r="O28" s="131" t="inlineStr"/>
      <c r="P28" s="131" t="inlineStr"/>
    </row>
    <row r="29">
      <c r="A29" s="61" t="inlineStr"/>
      <c r="B29" s="61" t="inlineStr"/>
      <c r="C29" s="61" t="inlineStr"/>
      <c r="D29" s="61" t="inlineStr"/>
      <c r="E29" s="61" t="n"/>
      <c r="F29" s="61" t="n"/>
      <c r="G29" s="61" t="n"/>
      <c r="H29" s="61" t="n"/>
      <c r="I29" s="61" t="n"/>
      <c r="J29" s="61" t="n"/>
      <c r="K29" s="61" t="n"/>
      <c r="L29" s="62">
        <f>IF((COUNT(E29)+COUNT(F29)+COUNT(G29)+COUNT(H29)+COUNT(I29)+COUNT(J29)+COUNT(K29))=0,"",IFERROR(E29/5*0.3,0)+IFERROR(F29/5*0.2,0)+IFERROR(G29/5*0.15,0)+IFERROR(H29/5*0.15,0)+IFERROR(I29/5*0.1,0)+IFERROR(J29/5*0.05,0)+IFERROR(K29/5*0.05,0))</f>
        <v/>
      </c>
      <c r="M29" s="132">
        <f>IF(L29="","",IF(L29&gt;=0.85,"Meets/Exceeds",IF(L29&gt;=0.70,"Developing","Needs Improv.")))</f>
        <v/>
      </c>
      <c r="N29" s="12" t="inlineStr"/>
      <c r="O29" s="132" t="inlineStr"/>
      <c r="P29" s="132" t="inlineStr"/>
    </row>
    <row r="30">
      <c r="A30" s="61" t="inlineStr"/>
      <c r="B30" s="61" t="inlineStr"/>
      <c r="C30" s="61" t="inlineStr"/>
      <c r="D30" s="61" t="inlineStr"/>
      <c r="E30" s="61" t="n"/>
      <c r="F30" s="61" t="n"/>
      <c r="G30" s="61" t="n"/>
      <c r="H30" s="61" t="n"/>
      <c r="I30" s="61" t="n"/>
      <c r="J30" s="61" t="n"/>
      <c r="K30" s="61" t="n"/>
      <c r="L30" s="63">
        <f>IF((COUNT(E30)+COUNT(F30)+COUNT(G30)+COUNT(H30)+COUNT(I30)+COUNT(J30)+COUNT(K30))=0,"",IFERROR(E30/5*0.3,0)+IFERROR(F30/5*0.2,0)+IFERROR(G30/5*0.15,0)+IFERROR(H30/5*0.15,0)+IFERROR(I30/5*0.1,0)+IFERROR(J30/5*0.05,0)+IFERROR(K30/5*0.05,0))</f>
        <v/>
      </c>
      <c r="M30" s="131">
        <f>IF(L30="","",IF(L30&gt;=0.85,"Meets/Exceeds",IF(L30&gt;=0.70,"Developing","Needs Improv.")))</f>
        <v/>
      </c>
      <c r="N30" s="14" t="inlineStr"/>
      <c r="O30" s="131" t="inlineStr"/>
      <c r="P30" s="131" t="inlineStr"/>
    </row>
    <row r="31">
      <c r="A31" s="61" t="inlineStr"/>
      <c r="B31" s="61" t="inlineStr"/>
      <c r="C31" s="61" t="inlineStr"/>
      <c r="D31" s="61" t="inlineStr"/>
      <c r="E31" s="61" t="n"/>
      <c r="F31" s="61" t="n"/>
      <c r="G31" s="61" t="n"/>
      <c r="H31" s="61" t="n"/>
      <c r="I31" s="61" t="n"/>
      <c r="J31" s="61" t="n"/>
      <c r="K31" s="61" t="n"/>
      <c r="L31" s="62">
        <f>IF((COUNT(E31)+COUNT(F31)+COUNT(G31)+COUNT(H31)+COUNT(I31)+COUNT(J31)+COUNT(K31))=0,"",IFERROR(E31/5*0.3,0)+IFERROR(F31/5*0.2,0)+IFERROR(G31/5*0.15,0)+IFERROR(H31/5*0.15,0)+IFERROR(I31/5*0.1,0)+IFERROR(J31/5*0.05,0)+IFERROR(K31/5*0.05,0))</f>
        <v/>
      </c>
      <c r="M31" s="132">
        <f>IF(L31="","",IF(L31&gt;=0.85,"Meets/Exceeds",IF(L31&gt;=0.70,"Developing","Needs Improv.")))</f>
        <v/>
      </c>
      <c r="N31" s="12" t="inlineStr"/>
      <c r="O31" s="132" t="inlineStr"/>
      <c r="P31" s="132" t="inlineStr"/>
    </row>
    <row r="32">
      <c r="A32" s="61" t="inlineStr"/>
      <c r="B32" s="61" t="inlineStr"/>
      <c r="C32" s="61" t="inlineStr"/>
      <c r="D32" s="61" t="inlineStr"/>
      <c r="E32" s="61" t="n"/>
      <c r="F32" s="61" t="n"/>
      <c r="G32" s="61" t="n"/>
      <c r="H32" s="61" t="n"/>
      <c r="I32" s="61" t="n"/>
      <c r="J32" s="61" t="n"/>
      <c r="K32" s="61" t="n"/>
      <c r="L32" s="63">
        <f>IF((COUNT(E32)+COUNT(F32)+COUNT(G32)+COUNT(H32)+COUNT(I32)+COUNT(J32)+COUNT(K32))=0,"",IFERROR(E32/5*0.3,0)+IFERROR(F32/5*0.2,0)+IFERROR(G32/5*0.15,0)+IFERROR(H32/5*0.15,0)+IFERROR(I32/5*0.1,0)+IFERROR(J32/5*0.05,0)+IFERROR(K32/5*0.05,0))</f>
        <v/>
      </c>
      <c r="M32" s="131">
        <f>IF(L32="","",IF(L32&gt;=0.85,"Meets/Exceeds",IF(L32&gt;=0.70,"Developing","Needs Improv.")))</f>
        <v/>
      </c>
      <c r="N32" s="14" t="inlineStr"/>
      <c r="O32" s="131" t="inlineStr"/>
      <c r="P32" s="131" t="inlineStr"/>
    </row>
    <row r="33">
      <c r="A33" s="61" t="inlineStr"/>
      <c r="B33" s="61" t="inlineStr"/>
      <c r="C33" s="61" t="inlineStr"/>
      <c r="D33" s="61" t="inlineStr"/>
      <c r="E33" s="61" t="n"/>
      <c r="F33" s="61" t="n"/>
      <c r="G33" s="61" t="n"/>
      <c r="H33" s="61" t="n"/>
      <c r="I33" s="61" t="n"/>
      <c r="J33" s="61" t="n"/>
      <c r="K33" s="61" t="n"/>
      <c r="L33" s="62">
        <f>IF((COUNT(E33)+COUNT(F33)+COUNT(G33)+COUNT(H33)+COUNT(I33)+COUNT(J33)+COUNT(K33))=0,"",IFERROR(E33/5*0.3,0)+IFERROR(F33/5*0.2,0)+IFERROR(G33/5*0.15,0)+IFERROR(H33/5*0.15,0)+IFERROR(I33/5*0.1,0)+IFERROR(J33/5*0.05,0)+IFERROR(K33/5*0.05,0))</f>
        <v/>
      </c>
      <c r="M33" s="132">
        <f>IF(L33="","",IF(L33&gt;=0.85,"Meets/Exceeds",IF(L33&gt;=0.70,"Developing","Needs Improv.")))</f>
        <v/>
      </c>
      <c r="N33" s="12" t="inlineStr"/>
      <c r="O33" s="132" t="inlineStr"/>
      <c r="P33" s="132" t="inlineStr"/>
    </row>
    <row r="34">
      <c r="A34" s="61" t="inlineStr"/>
      <c r="B34" s="61" t="inlineStr"/>
      <c r="C34" s="61" t="inlineStr"/>
      <c r="D34" s="61" t="inlineStr"/>
      <c r="E34" s="61" t="n"/>
      <c r="F34" s="61" t="n"/>
      <c r="G34" s="61" t="n"/>
      <c r="H34" s="61" t="n"/>
      <c r="I34" s="61" t="n"/>
      <c r="J34" s="61" t="n"/>
      <c r="K34" s="61" t="n"/>
      <c r="L34" s="63">
        <f>IF((COUNT(E34)+COUNT(F34)+COUNT(G34)+COUNT(H34)+COUNT(I34)+COUNT(J34)+COUNT(K34))=0,"",IFERROR(E34/5*0.3,0)+IFERROR(F34/5*0.2,0)+IFERROR(G34/5*0.15,0)+IFERROR(H34/5*0.15,0)+IFERROR(I34/5*0.1,0)+IFERROR(J34/5*0.05,0)+IFERROR(K34/5*0.05,0))</f>
        <v/>
      </c>
      <c r="M34" s="131">
        <f>IF(L34="","",IF(L34&gt;=0.85,"Meets/Exceeds",IF(L34&gt;=0.70,"Developing","Needs Improv.")))</f>
        <v/>
      </c>
      <c r="N34" s="14" t="inlineStr"/>
      <c r="O34" s="131" t="inlineStr"/>
      <c r="P34" s="131" t="inlineStr"/>
    </row>
    <row r="35">
      <c r="A35" s="61" t="inlineStr"/>
      <c r="B35" s="61" t="inlineStr"/>
      <c r="C35" s="61" t="inlineStr"/>
      <c r="D35" s="61" t="inlineStr"/>
      <c r="E35" s="61" t="n"/>
      <c r="F35" s="61" t="n"/>
      <c r="G35" s="61" t="n"/>
      <c r="H35" s="61" t="n"/>
      <c r="I35" s="61" t="n"/>
      <c r="J35" s="61" t="n"/>
      <c r="K35" s="61" t="n"/>
      <c r="L35" s="62">
        <f>IF((COUNT(E35)+COUNT(F35)+COUNT(G35)+COUNT(H35)+COUNT(I35)+COUNT(J35)+COUNT(K35))=0,"",IFERROR(E35/5*0.3,0)+IFERROR(F35/5*0.2,0)+IFERROR(G35/5*0.15,0)+IFERROR(H35/5*0.15,0)+IFERROR(I35/5*0.1,0)+IFERROR(J35/5*0.05,0)+IFERROR(K35/5*0.05,0))</f>
        <v/>
      </c>
      <c r="M35" s="132">
        <f>IF(L35="","",IF(L35&gt;=0.85,"Meets/Exceeds",IF(L35&gt;=0.70,"Developing","Needs Improv.")))</f>
        <v/>
      </c>
      <c r="N35" s="12" t="inlineStr"/>
      <c r="O35" s="132" t="inlineStr"/>
      <c r="P35" s="132" t="inlineStr"/>
    </row>
    <row r="36">
      <c r="A36" s="61" t="inlineStr"/>
      <c r="B36" s="61" t="inlineStr"/>
      <c r="C36" s="61" t="inlineStr"/>
      <c r="D36" s="61" t="inlineStr"/>
      <c r="E36" s="61" t="n"/>
      <c r="F36" s="61" t="n"/>
      <c r="G36" s="61" t="n"/>
      <c r="H36" s="61" t="n"/>
      <c r="I36" s="61" t="n"/>
      <c r="J36" s="61" t="n"/>
      <c r="K36" s="61" t="n"/>
      <c r="L36" s="63">
        <f>IF((COUNT(E36)+COUNT(F36)+COUNT(G36)+COUNT(H36)+COUNT(I36)+COUNT(J36)+COUNT(K36))=0,"",IFERROR(E36/5*0.3,0)+IFERROR(F36/5*0.2,0)+IFERROR(G36/5*0.15,0)+IFERROR(H36/5*0.15,0)+IFERROR(I36/5*0.1,0)+IFERROR(J36/5*0.05,0)+IFERROR(K36/5*0.05,0))</f>
        <v/>
      </c>
      <c r="M36" s="131">
        <f>IF(L36="","",IF(L36&gt;=0.85,"Meets/Exceeds",IF(L36&gt;=0.70,"Developing","Needs Improv.")))</f>
        <v/>
      </c>
      <c r="N36" s="14" t="inlineStr"/>
      <c r="O36" s="131" t="inlineStr"/>
      <c r="P36" s="131" t="inlineStr"/>
    </row>
    <row r="37">
      <c r="A37" s="61" t="inlineStr"/>
      <c r="B37" s="61" t="inlineStr"/>
      <c r="C37" s="61" t="inlineStr"/>
      <c r="D37" s="61" t="inlineStr"/>
      <c r="E37" s="61" t="n"/>
      <c r="F37" s="61" t="n"/>
      <c r="G37" s="61" t="n"/>
      <c r="H37" s="61" t="n"/>
      <c r="I37" s="61" t="n"/>
      <c r="J37" s="61" t="n"/>
      <c r="K37" s="61" t="n"/>
      <c r="L37" s="62">
        <f>IF((COUNT(E37)+COUNT(F37)+COUNT(G37)+COUNT(H37)+COUNT(I37)+COUNT(J37)+COUNT(K37))=0,"",IFERROR(E37/5*0.3,0)+IFERROR(F37/5*0.2,0)+IFERROR(G37/5*0.15,0)+IFERROR(H37/5*0.15,0)+IFERROR(I37/5*0.1,0)+IFERROR(J37/5*0.05,0)+IFERROR(K37/5*0.05,0))</f>
        <v/>
      </c>
      <c r="M37" s="132">
        <f>IF(L37="","",IF(L37&gt;=0.85,"Meets/Exceeds",IF(L37&gt;=0.70,"Developing","Needs Improv.")))</f>
        <v/>
      </c>
      <c r="N37" s="12" t="inlineStr"/>
      <c r="O37" s="132" t="inlineStr"/>
      <c r="P37" s="132" t="inlineStr"/>
    </row>
    <row r="38">
      <c r="A38" s="61" t="inlineStr"/>
      <c r="B38" s="61" t="inlineStr"/>
      <c r="C38" s="61" t="inlineStr"/>
      <c r="D38" s="61" t="inlineStr"/>
      <c r="E38" s="61" t="n"/>
      <c r="F38" s="61" t="n"/>
      <c r="G38" s="61" t="n"/>
      <c r="H38" s="61" t="n"/>
      <c r="I38" s="61" t="n"/>
      <c r="J38" s="61" t="n"/>
      <c r="K38" s="61" t="n"/>
      <c r="L38" s="63">
        <f>IF((COUNT(E38)+COUNT(F38)+COUNT(G38)+COUNT(H38)+COUNT(I38)+COUNT(J38)+COUNT(K38))=0,"",IFERROR(E38/5*0.3,0)+IFERROR(F38/5*0.2,0)+IFERROR(G38/5*0.15,0)+IFERROR(H38/5*0.15,0)+IFERROR(I38/5*0.1,0)+IFERROR(J38/5*0.05,0)+IFERROR(K38/5*0.05,0))</f>
        <v/>
      </c>
      <c r="M38" s="131">
        <f>IF(L38="","",IF(L38&gt;=0.85,"Meets/Exceeds",IF(L38&gt;=0.70,"Developing","Needs Improv.")))</f>
        <v/>
      </c>
      <c r="N38" s="14" t="inlineStr"/>
      <c r="O38" s="131" t="inlineStr"/>
      <c r="P38" s="131" t="inlineStr"/>
    </row>
    <row r="39">
      <c r="A39" s="61" t="inlineStr"/>
      <c r="B39" s="61" t="inlineStr"/>
      <c r="C39" s="61" t="inlineStr"/>
      <c r="D39" s="61" t="inlineStr"/>
      <c r="E39" s="61" t="n"/>
      <c r="F39" s="61" t="n"/>
      <c r="G39" s="61" t="n"/>
      <c r="H39" s="61" t="n"/>
      <c r="I39" s="61" t="n"/>
      <c r="J39" s="61" t="n"/>
      <c r="K39" s="61" t="n"/>
      <c r="L39" s="62">
        <f>IF((COUNT(E39)+COUNT(F39)+COUNT(G39)+COUNT(H39)+COUNT(I39)+COUNT(J39)+COUNT(K39))=0,"",IFERROR(E39/5*0.3,0)+IFERROR(F39/5*0.2,0)+IFERROR(G39/5*0.15,0)+IFERROR(H39/5*0.15,0)+IFERROR(I39/5*0.1,0)+IFERROR(J39/5*0.05,0)+IFERROR(K39/5*0.05,0))</f>
        <v/>
      </c>
      <c r="M39" s="132">
        <f>IF(L39="","",IF(L39&gt;=0.85,"Meets/Exceeds",IF(L39&gt;=0.70,"Developing","Needs Improv.")))</f>
        <v/>
      </c>
      <c r="N39" s="12" t="inlineStr"/>
      <c r="O39" s="132" t="inlineStr"/>
      <c r="P39" s="132" t="inlineStr"/>
    </row>
    <row r="40">
      <c r="A40" s="61" t="inlineStr"/>
      <c r="B40" s="61" t="inlineStr"/>
      <c r="C40" s="61" t="inlineStr"/>
      <c r="D40" s="61" t="inlineStr"/>
      <c r="E40" s="61" t="n"/>
      <c r="F40" s="61" t="n"/>
      <c r="G40" s="61" t="n"/>
      <c r="H40" s="61" t="n"/>
      <c r="I40" s="61" t="n"/>
      <c r="J40" s="61" t="n"/>
      <c r="K40" s="61" t="n"/>
      <c r="L40" s="63">
        <f>IF((COUNT(E40)+COUNT(F40)+COUNT(G40)+COUNT(H40)+COUNT(I40)+COUNT(J40)+COUNT(K40))=0,"",IFERROR(E40/5*0.3,0)+IFERROR(F40/5*0.2,0)+IFERROR(G40/5*0.15,0)+IFERROR(H40/5*0.15,0)+IFERROR(I40/5*0.1,0)+IFERROR(J40/5*0.05,0)+IFERROR(K40/5*0.05,0))</f>
        <v/>
      </c>
      <c r="M40" s="131">
        <f>IF(L40="","",IF(L40&gt;=0.85,"Meets/Exceeds",IF(L40&gt;=0.70,"Developing","Needs Improv.")))</f>
        <v/>
      </c>
      <c r="N40" s="14" t="inlineStr"/>
      <c r="O40" s="131" t="inlineStr"/>
      <c r="P40" s="131" t="inlineStr"/>
    </row>
    <row r="41">
      <c r="A41" s="61" t="inlineStr"/>
      <c r="B41" s="61" t="inlineStr"/>
      <c r="C41" s="61" t="inlineStr"/>
      <c r="D41" s="61" t="inlineStr"/>
      <c r="E41" s="61" t="n"/>
      <c r="F41" s="61" t="n"/>
      <c r="G41" s="61" t="n"/>
      <c r="H41" s="61" t="n"/>
      <c r="I41" s="61" t="n"/>
      <c r="J41" s="61" t="n"/>
      <c r="K41" s="61" t="n"/>
      <c r="L41" s="62">
        <f>IF((COUNT(E41)+COUNT(F41)+COUNT(G41)+COUNT(H41)+COUNT(I41)+COUNT(J41)+COUNT(K41))=0,"",IFERROR(E41/5*0.3,0)+IFERROR(F41/5*0.2,0)+IFERROR(G41/5*0.15,0)+IFERROR(H41/5*0.15,0)+IFERROR(I41/5*0.1,0)+IFERROR(J41/5*0.05,0)+IFERROR(K41/5*0.05,0))</f>
        <v/>
      </c>
      <c r="M41" s="132">
        <f>IF(L41="","",IF(L41&gt;=0.85,"Meets/Exceeds",IF(L41&gt;=0.70,"Developing","Needs Improv.")))</f>
        <v/>
      </c>
      <c r="N41" s="12" t="inlineStr"/>
      <c r="O41" s="132" t="inlineStr"/>
      <c r="P41" s="132" t="inlineStr"/>
    </row>
    <row r="42">
      <c r="A42" s="61" t="inlineStr"/>
      <c r="B42" s="61" t="inlineStr"/>
      <c r="C42" s="61" t="inlineStr"/>
      <c r="D42" s="61" t="inlineStr"/>
      <c r="E42" s="61" t="n"/>
      <c r="F42" s="61" t="n"/>
      <c r="G42" s="61" t="n"/>
      <c r="H42" s="61" t="n"/>
      <c r="I42" s="61" t="n"/>
      <c r="J42" s="61" t="n"/>
      <c r="K42" s="61" t="n"/>
      <c r="L42" s="63">
        <f>IF((COUNT(E42)+COUNT(F42)+COUNT(G42)+COUNT(H42)+COUNT(I42)+COUNT(J42)+COUNT(K42))=0,"",IFERROR(E42/5*0.3,0)+IFERROR(F42/5*0.2,0)+IFERROR(G42/5*0.15,0)+IFERROR(H42/5*0.15,0)+IFERROR(I42/5*0.1,0)+IFERROR(J42/5*0.05,0)+IFERROR(K42/5*0.05,0))</f>
        <v/>
      </c>
      <c r="M42" s="131">
        <f>IF(L42="","",IF(L42&gt;=0.85,"Meets/Exceeds",IF(L42&gt;=0.70,"Developing","Needs Improv.")))</f>
        <v/>
      </c>
      <c r="N42" s="14" t="inlineStr"/>
      <c r="O42" s="131" t="inlineStr"/>
      <c r="P42" s="131" t="inlineStr"/>
    </row>
    <row r="43">
      <c r="A43" s="61" t="inlineStr"/>
      <c r="B43" s="61" t="inlineStr"/>
      <c r="C43" s="61" t="inlineStr"/>
      <c r="D43" s="61" t="inlineStr"/>
      <c r="E43" s="61" t="n"/>
      <c r="F43" s="61" t="n"/>
      <c r="G43" s="61" t="n"/>
      <c r="H43" s="61" t="n"/>
      <c r="I43" s="61" t="n"/>
      <c r="J43" s="61" t="n"/>
      <c r="K43" s="61" t="n"/>
      <c r="L43" s="62">
        <f>IF((COUNT(E43)+COUNT(F43)+COUNT(G43)+COUNT(H43)+COUNT(I43)+COUNT(J43)+COUNT(K43))=0,"",IFERROR(E43/5*0.3,0)+IFERROR(F43/5*0.2,0)+IFERROR(G43/5*0.15,0)+IFERROR(H43/5*0.15,0)+IFERROR(I43/5*0.1,0)+IFERROR(J43/5*0.05,0)+IFERROR(K43/5*0.05,0))</f>
        <v/>
      </c>
      <c r="M43" s="132">
        <f>IF(L43="","",IF(L43&gt;=0.85,"Meets/Exceeds",IF(L43&gt;=0.70,"Developing","Needs Improv.")))</f>
        <v/>
      </c>
      <c r="N43" s="12" t="inlineStr"/>
      <c r="O43" s="132" t="inlineStr"/>
      <c r="P43" s="132" t="inlineStr"/>
    </row>
    <row r="44">
      <c r="A44" s="61" t="inlineStr"/>
      <c r="B44" s="61" t="inlineStr"/>
      <c r="C44" s="61" t="inlineStr"/>
      <c r="D44" s="61" t="inlineStr"/>
      <c r="E44" s="61" t="n"/>
      <c r="F44" s="61" t="n"/>
      <c r="G44" s="61" t="n"/>
      <c r="H44" s="61" t="n"/>
      <c r="I44" s="61" t="n"/>
      <c r="J44" s="61" t="n"/>
      <c r="K44" s="61" t="n"/>
      <c r="L44" s="63">
        <f>IF((COUNT(E44)+COUNT(F44)+COUNT(G44)+COUNT(H44)+COUNT(I44)+COUNT(J44)+COUNT(K44))=0,"",IFERROR(E44/5*0.3,0)+IFERROR(F44/5*0.2,0)+IFERROR(G44/5*0.15,0)+IFERROR(H44/5*0.15,0)+IFERROR(I44/5*0.1,0)+IFERROR(J44/5*0.05,0)+IFERROR(K44/5*0.05,0))</f>
        <v/>
      </c>
      <c r="M44" s="131">
        <f>IF(L44="","",IF(L44&gt;=0.85,"Meets/Exceeds",IF(L44&gt;=0.70,"Developing","Needs Improv.")))</f>
        <v/>
      </c>
      <c r="N44" s="14" t="inlineStr"/>
      <c r="O44" s="131" t="inlineStr"/>
      <c r="P44" s="131" t="inlineStr"/>
    </row>
    <row r="45">
      <c r="A45" s="61" t="inlineStr"/>
      <c r="B45" s="61" t="inlineStr"/>
      <c r="C45" s="61" t="inlineStr"/>
      <c r="D45" s="61" t="inlineStr"/>
      <c r="E45" s="61" t="n"/>
      <c r="F45" s="61" t="n"/>
      <c r="G45" s="61" t="n"/>
      <c r="H45" s="61" t="n"/>
      <c r="I45" s="61" t="n"/>
      <c r="J45" s="61" t="n"/>
      <c r="K45" s="61" t="n"/>
      <c r="L45" s="62">
        <f>IF((COUNT(E45)+COUNT(F45)+COUNT(G45)+COUNT(H45)+COUNT(I45)+COUNT(J45)+COUNT(K45))=0,"",IFERROR(E45/5*0.3,0)+IFERROR(F45/5*0.2,0)+IFERROR(G45/5*0.15,0)+IFERROR(H45/5*0.15,0)+IFERROR(I45/5*0.1,0)+IFERROR(J45/5*0.05,0)+IFERROR(K45/5*0.05,0))</f>
        <v/>
      </c>
      <c r="M45" s="132">
        <f>IF(L45="","",IF(L45&gt;=0.85,"Meets/Exceeds",IF(L45&gt;=0.70,"Developing","Needs Improv.")))</f>
        <v/>
      </c>
      <c r="N45" s="12" t="inlineStr"/>
      <c r="O45" s="132" t="inlineStr"/>
      <c r="P45" s="132" t="inlineStr"/>
    </row>
    <row r="46">
      <c r="A46" s="61" t="inlineStr"/>
      <c r="B46" s="61" t="inlineStr"/>
      <c r="C46" s="61" t="inlineStr"/>
      <c r="D46" s="61" t="inlineStr"/>
      <c r="E46" s="61" t="n"/>
      <c r="F46" s="61" t="n"/>
      <c r="G46" s="61" t="n"/>
      <c r="H46" s="61" t="n"/>
      <c r="I46" s="61" t="n"/>
      <c r="J46" s="61" t="n"/>
      <c r="K46" s="61" t="n"/>
      <c r="L46" s="63">
        <f>IF((COUNT(E46)+COUNT(F46)+COUNT(G46)+COUNT(H46)+COUNT(I46)+COUNT(J46)+COUNT(K46))=0,"",IFERROR(E46/5*0.3,0)+IFERROR(F46/5*0.2,0)+IFERROR(G46/5*0.15,0)+IFERROR(H46/5*0.15,0)+IFERROR(I46/5*0.1,0)+IFERROR(J46/5*0.05,0)+IFERROR(K46/5*0.05,0))</f>
        <v/>
      </c>
      <c r="M46" s="131">
        <f>IF(L46="","",IF(L46&gt;=0.85,"Meets/Exceeds",IF(L46&gt;=0.70,"Developing","Needs Improv.")))</f>
        <v/>
      </c>
      <c r="N46" s="14" t="inlineStr"/>
      <c r="O46" s="131" t="inlineStr"/>
      <c r="P46" s="131" t="inlineStr"/>
    </row>
    <row r="47">
      <c r="A47" s="61" t="inlineStr"/>
      <c r="B47" s="61" t="inlineStr"/>
      <c r="C47" s="61" t="inlineStr"/>
      <c r="D47" s="61" t="inlineStr"/>
      <c r="E47" s="61" t="n"/>
      <c r="F47" s="61" t="n"/>
      <c r="G47" s="61" t="n"/>
      <c r="H47" s="61" t="n"/>
      <c r="I47" s="61" t="n"/>
      <c r="J47" s="61" t="n"/>
      <c r="K47" s="61" t="n"/>
      <c r="L47" s="62">
        <f>IF((COUNT(E47)+COUNT(F47)+COUNT(G47)+COUNT(H47)+COUNT(I47)+COUNT(J47)+COUNT(K47))=0,"",IFERROR(E47/5*0.3,0)+IFERROR(F47/5*0.2,0)+IFERROR(G47/5*0.15,0)+IFERROR(H47/5*0.15,0)+IFERROR(I47/5*0.1,0)+IFERROR(J47/5*0.05,0)+IFERROR(K47/5*0.05,0))</f>
        <v/>
      </c>
      <c r="M47" s="132">
        <f>IF(L47="","",IF(L47&gt;=0.85,"Meets/Exceeds",IF(L47&gt;=0.70,"Developing","Needs Improv.")))</f>
        <v/>
      </c>
      <c r="N47" s="12" t="inlineStr"/>
      <c r="O47" s="132" t="inlineStr"/>
      <c r="P47" s="132" t="inlineStr"/>
    </row>
    <row r="48">
      <c r="A48" s="61" t="inlineStr"/>
      <c r="B48" s="61" t="inlineStr"/>
      <c r="C48" s="61" t="inlineStr"/>
      <c r="D48" s="61" t="inlineStr"/>
      <c r="E48" s="61" t="n"/>
      <c r="F48" s="61" t="n"/>
      <c r="G48" s="61" t="n"/>
      <c r="H48" s="61" t="n"/>
      <c r="I48" s="61" t="n"/>
      <c r="J48" s="61" t="n"/>
      <c r="K48" s="61" t="n"/>
      <c r="L48" s="63">
        <f>IF((COUNT(E48)+COUNT(F48)+COUNT(G48)+COUNT(H48)+COUNT(I48)+COUNT(J48)+COUNT(K48))=0,"",IFERROR(E48/5*0.3,0)+IFERROR(F48/5*0.2,0)+IFERROR(G48/5*0.15,0)+IFERROR(H48/5*0.15,0)+IFERROR(I48/5*0.1,0)+IFERROR(J48/5*0.05,0)+IFERROR(K48/5*0.05,0))</f>
        <v/>
      </c>
      <c r="M48" s="131">
        <f>IF(L48="","",IF(L48&gt;=0.85,"Meets/Exceeds",IF(L48&gt;=0.70,"Developing","Needs Improv.")))</f>
        <v/>
      </c>
      <c r="N48" s="14" t="inlineStr"/>
      <c r="O48" s="131" t="inlineStr"/>
      <c r="P48" s="131" t="inlineStr"/>
    </row>
    <row r="49">
      <c r="A49" s="61" t="inlineStr"/>
      <c r="B49" s="61" t="inlineStr"/>
      <c r="C49" s="61" t="inlineStr"/>
      <c r="D49" s="61" t="inlineStr"/>
      <c r="E49" s="61" t="n"/>
      <c r="F49" s="61" t="n"/>
      <c r="G49" s="61" t="n"/>
      <c r="H49" s="61" t="n"/>
      <c r="I49" s="61" t="n"/>
      <c r="J49" s="61" t="n"/>
      <c r="K49" s="61" t="n"/>
      <c r="L49" s="62">
        <f>IF((COUNT(E49)+COUNT(F49)+COUNT(G49)+COUNT(H49)+COUNT(I49)+COUNT(J49)+COUNT(K49))=0,"",IFERROR(E49/5*0.3,0)+IFERROR(F49/5*0.2,0)+IFERROR(G49/5*0.15,0)+IFERROR(H49/5*0.15,0)+IFERROR(I49/5*0.1,0)+IFERROR(J49/5*0.05,0)+IFERROR(K49/5*0.05,0))</f>
        <v/>
      </c>
      <c r="M49" s="132">
        <f>IF(L49="","",IF(L49&gt;=0.85,"Meets/Exceeds",IF(L49&gt;=0.70,"Developing","Needs Improv.")))</f>
        <v/>
      </c>
      <c r="N49" s="12" t="inlineStr"/>
      <c r="O49" s="132" t="inlineStr"/>
      <c r="P49" s="132" t="inlineStr"/>
    </row>
    <row r="51">
      <c r="A51" s="8" t="inlineStr">
        <is>
          <t>TEAM AVERAGE</t>
        </is>
      </c>
      <c r="B51" s="67" t="n"/>
      <c r="C51" s="67" t="n"/>
      <c r="D51" s="68" t="n"/>
      <c r="E51" s="64">
        <f>IFERROR(AVERAGE(E5:E49),"")</f>
        <v/>
      </c>
      <c r="F51" s="64">
        <f>IFERROR(AVERAGE(F5:F49),"")</f>
        <v/>
      </c>
      <c r="G51" s="64">
        <f>IFERROR(AVERAGE(G5:G49),"")</f>
        <v/>
      </c>
      <c r="H51" s="64">
        <f>IFERROR(AVERAGE(H5:H49),"")</f>
        <v/>
      </c>
      <c r="I51" s="64">
        <f>IFERROR(AVERAGE(I5:I49),"")</f>
        <v/>
      </c>
      <c r="J51" s="64">
        <f>IFERROR(AVERAGE(J5:J49),"")</f>
        <v/>
      </c>
      <c r="K51" s="64">
        <f>IFERROR(AVERAGE(K5:K49),"")</f>
        <v/>
      </c>
      <c r="L51" s="65">
        <f>IFERROR(AVERAGE(L5:L49),"")</f>
        <v/>
      </c>
      <c r="M51" s="34" t="inlineStr"/>
      <c r="N51" s="66" t="inlineStr">
        <is>
          <t>Average of logged touches</t>
        </is>
      </c>
    </row>
    <row r="53" ht="22" customHeight="1">
      <c r="A53" s="73" t="inlineStr">
        <is>
          <t>TEAM / JOURNEY SCORES — MULTI-TOUCH CASES</t>
        </is>
      </c>
      <c r="B53" s="67" t="n"/>
      <c r="C53" s="67" t="n"/>
      <c r="D53" s="67" t="n"/>
      <c r="E53" s="67" t="n"/>
      <c r="F53" s="67" t="n"/>
      <c r="G53" s="67" t="n"/>
      <c r="H53" s="67" t="n"/>
      <c r="I53" s="67" t="n"/>
      <c r="J53" s="67" t="n"/>
      <c r="K53" s="67" t="n"/>
      <c r="L53" s="67" t="n"/>
      <c r="M53" s="67" t="n"/>
      <c r="N53" s="67" t="n"/>
      <c r="O53" s="67" t="n"/>
      <c r="P53" s="68" t="n"/>
    </row>
    <row r="54" ht="32" customHeight="1">
      <c r="A54" s="74" t="inlineStr">
        <is>
          <t>Team Score = 50% × average touch weighted score  +  30% × (Journey Outcome ÷ 5)  +  20% × (Continuity &amp; Handoffs ÷ 5).  Outcome and Continuity are evaluator-judged 0-5 — anchors on the Multi-Touch Guide sheet. The Team Score rates the CHAIN; it feeds team coaching and recognition, never individual discipline.</t>
        </is>
      </c>
      <c r="B54" s="67" t="n"/>
      <c r="C54" s="67" t="n"/>
      <c r="D54" s="67" t="n"/>
      <c r="E54" s="67" t="n"/>
      <c r="F54" s="67" t="n"/>
      <c r="G54" s="67" t="n"/>
      <c r="H54" s="67" t="n"/>
      <c r="I54" s="67" t="n"/>
      <c r="J54" s="67" t="n"/>
      <c r="K54" s="67" t="n"/>
      <c r="L54" s="67" t="n"/>
      <c r="M54" s="67" t="n"/>
      <c r="N54" s="67" t="n"/>
      <c r="O54" s="67" t="n"/>
      <c r="P54" s="68" t="n"/>
    </row>
    <row r="55" ht="26" customHeight="1">
      <c r="A55" s="118" t="inlineStr">
        <is>
          <t>Journey / Case ID(s)</t>
        </is>
      </c>
      <c r="B55" s="68" t="n"/>
      <c r="C55" s="118" t="inlineStr">
        <is>
          <t>Touches</t>
        </is>
      </c>
      <c r="D55" s="60" t="inlineStr">
        <is>
          <t>Avg Touch %</t>
        </is>
      </c>
      <c r="E55" s="60" t="inlineStr">
        <is>
          <t>Outcome (0-5)</t>
        </is>
      </c>
      <c r="F55" s="60" t="inlineStr">
        <is>
          <t>Continuity (0-5)</t>
        </is>
      </c>
      <c r="G55" s="60" t="inlineStr">
        <is>
          <t>TEAM SCORE</t>
        </is>
      </c>
      <c r="H55" s="118" t="inlineStr">
        <is>
          <t>Band</t>
        </is>
      </c>
      <c r="I55" s="125" t="inlineStr">
        <is>
          <t>Journey notes (where the chain broke / recovered)</t>
        </is>
      </c>
      <c r="J55" s="67" t="n"/>
      <c r="K55" s="67" t="n"/>
      <c r="L55" s="67" t="n"/>
      <c r="M55" s="67" t="n"/>
      <c r="N55" s="68" t="n"/>
    </row>
    <row r="56" ht="48" customHeight="1">
      <c r="A56" s="76" t="inlineStr">
        <is>
          <t>TE00131695</t>
        </is>
      </c>
      <c r="B56" s="69" t="n"/>
      <c r="C56" s="131">
        <f>COUNT(L5:L7)</f>
        <v/>
      </c>
      <c r="D56" s="78">
        <f>AVERAGE(L5:L7)</f>
        <v/>
      </c>
      <c r="E56" s="79" t="n">
        <v>2</v>
      </c>
      <c r="F56" s="79" t="n">
        <v>3</v>
      </c>
      <c r="G56" s="80">
        <f>IF(D56="","",0.5*D56+0.3*(E56/5)+0.2*(F56/5))</f>
        <v/>
      </c>
      <c r="H56" s="131">
        <f>IF(G56="","",IF(G56&gt;=0.85,"Meets/Exceeds",IF(G56&gt;=0.70,"Developing","Needs Improv.")))</f>
        <v/>
      </c>
      <c r="I56" s="14" t="inlineStr">
        <is>
          <t>Outcome 2/5: issue unresolved (widespread local-UI fault, matches IR OLYMPUS-445); valid L2 escalation + 2 same-day callbacks + email, but customer unreachable; case shows premature RESOLVED. Continuity 3/5: handoff prompt and documented, but L1 passed a wrong 'server-side' framing and a warranty mistag. Chain broke on L1 diagnostic accuracy, held on L2 ownership.</t>
        </is>
      </c>
      <c r="J56" s="70" t="n"/>
      <c r="K56" s="70" t="n"/>
      <c r="L56" s="70" t="n"/>
      <c r="M56" s="70" t="n"/>
      <c r="N56" s="69" t="n"/>
    </row>
    <row r="57" ht="28" customHeight="1">
      <c r="A57" s="81" t="inlineStr"/>
      <c r="B57" s="69" t="n"/>
      <c r="C57" s="131">
        <f>IF(A57="","",COUNTIF(B5:B49,A57))</f>
        <v/>
      </c>
      <c r="D57" s="78">
        <f>IF(A57="","",IFERROR(AVERAGEIF(B5:B49,A57,L5:L49),""))</f>
        <v/>
      </c>
      <c r="E57" s="79" t="n"/>
      <c r="F57" s="79" t="n"/>
      <c r="G57" s="80">
        <f>IF(OR(A57="",D57="",E57="",F57=""),"",0.5*D57+0.3*(E57/5)+0.2*(F57/5))</f>
        <v/>
      </c>
      <c r="H57" s="131">
        <f>IF(G57="","",IF(G57&gt;=0.85,"Meets/Exceeds",IF(G57&gt;=0.70,"Developing","Needs Improv.")))</f>
        <v/>
      </c>
      <c r="I57" s="7" t="inlineStr"/>
      <c r="J57" s="70" t="n"/>
      <c r="K57" s="70" t="n"/>
      <c r="L57" s="70" t="n"/>
      <c r="M57" s="70" t="n"/>
      <c r="N57" s="69" t="n"/>
    </row>
    <row r="58" ht="28" customHeight="1">
      <c r="A58" s="81" t="inlineStr"/>
      <c r="B58" s="69" t="n"/>
      <c r="C58" s="132">
        <f>IF(A58="","",COUNTIF(B5:B49,A58))</f>
        <v/>
      </c>
      <c r="D58" s="83">
        <f>IF(A58="","",IFERROR(AVERAGEIF(B5:B49,A58,L5:L49),""))</f>
        <v/>
      </c>
      <c r="E58" s="79" t="n"/>
      <c r="F58" s="79" t="n"/>
      <c r="G58" s="84">
        <f>IF(OR(A58="",D58="",E58="",F58=""),"",0.5*D58+0.3*(E58/5)+0.2*(F58/5))</f>
        <v/>
      </c>
      <c r="H58" s="132">
        <f>IF(G58="","",IF(G58&gt;=0.85,"Meets/Exceeds",IF(G58&gt;=0.70,"Developing","Needs Improv.")))</f>
        <v/>
      </c>
      <c r="I58" s="7" t="inlineStr"/>
      <c r="J58" s="70" t="n"/>
      <c r="K58" s="70" t="n"/>
      <c r="L58" s="70" t="n"/>
      <c r="M58" s="70" t="n"/>
      <c r="N58" s="69" t="n"/>
    </row>
    <row r="59" ht="28" customHeight="1">
      <c r="A59" s="81" t="inlineStr"/>
      <c r="B59" s="69" t="n"/>
      <c r="C59" s="131">
        <f>IF(A59="","",COUNTIF(B5:B49,A59))</f>
        <v/>
      </c>
      <c r="D59" s="78">
        <f>IF(A59="","",IFERROR(AVERAGEIF(B5:B49,A59,L5:L49),""))</f>
        <v/>
      </c>
      <c r="E59" s="79" t="n"/>
      <c r="F59" s="79" t="n"/>
      <c r="G59" s="80">
        <f>IF(OR(A59="",D59="",E59="",F59=""),"",0.5*D59+0.3*(E59/5)+0.2*(F59/5))</f>
        <v/>
      </c>
      <c r="H59" s="131">
        <f>IF(G59="","",IF(G59&gt;=0.85,"Meets/Exceeds",IF(G59&gt;=0.70,"Developing","Needs Improv.")))</f>
        <v/>
      </c>
      <c r="I59" s="7" t="inlineStr"/>
      <c r="J59" s="70" t="n"/>
      <c r="K59" s="70" t="n"/>
      <c r="L59" s="70" t="n"/>
      <c r="M59" s="70" t="n"/>
      <c r="N59" s="69" t="n"/>
    </row>
    <row r="60" ht="28" customHeight="1">
      <c r="A60" s="15" t="inlineStr">
        <is>
          <t>Template rows: type a Case ID in the first column — Touches and Avg Touch % auto-fill from the log above, then judge Outcome and Continuity (0-5). For journeys spanning multiple Case IDs (like the pre-loaded one), enter the Avg Touch % formula over the journey's row range manually.</t>
        </is>
      </c>
      <c r="B60" s="70" t="n"/>
      <c r="C60" s="70" t="n"/>
      <c r="D60" s="70" t="n"/>
      <c r="E60" s="70" t="n"/>
      <c r="F60" s="70" t="n"/>
      <c r="G60" s="70" t="n"/>
      <c r="H60" s="70" t="n"/>
      <c r="I60" s="70" t="n"/>
      <c r="J60" s="70" t="n"/>
      <c r="K60" s="70" t="n"/>
      <c r="L60" s="70" t="n"/>
      <c r="M60" s="70" t="n"/>
      <c r="N60" s="69" t="n"/>
    </row>
  </sheetData>
  <mergeCells count="17">
    <mergeCell ref="I55:N55"/>
    <mergeCell ref="A59:B59"/>
    <mergeCell ref="I59:N59"/>
    <mergeCell ref="A1:P1"/>
    <mergeCell ref="A57:B57"/>
    <mergeCell ref="A56:B56"/>
    <mergeCell ref="A54:P54"/>
    <mergeCell ref="A53:P53"/>
    <mergeCell ref="I56:N56"/>
    <mergeCell ref="A60:N60"/>
    <mergeCell ref="A3:P3"/>
    <mergeCell ref="A51:D51"/>
    <mergeCell ref="I57:N57"/>
    <mergeCell ref="I58:N58"/>
    <mergeCell ref="A58:B58"/>
    <mergeCell ref="A55:B55"/>
    <mergeCell ref="A2:P2"/>
  </mergeCells>
  <conditionalFormatting sqref="L5:L49">
    <cfRule type="cellIs" priority="1" operator="greaterThanOrEqual" dxfId="0">
      <formula>0.85</formula>
    </cfRule>
    <cfRule type="cellIs" priority="2" operator="between" dxfId="1">
      <formula>0.70</formula>
      <formula>0.8499</formula>
    </cfRule>
    <cfRule type="cellIs" priority="3" operator="lessThan" dxfId="2">
      <formula>0.70</formula>
    </cfRule>
  </conditionalFormatting>
  <conditionalFormatting sqref="M5:M49">
    <cfRule type="cellIs" priority="4" operator="equal" dxfId="6">
      <formula>"Meets/Exceeds"</formula>
    </cfRule>
    <cfRule type="cellIs" priority="5" operator="equal" dxfId="7">
      <formula>"Developing"</formula>
    </cfRule>
    <cfRule type="cellIs" priority="6" operator="equal" dxfId="8">
      <formula>"Needs Improv."</formula>
    </cfRule>
  </conditionalFormatting>
  <conditionalFormatting sqref="G56:G59">
    <cfRule type="cellIs" priority="7" operator="greaterThanOrEqual" dxfId="0">
      <formula>0.85</formula>
    </cfRule>
    <cfRule type="cellIs" priority="8" operator="between" dxfId="1">
      <formula>0.70</formula>
      <formula>0.8499</formula>
    </cfRule>
    <cfRule type="cellIs" priority="9" operator="lessThan" dxfId="2">
      <formula>0.70</formula>
    </cfRule>
  </conditionalFormatting>
  <conditionalFormatting sqref="H56:H59">
    <cfRule type="cellIs" priority="10" operator="equal" dxfId="6">
      <formula>"Meets/Exceeds"</formula>
    </cfRule>
    <cfRule type="cellIs" priority="11" operator="equal" dxfId="7">
      <formula>"Developing"</formula>
    </cfRule>
    <cfRule type="cellIs" priority="12" operator="equal" dxfId="8">
      <formula>"Needs Improv."</formula>
    </cfRule>
  </conditionalFormatting>
  <conditionalFormatting sqref="A3">
    <cfRule type="cellIs" priority="13" operator="greaterThanOrEqual" dxfId="13">
      <formula>$G$56&gt;=0.85</formula>
    </cfRule>
    <cfRule type="expression" priority="14" dxfId="14">
      <formula>$G$56&gt;=0.85</formula>
    </cfRule>
    <cfRule type="expression" priority="15" dxfId="15">
      <formula>AND($G$56&gt;=0.7,$G$56&lt;0.85)</formula>
    </cfRule>
    <cfRule type="expression" priority="16" dxfId="16">
      <formula>$G$56&lt;0.7</formula>
    </cfRule>
  </conditionalFormatting>
  <conditionalFormatting sqref="O5:O49">
    <cfRule type="cellIs" priority="17" operator="equal" dxfId="0">
      <formula>"Resolver"</formula>
    </cfRule>
    <cfRule type="cellIs" priority="18" operator="equal" dxfId="0">
      <formula>"Progress Builder"</formula>
    </cfRule>
    <cfRule type="cellIs" priority="19" operator="equal" dxfId="17">
      <formula>"Maintainer"</formula>
    </cfRule>
    <cfRule type="cellIs" priority="20" operator="equal" dxfId="2">
      <formula>"Regression Contributor"</formula>
    </cfRule>
  </conditionalFormatting>
  <conditionalFormatting sqref="P5:P49">
    <cfRule type="cellIs" priority="21" operator="greaterThanOrEqual" dxfId="0">
      <formula>4</formula>
    </cfRule>
    <cfRule type="cellIs" priority="22" operator="between" dxfId="1">
      <formula>2</formula>
      <formula>3</formula>
    </cfRule>
    <cfRule type="cellIs" priority="23" operator="lessThanOrEqual" dxfId="2">
      <formula>1</formula>
    </cfRule>
  </conditionalFormatting>
  <dataValidations count="4">
    <dataValidation sqref="E5:K5 E6:K6 E7:K7 E8:K8 E9:K9 E10:K10 E11:K11 E12:K12 E13:K13 E14:K14 E15:K15 E16:K16 E17:K17 E18:K18 E19:K19 E20:K20 E21:K21 E22:K22 E23:K23 E24:K24 E25:K25 E26:K26 E27:K27 E28:K28 E29:K29 E30:K30 E31:K31 E32:K32 E33:K33 E34:K34 E35:K35 E36:K36 E37:K37 E38:K38 E39:K39 E40:K40 E41:K41 E42:K42 E43:K43 E44:K44 E45:K45 E46:K46 E47:K47 E48:K48 E49:K49" showDropDown="0" showInputMessage="0" showErrorMessage="1" allowBlank="1" errorTitle="Invalid score" error="Enter 0 to 5." type="whole" operator="between">
      <formula1>0</formula1>
      <formula2>5</formula2>
    </dataValidation>
    <dataValidation sqref="E56:F56 E57:F57 E58:F58 E59:F59" showDropDown="0" showInputMessage="0" showErrorMessage="1" allowBlank="1" errorTitle="Invalid score" error="Enter 0 to 5 (anchors on Multi-Touch Guide)." type="whole" operator="between">
      <formula1>0</formula1>
      <formula2>5</formula2>
    </dataValidation>
    <dataValidation sqref="O5:O49" showDropDown="0" showInputMessage="0" showErrorMessage="1" allowBlank="1" errorTitle="Invalid type" error="Pick Resolver, Progress Builder, Maintainer, Breaker, or N/A." type="list">
      <formula1>"Resolver,Progress Builder,Maintainer,Regression Contributor,N/A"</formula1>
    </dataValidation>
    <dataValidation sqref="P5:P16 P18:P49" showDropDown="0" showInputMessage="0" showErrorMessage="1" allowBlank="1" errorTitle="Invalid score" error="Enter 0 to 5, or leave blank / type N/A for a final touch with no further handoff." type="whole" operator="between">
      <formula1>0</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2026-06-10T01:33:30Z</dcterms:created>
  <dcterms:modified xmlns:dcterms="http://purl.org/dc/terms/" xmlns:xsi="http://www.w3.org/2001/XMLSchema-instance" xsi:type="dcterms:W3CDTF">2026-06-15T21:43:29Z</dcterms:modified>
</cp:coreProperties>
</file>