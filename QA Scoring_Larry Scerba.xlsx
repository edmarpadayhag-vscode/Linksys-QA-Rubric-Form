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Start" sheetId="1" state="visible" r:id="rId1"/>
    <sheet xmlns:r="http://schemas.openxmlformats.org/officeDocument/2006/relationships" name="Scoring Form - Jeneth Villanil" sheetId="2" state="visible" r:id="rId2"/>
    <sheet xmlns:r="http://schemas.openxmlformats.org/officeDocument/2006/relationships" name="Scoring Form - Deneive Luar" sheetId="3" state="visible" r:id="rId3"/>
    <sheet xmlns:r="http://schemas.openxmlformats.org/officeDocument/2006/relationships" name="Scoring Form - Dorothy Oraiz" sheetId="4" state="visible" r:id="rId4"/>
    <sheet xmlns:r="http://schemas.openxmlformats.org/officeDocument/2006/relationships" name="Scoring Form - Eric Marbella" sheetId="5" state="visible" r:id="rId5"/>
    <sheet xmlns:r="http://schemas.openxmlformats.org/officeDocument/2006/relationships" name="Scoring Form - Stephanie Luspo" sheetId="6" state="visible" r:id="rId6"/>
    <sheet xmlns:r="http://schemas.openxmlformats.org/officeDocument/2006/relationships" name="Scoring Form - John Pagurayan" sheetId="7" state="visible" r:id="rId7"/>
    <sheet xmlns:r="http://schemas.openxmlformats.org/officeDocument/2006/relationships" name="Scoring Guide" sheetId="8" state="visible" r:id="rId8"/>
    <sheet xmlns:r="http://schemas.openxmlformats.org/officeDocument/2006/relationships" name="Multi-Touch Guide" sheetId="9" state="visible" r:id="rId9"/>
    <sheet xmlns:r="http://schemas.openxmlformats.org/officeDocument/2006/relationships" name="Team Scoring" sheetId="10" state="visible" r:id="rId10"/>
    <sheet xmlns:r="http://schemas.openxmlformats.org/officeDocument/2006/relationships" name="Example (Filled)" sheetId="11" state="visible" r:id="rId11"/>
    <sheet xmlns:r="http://schemas.openxmlformats.org/officeDocument/2006/relationships" name="Case Tracker"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b val="1"/>
      <color rgb="00FFFFFF"/>
      <sz val="16"/>
    </font>
    <font>
      <i val="1"/>
      <color rgb="00FFFFFF"/>
      <sz val="10"/>
    </font>
    <font>
      <b val="1"/>
      <color rgb="00FFFFFF"/>
    </font>
    <font>
      <b val="1"/>
      <color rgb="001F3864"/>
    </font>
    <font>
      <color rgb="00000000"/>
    </font>
    <font>
      <i val="1"/>
      <color rgb="001F3864"/>
    </font>
    <font>
      <b val="1"/>
      <color rgb="00000000"/>
    </font>
    <font>
      <i val="1"/>
      <color rgb="00595959"/>
      <sz val="9"/>
    </font>
    <font>
      <b val="1"/>
      <color rgb="00000000"/>
      <sz val="12"/>
    </font>
    <font>
      <i val="1"/>
      <color rgb="00595959"/>
    </font>
    <font>
      <b val="1"/>
      <color rgb="00FFFFFF"/>
      <sz val="13"/>
    </font>
    <font>
      <b val="1"/>
      <color rgb="00006100"/>
    </font>
    <font>
      <color rgb="00006100"/>
    </font>
    <font>
      <b val="1"/>
      <color rgb="009C6500"/>
    </font>
    <font>
      <color rgb="009C6500"/>
    </font>
    <font>
      <b val="1"/>
      <color rgb="009C0006"/>
    </font>
    <font>
      <color rgb="009C0006"/>
    </font>
    <font>
      <b val="1"/>
      <color rgb="00FFFFFF"/>
      <sz val="12"/>
    </font>
    <font>
      <i val="1"/>
      <color rgb="00FFFFFF"/>
    </font>
    <font>
      <b val="1"/>
      <color rgb="00595959"/>
      <sz val="11"/>
    </font>
    <font>
      <b val="1"/>
      <color rgb="009C0006"/>
      <sz val="48"/>
    </font>
    <font>
      <b val="1"/>
      <color rgb="009C0006"/>
      <sz val="22"/>
    </font>
    <font>
      <b val="1"/>
      <color rgb="009C0006"/>
      <sz val="16"/>
    </font>
    <font>
      <b val="1"/>
      <color rgb="00FFFFFF"/>
      <sz val="10"/>
    </font>
    <font>
      <b val="1"/>
      <color rgb="001F3864"/>
      <sz val="13"/>
    </font>
    <font>
      <i val="1"/>
      <color rgb="001F3864"/>
      <sz val="11"/>
    </font>
  </fonts>
  <fills count="13">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FF2CC"/>
      </patternFill>
    </fill>
    <fill>
      <patternFill patternType="solid">
        <fgColor rgb="00EAF0FB"/>
      </patternFill>
    </fill>
    <fill>
      <patternFill patternType="solid">
        <fgColor rgb="00FFFFFF"/>
      </patternFill>
    </fill>
    <fill>
      <patternFill patternType="solid">
        <fgColor rgb="00F2F2F2"/>
      </patternFill>
    </fill>
    <fill>
      <patternFill patternType="solid">
        <fgColor rgb="00C00000"/>
      </patternFill>
    </fill>
    <fill>
      <patternFill patternType="solid">
        <fgColor rgb="00C6EFCE"/>
      </patternFill>
    </fill>
    <fill>
      <patternFill patternType="solid">
        <fgColor rgb="00FFEB9C"/>
      </patternFill>
    </fill>
    <fill>
      <patternFill patternType="solid">
        <fgColor rgb="00FFC7CE"/>
      </patternFill>
    </fill>
  </fills>
  <borders count="17">
    <border>
      <left/>
      <right/>
      <top/>
      <bottom/>
      <diagonal/>
    </border>
    <border>
      <left style="medium">
        <color rgb="00808080"/>
      </left>
      <right style="medium">
        <color rgb="00808080"/>
      </right>
      <top style="medium">
        <color rgb="00808080"/>
      </top>
      <bottom style="medium">
        <color rgb="00808080"/>
      </bottom>
    </border>
    <border>
      <left style="thin">
        <color rgb="00BFBFBF"/>
      </left>
      <right style="thin">
        <color rgb="00BFBFBF"/>
      </right>
      <top style="thin">
        <color rgb="00BFBFBF"/>
      </top>
      <bottom style="thin">
        <color rgb="00BFBFBF"/>
      </bottom>
    </border>
    <border>
      <left/>
      <right/>
      <top style="medium">
        <color rgb="00808080"/>
      </top>
      <bottom/>
      <diagonal/>
    </border>
    <border>
      <left/>
      <right style="medium">
        <color rgb="00808080"/>
      </right>
      <top style="medium">
        <color rgb="00808080"/>
      </top>
      <bottom/>
      <diagonal/>
    </border>
    <border>
      <left/>
      <right/>
      <top style="medium">
        <color rgb="00808080"/>
      </top>
      <bottom style="medium">
        <color rgb="00808080"/>
      </bottom>
      <diagonal/>
    </border>
    <border>
      <left/>
      <right style="medium">
        <color rgb="00808080"/>
      </right>
      <top style="medium">
        <color rgb="00808080"/>
      </top>
      <bottom style="medium">
        <color rgb="00808080"/>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ck">
        <color rgb="001F3864"/>
      </left>
      <right style="thick">
        <color rgb="001F3864"/>
      </right>
      <top style="thick">
        <color rgb="001F3864"/>
      </top>
      <bottom style="thick">
        <color rgb="001F3864"/>
      </bottom>
    </border>
    <border>
      <left/>
      <right/>
      <top style="thick">
        <color rgb="001F3864"/>
      </top>
      <bottom/>
      <diagonal/>
    </border>
    <border>
      <left/>
      <right style="thick">
        <color rgb="001F3864"/>
      </right>
      <top style="thick">
        <color rgb="001F3864"/>
      </top>
      <bottom/>
      <diagonal/>
    </border>
    <border>
      <left/>
      <right/>
      <top style="thick">
        <color rgb="001F3864"/>
      </top>
      <bottom style="thick">
        <color rgb="001F3864"/>
      </bottom>
      <diagonal/>
    </border>
    <border>
      <left/>
      <right style="thick">
        <color rgb="001F3864"/>
      </right>
      <top style="thick">
        <color rgb="001F3864"/>
      </top>
      <bottom style="thick">
        <color rgb="001F3864"/>
      </bottom>
      <diagonal/>
    </border>
    <border/>
  </borders>
  <cellStyleXfs count="1">
    <xf numFmtId="0" fontId="0" fillId="0" borderId="0"/>
  </cellStyleXfs>
  <cellXfs count="13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2" applyAlignment="1" pivotButton="0" quotePrefix="0" xfId="0">
      <alignment horizontal="left" vertical="center"/>
    </xf>
    <xf numFmtId="0" fontId="5" fillId="5" borderId="2" applyAlignment="1" pivotButton="0" quotePrefix="0" xfId="0">
      <alignment horizontal="left" vertical="center"/>
    </xf>
    <xf numFmtId="0" fontId="4" fillId="4" borderId="2" applyAlignment="1" pivotButton="0" quotePrefix="0" xfId="0">
      <alignment horizontal="left" vertical="center" wrapText="1"/>
    </xf>
    <xf numFmtId="0" fontId="5" fillId="5" borderId="2" applyAlignment="1" pivotButton="0" quotePrefix="0" xfId="0">
      <alignment horizontal="left" vertical="center" wrapText="1"/>
    </xf>
    <xf numFmtId="0" fontId="3" fillId="2" borderId="1" applyAlignment="1" pivotButton="0" quotePrefix="0" xfId="0">
      <alignment horizontal="left" vertical="center"/>
    </xf>
    <xf numFmtId="0" fontId="3" fillId="3" borderId="1" applyAlignment="1" pivotButton="0" quotePrefix="0" xfId="0">
      <alignment horizontal="right" vertical="center"/>
    </xf>
    <xf numFmtId="0" fontId="6" fillId="6" borderId="2" applyAlignment="1" pivotButton="0" quotePrefix="0" xfId="0">
      <alignment horizontal="left" vertical="center" wrapText="1"/>
    </xf>
    <xf numFmtId="0" fontId="4" fillId="4" borderId="2" applyAlignment="1" pivotButton="0" quotePrefix="0" xfId="0">
      <alignment horizontal="center" vertical="center"/>
    </xf>
    <xf numFmtId="0" fontId="5" fillId="7" borderId="2" applyAlignment="1" pivotButton="0" quotePrefix="0" xfId="0">
      <alignment horizontal="left" vertical="center" wrapText="1"/>
    </xf>
    <xf numFmtId="0" fontId="7" fillId="5" borderId="2" applyAlignment="1" pivotButton="0" quotePrefix="0" xfId="0">
      <alignment horizontal="center" vertical="center"/>
    </xf>
    <xf numFmtId="0" fontId="5" fillId="8" borderId="2" applyAlignment="1" pivotButton="0" quotePrefix="0" xfId="0">
      <alignment horizontal="left" vertical="center" wrapText="1"/>
    </xf>
    <xf numFmtId="0" fontId="8" fillId="7" borderId="2" applyAlignment="1" pivotButton="0" quotePrefix="0" xfId="0">
      <alignment horizontal="left" vertical="center" wrapText="1"/>
    </xf>
    <xf numFmtId="0" fontId="8" fillId="6" borderId="2" applyAlignment="1" pivotButton="0" quotePrefix="0" xfId="0">
      <alignment horizontal="right" vertical="center" wrapText="1"/>
    </xf>
    <xf numFmtId="164" fontId="6" fillId="6" borderId="2" applyAlignment="1" pivotButton="0" quotePrefix="0" xfId="0">
      <alignment horizontal="center" vertical="center"/>
    </xf>
    <xf numFmtId="0" fontId="0" fillId="6" borderId="2" pivotButton="0" quotePrefix="0" xfId="0"/>
    <xf numFmtId="0" fontId="4" fillId="4" borderId="2" applyAlignment="1" pivotButton="0" quotePrefix="0" xfId="0">
      <alignment horizontal="right" vertical="center"/>
    </xf>
    <xf numFmtId="0" fontId="9" fillId="5" borderId="2" applyAlignment="1" pivotButton="0" quotePrefix="0" xfId="0">
      <alignment horizontal="center" vertical="center"/>
    </xf>
    <xf numFmtId="0" fontId="10" fillId="6" borderId="2" applyAlignment="1" pivotButton="0" quotePrefix="0" xfId="0">
      <alignment horizontal="left" vertical="center" wrapText="1"/>
    </xf>
    <xf numFmtId="0" fontId="3" fillId="3" borderId="1" applyAlignment="1" pivotButton="0" quotePrefix="0" xfId="0">
      <alignment horizontal="center" vertical="center"/>
    </xf>
    <xf numFmtId="0" fontId="5" fillId="7" borderId="2" applyAlignment="1" pivotButton="0" quotePrefix="0" xfId="0">
      <alignment horizontal="left" vertical="center"/>
    </xf>
    <xf numFmtId="9" fontId="4" fillId="7" borderId="2" applyAlignment="1" pivotButton="0" quotePrefix="0" xfId="0">
      <alignment horizontal="center" vertical="center"/>
    </xf>
    <xf numFmtId="0" fontId="7" fillId="7" borderId="2" applyAlignment="1" pivotButton="0" quotePrefix="0" xfId="0">
      <alignment horizontal="center" vertical="center"/>
    </xf>
    <xf numFmtId="165" fontId="5" fillId="7" borderId="2" applyAlignment="1" pivotButton="0" quotePrefix="0" xfId="0">
      <alignment horizontal="center" vertical="center"/>
    </xf>
    <xf numFmtId="0" fontId="5" fillId="7" borderId="2" applyAlignment="1" pivotButton="0" quotePrefix="0" xfId="0">
      <alignment horizontal="center" vertical="center"/>
    </xf>
    <xf numFmtId="0" fontId="5" fillId="8" borderId="2" applyAlignment="1" pivotButton="0" quotePrefix="0" xfId="0">
      <alignment horizontal="left" vertical="center"/>
    </xf>
    <xf numFmtId="9" fontId="4" fillId="8" borderId="2" applyAlignment="1" pivotButton="0" quotePrefix="0" xfId="0">
      <alignment horizontal="center" vertical="center"/>
    </xf>
    <xf numFmtId="0" fontId="7" fillId="8" borderId="2" applyAlignment="1" pivotButton="0" quotePrefix="0" xfId="0">
      <alignment horizontal="center" vertical="center"/>
    </xf>
    <xf numFmtId="165" fontId="5" fillId="8" borderId="2" applyAlignment="1" pivotButton="0" quotePrefix="0" xfId="0">
      <alignment horizontal="center" vertical="center"/>
    </xf>
    <xf numFmtId="0" fontId="5" fillId="8" borderId="2" applyAlignment="1" pivotButton="0" quotePrefix="0" xfId="0">
      <alignment horizontal="center" vertical="center"/>
    </xf>
    <xf numFmtId="9" fontId="3" fillId="2" borderId="1" applyAlignment="1" pivotButton="0" quotePrefix="0" xfId="0">
      <alignment horizontal="center" vertical="center"/>
    </xf>
    <xf numFmtId="0" fontId="0" fillId="2" borderId="1" pivotButton="0" quotePrefix="0" xfId="0"/>
    <xf numFmtId="165" fontId="11" fillId="2" borderId="1" applyAlignment="1" pivotButton="0" quotePrefix="0" xfId="0">
      <alignment horizontal="center" vertical="center"/>
    </xf>
    <xf numFmtId="0" fontId="3" fillId="2" borderId="1" applyAlignment="1" pivotButton="0" quotePrefix="0" xfId="0">
      <alignment horizontal="center" vertical="center"/>
    </xf>
    <xf numFmtId="0" fontId="7" fillId="5" borderId="2" applyAlignment="1" pivotButton="0" quotePrefix="0" xfId="0">
      <alignment horizontal="left" vertical="center"/>
    </xf>
    <xf numFmtId="0" fontId="7" fillId="8" borderId="2" applyAlignment="1" pivotButton="0" quotePrefix="0" xfId="0">
      <alignment horizontal="left" vertical="center" wrapText="1"/>
    </xf>
    <xf numFmtId="0" fontId="3" fillId="9" borderId="1" applyAlignment="1" pivotButton="0" quotePrefix="0" xfId="0">
      <alignment horizontal="left" vertical="center"/>
    </xf>
    <xf numFmtId="0" fontId="7" fillId="8" borderId="1" applyAlignment="1" pivotButton="0" quotePrefix="0" xfId="0">
      <alignment horizontal="left"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7"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12" fillId="10" borderId="2" applyAlignment="1" pivotButton="0" quotePrefix="0" xfId="0">
      <alignment horizontal="center" vertical="center"/>
    </xf>
    <xf numFmtId="0" fontId="13" fillId="10" borderId="2" applyAlignment="1" pivotButton="0" quotePrefix="0" xfId="0">
      <alignment horizontal="left" vertical="center" wrapText="1"/>
    </xf>
    <xf numFmtId="0" fontId="14" fillId="11" borderId="2" applyAlignment="1" pivotButton="0" quotePrefix="0" xfId="0">
      <alignment horizontal="center" vertical="center"/>
    </xf>
    <xf numFmtId="0" fontId="15" fillId="11" borderId="2" applyAlignment="1" pivotButton="0" quotePrefix="0" xfId="0">
      <alignment horizontal="left" vertical="center" wrapText="1"/>
    </xf>
    <xf numFmtId="0" fontId="16" fillId="12" borderId="2" applyAlignment="1" pivotButton="0" quotePrefix="0" xfId="0">
      <alignment horizontal="center" vertical="center"/>
    </xf>
    <xf numFmtId="0" fontId="17" fillId="12" borderId="2" applyAlignment="1" pivotButton="0" quotePrefix="0" xfId="0">
      <alignment horizontal="left" vertical="center" wrapText="1"/>
    </xf>
    <xf numFmtId="0" fontId="6" fillId="8" borderId="1" applyAlignment="1" pivotButton="0" quotePrefix="0" xfId="0">
      <alignment horizontal="left" vertical="center" wrapText="1"/>
    </xf>
    <xf numFmtId="0" fontId="6" fillId="8" borderId="2" applyAlignment="1" pivotButton="0" quotePrefix="0" xfId="0">
      <alignment horizontal="left" vertical="center" wrapText="1"/>
    </xf>
    <xf numFmtId="0" fontId="16" fillId="7" borderId="2" applyAlignment="1" pivotButton="0" quotePrefix="0" xfId="0">
      <alignment horizontal="left" vertical="center" wrapText="1"/>
    </xf>
    <xf numFmtId="0" fontId="16" fillId="8" borderId="2" applyAlignment="1" pivotButton="0" quotePrefix="0" xfId="0">
      <alignment horizontal="left" vertical="center" wrapText="1"/>
    </xf>
    <xf numFmtId="0" fontId="12" fillId="7" borderId="2" applyAlignment="1" pivotButton="0" quotePrefix="0" xfId="0">
      <alignment horizontal="left" vertical="center" wrapText="1"/>
    </xf>
    <xf numFmtId="0" fontId="12" fillId="6" borderId="2" applyAlignment="1" pivotButton="0" quotePrefix="0" xfId="0">
      <alignment horizontal="left" vertical="center" wrapText="1"/>
    </xf>
    <xf numFmtId="0" fontId="1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center" vertical="center" wrapText="1"/>
    </xf>
    <xf numFmtId="0" fontId="5" fillId="5" borderId="2" applyAlignment="1" pivotButton="0" quotePrefix="0" xfId="0">
      <alignment horizontal="center" vertical="center"/>
    </xf>
    <xf numFmtId="165" fontId="7" fillId="7" borderId="2" applyAlignment="1" pivotButton="0" quotePrefix="0" xfId="0">
      <alignment horizontal="center" vertical="center"/>
    </xf>
    <xf numFmtId="165" fontId="7" fillId="8" borderId="2" applyAlignment="1" pivotButton="0" quotePrefix="0" xfId="0">
      <alignment horizontal="center" vertical="center"/>
    </xf>
    <xf numFmtId="164" fontId="3" fillId="2" borderId="1" applyAlignment="1" pivotButton="0" quotePrefix="0" xfId="0">
      <alignment horizontal="center" vertical="center"/>
    </xf>
    <xf numFmtId="165" fontId="18" fillId="2" borderId="1" applyAlignment="1" pivotButton="0" quotePrefix="0" xfId="0">
      <alignment horizontal="center" vertical="center"/>
    </xf>
    <xf numFmtId="0" fontId="19" fillId="2" borderId="1" applyAlignment="1" pivotButton="0" quotePrefix="0" xfId="0">
      <alignment horizontal="left" vertical="center"/>
    </xf>
    <xf numFmtId="0" fontId="0" fillId="0" borderId="5" pivotButton="0" quotePrefix="0" xfId="0"/>
    <xf numFmtId="0" fontId="0" fillId="0" borderId="6" pivotButton="0" quotePrefix="0" xfId="0"/>
    <xf numFmtId="0" fontId="0" fillId="0" borderId="10" pivotButton="0" quotePrefix="0" xfId="0"/>
    <xf numFmtId="0" fontId="0" fillId="0" borderId="9" pivotButton="0" quotePrefix="0" xfId="0"/>
    <xf numFmtId="0" fontId="3" fillId="3" borderId="1" applyAlignment="1" pivotButton="0" quotePrefix="0" xfId="0">
      <alignment horizontal="left" vertical="center"/>
    </xf>
    <xf numFmtId="0" fontId="4" fillId="6" borderId="2" applyAlignment="1" pivotButton="0" quotePrefix="0" xfId="0">
      <alignment horizontal="left" vertical="center"/>
    </xf>
    <xf numFmtId="0" fontId="11" fillId="2" borderId="1" applyAlignment="1" pivotButton="0" quotePrefix="0" xfId="0">
      <alignment horizontal="center" vertical="center"/>
    </xf>
    <xf numFmtId="0" fontId="6" fillId="6" borderId="1" applyAlignment="1" pivotButton="0" quotePrefix="0" xfId="0">
      <alignment horizontal="left" vertical="center" wrapText="1"/>
    </xf>
    <xf numFmtId="0" fontId="3" fillId="3" borderId="1" applyAlignment="1" pivotButton="0" quotePrefix="0" xfId="0">
      <alignment horizontal="center" vertical="center"/>
    </xf>
    <xf numFmtId="0" fontId="4" fillId="8" borderId="2" applyAlignment="1" pivotButton="0" quotePrefix="0" xfId="0">
      <alignment horizontal="left" vertical="center" wrapText="1"/>
    </xf>
    <xf numFmtId="0" fontId="5" fillId="8" borderId="2" applyAlignment="1" pivotButton="0" quotePrefix="0" xfId="0">
      <alignment horizontal="center" vertical="center"/>
    </xf>
    <xf numFmtId="165" fontId="5" fillId="8" borderId="2" applyAlignment="1" pivotButton="0" quotePrefix="0" xfId="0">
      <alignment horizontal="center" vertical="center"/>
    </xf>
    <xf numFmtId="0" fontId="7" fillId="5" borderId="2" applyAlignment="1" pivotButton="0" quotePrefix="0" xfId="0">
      <alignment horizontal="center" vertical="center"/>
    </xf>
    <xf numFmtId="165" fontId="9" fillId="8" borderId="2" applyAlignment="1" pivotButton="0" quotePrefix="0" xfId="0">
      <alignment horizontal="center" vertical="center"/>
    </xf>
    <xf numFmtId="0" fontId="5" fillId="5" borderId="2" applyAlignment="1" pivotButton="0" quotePrefix="0" xfId="0">
      <alignment horizontal="left" vertical="center"/>
    </xf>
    <xf numFmtId="0" fontId="5" fillId="7" borderId="2" applyAlignment="1" pivotButton="0" quotePrefix="0" xfId="0">
      <alignment horizontal="center" vertical="center"/>
    </xf>
    <xf numFmtId="165" fontId="5" fillId="7" borderId="2" applyAlignment="1" pivotButton="0" quotePrefix="0" xfId="0">
      <alignment horizontal="center" vertical="center"/>
    </xf>
    <xf numFmtId="165" fontId="9" fillId="7" borderId="2" applyAlignment="1" pivotButton="0" quotePrefix="0" xfId="0">
      <alignment horizontal="center" vertical="center"/>
    </xf>
    <xf numFmtId="0" fontId="1" fillId="2" borderId="1" applyAlignment="1" pivotButton="0" quotePrefix="0" xfId="0">
      <alignment horizontal="center" vertical="top"/>
    </xf>
    <xf numFmtId="0" fontId="2" fillId="2" borderId="1" applyAlignment="1" pivotButton="0" quotePrefix="0" xfId="0">
      <alignment horizontal="center" vertical="top" wrapText="1"/>
    </xf>
    <xf numFmtId="0" fontId="3" fillId="3" borderId="1" applyAlignment="1" pivotButton="0" quotePrefix="0" xfId="0">
      <alignment horizontal="left" vertical="top"/>
    </xf>
    <xf numFmtId="0" fontId="4" fillId="7" borderId="2" applyAlignment="1" pivotButton="0" quotePrefix="0" xfId="0">
      <alignment horizontal="left" vertical="top" wrapText="1"/>
    </xf>
    <xf numFmtId="0" fontId="5" fillId="7" borderId="2" applyAlignment="1" pivotButton="0" quotePrefix="0" xfId="0">
      <alignment horizontal="left" vertical="top" wrapText="1"/>
    </xf>
    <xf numFmtId="0" fontId="4" fillId="8" borderId="2" applyAlignment="1" pivotButton="0" quotePrefix="0" xfId="0">
      <alignment horizontal="left" vertical="top" wrapText="1"/>
    </xf>
    <xf numFmtId="0" fontId="5" fillId="8" borderId="2" applyAlignment="1" pivotButton="0" quotePrefix="0" xfId="0">
      <alignment horizontal="left" vertical="top" wrapText="1"/>
    </xf>
    <xf numFmtId="0" fontId="3" fillId="9" borderId="1" applyAlignment="1" pivotButton="0" quotePrefix="0" xfId="0">
      <alignment horizontal="left" vertical="top"/>
    </xf>
    <xf numFmtId="0" fontId="6" fillId="6" borderId="1" applyAlignment="1" pivotButton="0" quotePrefix="0" xfId="0">
      <alignment horizontal="left" vertical="top" wrapText="1"/>
    </xf>
    <xf numFmtId="0" fontId="1" fillId="2" borderId="1" applyAlignment="1" pivotButton="0" quotePrefix="0" xfId="0">
      <alignment horizontal="center" vertical="top"/>
    </xf>
    <xf numFmtId="0" fontId="3" fillId="3" borderId="1" applyAlignment="1" pivotButton="0" quotePrefix="0" xfId="0">
      <alignment horizontal="left" vertical="top"/>
    </xf>
    <xf numFmtId="0" fontId="3" fillId="9" borderId="1" applyAlignment="1" pivotButton="0" quotePrefix="0" xfId="0">
      <alignment horizontal="left" vertical="top"/>
    </xf>
    <xf numFmtId="0" fontId="16" fillId="12" borderId="1" applyAlignment="1" pivotButton="0" quotePrefix="0" xfId="0">
      <alignment horizontal="left" vertical="top" wrapText="1"/>
    </xf>
    <xf numFmtId="0" fontId="6" fillId="6" borderId="2" applyAlignment="1" pivotButton="0" quotePrefix="0" xfId="0">
      <alignment horizontal="left" vertical="top" wrapText="1"/>
    </xf>
    <xf numFmtId="0" fontId="3" fillId="3" borderId="1" applyAlignment="1" pivotButton="0" quotePrefix="0" xfId="0">
      <alignment horizontal="center" vertical="top"/>
    </xf>
    <xf numFmtId="2" fontId="9" fillId="7" borderId="2" applyAlignment="1" pivotButton="0" quotePrefix="0" xfId="0">
      <alignment horizontal="center" vertical="top"/>
    </xf>
    <xf numFmtId="2" fontId="9" fillId="8" borderId="2" applyAlignment="1" pivotButton="0" quotePrefix="0" xfId="0">
      <alignment horizontal="center" vertical="top"/>
    </xf>
    <xf numFmtId="0" fontId="4" fillId="7" borderId="2" applyAlignment="1" pivotButton="0" quotePrefix="0" xfId="0">
      <alignment horizontal="left" vertical="top"/>
    </xf>
    <xf numFmtId="0" fontId="4" fillId="8" borderId="2" applyAlignment="1" pivotButton="0" quotePrefix="0" xfId="0">
      <alignment horizontal="left" vertical="top"/>
    </xf>
    <xf numFmtId="0" fontId="1" fillId="2" borderId="1" applyAlignment="1" pivotButton="0" quotePrefix="0" xfId="0">
      <alignment horizontal="center" vertical="center"/>
    </xf>
    <xf numFmtId="0" fontId="2" fillId="2" borderId="1" applyAlignment="1" pivotButton="0" quotePrefix="0" xfId="0">
      <alignment horizontal="center" vertical="center" wrapText="1"/>
    </xf>
    <xf numFmtId="0" fontId="18" fillId="2" borderId="11" applyAlignment="1" pivotButton="0" quotePrefix="0" xfId="0">
      <alignment horizontal="center" vertical="center"/>
    </xf>
    <xf numFmtId="0" fontId="20" fillId="7" borderId="11" applyAlignment="1" pivotButton="0" quotePrefix="0" xfId="0">
      <alignment horizontal="center" vertical="top"/>
    </xf>
    <xf numFmtId="9" fontId="21" fillId="7" borderId="11" applyAlignment="1" pivotButton="0" quotePrefix="0" xfId="0">
      <alignment horizontal="center" vertical="center"/>
    </xf>
    <xf numFmtId="0" fontId="22" fillId="7" borderId="11" applyAlignment="1" pivotButton="0" quotePrefix="0" xfId="0">
      <alignment horizontal="center" vertical="center"/>
    </xf>
    <xf numFmtId="0" fontId="23" fillId="7" borderId="11" applyAlignment="1" pivotButton="0" quotePrefix="0" xfId="0">
      <alignment horizontal="center" vertical="center" wrapText="1"/>
    </xf>
    <xf numFmtId="0" fontId="24" fillId="3" borderId="11" applyAlignment="1" pivotButton="0" quotePrefix="0" xfId="0">
      <alignment horizontal="center" vertical="center" wrapText="1"/>
    </xf>
    <xf numFmtId="0" fontId="25" fillId="6" borderId="11" applyAlignment="1" pivotButton="0" quotePrefix="0" xfId="0">
      <alignment horizontal="center" vertical="center" wrapText="1"/>
    </xf>
    <xf numFmtId="0" fontId="25" fillId="6" borderId="11" applyAlignment="1" pivotButton="0" quotePrefix="0" xfId="0">
      <alignment horizontal="center" vertical="center"/>
    </xf>
    <xf numFmtId="0" fontId="26" fillId="7" borderId="11" applyAlignment="1" pivotButton="0" quotePrefix="0" xfId="0">
      <alignment horizontal="center" vertical="center" wrapText="1"/>
    </xf>
    <xf numFmtId="0" fontId="8" fillId="8" borderId="2" applyAlignment="1" pivotButton="0" quotePrefix="0" xfId="0">
      <alignment horizontal="center" vertical="center" wrapText="1"/>
    </xf>
    <xf numFmtId="0" fontId="3" fillId="3" borderId="1" applyAlignment="1" pivotButton="0" quotePrefix="0" xfId="0">
      <alignment horizontal="left" vertical="center"/>
    </xf>
    <xf numFmtId="0" fontId="16" fillId="12" borderId="1" applyAlignment="1" pivotButton="0" quotePrefix="0" xfId="0">
      <alignment horizontal="left" vertical="center" wrapText="1"/>
    </xf>
    <xf numFmtId="0" fontId="3" fillId="3" borderId="1" applyAlignment="1" pivotButton="0" quotePrefix="0" xfId="0">
      <alignment horizontal="center" vertical="center"/>
    </xf>
    <xf numFmtId="2" fontId="9" fillId="7" borderId="2" applyAlignment="1" pivotButton="0" quotePrefix="0" xfId="0">
      <alignment horizontal="center" vertical="center"/>
    </xf>
    <xf numFmtId="2" fontId="9" fillId="8" borderId="2" applyAlignment="1" pivotButton="0" quotePrefix="0" xfId="0">
      <alignment horizontal="center" vertical="center"/>
    </xf>
    <xf numFmtId="0" fontId="3" fillId="9" borderId="1" applyAlignment="1" pivotButton="0" quotePrefix="0" xfId="0">
      <alignment horizontal="left" vertical="center"/>
    </xf>
    <xf numFmtId="0" fontId="4" fillId="7" borderId="2" applyAlignment="1" pivotButton="0" quotePrefix="0" xfId="0">
      <alignment horizontal="left" vertical="top"/>
    </xf>
    <xf numFmtId="0" fontId="4" fillId="8" borderId="2" applyAlignment="1" pivotButton="0" quotePrefix="0" xfId="0">
      <alignment horizontal="left" vertical="top"/>
    </xf>
    <xf numFmtId="0" fontId="18" fillId="9" borderId="1" applyAlignment="1" pivotButton="0" quotePrefix="0" xfId="0">
      <alignment horizontal="center" vertical="center"/>
    </xf>
    <xf numFmtId="0" fontId="3" fillId="3" borderId="1" applyAlignment="1" pivotButton="0" quotePrefix="0" xfId="0">
      <alignment horizontal="left" vertical="center"/>
    </xf>
    <xf numFmtId="0" fontId="0" fillId="0" borderId="14" pivotButton="0" quotePrefix="0" xfId="0"/>
    <xf numFmtId="0" fontId="0" fillId="0" borderId="15" pivotButton="0" quotePrefix="0" xfId="0"/>
    <xf numFmtId="0" fontId="4" fillId="6" borderId="1" applyAlignment="1" pivotButton="0" quotePrefix="0" xfId="0">
      <alignment horizontal="left" vertical="center" wrapText="1"/>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5" fillId="8" borderId="2" applyAlignment="1" pivotButton="0" quotePrefix="0" xfId="0">
      <alignment horizontal="center" vertical="center"/>
    </xf>
    <xf numFmtId="0" fontId="5" fillId="7" borderId="2" applyAlignment="1" pivotButton="0" quotePrefix="0" xfId="0">
      <alignment horizontal="center" vertical="center"/>
    </xf>
    <xf numFmtId="0" fontId="0" fillId="0" borderId="16" pivotButton="0" quotePrefix="0" xfId="0"/>
  </cellXfs>
  <cellStyles count="1">
    <cellStyle name="Normal" xfId="0" builtinId="0" hidden="0"/>
  </cellStyles>
  <dxfs count="18">
    <dxf>
      <font>
        <b val="1"/>
        <color rgb="00006100"/>
      </font>
      <fill>
        <patternFill patternType="solid">
          <fgColor rgb="00C6EFCE"/>
        </patternFill>
      </fill>
    </dxf>
    <dxf>
      <font>
        <b val="1"/>
        <color rgb="009C6500"/>
      </font>
      <fill>
        <patternFill patternType="solid">
          <fgColor rgb="00FFEB9C"/>
        </patternFill>
      </fill>
    </dxf>
    <dxf>
      <font>
        <b val="1"/>
        <color rgb="009C0006"/>
      </font>
      <fill>
        <patternFill patternType="solid">
          <fgColor rgb="00FFC7CE"/>
        </patternFill>
      </fill>
    </dxf>
    <dxf>
      <font>
        <b val="1"/>
        <color rgb="00006100"/>
        <sz val="13"/>
      </font>
      <fill>
        <patternFill patternType="solid">
          <fgColor rgb="00C6EFCE"/>
        </patternFill>
      </fill>
    </dxf>
    <dxf>
      <font>
        <b val="1"/>
        <color rgb="009C6500"/>
        <sz val="13"/>
      </font>
      <fill>
        <patternFill patternType="solid">
          <fgColor rgb="00FFEB9C"/>
        </patternFill>
      </fill>
    </dxf>
    <dxf>
      <font>
        <b val="1"/>
        <color rgb="009C0006"/>
        <sz val="13"/>
      </font>
      <fill>
        <patternFill patternType="solid">
          <f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
      <font>
        <b val="1"/>
        <color rgb="00006100"/>
        <sz val="48"/>
      </font>
      <fill>
        <patternFill patternType="solid">
          <fgColor rgb="00C6EFCE"/>
        </patternFill>
      </fill>
    </dxf>
    <dxf>
      <font>
        <b val="1"/>
        <color rgb="009C6500"/>
        <sz val="48"/>
      </font>
      <fill>
        <patternFill patternType="solid">
          <fgColor rgb="00FFEB9C"/>
        </patternFill>
      </fill>
    </dxf>
    <dxf>
      <font>
        <b val="1"/>
        <color rgb="009C0006"/>
        <sz val="48"/>
      </font>
      <fill>
        <patternFill patternType="solid">
          <fgColor rgb="00FFC7CE"/>
        </patternFill>
      </fill>
    </dxf>
    <dxf>
      <font>
        <b val="1"/>
        <color rgb="00006100"/>
        <sz val="22"/>
      </font>
      <fill>
        <patternFill patternType="solid">
          <fgColor rgb="00C6EFCE"/>
        </patternFill>
      </fill>
    </dxf>
    <dxf>
      <font>
        <b val="1"/>
        <color rgb="00FFFFFF"/>
        <sz val="12"/>
      </font>
      <fill>
        <patternFill patternType="solid">
          <fgColor rgb="00006100"/>
        </patternFill>
      </fill>
    </dxf>
    <dxf>
      <font>
        <b val="1"/>
        <color rgb="00FFFFFF"/>
        <sz val="12"/>
      </font>
      <fill>
        <patternFill patternType="solid">
          <fgColor rgb="002E7D32"/>
        </patternFill>
      </fill>
    </dxf>
    <dxf>
      <font>
        <b val="1"/>
        <color rgb="00FFFFFF"/>
        <sz val="12"/>
      </font>
      <fill>
        <patternFill patternType="solid">
          <fgColor rgb="00B7950B"/>
        </patternFill>
      </fill>
    </dxf>
    <dxf>
      <font>
        <b val="1"/>
        <color rgb="00FFFFFF"/>
        <sz val="12"/>
      </font>
      <fill>
        <patternFill patternType="solid">
          <fgColor rgb="00C00000"/>
        </patternFill>
      </fill>
    </dxf>
    <dxf>
      <font>
        <b val="1"/>
        <color rgb="001F3864"/>
      </font>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showGridLines="0" workbookViewId="0">
      <pane ySplit="2" topLeftCell="A3" activePane="bottomLeft" state="frozen"/>
      <selection pane="bottomLeft" activeCell="A1" sqref="A1"/>
    </sheetView>
  </sheetViews>
  <sheetFormatPr baseColWidth="8" defaultRowHeight="15"/>
  <cols>
    <col width="3" customWidth="1" min="1" max="1"/>
    <col width="30" customWidth="1" min="2" max="2"/>
    <col width="105" customWidth="1" min="3" max="3"/>
  </cols>
  <sheetData>
    <row r="1" ht="28" customHeight="1">
      <c r="B1" s="94" t="inlineStr">
        <is>
          <t>QA SCORING WORKBOOK — QUICK START GUIDE</t>
        </is>
      </c>
      <c r="C1" s="68" t="n"/>
    </row>
    <row r="2" ht="30" customHeight="1">
      <c r="B2" s="86" t="inlineStr">
        <is>
          <t>Resolution-focused coaching QA: one form per interaction, evidence-based indicator ratings, weighted 0-5 scoring, journey-level tracking and TEAM scoring for multi-touch cases. Yellow cells are YOUR inputs — everything else calculates or is reference.</t>
        </is>
      </c>
      <c r="C2" s="68" t="n"/>
    </row>
    <row r="4">
      <c r="B4" s="95" t="inlineStr">
        <is>
          <t>1 · THE WORKING SHEETS</t>
        </is>
      </c>
      <c r="C4" s="68" t="n"/>
    </row>
    <row r="5" ht="44" customHeight="1">
      <c r="B5" s="88" t="inlineStr">
        <is>
          <t>Scoring Form</t>
        </is>
      </c>
      <c r="C5" s="89" t="inlineStr">
        <is>
          <t>The blank form you fill for EVERY interaction you review. Make a copy of this sheet per review (right-click tab → Move or Copy → Create a copy) so the master stays blank.</t>
        </is>
      </c>
    </row>
    <row r="6" ht="44" customHeight="1">
      <c r="B6" s="90" t="inlineStr">
        <is>
          <t>Scoring Guide</t>
        </is>
      </c>
      <c r="C6" s="91" t="inlineStr">
        <is>
          <t>Reference: how-to steps, the 0-5 score anchors, what Met/Partial/Missed/N.A. mean, category objectives and watch-fors, and the result bands. Read once before your first review; return whenever unsure.</t>
        </is>
      </c>
    </row>
    <row r="7" ht="44" customHeight="1">
      <c r="B7" s="88" t="inlineStr">
        <is>
          <t>Multi-Touch Guide</t>
        </is>
      </c>
      <c r="C7" s="89" t="inlineStr">
        <is>
          <t>Rules for cases handled by multiple agents: how to score each touch fairly, who owns handoff failures, plus a full real-case walkthrough (the Stell journey) showing where a support chain broke and recovered.</t>
        </is>
      </c>
    </row>
    <row r="8" ht="44" customHeight="1">
      <c r="B8" s="90" t="inlineStr">
        <is>
          <t>Team Scoring</t>
        </is>
      </c>
      <c r="C8" s="91" t="inlineStr">
        <is>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is>
      </c>
    </row>
    <row r="9" ht="44" customHeight="1">
      <c r="B9" s="88" t="inlineStr">
        <is>
          <t>Example (Filled)</t>
        </is>
      </c>
      <c r="C9" s="89" t="inlineStr">
        <is>
          <t>A complete, real worked review — the final touch of the Stell case (Eric Marbella). Shows exactly how detailed your evidence should be, how indicator ratings map to a final score, and how critical failures are written up. Copy its style.</t>
        </is>
      </c>
    </row>
    <row r="10" ht="44" customHeight="1">
      <c r="B10" s="90" t="inlineStr">
        <is>
          <t>Case Tracker</t>
        </is>
      </c>
      <c r="C10" s="91" t="inlineStr">
        <is>
          <t>The log. One row per reviewed touch (date, agent, 7 scores, auto weighted % and band). Reuse a Case ID across rows for multi-touch journeys. Team Average at row 51; Team/Journey Scores section at row 53.</t>
        </is>
      </c>
    </row>
    <row r="12">
      <c r="B12" s="95" t="inlineStr">
        <is>
          <t>2 · HOW TO SCORE ONE INTERACTION (Scoring Form, ~15 min)</t>
        </is>
      </c>
      <c r="C12" s="68" t="n"/>
    </row>
    <row r="13" ht="46" customHeight="1">
      <c r="B13" s="88" t="inlineStr">
        <is>
          <t>Step 1 — Case Information</t>
        </is>
      </c>
      <c r="C13" s="89" t="inlineStr">
        <is>
          <t>Fill the yellow cells: agent, ticket, dates, product. Dropdowns: Warranty, Channel, Case Type, SLA. Write a 2-3 sentence Case Summary. Multi-touch? Set Touch # and fill 'Inherited context' (what this agent received from prior touches).</t>
        </is>
      </c>
    </row>
    <row r="14" ht="46" customHeight="1">
      <c r="B14" s="90" t="inlineStr">
        <is>
          <t>Step 2 — Rate the indicators</t>
        </is>
      </c>
      <c r="C14" s="91" t="inlineStr">
        <is>
          <t>Each of the 7 categories lists 5-8 behaviors. Rate each: Met / Partial / Missed / N.A. (dropdown). N.A. = genuinely not applicable (e.g., no escalation involved) — it is excluded from the math, never a shortcut.</t>
        </is>
      </c>
    </row>
    <row r="15" ht="46" customHeight="1">
      <c r="B15" s="88" t="inlineStr">
        <is>
          <t>Step 3 — Capture evidence</t>
        </is>
      </c>
      <c r="C15" s="89" t="inlineStr">
        <is>
          <t>Next to every rating, write WHY: a quote, timestamp, or note excerpt. 'Customer said X at 28:10' beats 'communication was good'. The Example sheet shows the standard.</t>
        </is>
      </c>
    </row>
    <row r="16" ht="46" customHeight="1">
      <c r="B16" s="90" t="inlineStr">
        <is>
          <t>Step 4 — Set the final score</t>
        </is>
      </c>
      <c r="C16" s="91" t="inlineStr">
        <is>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is>
      </c>
    </row>
    <row r="17" ht="46" customHeight="1">
      <c r="B17" s="88" t="inlineStr">
        <is>
          <t>Step 5 — Outcome &amp; disconnect</t>
        </is>
      </c>
      <c r="C17" s="89" t="inlineStr">
        <is>
          <t>Classify the Resolution Outcome (dropdown) and the primary positive outcome achieved. If the call disconnected, record the follow-up taken — 'Yes disconnect + no follow-up' auto-flags a missed ownership opportunity in red.</t>
        </is>
      </c>
    </row>
    <row r="18" ht="46" customHeight="1">
      <c r="B18" s="90" t="inlineStr">
        <is>
          <t>Step 6 — Critical failures</t>
        </is>
      </c>
      <c r="C18" s="91" t="inlineStr">
        <is>
          <t>Answer Yes/No on all 11 conditions. ANY Yes turns the banner red: automatic review, regardless of the score. These include premature RESOLVED closure, PCI/compliance breaches, and unescalated management/legal requests.</t>
        </is>
      </c>
    </row>
    <row r="19" ht="46" customHeight="1">
      <c r="B19" s="88" t="inlineStr">
        <is>
          <t>Step 7 — Coaching sections</t>
        </is>
      </c>
      <c r="C19" s="89" t="inlineStr">
        <is>
          <t>3 strengths, 3 improvements, a specific coaching recommendation (at least one is mandatory per review), organizational insights, journey notes (multi-touch), and the final assessment.</t>
        </is>
      </c>
    </row>
    <row r="20" ht="46" customHeight="1">
      <c r="B20" s="90" t="inlineStr">
        <is>
          <t>Step 8 — Log it</t>
        </is>
      </c>
      <c r="C20" s="91" t="inlineStr">
        <is>
          <t>Add one row in the Case Tracker: date, Case ID, agent, touch #, and your 7 final scores. Weighted % and band compute themselves.</t>
        </is>
      </c>
    </row>
    <row r="22">
      <c r="B22" s="95" t="inlineStr">
        <is>
          <t>3 · WHAT YOU TYPE vs WHAT CALCULATES ITSELF</t>
        </is>
      </c>
      <c r="C22" s="68" t="n"/>
    </row>
    <row r="23" ht="54" customHeight="1">
      <c r="B23" s="88" t="inlineStr">
        <is>
          <t>You type (yellow cells)</t>
        </is>
      </c>
      <c r="C23" s="89" t="inlineStr">
        <is>
          <t>Case info · indicator ratings (dropdowns) · evidence text · the 7 final 0-5 scores · outcome dropdowns · critical-failure Yes/No · coaching text · tracker rows · Team Score's Outcome and Continuity (0-5).</t>
        </is>
      </c>
    </row>
    <row r="24" ht="54" customHeight="1">
      <c r="B24" s="90" t="inlineStr">
        <is>
          <t>Calculates automatically</t>
        </is>
      </c>
      <c r="C24" s="91" t="inlineStr">
        <is>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is>
      </c>
    </row>
    <row r="25" ht="54" customHeight="1">
      <c r="B25" s="88" t="inlineStr">
        <is>
          <t>Color language</t>
        </is>
      </c>
      <c r="C25" s="89" t="inlineStr">
        <is>
          <t>GREEN = strong (scores 4-5, total ≥85%) · YELLOW = developing (score 3, total 70-84%) · RED = needs focus (scores 0-2, total &lt;70%, any critical failure, missed disconnect follow-up). Indicator cells: Met=green, Partial=yellow, Missed=red. Heatmap: category avg &lt;2.75 red = team coaching theme.</t>
        </is>
      </c>
    </row>
    <row r="27">
      <c r="B27" s="95" t="inlineStr">
        <is>
          <t>4 · MULTI-TOUCH CASES IN SIX LINES (full rules: Multi-Touch Guide + Team Scoring)</t>
        </is>
      </c>
      <c r="C27" s="68" t="n"/>
    </row>
    <row r="28" ht="40" customHeight="1">
      <c r="B28" s="88" t="inlineStr">
        <is>
          <t>One form per touch</t>
        </is>
      </c>
      <c r="C28" s="89" t="inlineStr">
        <is>
          <t>Every agent gets their own form. Read all prior touches first; record what the agent inherited.</t>
        </is>
      </c>
    </row>
    <row r="29" ht="40" customHeight="1">
      <c r="B29" s="90" t="inlineStr">
        <is>
          <t>Score the contribution</t>
        </is>
      </c>
      <c r="C29" s="91" t="inlineStr">
        <is>
          <t>Did THIS touch move the customer forward, given what it inherited? Agents aren't punished for inherited messes — only for what they pass downstream (thin notes, false RESOLVED, missed callbacks).</t>
        </is>
      </c>
    </row>
    <row r="30" ht="40" customHeight="1">
      <c r="B30" s="88" t="inlineStr">
        <is>
          <t>Handoffs belong to the sender</t>
        </is>
      </c>
      <c r="C30" s="89" t="inlineStr">
        <is>
          <t>Bad notes that force rework = deduction for the earlier agent. Ignoring good notes and re-asking everything = deduction for the later agent.</t>
        </is>
      </c>
    </row>
    <row r="31" ht="40" customHeight="1">
      <c r="B31" s="90" t="inlineStr">
        <is>
          <t>Log every touch, same Case ID</t>
        </is>
      </c>
      <c r="C31" s="91" t="inlineStr">
        <is>
          <t>Tracker rows side by side show exactly where the chain broke or recovered.</t>
        </is>
      </c>
    </row>
    <row r="32" ht="40" customHeight="1">
      <c r="B32" s="88" t="inlineStr">
        <is>
          <t>Score the chain</t>
        </is>
      </c>
      <c r="C32" s="89" t="inlineStr">
        <is>
          <t>Bottom of the Case Tracker: type the Case ID in a Team/Journey row, judge Outcome (0-5) and Continuity (0-5) — the Team Score computes. Drives process fixes and team recognition, never individual discipline.</t>
        </is>
      </c>
    </row>
    <row r="33" ht="40" customHeight="1">
      <c r="B33" s="90" t="inlineStr">
        <is>
          <t>Find the TEAM opportunities</t>
        </is>
      </c>
      <c r="C33" s="91" t="inlineStr">
        <is>
          <t>Team Scoring sheet: build the category heatmap over the journey's rows, take the bottom two categories as team coaching themes, scan for patterns repeating across 3+ agents, and write the action plan with named owners (section 5 there is the model).</t>
        </is>
      </c>
    </row>
    <row r="35">
      <c r="B35" s="96" t="inlineStr">
        <is>
          <t>5 · GOLDEN RULES</t>
        </is>
      </c>
      <c r="C35" s="68" t="n"/>
    </row>
    <row r="36" ht="26" customHeight="1">
      <c r="B36" s="89" t="inlineStr">
        <is>
          <t>• A closed case is NOT automatically a resolved case — and RESOLVED on a known-unresolved issue is a critical failure.</t>
        </is>
      </c>
      <c r="C36" s="69" t="n"/>
    </row>
    <row r="37" ht="26" customHeight="1">
      <c r="B37" s="91" t="inlineStr">
        <is>
          <t>• Any critical failure = automatic review, no matter how good the weighted score looks.</t>
        </is>
      </c>
      <c r="C37" s="69" t="n"/>
    </row>
    <row r="38" ht="26" customHeight="1">
      <c r="B38" s="89" t="inlineStr">
        <is>
          <t>• Resolution isn't only 'fixed': a proper RMA, a valid escalation, or an accurately explained limitation all count as positive outcomes.</t>
        </is>
      </c>
      <c r="C38" s="69" t="n"/>
    </row>
    <row r="39" ht="26" customHeight="1">
      <c r="B39" s="91" t="inlineStr">
        <is>
          <t>• Every review must produce at least one actionable coaching opportunity — and an operational improvement recommendation where applicable.</t>
        </is>
      </c>
      <c r="C39" s="69" t="n"/>
    </row>
    <row r="40" ht="26" customHeight="1">
      <c r="B40" s="89" t="inlineStr">
        <is>
          <t>• Evidence over opinion: every rating should be defensible with a quote, timestamp, or note excerpt.</t>
        </is>
      </c>
      <c r="C40" s="69" t="n"/>
    </row>
    <row r="41" ht="26" customHeight="1">
      <c r="B41" s="91" t="inlineStr">
        <is>
          <t>• Documentation supports outcomes but never outweighs troubleshooting, communication, or ownership — continuity, not compliance.</t>
        </is>
      </c>
      <c r="C41" s="69" t="n"/>
    </row>
    <row r="42" ht="26" customHeight="1">
      <c r="B42" s="89" t="inlineStr">
        <is>
          <t>• Reward judgment: an unresolved case with correct next steps and full ownership can still score well.</t>
        </is>
      </c>
      <c r="C42" s="69" t="n"/>
    </row>
    <row r="43" ht="26" customHeight="1">
      <c r="B43" s="91" t="inlineStr">
        <is>
          <t>• Team Scores coach the chain; individual forms coach the agent. Never mix the two purposes.</t>
        </is>
      </c>
      <c r="C43" s="69" t="n"/>
    </row>
    <row r="45" ht="30" customHeight="1">
      <c r="B45" s="93" t="inlineStr">
        <is>
          <t>Questions while reviewing? Order of reference: this sheet → Scoring Guide (anchors &amp; criteria) → Multi-Touch Guide (journey rules) → Team Scoring (team layer &amp; heatmap) → Example (Filled) (what good looks like).</t>
        </is>
      </c>
      <c r="C45" s="68" t="n"/>
    </row>
  </sheetData>
  <mergeCells count="16">
    <mergeCell ref="B39:C39"/>
    <mergeCell ref="B38:C38"/>
    <mergeCell ref="B2:C2"/>
    <mergeCell ref="B37:C37"/>
    <mergeCell ref="B41:C41"/>
    <mergeCell ref="B42:C42"/>
    <mergeCell ref="B45:C45"/>
    <mergeCell ref="B22:C22"/>
    <mergeCell ref="B36:C36"/>
    <mergeCell ref="B40:C40"/>
    <mergeCell ref="B27:C27"/>
    <mergeCell ref="B1:C1"/>
    <mergeCell ref="B35:C35"/>
    <mergeCell ref="B4:C4"/>
    <mergeCell ref="B43:C4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Jeneth Villanil</t>
        </is>
      </c>
      <c r="D5" s="6" t="inlineStr">
        <is>
          <t>Case / Ticket ID</t>
        </is>
      </c>
      <c r="E5" s="81" t="inlineStr">
        <is>
          <t>TE00089221 (Touch 1)</t>
        </is>
      </c>
      <c r="F5" s="69" t="n"/>
    </row>
    <row r="6">
      <c r="B6" s="4" t="inlineStr">
        <is>
          <t>Evaluator (QA)</t>
        </is>
      </c>
      <c r="C6" s="81" t="inlineStr">
        <is>
          <t>QA Review (per PMO Zither Calvin request)</t>
        </is>
      </c>
      <c r="D6" s="6" t="inlineStr">
        <is>
          <t>Interaction Date</t>
        </is>
      </c>
      <c r="E6" s="81" t="inlineStr">
        <is>
          <t>2025-08-04 (Touch 1)</t>
        </is>
      </c>
      <c r="F6" s="69" t="n"/>
    </row>
    <row r="7">
      <c r="B7" s="4" t="inlineStr">
        <is>
          <t>Product</t>
        </is>
      </c>
      <c r="C7" s="81" t="inlineStr">
        <is>
          <t>Velop Pro 7 (mesh - 4th node)</t>
        </is>
      </c>
      <c r="D7" s="6" t="inlineStr">
        <is>
          <t>Channel</t>
        </is>
      </c>
      <c r="E7" s="81" t="inlineStr">
        <is>
          <t>Phone / Voice</t>
        </is>
      </c>
      <c r="F7" s="69" t="n"/>
    </row>
    <row r="8">
      <c r="B8" s="4" t="inlineStr">
        <is>
          <t>Warranty Status</t>
        </is>
      </c>
      <c r="C8" s="81" t="inlineStr">
        <is>
          <t>In Warranty</t>
        </is>
      </c>
      <c r="D8" s="6" t="inlineStr">
        <is>
          <t>Review Date</t>
        </is>
      </c>
      <c r="E8" s="81" t="inlineStr">
        <is>
          <t>Jun 15, 2026</t>
        </is>
      </c>
      <c r="F8" s="69" t="n"/>
    </row>
    <row r="9">
      <c r="B9" s="4" t="inlineStr">
        <is>
          <t>Case Type</t>
        </is>
      </c>
      <c r="C9" s="81" t="inlineStr">
        <is>
          <t>Technical - mesh node pairing / setup</t>
        </is>
      </c>
      <c r="D9" s="6" t="inlineStr">
        <is>
          <t>Interaction Duration</t>
        </is>
      </c>
      <c r="E9" s="81" t="inlineStr">
        <is>
          <t>Not specified</t>
        </is>
      </c>
      <c r="F9" s="69" t="n"/>
    </row>
    <row r="10">
      <c r="B10" s="4" t="inlineStr">
        <is>
          <t>Touch # (multi-touch case)</t>
        </is>
      </c>
      <c r="C10" s="81" t="inlineStr">
        <is>
          <t>1 of 21</t>
        </is>
      </c>
      <c r="D10" s="6" t="inlineStr">
        <is>
          <t>Prior touches reviewed?</t>
        </is>
      </c>
      <c r="E10" s="81" t="inlineStr">
        <is>
          <t>N/A - first touch in journey</t>
        </is>
      </c>
      <c r="F10" s="69" t="n"/>
    </row>
    <row r="11">
      <c r="B11" s="4" t="inlineStr">
        <is>
          <t>CSAT / Survey result</t>
        </is>
      </c>
      <c r="C11" s="81" t="inlineStr">
        <is>
          <t>Not captured</t>
        </is>
      </c>
      <c r="D11" s="6" t="inlineStr">
        <is>
          <t>FCR / total contacts</t>
        </is>
      </c>
      <c r="E11" s="81" t="inlineStr">
        <is>
          <t>FCR for this contact</t>
        </is>
      </c>
      <c r="F11" s="69" t="n"/>
    </row>
    <row r="12">
      <c r="B12" s="4" t="inlineStr">
        <is>
          <t>Total case time</t>
        </is>
      </c>
      <c r="C12" s="81" t="inlineStr">
        <is>
          <t>~8 months / 21 touches (full journey)</t>
        </is>
      </c>
      <c r="D12" s="6" t="inlineStr">
        <is>
          <t>SLA status</t>
        </is>
      </c>
      <c r="E12" s="81" t="inlineStr">
        <is>
          <t>Within SLA</t>
        </is>
      </c>
      <c r="F12" s="69" t="n"/>
    </row>
    <row r="13" ht="58" customHeight="1">
      <c r="B13" s="6" t="inlineStr">
        <is>
          <t>Case Summary (customer issue &amp; goal)</t>
        </is>
      </c>
      <c r="C13" s="7" t="inlineStr">
        <is>
          <t>Customer adding/pairing a 4th node to a Velop Pro 7 mesh system; needed setup assistance.</t>
        </is>
      </c>
      <c r="D13" s="70" t="n"/>
      <c r="E13" s="70" t="n"/>
      <c r="F13" s="69" t="n"/>
    </row>
    <row r="14" ht="46" customHeight="1">
      <c r="B14" s="6" t="inlineStr">
        <is>
          <t>Inherited context (what this agent received from prior touches)</t>
        </is>
      </c>
      <c r="C14" s="7" t="inlineStr">
        <is>
          <t>First touch - no inherited context.</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Met</t>
        </is>
      </c>
      <c r="D20" s="12" t="inlineStr">
        <is>
          <t>4th node paired successfully with Velop Pro 7; customer reported no issues.</t>
        </is>
      </c>
      <c r="E20" s="70" t="n"/>
      <c r="F20" s="69" t="n"/>
    </row>
    <row r="21" ht="28" customHeight="1">
      <c r="B21" s="14" t="inlineStr">
        <is>
          <t>Reasonable troubleshooting was completed before any conclusion was reached</t>
        </is>
      </c>
      <c r="C21" s="79" t="inlineStr">
        <is>
          <t>Met</t>
        </is>
      </c>
      <c r="D21" s="14" t="n"/>
      <c r="E21" s="70" t="n"/>
      <c r="F21" s="69" t="n"/>
    </row>
    <row r="22" ht="28" customHeight="1">
      <c r="B22" s="12" t="inlineStr">
        <is>
          <t>Clear, actionable next steps were provided to the customer</t>
        </is>
      </c>
      <c r="C22" s="79" t="inlineStr">
        <is>
          <t>Met</t>
        </is>
      </c>
      <c r="D22" s="12" t="n"/>
      <c r="E22" s="70" t="n"/>
      <c r="F22" s="69" t="n"/>
    </row>
    <row r="23" ht="28" customHeight="1">
      <c r="B23" s="14" t="inlineStr">
        <is>
          <t>Resolution path was appropriate for the situation and warranty status</t>
        </is>
      </c>
      <c r="C23" s="79" t="inlineStr">
        <is>
          <t>Met</t>
        </is>
      </c>
      <c r="D23" s="14" t="n"/>
      <c r="E23" s="70" t="n"/>
      <c r="F23" s="69" t="n"/>
    </row>
    <row r="24" ht="28" customHeight="1">
      <c r="B24" s="12" t="inlineStr">
        <is>
          <t>Customer was moved meaningfully closer to a solution</t>
        </is>
      </c>
      <c r="C24" s="79" t="inlineStr">
        <is>
          <t>Met</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5</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Clean, complete resolution at first contact - the strongest touch of the journey.</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Symptom (node not paired) correctly identified and addressed.</t>
        </is>
      </c>
      <c r="E33" s="70" t="n"/>
      <c r="F33" s="69" t="n"/>
    </row>
    <row r="34" ht="28" customHeight="1">
      <c r="B34" s="14" t="inlineStr">
        <is>
          <t>Relevant diagnostic questions were asked</t>
        </is>
      </c>
      <c r="C34" s="79" t="inlineStr">
        <is>
          <t>Met</t>
        </is>
      </c>
      <c r="D34" s="14" t="n"/>
      <c r="E34" s="70" t="n"/>
      <c r="F34" s="69" t="n"/>
    </row>
    <row r="35" ht="28" customHeight="1">
      <c r="B35" s="12" t="inlineStr">
        <is>
          <t>Logical troubleshooting methodology was followed</t>
        </is>
      </c>
      <c r="C35" s="79" t="inlineStr">
        <is>
          <t>Met</t>
        </is>
      </c>
      <c r="D35" s="12" t="n"/>
      <c r="E35" s="70" t="n"/>
      <c r="F35" s="69" t="n"/>
    </row>
    <row r="36" ht="28" customHeight="1">
      <c r="B36" s="14" t="inlineStr">
        <is>
          <t>Available tools were used appropriately</t>
        </is>
      </c>
      <c r="C36" s="79" t="inlineStr">
        <is>
          <t>Met</t>
        </is>
      </c>
      <c r="D36" s="14" t="n"/>
      <c r="E36" s="70" t="n"/>
      <c r="F36" s="69" t="n"/>
    </row>
    <row r="37" ht="28" customHeight="1">
      <c r="B37" s="12" t="inlineStr">
        <is>
          <t>Information provided was technically accurate</t>
        </is>
      </c>
      <c r="C37" s="79" t="inlineStr">
        <is>
          <t>Met</t>
        </is>
      </c>
      <c r="D37" s="12" t="n"/>
      <c r="E37" s="70" t="n"/>
      <c r="F37" s="69" t="n"/>
    </row>
    <row r="38" ht="28" customHeight="1">
      <c r="B38" s="14" t="inlineStr">
        <is>
          <t>Assumptions were validated; no unsupported conclusions</t>
        </is>
      </c>
      <c r="C38" s="79" t="inlineStr">
        <is>
          <t>Met</t>
        </is>
      </c>
      <c r="D38" s="14" t="n"/>
      <c r="E38" s="70" t="n"/>
      <c r="F38" s="69" t="n"/>
    </row>
    <row r="39" ht="28" customHeight="1">
      <c r="B39" s="12" t="inlineStr">
        <is>
          <t>Root cause (or likely cause) was identified when possible</t>
        </is>
      </c>
      <c r="C39" s="79" t="inlineStr">
        <is>
          <t>Met</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5</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Pairing handled correctly with no rework needed.</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n"/>
      <c r="E48" s="70" t="n"/>
      <c r="F48" s="69" t="n"/>
    </row>
    <row r="49" ht="28" customHeight="1">
      <c r="B49" s="14" t="inlineStr">
        <is>
          <t>Agent maintained control of the troubleshooting flow</t>
        </is>
      </c>
      <c r="C49" s="79" t="inlineStr">
        <is>
          <t>Met</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Met</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Met</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5</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Clear, well-paced setup guidance.</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n"/>
      <c r="E64" s="70" t="n"/>
      <c r="F64" s="69" t="n"/>
    </row>
    <row r="65" ht="28" customHeight="1">
      <c r="B65" s="14" t="inlineStr">
        <is>
          <t>Unnecessary transfers were avoided</t>
        </is>
      </c>
      <c r="C65" s="79" t="inlineStr">
        <is>
          <t>Met</t>
        </is>
      </c>
      <c r="D65" s="14" t="n"/>
      <c r="E65" s="70" t="n"/>
      <c r="F65" s="69" t="n"/>
    </row>
    <row r="66" ht="28" customHeight="1">
      <c r="B66" s="12" t="inlineStr">
        <is>
          <t>Commitments made during the interaction were followed through</t>
        </is>
      </c>
      <c r="C66" s="79" t="inlineStr">
        <is>
          <t>Met</t>
        </is>
      </c>
      <c r="D66" s="12" t="n"/>
      <c r="E66" s="70" t="n"/>
      <c r="F66" s="69" t="n"/>
    </row>
    <row r="67" ht="28" customHeight="1">
      <c r="B67" s="14" t="inlineStr">
        <is>
          <t>A clear path forward was created for the customer</t>
        </is>
      </c>
      <c r="C67" s="79" t="inlineStr">
        <is>
          <t>Met</t>
        </is>
      </c>
      <c r="D67" s="14" t="n"/>
      <c r="E67" s="70" t="n"/>
      <c r="F67" s="69" t="n"/>
    </row>
    <row r="68" ht="28" customHeight="1">
      <c r="B68" s="12" t="inlineStr">
        <is>
          <t>Next actions were documented</t>
        </is>
      </c>
      <c r="C68" s="79" t="inlineStr">
        <is>
          <t>Met</t>
        </is>
      </c>
      <c r="D68" s="12" t="n"/>
      <c r="E68" s="70" t="n"/>
      <c r="F68" s="69" t="n"/>
    </row>
    <row r="69" ht="28" customHeight="1">
      <c r="B69" s="14" t="inlineStr">
        <is>
          <t>Realistic expectations were set</t>
        </is>
      </c>
      <c r="C69" s="79" t="inlineStr">
        <is>
          <t>Met</t>
        </is>
      </c>
      <c r="D69" s="14" t="n"/>
      <c r="E69" s="70" t="n"/>
      <c r="F69" s="69" t="n"/>
    </row>
    <row r="70" ht="28" customHeight="1">
      <c r="B70" s="12" t="inlineStr">
        <is>
          <t>Disconnect follow-up completed (callback / email / note) — mark N.A. if no disconnect</t>
        </is>
      </c>
      <c r="C70" s="79" t="inlineStr">
        <is>
          <t>N.A.</t>
        </is>
      </c>
      <c r="D70" s="12" t="n"/>
      <c r="E70" s="70" t="n"/>
      <c r="F70" s="69" t="n"/>
    </row>
    <row r="71" ht="28" customHeight="1">
      <c r="B71" s="14" t="inlineStr">
        <is>
          <t>Callback commitments were met within the agreed window (or proactively renegotiated before it lapsed)</t>
        </is>
      </c>
      <c r="C71" s="79" t="inlineStr">
        <is>
          <t>N.A.</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5</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Owned the setup end-to-end; no loose ends.</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No escalation required - resolved at first contact.</t>
        </is>
      </c>
      <c r="E80" s="70" t="n"/>
      <c r="F80" s="69" t="n"/>
    </row>
    <row r="81" ht="28" customHeight="1">
      <c r="B81" s="14" t="inlineStr">
        <is>
          <t>Legitimate escalation criteria were identified (incl. complaint / management / legal-risk triggers)</t>
        </is>
      </c>
      <c r="C81" s="79" t="inlineStr">
        <is>
          <t>N.A.</t>
        </is>
      </c>
      <c r="D81" s="14" t="n"/>
      <c r="E81" s="70" t="n"/>
      <c r="F81" s="69" t="n"/>
    </row>
    <row r="82" ht="28" customHeight="1">
      <c r="B82" s="12" t="inlineStr">
        <is>
          <t>Escalation contained complete, useful details (logs, findings, steps tried)</t>
        </is>
      </c>
      <c r="C82" s="79" t="inlineStr">
        <is>
          <t>N.A.</t>
        </is>
      </c>
      <c r="D82" s="12" t="n"/>
      <c r="E82" s="70" t="n"/>
      <c r="F82" s="69" t="n"/>
    </row>
    <row r="83" ht="28" customHeight="1">
      <c r="B83" s="14" t="inlineStr">
        <is>
          <t>Correct escalation path was chosen</t>
        </is>
      </c>
      <c r="C83" s="79" t="inlineStr">
        <is>
          <t>N.A.</t>
        </is>
      </c>
      <c r="D83" s="14" t="n"/>
      <c r="E83" s="70" t="n"/>
      <c r="F83" s="69" t="n"/>
    </row>
    <row r="84" ht="28" customHeight="1">
      <c r="B84" s="12" t="inlineStr">
        <is>
          <t>Customer expectations about the escalation were set appropriately</t>
        </is>
      </c>
      <c r="C84" s="79" t="inlineStr">
        <is>
          <t>N.A.</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5</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Correctly handled at L1 - no escalation needed.</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Met</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Met</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Met</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5</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Smooth, confidence-building experience.</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inlineStr">
        <is>
          <t>Outcome documented; minor: node/SN specifics lightly captured.</t>
        </is>
      </c>
      <c r="E107" s="70" t="n"/>
      <c r="F107" s="69" t="n"/>
    </row>
    <row r="108" ht="28" customHeight="1">
      <c r="B108" s="14" t="inlineStr">
        <is>
          <t>Troubleshooting performed is documented</t>
        </is>
      </c>
      <c r="C108" s="79" t="inlineStr">
        <is>
          <t>Met</t>
        </is>
      </c>
      <c r="D108" s="14" t="n"/>
      <c r="E108" s="70" t="n"/>
      <c r="F108" s="69" t="n"/>
    </row>
    <row r="109" ht="28" customHeight="1">
      <c r="B109" s="12" t="inlineStr">
        <is>
          <t>Key findings / discoveries noted</t>
        </is>
      </c>
      <c r="C109" s="79" t="inlineStr">
        <is>
          <t>Met</t>
        </is>
      </c>
      <c r="D109" s="12" t="n"/>
      <c r="E109" s="70" t="n"/>
      <c r="F109" s="69" t="n"/>
    </row>
    <row r="110" ht="28" customHeight="1">
      <c r="B110" s="14" t="inlineStr">
        <is>
          <t>Agent reasoning is captured</t>
        </is>
      </c>
      <c r="C110" s="79" t="inlineStr">
        <is>
          <t>Met</t>
        </is>
      </c>
      <c r="D110" s="14" t="n"/>
      <c r="E110" s="70" t="n"/>
      <c r="F110" s="69" t="n"/>
    </row>
    <row r="111" ht="28" customHeight="1">
      <c r="B111" s="12" t="inlineStr">
        <is>
          <t>Escalation justification included — mark N.A. if no escalation</t>
        </is>
      </c>
      <c r="C111" s="79" t="inlineStr">
        <is>
          <t>N.A.</t>
        </is>
      </c>
      <c r="D111" s="12" t="n"/>
      <c r="E111" s="70" t="n"/>
      <c r="F111" s="69" t="n"/>
    </row>
    <row r="112" ht="28" customHeight="1">
      <c r="B112" s="14" t="inlineStr">
        <is>
          <t>Next steps and follow-up actions listed (incl. callback records)</t>
        </is>
      </c>
      <c r="C112" s="79" t="inlineStr">
        <is>
          <t>Met</t>
        </is>
      </c>
      <c r="D112" s="14" t="n"/>
      <c r="E112" s="70" t="n"/>
      <c r="F112" s="69" t="n"/>
    </row>
    <row r="113" ht="28" customHeight="1">
      <c r="B113" s="12" t="inlineStr">
        <is>
          <t>Ticket status accurately reflects case state (no premature RESOLVED; closure reason documented)</t>
        </is>
      </c>
      <c r="C113" s="79" t="inlineStr">
        <is>
          <t>Partial</t>
        </is>
      </c>
      <c r="D113" s="12" t="n"/>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4</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Adequate notes; could capture node/SN detail more fully (only minor gap).</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Successful Resolution</t>
        </is>
      </c>
      <c r="D131" s="70" t="n"/>
      <c r="E131" s="70" t="n"/>
      <c r="F131" s="69" t="n"/>
    </row>
    <row r="132">
      <c r="B132" s="6" t="inlineStr">
        <is>
          <t>Primary positive outcome achieved</t>
        </is>
      </c>
      <c r="C132" s="81" t="inlineStr">
        <is>
          <t>4th node paired and confirmed working; customer reported no further issues.</t>
        </is>
      </c>
      <c r="D132" s="70" t="n"/>
      <c r="E132" s="70" t="n"/>
      <c r="F132" s="69" t="n"/>
    </row>
    <row r="133" ht="52" customHeight="1">
      <c r="B133" s="4" t="inlineStr">
        <is>
          <t>Justification</t>
        </is>
      </c>
      <c r="C133" s="7" t="inlineStr">
        <is>
          <t>Issue fully resolved at first contact with a confirmed working result and a strong handoff state.</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No</t>
        </is>
      </c>
      <c r="D145" s="12" t="n"/>
      <c r="E145" s="70" t="n"/>
      <c r="F145" s="69" t="n"/>
    </row>
    <row r="146" ht="26" customHeight="1">
      <c r="B146" s="14" t="inlineStr">
        <is>
          <t>Abandoned customer without a path forward</t>
        </is>
      </c>
      <c r="C146" s="79" t="inlineStr">
        <is>
          <t>No</t>
        </is>
      </c>
      <c r="D146" s="14" t="n"/>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No</t>
        </is>
      </c>
      <c r="D150" s="14" t="n"/>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Resolved the node-pairing request cleanly at first contact.</t>
        </is>
      </c>
      <c r="D156" s="70" t="n"/>
      <c r="E156" s="70" t="n"/>
      <c r="F156" s="69" t="n"/>
    </row>
    <row r="157" ht="32" customHeight="1">
      <c r="B157" s="11" t="inlineStr">
        <is>
          <t>2.</t>
        </is>
      </c>
      <c r="C157" s="7" t="inlineStr">
        <is>
          <t>Confirmed the working result before closing - no rework needed.</t>
        </is>
      </c>
      <c r="D157" s="70" t="n"/>
      <c r="E157" s="70" t="n"/>
      <c r="F157" s="69" t="n"/>
    </row>
    <row r="158" ht="32" customHeight="1">
      <c r="B158" s="11" t="inlineStr">
        <is>
          <t>3.</t>
        </is>
      </c>
      <c r="C158" s="7" t="inlineStr">
        <is>
          <t>Left a strong, clear case state (handoff quality 5/5).</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Capture device/SN and node specifics fully for downstream continuity.</t>
        </is>
      </c>
      <c r="D160" s="70" t="n"/>
      <c r="E160" s="70" t="n"/>
      <c r="F160" s="69" t="n"/>
    </row>
    <row r="161" ht="32" customHeight="1">
      <c r="B161" s="11" t="inlineStr">
        <is>
          <t>2.</t>
        </is>
      </c>
      <c r="C161" s="7" t="inlineStr">
        <is>
          <t>(Minor) nothing material - sustain this standard.</t>
        </is>
      </c>
      <c r="D161" s="70" t="n"/>
      <c r="E161" s="70" t="n"/>
      <c r="F161" s="69" t="n"/>
    </row>
    <row r="162" ht="32" customHeight="1">
      <c r="B162" s="11" t="inlineStr">
        <is>
          <t>3.</t>
        </is>
      </c>
      <c r="C162" s="7" t="inlineStr">
        <is>
          <t>Use this interaction as a positive calibration example for the team.</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Recognize and reinforce. Share this touch as a model for first-contact mesh setup: correct diagnosis, confirmed result, clean documentation.</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Positive exemplar. Note this strong first contact predates the email-deliverability and fragmentation problems that derailed the later journey - the breakdown was organizational/continuity, not this agent.</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1 of a 21-touch, 6-agent journey. Handed off a fully resolved node-setup state. The case only reopened later for a separate node-stability/RMA issue.</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Excellent first contact. The customer's immediate need was met completely and confirmed. No coaching concerns; this is the calibration high-water mark for the case.</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Deneive Luar</t>
        </is>
      </c>
      <c r="D5" s="6" t="inlineStr">
        <is>
          <t>Case / Ticket ID</t>
        </is>
      </c>
      <c r="E5" s="81" t="inlineStr">
        <is>
          <t>TE00089221 (Touch 2)</t>
        </is>
      </c>
      <c r="F5" s="69" t="n"/>
    </row>
    <row r="6">
      <c r="B6" s="4" t="inlineStr">
        <is>
          <t>Evaluator (QA)</t>
        </is>
      </c>
      <c r="C6" s="81" t="inlineStr">
        <is>
          <t>QA Review (per PMO Zither Calvin request)</t>
        </is>
      </c>
      <c r="D6" s="6" t="inlineStr">
        <is>
          <t>Interaction Date</t>
        </is>
      </c>
      <c r="E6" s="81" t="inlineStr">
        <is>
          <t>2025-10-13 (Touch 2)</t>
        </is>
      </c>
      <c r="F6" s="69" t="n"/>
    </row>
    <row r="7">
      <c r="B7" s="4" t="inlineStr">
        <is>
          <t>Product</t>
        </is>
      </c>
      <c r="C7" s="81" t="inlineStr">
        <is>
          <t>Velop Pro 7 (mesh)</t>
        </is>
      </c>
      <c r="D7" s="6" t="inlineStr">
        <is>
          <t>Channel</t>
        </is>
      </c>
      <c r="E7" s="81" t="inlineStr">
        <is>
          <t>Phone / Voice</t>
        </is>
      </c>
      <c r="F7" s="69" t="n"/>
    </row>
    <row r="8">
      <c r="B8" s="4" t="inlineStr">
        <is>
          <t>Warranty Status</t>
        </is>
      </c>
      <c r="C8" s="81" t="inlineStr">
        <is>
          <t>In Warranty</t>
        </is>
      </c>
      <c r="D8" s="6" t="inlineStr">
        <is>
          <t>Review Date</t>
        </is>
      </c>
      <c r="E8" s="81" t="inlineStr">
        <is>
          <t>Jun 15, 2026</t>
        </is>
      </c>
      <c r="F8" s="69" t="n"/>
    </row>
    <row r="9">
      <c r="B9" s="4" t="inlineStr">
        <is>
          <t>Case Type</t>
        </is>
      </c>
      <c r="C9" s="81" t="inlineStr">
        <is>
          <t>Technical - connectivity / disconnection troubleshooting</t>
        </is>
      </c>
      <c r="D9" s="6" t="inlineStr">
        <is>
          <t>Interaction Duration</t>
        </is>
      </c>
      <c r="E9" s="81" t="inlineStr">
        <is>
          <t>Not specified</t>
        </is>
      </c>
      <c r="F9" s="69" t="n"/>
    </row>
    <row r="10">
      <c r="B10" s="4" t="inlineStr">
        <is>
          <t>Touch # (multi-touch case)</t>
        </is>
      </c>
      <c r="C10" s="81" t="inlineStr">
        <is>
          <t>2 of 21</t>
        </is>
      </c>
      <c r="D10" s="6" t="inlineStr">
        <is>
          <t>Prior touches reviewed?</t>
        </is>
      </c>
      <c r="E10" s="81" t="inlineStr">
        <is>
          <t>Yes - reviewed in full journey</t>
        </is>
      </c>
      <c r="F10" s="69" t="n"/>
    </row>
    <row r="11">
      <c r="B11" s="4" t="inlineStr">
        <is>
          <t>CSAT / Survey result</t>
        </is>
      </c>
      <c r="C11" s="81" t="inlineStr">
        <is>
          <t>Not captured</t>
        </is>
      </c>
      <c r="D11" s="6" t="inlineStr">
        <is>
          <t>FCR / total contacts</t>
        </is>
      </c>
      <c r="E11" s="81" t="inlineStr">
        <is>
          <t>Not FCR - issue recurs later</t>
        </is>
      </c>
      <c r="F11" s="69" t="n"/>
    </row>
    <row r="12">
      <c r="B12" s="4" t="inlineStr">
        <is>
          <t>Total case time</t>
        </is>
      </c>
      <c r="C12" s="81" t="inlineStr">
        <is>
          <t>~8 months / 21 touches (full journey)</t>
        </is>
      </c>
      <c r="D12" s="6" t="inlineStr">
        <is>
          <t>SLA status</t>
        </is>
      </c>
      <c r="E12" s="81" t="inlineStr">
        <is>
          <t>Within SLA</t>
        </is>
      </c>
      <c r="F12" s="69" t="n"/>
    </row>
    <row r="13" ht="58" customHeight="1">
      <c r="B13" s="6" t="inlineStr">
        <is>
          <t>Case Summary (customer issue &amp; goal)</t>
        </is>
      </c>
      <c r="C13" s="7" t="inlineStr">
        <is>
          <t>Customer reporting connectivity/disconnection issues on the mesh; agent performed reset/reposition troubleshooting.</t>
        </is>
      </c>
      <c r="D13" s="70" t="n"/>
      <c r="E13" s="70" t="n"/>
      <c r="F13" s="69" t="n"/>
    </row>
    <row r="14" ht="46" customHeight="1">
      <c r="B14" s="6" t="inlineStr">
        <is>
          <t>Inherited context (what this agent received from prior touches)</t>
        </is>
      </c>
      <c r="C14" s="7" t="inlineStr">
        <is>
          <t>Inherited a working setup from Touch 1; now addressing emerging connectivity instability.</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Met</t>
        </is>
      </c>
      <c r="D20" s="12" t="inlineStr">
        <is>
          <t>Signal improved to -52 dBm; customer agreed to monitor (not a confirmed fix).</t>
        </is>
      </c>
      <c r="E20" s="70" t="n"/>
      <c r="F20" s="69" t="n"/>
    </row>
    <row r="21" ht="28" customHeight="1">
      <c r="B21" s="14" t="inlineStr">
        <is>
          <t>Reasonable troubleshooting was completed before any conclusion was reached</t>
        </is>
      </c>
      <c r="C21" s="79" t="inlineStr">
        <is>
          <t>Partial</t>
        </is>
      </c>
      <c r="D21" s="14" t="n"/>
      <c r="E21" s="70" t="n"/>
      <c r="F21" s="69" t="n"/>
    </row>
    <row r="22" ht="28" customHeight="1">
      <c r="B22" s="12" t="inlineStr">
        <is>
          <t>Clear, actionable next steps were provided to the customer</t>
        </is>
      </c>
      <c r="C22" s="79" t="inlineStr">
        <is>
          <t>Met</t>
        </is>
      </c>
      <c r="D22" s="12" t="n"/>
      <c r="E22" s="70" t="n"/>
      <c r="F22" s="69" t="n"/>
    </row>
    <row r="23" ht="28" customHeight="1">
      <c r="B23" s="14" t="inlineStr">
        <is>
          <t>Resolution path was appropriate for the situation and warranty status</t>
        </is>
      </c>
      <c r="C23" s="79" t="inlineStr">
        <is>
          <t>Partial</t>
        </is>
      </c>
      <c r="D23" s="14" t="n"/>
      <c r="E23" s="70" t="n"/>
      <c r="F23" s="69" t="n"/>
    </row>
    <row r="24" ht="28" customHeight="1">
      <c r="B24" s="12" t="inlineStr">
        <is>
          <t>Customer was moved meaningfully closer to a solution</t>
        </is>
      </c>
      <c r="C24" s="79" t="inlineStr">
        <is>
          <t>Met</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Real progress (signal improved) but ended on 'monitor' rather than a confirmed resolution.</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Diagnosed weak signal; reset/reposition addressed the symptom.</t>
        </is>
      </c>
      <c r="E33" s="70" t="n"/>
      <c r="F33" s="69" t="n"/>
    </row>
    <row r="34" ht="28" customHeight="1">
      <c r="B34" s="14" t="inlineStr">
        <is>
          <t>Relevant diagnostic questions were asked</t>
        </is>
      </c>
      <c r="C34" s="79" t="inlineStr">
        <is>
          <t>Met</t>
        </is>
      </c>
      <c r="D34" s="14" t="n"/>
      <c r="E34" s="70" t="n"/>
      <c r="F34" s="69" t="n"/>
    </row>
    <row r="35" ht="28" customHeight="1">
      <c r="B35" s="12" t="inlineStr">
        <is>
          <t>Logical troubleshooting methodology was followed</t>
        </is>
      </c>
      <c r="C35" s="79" t="inlineStr">
        <is>
          <t>Met</t>
        </is>
      </c>
      <c r="D35" s="12" t="n"/>
      <c r="E35" s="70" t="n"/>
      <c r="F35" s="69" t="n"/>
    </row>
    <row r="36" ht="28" customHeight="1">
      <c r="B36" s="14" t="inlineStr">
        <is>
          <t>Available tools were used appropriately</t>
        </is>
      </c>
      <c r="C36" s="79" t="inlineStr">
        <is>
          <t>Met</t>
        </is>
      </c>
      <c r="D36" s="14" t="n"/>
      <c r="E36" s="70" t="n"/>
      <c r="F36" s="69" t="n"/>
    </row>
    <row r="37" ht="28" customHeight="1">
      <c r="B37" s="12" t="inlineStr">
        <is>
          <t>Information provided was technically accurate</t>
        </is>
      </c>
      <c r="C37" s="79" t="inlineStr">
        <is>
          <t>Met</t>
        </is>
      </c>
      <c r="D37" s="12" t="inlineStr">
        <is>
          <t>Signal reading (-52 dBm) used as objective evidence.</t>
        </is>
      </c>
      <c r="E37" s="70" t="n"/>
      <c r="F37" s="69" t="n"/>
    </row>
    <row r="38" ht="28" customHeight="1">
      <c r="B38" s="14" t="inlineStr">
        <is>
          <t>Assumptions were validated; no unsupported conclusions</t>
        </is>
      </c>
      <c r="C38" s="79" t="inlineStr">
        <is>
          <t>Met</t>
        </is>
      </c>
      <c r="D38" s="14" t="n"/>
      <c r="E38" s="70" t="n"/>
      <c r="F38" s="69" t="n"/>
    </row>
    <row r="39" ht="28" customHeight="1">
      <c r="B39" s="12" t="inlineStr">
        <is>
          <t>Root cause (or likely cause) was identified when possible</t>
        </is>
      </c>
      <c r="C39" s="79" t="inlineStr">
        <is>
          <t>Partial</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4</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Sound diagnostics - used an objective signal metric (-52 dBm).</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n"/>
      <c r="E48" s="70" t="n"/>
      <c r="F48" s="69" t="n"/>
    </row>
    <row r="49" ht="28" customHeight="1">
      <c r="B49" s="14" t="inlineStr">
        <is>
          <t>Agent maintained control of the troubleshooting flow</t>
        </is>
      </c>
      <c r="C49" s="79" t="inlineStr">
        <is>
          <t>Met</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Met</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Met</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4</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Clear, organized troubleshooting flow.</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n"/>
      <c r="E64" s="70" t="n"/>
      <c r="F64" s="69" t="n"/>
    </row>
    <row r="65" ht="28" customHeight="1">
      <c r="B65" s="14" t="inlineStr">
        <is>
          <t>Unnecessary transfers were avoided</t>
        </is>
      </c>
      <c r="C65" s="79" t="inlineStr">
        <is>
          <t>Partial</t>
        </is>
      </c>
      <c r="D65" s="14" t="n"/>
      <c r="E65" s="70" t="n"/>
      <c r="F65" s="69" t="n"/>
    </row>
    <row r="66" ht="28" customHeight="1">
      <c r="B66" s="12" t="inlineStr">
        <is>
          <t>Commitments made during the interaction were followed through</t>
        </is>
      </c>
      <c r="C66" s="79" t="inlineStr">
        <is>
          <t>Met</t>
        </is>
      </c>
      <c r="D66" s="12" t="n"/>
      <c r="E66" s="70" t="n"/>
      <c r="F66" s="69" t="n"/>
    </row>
    <row r="67" ht="28" customHeight="1">
      <c r="B67" s="14" t="inlineStr">
        <is>
          <t>A clear path forward was created for the customer</t>
        </is>
      </c>
      <c r="C67" s="79" t="inlineStr">
        <is>
          <t>Partial</t>
        </is>
      </c>
      <c r="D67" s="14" t="n"/>
      <c r="E67" s="70" t="n"/>
      <c r="F67" s="69" t="n"/>
    </row>
    <row r="68" ht="28" customHeight="1">
      <c r="B68" s="12" t="inlineStr">
        <is>
          <t>Next actions were documented</t>
        </is>
      </c>
      <c r="C68" s="79" t="inlineStr">
        <is>
          <t>Met</t>
        </is>
      </c>
      <c r="D68" s="12" t="n"/>
      <c r="E68" s="70" t="n"/>
      <c r="F68" s="69" t="n"/>
    </row>
    <row r="69" ht="28" customHeight="1">
      <c r="B69" s="14" t="inlineStr">
        <is>
          <t>Realistic expectations were set</t>
        </is>
      </c>
      <c r="C69" s="79" t="inlineStr">
        <is>
          <t>Partial</t>
        </is>
      </c>
      <c r="D69" s="14" t="n"/>
      <c r="E69" s="70" t="n"/>
      <c r="F69" s="69" t="n"/>
    </row>
    <row r="70" ht="28" customHeight="1">
      <c r="B70" s="12" t="inlineStr">
        <is>
          <t>Disconnect follow-up completed (callback / email / note) — mark N.A. if no disconnect</t>
        </is>
      </c>
      <c r="C70" s="79" t="inlineStr">
        <is>
          <t>N.A.</t>
        </is>
      </c>
      <c r="D70" s="12" t="n"/>
      <c r="E70" s="70" t="n"/>
      <c r="F70" s="69" t="n"/>
    </row>
    <row r="71" ht="28" customHeight="1">
      <c r="B71" s="14" t="inlineStr">
        <is>
          <t>Callback commitments were met within the agreed window (or proactively renegotiated before it lapsed)</t>
        </is>
      </c>
      <c r="C71" s="79" t="inlineStr">
        <is>
          <t>N.A.</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3</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Reasonable ownership; a firmer next-step than 'monitor' would have been stronger.</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Handled within L1; no escalation needed at this stage - appropriate.</t>
        </is>
      </c>
      <c r="E80" s="70" t="n"/>
      <c r="F80" s="69" t="n"/>
    </row>
    <row r="81" ht="28" customHeight="1">
      <c r="B81" s="14" t="inlineStr">
        <is>
          <t>Legitimate escalation criteria were identified (incl. complaint / management / legal-risk triggers)</t>
        </is>
      </c>
      <c r="C81" s="79" t="inlineStr">
        <is>
          <t>N.A.</t>
        </is>
      </c>
      <c r="D81" s="14" t="n"/>
      <c r="E81" s="70" t="n"/>
      <c r="F81" s="69" t="n"/>
    </row>
    <row r="82" ht="28" customHeight="1">
      <c r="B82" s="12" t="inlineStr">
        <is>
          <t>Escalation contained complete, useful details (logs, findings, steps tried)</t>
        </is>
      </c>
      <c r="C82" s="79" t="inlineStr">
        <is>
          <t>N.A.</t>
        </is>
      </c>
      <c r="D82" s="12" t="n"/>
      <c r="E82" s="70" t="n"/>
      <c r="F82" s="69" t="n"/>
    </row>
    <row r="83" ht="28" customHeight="1">
      <c r="B83" s="14" t="inlineStr">
        <is>
          <t>Correct escalation path was chosen</t>
        </is>
      </c>
      <c r="C83" s="79" t="inlineStr">
        <is>
          <t>N.A.</t>
        </is>
      </c>
      <c r="D83" s="14" t="n"/>
      <c r="E83" s="70" t="n"/>
      <c r="F83" s="69" t="n"/>
    </row>
    <row r="84" ht="28" customHeight="1">
      <c r="B84" s="12" t="inlineStr">
        <is>
          <t>Customer expectations about the escalation were set appropriately</t>
        </is>
      </c>
      <c r="C84" s="79" t="inlineStr">
        <is>
          <t>N.A.</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4</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Appropriately kept at L1.</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Met</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Met</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Partial</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4</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Professional, reassuring interaction.</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n"/>
      <c r="E107" s="70" t="n"/>
      <c r="F107" s="69" t="n"/>
    </row>
    <row r="108" ht="28" customHeight="1">
      <c r="B108" s="14" t="inlineStr">
        <is>
          <t>Troubleshooting performed is documented</t>
        </is>
      </c>
      <c r="C108" s="79" t="inlineStr">
        <is>
          <t>Partial</t>
        </is>
      </c>
      <c r="D108" s="14" t="n"/>
      <c r="E108" s="70" t="n"/>
      <c r="F108" s="69" t="n"/>
    </row>
    <row r="109" ht="28" customHeight="1">
      <c r="B109" s="12" t="inlineStr">
        <is>
          <t>Key findings / discoveries noted</t>
        </is>
      </c>
      <c r="C109" s="79" t="inlineStr">
        <is>
          <t>Met</t>
        </is>
      </c>
      <c r="D109" s="12" t="n"/>
      <c r="E109" s="70" t="n"/>
      <c r="F109" s="69" t="n"/>
    </row>
    <row r="110" ht="28" customHeight="1">
      <c r="B110" s="14" t="inlineStr">
        <is>
          <t>Agent reasoning is captured</t>
        </is>
      </c>
      <c r="C110" s="79" t="inlineStr">
        <is>
          <t>Partial</t>
        </is>
      </c>
      <c r="D110" s="14" t="n"/>
      <c r="E110" s="70" t="n"/>
      <c r="F110" s="69" t="n"/>
    </row>
    <row r="111" ht="28" customHeight="1">
      <c r="B111" s="12" t="inlineStr">
        <is>
          <t>Escalation justification included — mark N.A. if no escalation</t>
        </is>
      </c>
      <c r="C111" s="79" t="inlineStr">
        <is>
          <t>N.A.</t>
        </is>
      </c>
      <c r="D111" s="12" t="n"/>
      <c r="E111" s="70" t="n"/>
      <c r="F111" s="69" t="n"/>
    </row>
    <row r="112" ht="28" customHeight="1">
      <c r="B112" s="14" t="inlineStr">
        <is>
          <t>Next steps and follow-up actions listed (incl. callback records)</t>
        </is>
      </c>
      <c r="C112" s="79" t="inlineStr">
        <is>
          <t>Partial</t>
        </is>
      </c>
      <c r="D112" s="14" t="n"/>
      <c r="E112" s="70" t="n"/>
      <c r="F112" s="69" t="n"/>
    </row>
    <row r="113" ht="28" customHeight="1">
      <c r="B113" s="12" t="inlineStr">
        <is>
          <t>Ticket status accurately reflects case state (no premature RESOLVED; closure reason documented)</t>
        </is>
      </c>
      <c r="C113" s="79" t="inlineStr">
        <is>
          <t>Met</t>
        </is>
      </c>
      <c r="D113" s="12" t="n"/>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3</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Notes capture the steps and signal result; next-step ownership lightly defined.</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Partial Resolution</t>
        </is>
      </c>
      <c r="D131" s="70" t="n"/>
      <c r="E131" s="70" t="n"/>
      <c r="F131" s="69" t="n"/>
    </row>
    <row r="132">
      <c r="B132" s="6" t="inlineStr">
        <is>
          <t>Primary positive outcome achieved</t>
        </is>
      </c>
      <c r="C132" s="81" t="inlineStr">
        <is>
          <t>Signal strength improved to -52 dBm; customer agreed to monitor.</t>
        </is>
      </c>
      <c r="D132" s="70" t="n"/>
      <c r="E132" s="70" t="n"/>
      <c r="F132" s="69" t="n"/>
    </row>
    <row r="133" ht="52" customHeight="1">
      <c r="B133" s="4" t="inlineStr">
        <is>
          <t>Justification</t>
        </is>
      </c>
      <c r="C133" s="7" t="inlineStr">
        <is>
          <t>Meaningful technical progress with an objective improvement, but no confirmed fix - the 'monitor' close left the underlying instability open.</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No</t>
        </is>
      </c>
      <c r="D145" s="12" t="n"/>
      <c r="E145" s="70" t="n"/>
      <c r="F145" s="69" t="n"/>
    </row>
    <row r="146" ht="26" customHeight="1">
      <c r="B146" s="14" t="inlineStr">
        <is>
          <t>Abandoned customer without a path forward</t>
        </is>
      </c>
      <c r="C146" s="79" t="inlineStr">
        <is>
          <t>No</t>
        </is>
      </c>
      <c r="D146" s="14" t="n"/>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No</t>
        </is>
      </c>
      <c r="D150" s="14" t="n"/>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Used an objective metric (-52 dBm) to validate improvement.</t>
        </is>
      </c>
      <c r="D156" s="70" t="n"/>
      <c r="E156" s="70" t="n"/>
      <c r="F156" s="69" t="n"/>
    </row>
    <row r="157" ht="32" customHeight="1">
      <c r="B157" s="11" t="inlineStr">
        <is>
          <t>2.</t>
        </is>
      </c>
      <c r="C157" s="7" t="inlineStr">
        <is>
          <t>Organized reset/reposition troubleshooting flow.</t>
        </is>
      </c>
      <c r="D157" s="70" t="n"/>
      <c r="E157" s="70" t="n"/>
      <c r="F157" s="69" t="n"/>
    </row>
    <row r="158" ht="32" customHeight="1">
      <c r="B158" s="11" t="inlineStr">
        <is>
          <t>3.</t>
        </is>
      </c>
      <c r="C158" s="7" t="inlineStr">
        <is>
          <t>Set a reasonable monitoring expectation.</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Replace open-ended 'monitor' with a concrete next step + checkpoint date.</t>
        </is>
      </c>
      <c r="D160" s="70" t="n"/>
      <c r="E160" s="70" t="n"/>
      <c r="F160" s="69" t="n"/>
    </row>
    <row r="161" ht="32" customHeight="1">
      <c r="B161" s="11" t="inlineStr">
        <is>
          <t>2.</t>
        </is>
      </c>
      <c r="C161" s="7" t="inlineStr">
        <is>
          <t>Define ownership of the follow-up if symptoms recur.</t>
        </is>
      </c>
      <c r="D161" s="70" t="n"/>
      <c r="E161" s="70" t="n"/>
      <c r="F161" s="69" t="n"/>
    </row>
    <row r="162" ht="32" customHeight="1">
      <c r="B162" s="11" t="inlineStr">
        <is>
          <t>3.</t>
        </is>
      </c>
      <c r="C162" s="7" t="inlineStr">
        <is>
          <t>Tie monitoring to a specific success criterion the customer can verify.</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Coach on converting 'monitor and see' into a defined plan: success criterion, checkpoint date, and who owns the follow-up if it recurs.</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The recurring instability that 'monitor' deferred is the same node issue that drove the rest of the 8-month case - earlier firm resolution criteria might have shortened the journey.</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2 of 21. Decent execution, but the soft 'monitor' close is the first point where the case could have been pinned down and was not.</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Competent technical touch with a measurable improvement. The coaching point is closure discipline - convert monitoring into a concrete, owned next step.</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Dorothy Belle Oraiz</t>
        </is>
      </c>
      <c r="D5" s="6" t="inlineStr">
        <is>
          <t>Case / Ticket ID</t>
        </is>
      </c>
      <c r="E5" s="81" t="inlineStr">
        <is>
          <t>TE00089221 (Touch 3)</t>
        </is>
      </c>
      <c r="F5" s="69" t="n"/>
    </row>
    <row r="6">
      <c r="B6" s="4" t="inlineStr">
        <is>
          <t>Evaluator (QA)</t>
        </is>
      </c>
      <c r="C6" s="81" t="inlineStr">
        <is>
          <t>QA Review (per PMO Zither Calvin request)</t>
        </is>
      </c>
      <c r="D6" s="6" t="inlineStr">
        <is>
          <t>Interaction Date</t>
        </is>
      </c>
      <c r="E6" s="81" t="inlineStr">
        <is>
          <t>2025-10-20 (Touch 3)</t>
        </is>
      </c>
      <c r="F6" s="69" t="n"/>
    </row>
    <row r="7">
      <c r="B7" s="4" t="inlineStr">
        <is>
          <t>Product</t>
        </is>
      </c>
      <c r="C7" s="81" t="inlineStr">
        <is>
          <t>Velop Pro 7 (mesh)</t>
        </is>
      </c>
      <c r="D7" s="6" t="inlineStr">
        <is>
          <t>Channel</t>
        </is>
      </c>
      <c r="E7" s="81" t="inlineStr">
        <is>
          <t>Phone / Voice</t>
        </is>
      </c>
      <c r="F7" s="69" t="n"/>
    </row>
    <row r="8">
      <c r="B8" s="4" t="inlineStr">
        <is>
          <t>Warranty Status</t>
        </is>
      </c>
      <c r="C8" s="81" t="inlineStr">
        <is>
          <t>In Warranty</t>
        </is>
      </c>
      <c r="D8" s="6" t="inlineStr">
        <is>
          <t>Review Date</t>
        </is>
      </c>
      <c r="E8" s="81" t="inlineStr">
        <is>
          <t>Jun 15, 2026</t>
        </is>
      </c>
      <c r="F8" s="69" t="n"/>
    </row>
    <row r="9">
      <c r="B9" s="4" t="inlineStr">
        <is>
          <t>Case Type</t>
        </is>
      </c>
      <c r="C9" s="81" t="inlineStr">
        <is>
          <t>Technical - persistent disconnection</t>
        </is>
      </c>
      <c r="D9" s="6" t="inlineStr">
        <is>
          <t>Interaction Duration</t>
        </is>
      </c>
      <c r="E9" s="81" t="inlineStr">
        <is>
          <t>Not specified</t>
        </is>
      </c>
      <c r="F9" s="69" t="n"/>
    </row>
    <row r="10">
      <c r="B10" s="4" t="inlineStr">
        <is>
          <t>Touch # (multi-touch case)</t>
        </is>
      </c>
      <c r="C10" s="81" t="inlineStr">
        <is>
          <t>3 of 21</t>
        </is>
      </c>
      <c r="D10" s="6" t="inlineStr">
        <is>
          <t>Prior touches reviewed?</t>
        </is>
      </c>
      <c r="E10" s="81" t="inlineStr">
        <is>
          <t>Yes - reviewed in full journey</t>
        </is>
      </c>
      <c r="F10" s="69" t="n"/>
    </row>
    <row r="11">
      <c r="B11" s="4" t="inlineStr">
        <is>
          <t>CSAT / Survey result</t>
        </is>
      </c>
      <c r="C11" s="81" t="inlineStr">
        <is>
          <t>Not captured</t>
        </is>
      </c>
      <c r="D11" s="6" t="inlineStr">
        <is>
          <t>FCR / total contacts</t>
        </is>
      </c>
      <c r="E11" s="81" t="inlineStr">
        <is>
          <t>Not FCR - escalated</t>
        </is>
      </c>
      <c r="F11" s="69" t="n"/>
    </row>
    <row r="12">
      <c r="B12" s="4" t="inlineStr">
        <is>
          <t>Total case time</t>
        </is>
      </c>
      <c r="C12" s="81" t="inlineStr">
        <is>
          <t>~8 months / 21 touches (full journey)</t>
        </is>
      </c>
      <c r="D12" s="6" t="inlineStr">
        <is>
          <t>SLA status</t>
        </is>
      </c>
      <c r="E12" s="81" t="inlineStr">
        <is>
          <t>Within SLA (24-48h callback set)</t>
        </is>
      </c>
      <c r="F12" s="69" t="n"/>
    </row>
    <row r="13" ht="58" customHeight="1">
      <c r="B13" s="6" t="inlineStr">
        <is>
          <t>Case Summary (customer issue &amp; goal)</t>
        </is>
      </c>
      <c r="C13" s="7" t="inlineStr">
        <is>
          <t>Persistent disconnection on the mesh; agent attempted diagnostics but was blocked by a router admin-password issue, then escalated to L2 with supervisor approval and a 24-48hr callback.</t>
        </is>
      </c>
      <c r="D13" s="70" t="n"/>
      <c r="E13" s="70" t="n"/>
      <c r="F13" s="69" t="n"/>
    </row>
    <row r="14" ht="46" customHeight="1">
      <c r="B14" s="6" t="inlineStr">
        <is>
          <t>Inherited context (what this agent received from prior touches)</t>
        </is>
      </c>
      <c r="C14" s="7" t="inlineStr">
        <is>
          <t>Inherited an unresolved, recurring disconnection issue (monitoring from Touch 2 did not hold).</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Met</t>
        </is>
      </c>
      <c r="D20" s="12" t="inlineStr">
        <is>
          <t>Strong available outcome given the blocker: valid L2 escalation with supervisor approval and a 24-48hr callback.</t>
        </is>
      </c>
      <c r="E20" s="70" t="n"/>
      <c r="F20" s="69" t="n"/>
    </row>
    <row r="21" ht="28" customHeight="1">
      <c r="B21" s="14" t="inlineStr">
        <is>
          <t>Reasonable troubleshooting was completed before any conclusion was reached</t>
        </is>
      </c>
      <c r="C21" s="79" t="inlineStr">
        <is>
          <t>Met</t>
        </is>
      </c>
      <c r="D21" s="14" t="n"/>
      <c r="E21" s="70" t="n"/>
      <c r="F21" s="69" t="n"/>
    </row>
    <row r="22" ht="28" customHeight="1">
      <c r="B22" s="12" t="inlineStr">
        <is>
          <t>Clear, actionable next steps were provided to the customer</t>
        </is>
      </c>
      <c r="C22" s="79" t="inlineStr">
        <is>
          <t>Met</t>
        </is>
      </c>
      <c r="D22" s="12" t="n"/>
      <c r="E22" s="70" t="n"/>
      <c r="F22" s="69" t="n"/>
    </row>
    <row r="23" ht="28" customHeight="1">
      <c r="B23" s="14" t="inlineStr">
        <is>
          <t>Resolution path was appropriate for the situation and warranty status</t>
        </is>
      </c>
      <c r="C23" s="79" t="inlineStr">
        <is>
          <t>Met</t>
        </is>
      </c>
      <c r="D23" s="14" t="n"/>
      <c r="E23" s="70" t="n"/>
      <c r="F23" s="69" t="n"/>
    </row>
    <row r="24" ht="28" customHeight="1">
      <c r="B24" s="12" t="inlineStr">
        <is>
          <t>Customer was moved meaningfully closer to a solution</t>
        </is>
      </c>
      <c r="C24" s="79" t="inlineStr">
        <is>
          <t>Partial</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4</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Made the right call - escalated appropriately when blocked, with a concrete callback path.</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Persistent disconnection correctly characterized.</t>
        </is>
      </c>
      <c r="E33" s="70" t="n"/>
      <c r="F33" s="69" t="n"/>
    </row>
    <row r="34" ht="28" customHeight="1">
      <c r="B34" s="14" t="inlineStr">
        <is>
          <t>Relevant diagnostic questions were asked</t>
        </is>
      </c>
      <c r="C34" s="79" t="inlineStr">
        <is>
          <t>Partial</t>
        </is>
      </c>
      <c r="D34" s="14" t="n"/>
      <c r="E34" s="70" t="n"/>
      <c r="F34" s="69" t="n"/>
    </row>
    <row r="35" ht="28" customHeight="1">
      <c r="B35" s="12" t="inlineStr">
        <is>
          <t>Logical troubleshooting methodology was followed</t>
        </is>
      </c>
      <c r="C35" s="79" t="inlineStr">
        <is>
          <t>Met</t>
        </is>
      </c>
      <c r="D35" s="12" t="n"/>
      <c r="E35" s="70" t="n"/>
      <c r="F35" s="69" t="n"/>
    </row>
    <row r="36" ht="28" customHeight="1">
      <c r="B36" s="14" t="inlineStr">
        <is>
          <t>Available tools were used appropriately</t>
        </is>
      </c>
      <c r="C36" s="79" t="inlineStr">
        <is>
          <t>Partial</t>
        </is>
      </c>
      <c r="D36" s="14" t="inlineStr">
        <is>
          <t>Diagnostics blocked by a router admin-password issue - limited tool access.</t>
        </is>
      </c>
      <c r="E36" s="70" t="n"/>
      <c r="F36" s="69" t="n"/>
    </row>
    <row r="37" ht="28" customHeight="1">
      <c r="B37" s="12" t="inlineStr">
        <is>
          <t>Information provided was technically accurate</t>
        </is>
      </c>
      <c r="C37" s="79" t="inlineStr">
        <is>
          <t>Met</t>
        </is>
      </c>
      <c r="D37" s="12" t="n"/>
      <c r="E37" s="70" t="n"/>
      <c r="F37" s="69" t="n"/>
    </row>
    <row r="38" ht="28" customHeight="1">
      <c r="B38" s="14" t="inlineStr">
        <is>
          <t>Assumptions were validated; no unsupported conclusions</t>
        </is>
      </c>
      <c r="C38" s="79" t="inlineStr">
        <is>
          <t>Partial</t>
        </is>
      </c>
      <c r="D38" s="14" t="n"/>
      <c r="E38" s="70" t="n"/>
      <c r="F38" s="69" t="n"/>
    </row>
    <row r="39" ht="28" customHeight="1">
      <c r="B39" s="12" t="inlineStr">
        <is>
          <t>Root cause (or likely cause) was identified when possible</t>
        </is>
      </c>
      <c r="C39" s="79" t="inlineStr">
        <is>
          <t>Met</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3</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Diagnosis was sound; depth limited by the password/access blocker (not the agent's fault).</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n"/>
      <c r="E48" s="70" t="n"/>
      <c r="F48" s="69" t="n"/>
    </row>
    <row r="49" ht="28" customHeight="1">
      <c r="B49" s="14" t="inlineStr">
        <is>
          <t>Agent maintained control of the troubleshooting flow</t>
        </is>
      </c>
      <c r="C49" s="79" t="inlineStr">
        <is>
          <t>Met</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Met</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Met</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4</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Clear communication of the blocker and the escalation plan.</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n"/>
      <c r="E64" s="70" t="n"/>
      <c r="F64" s="69" t="n"/>
    </row>
    <row r="65" ht="28" customHeight="1">
      <c r="B65" s="14" t="inlineStr">
        <is>
          <t>Unnecessary transfers were avoided</t>
        </is>
      </c>
      <c r="C65" s="79" t="inlineStr">
        <is>
          <t>Met</t>
        </is>
      </c>
      <c r="D65" s="14" t="n"/>
      <c r="E65" s="70" t="n"/>
      <c r="F65" s="69" t="n"/>
    </row>
    <row r="66" ht="28" customHeight="1">
      <c r="B66" s="12" t="inlineStr">
        <is>
          <t>Commitments made during the interaction were followed through</t>
        </is>
      </c>
      <c r="C66" s="79" t="inlineStr">
        <is>
          <t>Met</t>
        </is>
      </c>
      <c r="D66" s="12" t="n"/>
      <c r="E66" s="70" t="n"/>
      <c r="F66" s="69" t="n"/>
    </row>
    <row r="67" ht="28" customHeight="1">
      <c r="B67" s="14" t="inlineStr">
        <is>
          <t>A clear path forward was created for the customer</t>
        </is>
      </c>
      <c r="C67" s="79" t="inlineStr">
        <is>
          <t>Met</t>
        </is>
      </c>
      <c r="D67" s="14" t="n"/>
      <c r="E67" s="70" t="n"/>
      <c r="F67" s="69" t="n"/>
    </row>
    <row r="68" ht="28" customHeight="1">
      <c r="B68" s="12" t="inlineStr">
        <is>
          <t>Next actions were documented</t>
        </is>
      </c>
      <c r="C68" s="79" t="inlineStr">
        <is>
          <t>Met</t>
        </is>
      </c>
      <c r="D68" s="12" t="n"/>
      <c r="E68" s="70" t="n"/>
      <c r="F68" s="69" t="n"/>
    </row>
    <row r="69" ht="28" customHeight="1">
      <c r="B69" s="14" t="inlineStr">
        <is>
          <t>Realistic expectations were set</t>
        </is>
      </c>
      <c r="C69" s="79" t="inlineStr">
        <is>
          <t>Met</t>
        </is>
      </c>
      <c r="D69" s="14" t="n"/>
      <c r="E69" s="70" t="n"/>
      <c r="F69" s="69" t="n"/>
    </row>
    <row r="70" ht="28" customHeight="1">
      <c r="B70" s="12" t="inlineStr">
        <is>
          <t>Disconnect follow-up completed (callback / email / note) — mark N.A. if no disconnect</t>
        </is>
      </c>
      <c r="C70" s="79" t="inlineStr">
        <is>
          <t>N.A.</t>
        </is>
      </c>
      <c r="D70" s="12" t="n"/>
      <c r="E70" s="70" t="n"/>
      <c r="F70" s="69" t="n"/>
    </row>
    <row r="71" ht="28" customHeight="1">
      <c r="B71" s="14" t="inlineStr">
        <is>
          <t>Callback commitments were met within the agreed window (or proactively renegotiated before it lapsed)</t>
        </is>
      </c>
      <c r="C71" s="79" t="inlineStr">
        <is>
          <t>N.A.</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4</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Owned the case to a clean handoff with supervisor approval.</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Met</t>
        </is>
      </c>
      <c r="D80" s="12" t="inlineStr">
        <is>
          <t>Reasonable diagnostics attempted before escalating.</t>
        </is>
      </c>
      <c r="E80" s="70" t="n"/>
      <c r="F80" s="69" t="n"/>
    </row>
    <row r="81" ht="28" customHeight="1">
      <c r="B81" s="14" t="inlineStr">
        <is>
          <t>Legitimate escalation criteria were identified (incl. complaint / management / legal-risk triggers)</t>
        </is>
      </c>
      <c r="C81" s="79" t="inlineStr">
        <is>
          <t>Met</t>
        </is>
      </c>
      <c r="D81" s="14" t="inlineStr">
        <is>
          <t>Legitimate criteria: persistent issue + diagnostic blocker = valid L2 escalation.</t>
        </is>
      </c>
      <c r="E81" s="70" t="n"/>
      <c r="F81" s="69" t="n"/>
    </row>
    <row r="82" ht="28" customHeight="1">
      <c r="B82" s="12" t="inlineStr">
        <is>
          <t>Escalation contained complete, useful details (logs, findings, steps tried)</t>
        </is>
      </c>
      <c r="C82" s="79" t="inlineStr">
        <is>
          <t>Met</t>
        </is>
      </c>
      <c r="D82" s="12" t="inlineStr">
        <is>
          <t>Escalation routed with supervisor approval and a callback commitment.</t>
        </is>
      </c>
      <c r="E82" s="70" t="n"/>
      <c r="F82" s="69" t="n"/>
    </row>
    <row r="83" ht="28" customHeight="1">
      <c r="B83" s="14" t="inlineStr">
        <is>
          <t>Correct escalation path was chosen</t>
        </is>
      </c>
      <c r="C83" s="79" t="inlineStr">
        <is>
          <t>Met</t>
        </is>
      </c>
      <c r="D83" s="14" t="n"/>
      <c r="E83" s="70" t="n"/>
      <c r="F83" s="69" t="n"/>
    </row>
    <row r="84" ht="28" customHeight="1">
      <c r="B84" s="12" t="inlineStr">
        <is>
          <t>Customer expectations about the escalation were set appropriately</t>
        </is>
      </c>
      <c r="C84" s="79" t="inlineStr">
        <is>
          <t>Met</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5</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Model escalation judgment (5/5) - justified, approved, and documented.</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Partial</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Partial</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Partial</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3</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Set realistic expectations about the L2 callback.</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n"/>
      <c r="E107" s="70" t="n"/>
      <c r="F107" s="69" t="n"/>
    </row>
    <row r="108" ht="28" customHeight="1">
      <c r="B108" s="14" t="inlineStr">
        <is>
          <t>Troubleshooting performed is documented</t>
        </is>
      </c>
      <c r="C108" s="79" t="inlineStr">
        <is>
          <t>Met</t>
        </is>
      </c>
      <c r="D108" s="14" t="n"/>
      <c r="E108" s="70" t="n"/>
      <c r="F108" s="69" t="n"/>
    </row>
    <row r="109" ht="28" customHeight="1">
      <c r="B109" s="12" t="inlineStr">
        <is>
          <t>Key findings / discoveries noted</t>
        </is>
      </c>
      <c r="C109" s="79" t="inlineStr">
        <is>
          <t>Met</t>
        </is>
      </c>
      <c r="D109" s="12" t="n"/>
      <c r="E109" s="70" t="n"/>
      <c r="F109" s="69" t="n"/>
    </row>
    <row r="110" ht="28" customHeight="1">
      <c r="B110" s="14" t="inlineStr">
        <is>
          <t>Agent reasoning is captured</t>
        </is>
      </c>
      <c r="C110" s="79" t="inlineStr">
        <is>
          <t>Met</t>
        </is>
      </c>
      <c r="D110" s="14" t="n"/>
      <c r="E110" s="70" t="n"/>
      <c r="F110" s="69" t="n"/>
    </row>
    <row r="111" ht="28" customHeight="1">
      <c r="B111" s="12" t="inlineStr">
        <is>
          <t>Escalation justification included — mark N.A. if no escalation</t>
        </is>
      </c>
      <c r="C111" s="79" t="inlineStr">
        <is>
          <t>Met</t>
        </is>
      </c>
      <c r="D111" s="12" t="inlineStr">
        <is>
          <t>Escalation justification documented; 24-48hr callback recorded.</t>
        </is>
      </c>
      <c r="E111" s="70" t="n"/>
      <c r="F111" s="69" t="n"/>
    </row>
    <row r="112" ht="28" customHeight="1">
      <c r="B112" s="14" t="inlineStr">
        <is>
          <t>Next steps and follow-up actions listed (incl. callback records)</t>
        </is>
      </c>
      <c r="C112" s="79" t="inlineStr">
        <is>
          <t>Met</t>
        </is>
      </c>
      <c r="D112" s="14" t="n"/>
      <c r="E112" s="70" t="n"/>
      <c r="F112" s="69" t="n"/>
    </row>
    <row r="113" ht="28" customHeight="1">
      <c r="B113" s="12" t="inlineStr">
        <is>
          <t>Ticket status accurately reflects case state (no premature RESOLVED; closure reason documented)</t>
        </is>
      </c>
      <c r="C113" s="79" t="inlineStr">
        <is>
          <t>Partial</t>
        </is>
      </c>
      <c r="D113" s="12" t="n"/>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4</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Escalation rationale and callback window clearly documented.</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Appropriate Escalation</t>
        </is>
      </c>
      <c r="D131" s="70" t="n"/>
      <c r="E131" s="70" t="n"/>
      <c r="F131" s="69" t="n"/>
    </row>
    <row r="132">
      <c r="B132" s="6" t="inlineStr">
        <is>
          <t>Primary positive outcome achieved</t>
        </is>
      </c>
      <c r="C132" s="81" t="inlineStr">
        <is>
          <t>Valid L2 escalation with supervisor approval and a 24-48hr callback commitment.</t>
        </is>
      </c>
      <c r="D132" s="70" t="n"/>
      <c r="E132" s="70" t="n"/>
      <c r="F132" s="69" t="n"/>
    </row>
    <row r="133" ht="52" customHeight="1">
      <c r="B133" s="4" t="inlineStr">
        <is>
          <t>Justification</t>
        </is>
      </c>
      <c r="C133" s="7" t="inlineStr">
        <is>
          <t>When local diagnostics were blocked by an access issue, the agent escalated correctly with approval and a documented callback - the strongest available outcome at that point.</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No</t>
        </is>
      </c>
      <c r="D145" s="12" t="n"/>
      <c r="E145" s="70" t="n"/>
      <c r="F145" s="69" t="n"/>
    </row>
    <row r="146" ht="26" customHeight="1">
      <c r="B146" s="14" t="inlineStr">
        <is>
          <t>Abandoned customer without a path forward</t>
        </is>
      </c>
      <c r="C146" s="79" t="inlineStr">
        <is>
          <t>No</t>
        </is>
      </c>
      <c r="D146" s="14" t="n"/>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No</t>
        </is>
      </c>
      <c r="D150" s="14" t="n"/>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Recognized a true blocker and escalated with supervisor approval.</t>
        </is>
      </c>
      <c r="D156" s="70" t="n"/>
      <c r="E156" s="70" t="n"/>
      <c r="F156" s="69" t="n"/>
    </row>
    <row r="157" ht="32" customHeight="1">
      <c r="B157" s="11" t="inlineStr">
        <is>
          <t>2.</t>
        </is>
      </c>
      <c r="C157" s="7" t="inlineStr">
        <is>
          <t>Set a concrete 24-48hr callback expectation.</t>
        </is>
      </c>
      <c r="D157" s="70" t="n"/>
      <c r="E157" s="70" t="n"/>
      <c r="F157" s="69" t="n"/>
    </row>
    <row r="158" ht="32" customHeight="1">
      <c r="B158" s="11" t="inlineStr">
        <is>
          <t>3.</t>
        </is>
      </c>
      <c r="C158" s="7" t="inlineStr">
        <is>
          <t>Documented the escalation rationale clearly.</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Where possible, resolve the admin-password blocker in-call to enable fuller diagnostics before escalating.</t>
        </is>
      </c>
      <c r="D160" s="70" t="n"/>
      <c r="E160" s="70" t="n"/>
      <c r="F160" s="69" t="n"/>
    </row>
    <row r="161" ht="32" customHeight="1">
      <c r="B161" s="11" t="inlineStr">
        <is>
          <t>2.</t>
        </is>
      </c>
      <c r="C161" s="7" t="inlineStr">
        <is>
          <t>Confirm the L2 callback was actually scheduled in the system, not just promised.</t>
        </is>
      </c>
      <c r="D161" s="70" t="n"/>
      <c r="E161" s="70" t="n"/>
      <c r="F161" s="69" t="n"/>
    </row>
    <row r="162" ht="32" customHeight="1">
      <c r="B162" s="11" t="inlineStr">
        <is>
          <t>3.</t>
        </is>
      </c>
      <c r="C162" s="7" t="inlineStr">
        <is>
          <t>Add a one-line 'what L2 should do next' to tighten the handoff.</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Reinforce this escalation as well-judged. Coach lightly on attempting to clear access blockers (admin password reset) in-call to maximize L1 diagnostics first.</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The 24-48hr callback Dorothy set was the entry point to Eric Marbella's long ownership - the handoff itself was sound; continuity broke later, not here.</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3 of 21. Clean L1-to-L2 escalation with approval and a callback - a strong handoff (4/5) into the L2 phase.</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Strong escalation judgment under a genuine diagnostic blocker. Appropriate, approved, and documented - exactly how an L1-to-L2 handoff should look.</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Eric Marbella</t>
        </is>
      </c>
      <c r="D5" s="6" t="inlineStr">
        <is>
          <t>Case / Ticket ID</t>
        </is>
      </c>
      <c r="E5" s="81" t="inlineStr">
        <is>
          <t>TE00089221 (L2: LTS00106915 / LTS00109368)</t>
        </is>
      </c>
      <c r="F5" s="69" t="n"/>
    </row>
    <row r="6">
      <c r="B6" s="4" t="inlineStr">
        <is>
          <t>Evaluator (QA)</t>
        </is>
      </c>
      <c r="C6" s="81" t="inlineStr">
        <is>
          <t>QA Review (per PMO Zither Calvin request)</t>
        </is>
      </c>
      <c r="D6" s="6" t="inlineStr">
        <is>
          <t>Interaction Date</t>
        </is>
      </c>
      <c r="E6" s="81" t="inlineStr">
        <is>
          <t>2025-10-20 - 2026-02-24 (Touches 4-21)</t>
        </is>
      </c>
      <c r="F6" s="69" t="n"/>
    </row>
    <row r="7">
      <c r="B7" s="4" t="inlineStr">
        <is>
          <t>Product</t>
        </is>
      </c>
      <c r="C7" s="81" t="inlineStr">
        <is>
          <t>Velop Pro 7 (mesh - node 4 unstable)</t>
        </is>
      </c>
      <c r="D7" s="6" t="inlineStr">
        <is>
          <t>Channel</t>
        </is>
      </c>
      <c r="E7" s="81" t="inlineStr">
        <is>
          <t>Phone / Voice + Email</t>
        </is>
      </c>
      <c r="F7" s="69" t="n"/>
    </row>
    <row r="8">
      <c r="B8" s="4" t="inlineStr">
        <is>
          <t>Warranty Status</t>
        </is>
      </c>
      <c r="C8" s="81" t="inlineStr">
        <is>
          <t>In Warranty (replacement/RMA pursued)</t>
        </is>
      </c>
      <c r="D8" s="6" t="inlineStr">
        <is>
          <t>Review Date</t>
        </is>
      </c>
      <c r="E8" s="81" t="inlineStr">
        <is>
          <t>Jun 15, 2026</t>
        </is>
      </c>
      <c r="F8" s="69" t="n"/>
    </row>
    <row r="9">
      <c r="B9" s="4" t="inlineStr">
        <is>
          <t>Case Type</t>
        </is>
      </c>
      <c r="C9" s="81" t="inlineStr">
        <is>
          <t>Technical - node instability -&gt; replacement/RMA, entangled with email deliverability</t>
        </is>
      </c>
      <c r="D9" s="6" t="inlineStr">
        <is>
          <t>Interaction Duration</t>
        </is>
      </c>
      <c r="E9" s="81" t="inlineStr">
        <is>
          <t>16 touches over ~5 months</t>
        </is>
      </c>
      <c r="F9" s="69" t="n"/>
    </row>
    <row r="10">
      <c r="B10" s="4" t="inlineStr">
        <is>
          <t>Touch # (multi-touch case)</t>
        </is>
      </c>
      <c r="C10" s="81" t="inlineStr">
        <is>
          <t>16 touches (T4, T5, T8-T21) - consolidated agent scorecard; dominant agent on the case</t>
        </is>
      </c>
      <c r="D10" s="6" t="inlineStr">
        <is>
          <t>Prior touches reviewed?</t>
        </is>
      </c>
      <c r="E10" s="81" t="inlineStr">
        <is>
          <t>Yes - full journey reviewed</t>
        </is>
      </c>
      <c r="F10" s="69" t="n"/>
    </row>
    <row r="11">
      <c r="B11" s="4" t="inlineStr">
        <is>
          <t>CSAT / Survey result</t>
        </is>
      </c>
      <c r="C11" s="81" t="inlineStr">
        <is>
          <t>Implied very low (customer escalated to CEO)</t>
        </is>
      </c>
      <c r="D11" s="6" t="inlineStr">
        <is>
          <t>FCR / total contacts</t>
        </is>
      </c>
      <c r="E11" s="81" t="inlineStr">
        <is>
          <t>Not FCR - 16 touches by this agent</t>
        </is>
      </c>
      <c r="F11" s="69" t="n"/>
    </row>
    <row r="12">
      <c r="B12" s="4" t="inlineStr">
        <is>
          <t>Total case time</t>
        </is>
      </c>
      <c r="C12" s="81" t="inlineStr">
        <is>
          <t>~8 months / 21 touches total</t>
        </is>
      </c>
      <c r="D12" s="6" t="inlineStr">
        <is>
          <t>SLA status</t>
        </is>
      </c>
      <c r="E12" s="81" t="inlineStr">
        <is>
          <t>SLA BREACHED (Mar 2-3 24-48h missed; PMO intervention)</t>
        </is>
      </c>
      <c r="F12" s="69" t="n"/>
    </row>
    <row r="13" ht="58" customHeight="1">
      <c r="B13" s="6" t="inlineStr">
        <is>
          <t>Case Summary (customer issue &amp; goal)</t>
        </is>
      </c>
      <c r="C13" s="7" t="inlineStr">
        <is>
          <t>Customer's Velop Pro 7 node 4 remained unstable. Across 16 touches Eric drove signal checks, firmware revert, product-registration fixes, and an RMA/replacement effort - all entangled with an email-deliverability problem isolated to the customer's Earthlink address. The case fragmented across multiple tickets, sysinfo logs were lost twice, an RMA determination was reversed, the final SLA was missed, and the customer escalated to the CEO.</t>
        </is>
      </c>
      <c r="D13" s="70" t="n"/>
      <c r="E13" s="70" t="n"/>
      <c r="F13" s="69" t="n"/>
    </row>
    <row r="14" ht="46" customHeight="1">
      <c r="B14" s="6" t="inlineStr">
        <is>
          <t>Inherited context (what this agent received from prior touches)</t>
        </is>
      </c>
      <c r="C14" s="7" t="inlineStr">
        <is>
          <t>Took over from Dorothy's L2 escalation (Touch 3). Inherited an unresolved node-disconnection case that became a replacement effort; also inherited (undocumented) the email-deliverability problem first seen at Touch 6.</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Met</t>
        </is>
      </c>
      <c r="D20" s="12" t="inlineStr">
        <is>
          <t>Strong-available outcome NOT achieved: by Touch 21 the case is unresolved, the RMA was reversed (T18), and the customer escalated to the CEO (Mar 16).</t>
        </is>
      </c>
      <c r="E20" s="70" t="n"/>
      <c r="F20" s="69" t="n"/>
    </row>
    <row r="21" ht="28" customHeight="1">
      <c r="B21" s="14" t="inlineStr">
        <is>
          <t>Reasonable troubleshooting was completed before any conclusion was reached</t>
        </is>
      </c>
      <c r="C21" s="79" t="inlineStr">
        <is>
          <t>Partial</t>
        </is>
      </c>
      <c r="D21" s="14" t="inlineStr">
        <is>
          <t>Troubleshooting was often re-introduced (T11) that the customer believed was already done; sysinfo logs were lost twice (T19, reopened T17).</t>
        </is>
      </c>
      <c r="E21" s="70" t="n"/>
      <c r="F21" s="69" t="n"/>
    </row>
    <row r="22" ht="28" customHeight="1">
      <c r="B22" s="12" t="inlineStr">
        <is>
          <t>Clear, actionable next steps were provided to the customer</t>
        </is>
      </c>
      <c r="C22" s="79" t="inlineStr">
        <is>
          <t>Met</t>
        </is>
      </c>
      <c r="D22" s="12" t="n"/>
      <c r="E22" s="70" t="n"/>
      <c r="F22" s="69" t="n"/>
    </row>
    <row r="23" ht="28" customHeight="1">
      <c r="B23" s="14" t="inlineStr">
        <is>
          <t>Resolution path was appropriate for the situation and warranty status</t>
        </is>
      </c>
      <c r="C23" s="79" t="inlineStr">
        <is>
          <t>Partial</t>
        </is>
      </c>
      <c r="D23" s="14" t="n"/>
      <c r="E23" s="70" t="n"/>
      <c r="F23" s="69" t="n"/>
    </row>
    <row r="24" ht="28" customHeight="1">
      <c r="B24" s="12" t="inlineStr">
        <is>
          <t>Customer was moved meaningfully closer to a solution</t>
        </is>
      </c>
      <c r="C24" s="79" t="inlineStr">
        <is>
          <t>Met</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Months of genuine effort and some real wins (T12), but the case ends unresolved with a reversed RMA and a CEO escalation - net resolution progress is weak.</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Diagnosis was generally competent mid-journey (T12 registration fix; T14-16 isolating the email issue to Earthlink).</t>
        </is>
      </c>
      <c r="E33" s="70" t="n"/>
      <c r="F33" s="69" t="n"/>
    </row>
    <row r="34" ht="28" customHeight="1">
      <c r="B34" s="14" t="inlineStr">
        <is>
          <t>Relevant diagnostic questions were asked</t>
        </is>
      </c>
      <c r="C34" s="79" t="inlineStr">
        <is>
          <t>Partial</t>
        </is>
      </c>
      <c r="D34" s="14" t="n"/>
      <c r="E34" s="70" t="n"/>
      <c r="F34" s="69" t="n"/>
    </row>
    <row r="35" ht="28" customHeight="1">
      <c r="B35" s="12" t="inlineStr">
        <is>
          <t>Logical troubleshooting methodology was followed</t>
        </is>
      </c>
      <c r="C35" s="79" t="inlineStr">
        <is>
          <t>Met</t>
        </is>
      </c>
      <c r="D35" s="12" t="inlineStr">
        <is>
          <t>Methodology held early/mid but degraded late (T17 escalation before confirming logs were captured; T18 RMA walk-back).</t>
        </is>
      </c>
      <c r="E35" s="70" t="n"/>
      <c r="F35" s="69" t="n"/>
    </row>
    <row r="36" ht="28" customHeight="1">
      <c r="B36" s="14" t="inlineStr">
        <is>
          <t>Available tools were used appropriately</t>
        </is>
      </c>
      <c r="C36" s="79" t="inlineStr">
        <is>
          <t>Partial</t>
        </is>
      </c>
      <c r="D36" s="14" t="n"/>
      <c r="E36" s="70" t="n"/>
      <c r="F36" s="69" t="n"/>
    </row>
    <row r="37" ht="28" customHeight="1">
      <c r="B37" s="12" t="inlineStr">
        <is>
          <t>Information provided was technically accurate</t>
        </is>
      </c>
      <c r="C37" s="79" t="inlineStr">
        <is>
          <t>Met</t>
        </is>
      </c>
      <c r="D37" s="12" t="n"/>
      <c r="E37" s="70" t="n"/>
      <c r="F37" s="69" t="n"/>
    </row>
    <row r="38" ht="28" customHeight="1">
      <c r="B38" s="14" t="inlineStr">
        <is>
          <t>Assumptions were validated; no unsupported conclusions</t>
        </is>
      </c>
      <c r="C38" s="79" t="inlineStr">
        <is>
          <t>Partial</t>
        </is>
      </c>
      <c r="D38" s="14" t="n"/>
      <c r="E38" s="70" t="n"/>
      <c r="F38" s="69" t="n"/>
    </row>
    <row r="39" ht="28" customHeight="1">
      <c r="B39" s="12" t="inlineStr">
        <is>
          <t>Root cause (or likely cause) was identified when possible</t>
        </is>
      </c>
      <c r="C39" s="79" t="inlineStr">
        <is>
          <t>Met</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3</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Technically capable mid-journey (email-deliverability isolation to Earthlink was good detective work); late-journey accuracy slipped.</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n"/>
      <c r="E48" s="70" t="n"/>
      <c r="F48" s="69" t="n"/>
    </row>
    <row r="49" ht="28" customHeight="1">
      <c r="B49" s="14" t="inlineStr">
        <is>
          <t>Agent maintained control of the troubleshooting flow</t>
        </is>
      </c>
      <c r="C49" s="79" t="inlineStr">
        <is>
          <t>Partial</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Partial</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Partial</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Generally clear; long gaps and ticket-ID confusion (LTS vs TE) created customer confusion.</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inlineStr">
        <is>
          <t>Accountability was real for months but broke down late: Mar 2-3 24-48h SLA missed; final reassignment requested by PMO.</t>
        </is>
      </c>
      <c r="E64" s="70" t="n"/>
      <c r="F64" s="69" t="n"/>
    </row>
    <row r="65" ht="28" customHeight="1">
      <c r="B65" s="14" t="inlineStr">
        <is>
          <t>Unnecessary transfers were avoided</t>
        </is>
      </c>
      <c r="C65" s="79" t="inlineStr">
        <is>
          <t>Partial</t>
        </is>
      </c>
      <c r="D65" s="14" t="n"/>
      <c r="E65" s="70" t="n"/>
      <c r="F65" s="69" t="n"/>
    </row>
    <row r="66" ht="28" customHeight="1">
      <c r="B66" s="12" t="inlineStr">
        <is>
          <t>Commitments made during the interaction were followed through</t>
        </is>
      </c>
      <c r="C66" s="79" t="inlineStr">
        <is>
          <t>Met</t>
        </is>
      </c>
      <c r="D66" s="12" t="inlineStr">
        <is>
          <t>Promised actions not completed: RMA 'approved as defective' (Nov) then walked back (T18); inventory question repeatedly unanswered.</t>
        </is>
      </c>
      <c r="E66" s="70" t="n"/>
      <c r="F66" s="69" t="n"/>
    </row>
    <row r="67" ht="28" customHeight="1">
      <c r="B67" s="14" t="inlineStr">
        <is>
          <t>A clear path forward was created for the customer</t>
        </is>
      </c>
      <c r="C67" s="79" t="inlineStr">
        <is>
          <t>Partial</t>
        </is>
      </c>
      <c r="D67" s="14" t="n"/>
      <c r="E67" s="70" t="n"/>
      <c r="F67" s="69" t="n"/>
    </row>
    <row r="68" ht="28" customHeight="1">
      <c r="B68" s="12" t="inlineStr">
        <is>
          <t>Next actions were documented</t>
        </is>
      </c>
      <c r="C68" s="79" t="inlineStr">
        <is>
          <t>Met</t>
        </is>
      </c>
      <c r="D68" s="12" t="n"/>
      <c r="E68" s="70" t="n"/>
      <c r="F68" s="69" t="n"/>
    </row>
    <row r="69" ht="28" customHeight="1">
      <c r="B69" s="14" t="inlineStr">
        <is>
          <t>Realistic expectations were set</t>
        </is>
      </c>
      <c r="C69" s="79" t="inlineStr">
        <is>
          <t>Partial</t>
        </is>
      </c>
      <c r="D69" s="14" t="n"/>
      <c r="E69" s="70" t="n"/>
      <c r="F69" s="69" t="n"/>
    </row>
    <row r="70" ht="28" customHeight="1">
      <c r="B70" s="12" t="inlineStr">
        <is>
          <t>Disconnect follow-up completed (callback / email / note) — mark N.A. if no disconnect</t>
        </is>
      </c>
      <c r="C70" s="79" t="inlineStr">
        <is>
          <t>Met</t>
        </is>
      </c>
      <c r="D70" s="12" t="inlineStr">
        <is>
          <t>Disconnects (T9, T13, T20) were handled well with same-day retries - a genuine ownership strength.</t>
        </is>
      </c>
      <c r="E70" s="70" t="n"/>
      <c r="F70" s="69" t="n"/>
    </row>
    <row r="71" ht="28" customHeight="1">
      <c r="B71" s="14" t="inlineStr">
        <is>
          <t>Callback commitments were met within the agreed window (or proactively renegotiated before it lapsed)</t>
        </is>
      </c>
      <c r="C71" s="79" t="inlineStr">
        <is>
          <t>Partial</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3</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The decisive weakness: strong early ownership eroded into missed callbacks, a missed SLA, and a PMO-forced reassignment.</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Met</t>
        </is>
      </c>
      <c r="D80" s="12" t="inlineStr">
        <is>
          <t>Multiple escalations (CAT, TC Marc Baynos, PM meeting); late ones were reactive and missed SLA.</t>
        </is>
      </c>
      <c r="E80" s="70" t="n"/>
      <c r="F80" s="69" t="n"/>
    </row>
    <row r="81" ht="28" customHeight="1">
      <c r="B81" s="14" t="inlineStr">
        <is>
          <t>Legitimate escalation criteria were identified (incl. complaint / management / legal-risk triggers)</t>
        </is>
      </c>
      <c r="C81" s="79" t="inlineStr">
        <is>
          <t>Partial</t>
        </is>
      </c>
      <c r="D81" s="14" t="n"/>
      <c r="E81" s="70" t="n"/>
      <c r="F81" s="69" t="n"/>
    </row>
    <row r="82" ht="28" customHeight="1">
      <c r="B82" s="12" t="inlineStr">
        <is>
          <t>Escalation contained complete, useful details (logs, findings, steps tried)</t>
        </is>
      </c>
      <c r="C82" s="79" t="inlineStr">
        <is>
          <t>Met</t>
        </is>
      </c>
      <c r="D82" s="12" t="n"/>
      <c r="E82" s="70" t="n"/>
      <c r="F82" s="69" t="n"/>
    </row>
    <row r="83" ht="28" customHeight="1">
      <c r="B83" s="14" t="inlineStr">
        <is>
          <t>Correct escalation path was chosen</t>
        </is>
      </c>
      <c r="C83" s="79" t="inlineStr">
        <is>
          <t>Partial</t>
        </is>
      </c>
      <c r="D83" s="14" t="n"/>
      <c r="E83" s="70" t="n"/>
      <c r="F83" s="69" t="n"/>
    </row>
    <row r="84" ht="28" customHeight="1">
      <c r="B84" s="12" t="inlineStr">
        <is>
          <t>Customer expectations about the escalation were set appropriately</t>
        </is>
      </c>
      <c r="C84" s="79" t="inlineStr">
        <is>
          <t>Met</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3</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Escalation judgment was mixed - appropriate in principle but late and reactive at the end (T17 escalated before logs were confirmed captured).</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Partial</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Partial</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Partial</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3</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Polite throughout, but cumulative delays and reversals damaged the experience badly.</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n"/>
      <c r="E107" s="70" t="n"/>
      <c r="F107" s="69" t="n"/>
    </row>
    <row r="108" ht="28" customHeight="1">
      <c r="B108" s="14" t="inlineStr">
        <is>
          <t>Troubleshooting performed is documented</t>
        </is>
      </c>
      <c r="C108" s="79" t="inlineStr">
        <is>
          <t>Partial</t>
        </is>
      </c>
      <c r="D108" s="14" t="n"/>
      <c r="E108" s="70" t="n"/>
      <c r="F108" s="69" t="n"/>
    </row>
    <row r="109" ht="28" customHeight="1">
      <c r="B109" s="12" t="inlineStr">
        <is>
          <t>Key findings / discoveries noted</t>
        </is>
      </c>
      <c r="C109" s="79" t="inlineStr">
        <is>
          <t>Met</t>
        </is>
      </c>
      <c r="D109" s="12" t="n"/>
      <c r="E109" s="70" t="n"/>
      <c r="F109" s="69" t="n"/>
    </row>
    <row r="110" ht="28" customHeight="1">
      <c r="B110" s="14" t="inlineStr">
        <is>
          <t>Agent reasoning is captured</t>
        </is>
      </c>
      <c r="C110" s="79" t="inlineStr">
        <is>
          <t>Partial</t>
        </is>
      </c>
      <c r="D110" s="14" t="n"/>
      <c r="E110" s="70" t="n"/>
      <c r="F110" s="69" t="n"/>
    </row>
    <row r="111" ht="28" customHeight="1">
      <c r="B111" s="12" t="inlineStr">
        <is>
          <t>Escalation justification included — mark N.A. if no escalation</t>
        </is>
      </c>
      <c r="C111" s="79" t="inlineStr">
        <is>
          <t>Met</t>
        </is>
      </c>
      <c r="D111" s="12" t="n"/>
      <c r="E111" s="70" t="n"/>
      <c r="F111" s="69" t="n"/>
    </row>
    <row r="112" ht="28" customHeight="1">
      <c r="B112" s="14" t="inlineStr">
        <is>
          <t>Next steps and follow-up actions listed (incl. callback records)</t>
        </is>
      </c>
      <c r="C112" s="79" t="inlineStr">
        <is>
          <t>Partial</t>
        </is>
      </c>
      <c r="D112" s="14" t="n"/>
      <c r="E112" s="70" t="n"/>
      <c r="F112" s="69" t="n"/>
    </row>
    <row r="113" ht="28" customHeight="1">
      <c r="B113" s="12" t="inlineStr">
        <is>
          <t>Ticket status accurately reflects case state (no premature RESOLVED; closure reason documented)</t>
        </is>
      </c>
      <c r="C113" s="79" t="inlineStr">
        <is>
          <t>Met</t>
        </is>
      </c>
      <c r="D113" s="12" t="inlineStr">
        <is>
          <t>Status accuracy poor: RMA determination reversed; case fragmented across tickets (LTS00106915 / LTS00109368) with logs routed to the wrong ticket repeatedly.</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3</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Documentation undermined by lost logs (x2), ticket fragmentation, and a reversed RMA determination.</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Ownership Gap</t>
        </is>
      </c>
      <c r="D131" s="70" t="n"/>
      <c r="E131" s="70" t="n"/>
      <c r="F131" s="69" t="n"/>
    </row>
    <row r="132">
      <c r="B132" s="6" t="inlineStr">
        <is>
          <t>Primary positive outcome achieved</t>
        </is>
      </c>
      <c r="C132" s="81" t="inlineStr">
        <is>
          <t>None sustained - an RMA was approved (Nov) then reversed; case unresolved and reassigned.</t>
        </is>
      </c>
      <c r="D132" s="70" t="n"/>
      <c r="E132" s="70" t="n"/>
      <c r="F132" s="69" t="n"/>
    </row>
    <row r="133" ht="52" customHeight="1">
      <c r="B133" s="4" t="inlineStr">
        <is>
          <t>Justification</t>
        </is>
      </c>
      <c r="C133" s="7" t="inlineStr">
        <is>
          <t>Eric carried the case for ~5 months with periods of strong ownership and competent diagnosis, but it ends in an Ownership Gap and an unresolved outcome: a reversed RMA, sysinfo logs lost twice, a missed final SLA, and a customer who escalated to the CEO and asked the agent not to respond.</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Yes (multiple touches)</t>
        </is>
      </c>
      <c r="D136" s="15" t="inlineStr">
        <is>
          <t>If Yes, at least one documented follow-up action is required.</t>
        </is>
      </c>
      <c r="E136" s="70" t="n"/>
      <c r="F136" s="69" t="n"/>
    </row>
    <row r="137" ht="30" customHeight="1">
      <c r="B137" s="4" t="inlineStr">
        <is>
          <t>Follow-up action taken</t>
        </is>
      </c>
      <c r="C137" s="81" t="inlineStr">
        <is>
          <t>Same-day retries/callbacks after disconnects (T9, T13, T20) - generally completed</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Yes</t>
        </is>
      </c>
      <c r="D145" s="12" t="inlineStr">
        <is>
          <t>Mar 2-3 24-48h escalation SLA missed; multiple promised actions (RMA, inventory answer) not completed.</t>
        </is>
      </c>
      <c r="E145" s="70" t="n"/>
      <c r="F145" s="69" t="n"/>
    </row>
    <row r="146" ht="26" customHeight="1">
      <c r="B146" s="14" t="inlineStr">
        <is>
          <t>Abandoned customer without a path forward</t>
        </is>
      </c>
      <c r="C146" s="79" t="inlineStr">
        <is>
          <t>Yes</t>
        </is>
      </c>
      <c r="D146" s="14" t="inlineStr">
        <is>
          <t>End state: customer escalated to CEO, sent a certified letter, and told the agent not to respond - no agent path forward remained.</t>
        </is>
      </c>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Yes</t>
        </is>
      </c>
      <c r="D150" s="14" t="inlineStr">
        <is>
          <t>RMA 'approved as defective' (Nov) then reversed (T18); status/closure handling inaccurate amid ticket fragmentation.</t>
        </is>
      </c>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Sustained ownership for months and handled mid-call disconnects with prompt same-day retries.</t>
        </is>
      </c>
      <c r="D156" s="70" t="n"/>
      <c r="E156" s="70" t="n"/>
      <c r="F156" s="69" t="n"/>
    </row>
    <row r="157" ht="32" customHeight="1">
      <c r="B157" s="11" t="inlineStr">
        <is>
          <t>2.</t>
        </is>
      </c>
      <c r="C157" s="7" t="inlineStr">
        <is>
          <t>Good diagnostic detective work isolating the email-deliverability issue to the Earthlink address (T14-16).</t>
        </is>
      </c>
      <c r="D157" s="70" t="n"/>
      <c r="E157" s="70" t="n"/>
      <c r="F157" s="69" t="n"/>
    </row>
    <row r="158" ht="32" customHeight="1">
      <c r="B158" s="11" t="inlineStr">
        <is>
          <t>3.</t>
        </is>
      </c>
      <c r="C158" s="7" t="inlineStr">
        <is>
          <t>Resolved the product-registration confusion cleanly (T12) - the strongest stretch of his run.</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Confirm prerequisites (sysinfo logs captured) BEFORE escalating or promising an RMA outcome.</t>
        </is>
      </c>
      <c r="D160" s="70" t="n"/>
      <c r="E160" s="70" t="n"/>
      <c r="F160" s="69" t="n"/>
    </row>
    <row r="161" ht="32" customHeight="1">
      <c r="B161" s="11" t="inlineStr">
        <is>
          <t>2.</t>
        </is>
      </c>
      <c r="C161" s="7" t="inlineStr">
        <is>
          <t>Never communicate an RMA approval that can be reversed - verify policy/inventory first; keep callback SLAs.</t>
        </is>
      </c>
      <c r="D161" s="70" t="n"/>
      <c r="E161" s="70" t="n"/>
      <c r="F161" s="69" t="n"/>
    </row>
    <row r="162" ht="32" customHeight="1">
      <c r="B162" s="11" t="inlineStr">
        <is>
          <t>3.</t>
        </is>
      </c>
      <c r="C162" s="7" t="inlineStr">
        <is>
          <t>Consolidate fragmented tickets and keep one source of truth so logs are not lost or misrouted.</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Coach on closing the loop under long-running ownership: (1) verify prerequisites before escalation/RMA promises; (2) protect callback/SLA commitments with calendaring and proactive renegotiation; (3) consolidate tickets to prevent lost logs; (4) when an outcome may be reversed, set that expectation before stating it. Pair with workload review - 16 touches on one entangled case is a structural risk.</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Organizational gaps this case exposes: (1) email-deliverability defect (Earthlink) with no standard workaround; (2) no inventory-availability check before promising replacement; (3) no workflow gate from 'L2 defective determination' to 'final RMA' that prevents reversals; (4) ticket fragmentation that lost sysinfo logs twice; (5) escalation SLA chased manually until PMO intervened.</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Eric was the dominant agent (16 of 21 touches), inheriting at Touch 4 and owning through Touch 21. The chain held on his watch for months, then broke on ownership/continuity at the end. Continuity across the journey scored 1/5 (RMA reversal, logs lost twice, 8-ticket fragmentation, PMO-forced reassignment).</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A capable agent who carried a hard, entangled case for months with real wins - but the outcome is an unresolved case, a reversed RMA, a missed SLA, and a CEO escalation. The consolidated score (Needs Improvement) reflects the arc from competent to deteriorating. Highest-leverage fixes are prerequisite-verification before escalation/RMA promises and protecting callback SLAs - alongside the organizational gaps that no single agent could close.</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Stephanie 'Belle' Luspo</t>
        </is>
      </c>
      <c r="D5" s="6" t="inlineStr">
        <is>
          <t>Case / Ticket ID</t>
        </is>
      </c>
      <c r="E5" s="81" t="inlineStr">
        <is>
          <t>TE00089221 (Touch 6)</t>
        </is>
      </c>
      <c r="F5" s="69" t="n"/>
    </row>
    <row r="6">
      <c r="B6" s="4" t="inlineStr">
        <is>
          <t>Evaluator (QA)</t>
        </is>
      </c>
      <c r="C6" s="81" t="inlineStr">
        <is>
          <t>QA Review (per PMO Zither Calvin request)</t>
        </is>
      </c>
      <c r="D6" s="6" t="inlineStr">
        <is>
          <t>Interaction Date</t>
        </is>
      </c>
      <c r="E6" s="81" t="inlineStr">
        <is>
          <t>2025-11-21 (Touch 6)</t>
        </is>
      </c>
      <c r="F6" s="69" t="n"/>
    </row>
    <row r="7">
      <c r="B7" s="4" t="inlineStr">
        <is>
          <t>Product</t>
        </is>
      </c>
      <c r="C7" s="81" t="inlineStr">
        <is>
          <t>Velop Pro 7 (mesh)</t>
        </is>
      </c>
      <c r="D7" s="6" t="inlineStr">
        <is>
          <t>Channel</t>
        </is>
      </c>
      <c r="E7" s="81" t="inlineStr">
        <is>
          <t>Phone / Voice</t>
        </is>
      </c>
      <c r="F7" s="69" t="n"/>
    </row>
    <row r="8">
      <c r="B8" s="4" t="inlineStr">
        <is>
          <t>Warranty Status</t>
        </is>
      </c>
      <c r="C8" s="81" t="inlineStr">
        <is>
          <t>In Warranty</t>
        </is>
      </c>
      <c r="D8" s="6" t="inlineStr">
        <is>
          <t>Review Date</t>
        </is>
      </c>
      <c r="E8" s="81" t="inlineStr">
        <is>
          <t>Jun 15, 2026</t>
        </is>
      </c>
      <c r="F8" s="69" t="n"/>
    </row>
    <row r="9">
      <c r="B9" s="4" t="inlineStr">
        <is>
          <t>Case Type</t>
        </is>
      </c>
      <c r="C9" s="81" t="inlineStr">
        <is>
          <t>Technical - follow-up; missed email/hotline delivery</t>
        </is>
      </c>
      <c r="D9" s="6" t="inlineStr">
        <is>
          <t>Interaction Duration</t>
        </is>
      </c>
      <c r="E9" s="81" t="inlineStr">
        <is>
          <t>Not specified</t>
        </is>
      </c>
      <c r="F9" s="69" t="n"/>
    </row>
    <row r="10">
      <c r="B10" s="4" t="inlineStr">
        <is>
          <t>Touch # (multi-touch case)</t>
        </is>
      </c>
      <c r="C10" s="81" t="inlineStr">
        <is>
          <t>6 of 21</t>
        </is>
      </c>
      <c r="D10" s="6" t="inlineStr">
        <is>
          <t>Prior touches reviewed?</t>
        </is>
      </c>
      <c r="E10" s="81" t="inlineStr">
        <is>
          <t>Yes - reviewed in full journey</t>
        </is>
      </c>
      <c r="F10" s="69" t="n"/>
    </row>
    <row r="11">
      <c r="B11" s="4" t="inlineStr">
        <is>
          <t>CSAT / Survey result</t>
        </is>
      </c>
      <c r="C11" s="81" t="inlineStr">
        <is>
          <t>Not captured</t>
        </is>
      </c>
      <c r="D11" s="6" t="inlineStr">
        <is>
          <t>FCR / total contacts</t>
        </is>
      </c>
      <c r="E11" s="81" t="inlineStr">
        <is>
          <t>Not FCR</t>
        </is>
      </c>
      <c r="F11" s="69" t="n"/>
    </row>
    <row r="12">
      <c r="B12" s="4" t="inlineStr">
        <is>
          <t>Total case time</t>
        </is>
      </c>
      <c r="C12" s="81" t="inlineStr">
        <is>
          <t>~8 months / 21 touches (full journey)</t>
        </is>
      </c>
      <c r="D12" s="6" t="inlineStr">
        <is>
          <t>SLA status</t>
        </is>
      </c>
      <c r="E12" s="81" t="inlineStr">
        <is>
          <t>Within SLA</t>
        </is>
      </c>
      <c r="F12" s="69" t="n"/>
    </row>
    <row r="13" ht="58" customHeight="1">
      <c r="B13" s="6" t="inlineStr">
        <is>
          <t>Case Summary (customer issue &amp; goal)</t>
        </is>
      </c>
      <c r="C13" s="7" t="inlineStr">
        <is>
          <t>Customer called because he never received Eric's Oct 21 follow-up email/hotline. Agent's attempt to resend failed, so she provided the hotline number directly by phone.</t>
        </is>
      </c>
      <c r="D13" s="70" t="n"/>
      <c r="E13" s="70" t="n"/>
      <c r="F13" s="69" t="n"/>
    </row>
    <row r="14" ht="46" customHeight="1">
      <c r="B14" s="6" t="inlineStr">
        <is>
          <t>Inherited context (what this agent received from prior touches)</t>
        </is>
      </c>
      <c r="C14" s="7" t="inlineStr">
        <is>
          <t>Inherited Eric's open follow-up (Touch 5) - but the Oct 21 email never reached the customer (first surfacing of the email-deliverability problem).</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Met</t>
        </is>
      </c>
      <c r="D20" s="12" t="inlineStr">
        <is>
          <t>Workaround delivered (hotline given verbally) but the underlying email-delivery failure was not resolved.</t>
        </is>
      </c>
      <c r="E20" s="70" t="n"/>
      <c r="F20" s="69" t="n"/>
    </row>
    <row r="21" ht="28" customHeight="1">
      <c r="B21" s="14" t="inlineStr">
        <is>
          <t>Reasonable troubleshooting was completed before any conclusion was reached</t>
        </is>
      </c>
      <c r="C21" s="79" t="inlineStr">
        <is>
          <t>Partial</t>
        </is>
      </c>
      <c r="D21" s="14" t="n"/>
      <c r="E21" s="70" t="n"/>
      <c r="F21" s="69" t="n"/>
    </row>
    <row r="22" ht="28" customHeight="1">
      <c r="B22" s="12" t="inlineStr">
        <is>
          <t>Clear, actionable next steps were provided to the customer</t>
        </is>
      </c>
      <c r="C22" s="79" t="inlineStr">
        <is>
          <t>Met</t>
        </is>
      </c>
      <c r="D22" s="12" t="n"/>
      <c r="E22" s="70" t="n"/>
      <c r="F22" s="69" t="n"/>
    </row>
    <row r="23" ht="28" customHeight="1">
      <c r="B23" s="14" t="inlineStr">
        <is>
          <t>Resolution path was appropriate for the situation and warranty status</t>
        </is>
      </c>
      <c r="C23" s="79" t="inlineStr">
        <is>
          <t>Partial</t>
        </is>
      </c>
      <c r="D23" s="14" t="n"/>
      <c r="E23" s="70" t="n"/>
      <c r="F23" s="69" t="n"/>
    </row>
    <row r="24" ht="28" customHeight="1">
      <c r="B24" s="12" t="inlineStr">
        <is>
          <t>Customer was moved meaningfully closer to a solution</t>
        </is>
      </c>
      <c r="C24" s="79" t="inlineStr">
        <is>
          <t>Met</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Recovered the immediate contact gap with a verbal hotline, but the email-delivery root issue was left unaddressed.</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Identified that the customer never received the prior email; resend then failed.</t>
        </is>
      </c>
      <c r="E33" s="70" t="n"/>
      <c r="F33" s="69" t="n"/>
    </row>
    <row r="34" ht="28" customHeight="1">
      <c r="B34" s="14" t="inlineStr">
        <is>
          <t>Relevant diagnostic questions were asked</t>
        </is>
      </c>
      <c r="C34" s="79" t="inlineStr">
        <is>
          <t>Partial</t>
        </is>
      </c>
      <c r="D34" s="14" t="n"/>
      <c r="E34" s="70" t="n"/>
      <c r="F34" s="69" t="n"/>
    </row>
    <row r="35" ht="28" customHeight="1">
      <c r="B35" s="12" t="inlineStr">
        <is>
          <t>Logical troubleshooting methodology was followed</t>
        </is>
      </c>
      <c r="C35" s="79" t="inlineStr">
        <is>
          <t>Met</t>
        </is>
      </c>
      <c r="D35" s="12" t="n"/>
      <c r="E35" s="70" t="n"/>
      <c r="F35" s="69" t="n"/>
    </row>
    <row r="36" ht="28" customHeight="1">
      <c r="B36" s="14" t="inlineStr">
        <is>
          <t>Available tools were used appropriately</t>
        </is>
      </c>
      <c r="C36" s="79" t="inlineStr">
        <is>
          <t>Partial</t>
        </is>
      </c>
      <c r="D36" s="14" t="n"/>
      <c r="E36" s="70" t="n"/>
      <c r="F36" s="69" t="n"/>
    </row>
    <row r="37" ht="28" customHeight="1">
      <c r="B37" s="12" t="inlineStr">
        <is>
          <t>Information provided was technically accurate</t>
        </is>
      </c>
      <c r="C37" s="79" t="inlineStr">
        <is>
          <t>Met</t>
        </is>
      </c>
      <c r="D37" s="12" t="n"/>
      <c r="E37" s="70" t="n"/>
      <c r="F37" s="69" t="n"/>
    </row>
    <row r="38" ht="28" customHeight="1">
      <c r="B38" s="14" t="inlineStr">
        <is>
          <t>Assumptions were validated; no unsupported conclusions</t>
        </is>
      </c>
      <c r="C38" s="79" t="inlineStr">
        <is>
          <t>Partial</t>
        </is>
      </c>
      <c r="D38" s="14" t="n"/>
      <c r="E38" s="70" t="n"/>
      <c r="F38" s="69" t="n"/>
    </row>
    <row r="39" ht="28" customHeight="1">
      <c r="B39" s="12" t="inlineStr">
        <is>
          <t>Root cause (or likely cause) was identified when possible</t>
        </is>
      </c>
      <c r="C39" s="79" t="inlineStr">
        <is>
          <t>Met</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3</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Spotted the missed-email symptom; did not diagnose why delivery failed.</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inlineStr">
        <is>
          <t>Clearly communicated the hotline as an alternative path.</t>
        </is>
      </c>
      <c r="E48" s="70" t="n"/>
      <c r="F48" s="69" t="n"/>
    </row>
    <row r="49" ht="28" customHeight="1">
      <c r="B49" s="14" t="inlineStr">
        <is>
          <t>Agent maintained control of the troubleshooting flow</t>
        </is>
      </c>
      <c r="C49" s="79" t="inlineStr">
        <is>
          <t>Met</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Met</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Met</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4</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Clear, helpful communication of the alternative path.</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Met</t>
        </is>
      </c>
      <c r="D64" s="12" t="n"/>
      <c r="E64" s="70" t="n"/>
      <c r="F64" s="69" t="n"/>
    </row>
    <row r="65" ht="28" customHeight="1">
      <c r="B65" s="14" t="inlineStr">
        <is>
          <t>Unnecessary transfers were avoided</t>
        </is>
      </c>
      <c r="C65" s="79" t="inlineStr">
        <is>
          <t>Partial</t>
        </is>
      </c>
      <c r="D65" s="14" t="n"/>
      <c r="E65" s="70" t="n"/>
      <c r="F65" s="69" t="n"/>
    </row>
    <row r="66" ht="28" customHeight="1">
      <c r="B66" s="12" t="inlineStr">
        <is>
          <t>Commitments made during the interaction were followed through</t>
        </is>
      </c>
      <c r="C66" s="79" t="inlineStr">
        <is>
          <t>Met</t>
        </is>
      </c>
      <c r="D66" s="12" t="n"/>
      <c r="E66" s="70" t="n"/>
      <c r="F66" s="69" t="n"/>
    </row>
    <row r="67" ht="28" customHeight="1">
      <c r="B67" s="14" t="inlineStr">
        <is>
          <t>A clear path forward was created for the customer</t>
        </is>
      </c>
      <c r="C67" s="79" t="inlineStr">
        <is>
          <t>Partial</t>
        </is>
      </c>
      <c r="D67" s="14" t="n"/>
      <c r="E67" s="70" t="n"/>
      <c r="F67" s="69" t="n"/>
    </row>
    <row r="68" ht="28" customHeight="1">
      <c r="B68" s="12" t="inlineStr">
        <is>
          <t>Next actions were documented</t>
        </is>
      </c>
      <c r="C68" s="79" t="inlineStr">
        <is>
          <t>Met</t>
        </is>
      </c>
      <c r="D68" s="12" t="n"/>
      <c r="E68" s="70" t="n"/>
      <c r="F68" s="69" t="n"/>
    </row>
    <row r="69" ht="28" customHeight="1">
      <c r="B69" s="14" t="inlineStr">
        <is>
          <t>Realistic expectations were set</t>
        </is>
      </c>
      <c r="C69" s="79" t="inlineStr">
        <is>
          <t>Partial</t>
        </is>
      </c>
      <c r="D69" s="14" t="n"/>
      <c r="E69" s="70" t="n"/>
      <c r="F69" s="69" t="n"/>
    </row>
    <row r="70" ht="28" customHeight="1">
      <c r="B70" s="12" t="inlineStr">
        <is>
          <t>Disconnect follow-up completed (callback / email / note) — mark N.A. if no disconnect</t>
        </is>
      </c>
      <c r="C70" s="79" t="inlineStr">
        <is>
          <t>N.A.</t>
        </is>
      </c>
      <c r="D70" s="12" t="n"/>
      <c r="E70" s="70" t="n"/>
      <c r="F70" s="69" t="n"/>
    </row>
    <row r="71" ht="28" customHeight="1">
      <c r="B71" s="14" t="inlineStr">
        <is>
          <t>Callback commitments were met within the agreed window (or proactively renegotiated before it lapsed)</t>
        </is>
      </c>
      <c r="C71" s="79" t="inlineStr">
        <is>
          <t>N.A.</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3</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Reasonable in-the-moment ownership; no follow-through on the delivery defect.</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n"/>
      <c r="E80" s="70" t="n"/>
      <c r="F80" s="69" t="n"/>
    </row>
    <row r="81" ht="28" customHeight="1">
      <c r="B81" s="14" t="inlineStr">
        <is>
          <t>Legitimate escalation criteria were identified (incl. complaint / management / legal-risk triggers)</t>
        </is>
      </c>
      <c r="C81" s="79" t="inlineStr">
        <is>
          <t>N.A.</t>
        </is>
      </c>
      <c r="D81" s="14" t="n"/>
      <c r="E81" s="70" t="n"/>
      <c r="F81" s="69" t="n"/>
    </row>
    <row r="82" ht="28" customHeight="1">
      <c r="B82" s="12" t="inlineStr">
        <is>
          <t>Escalation contained complete, useful details (logs, findings, steps tried)</t>
        </is>
      </c>
      <c r="C82" s="79" t="inlineStr">
        <is>
          <t>N.A.</t>
        </is>
      </c>
      <c r="D82" s="12" t="n"/>
      <c r="E82" s="70" t="n"/>
      <c r="F82" s="69" t="n"/>
    </row>
    <row r="83" ht="28" customHeight="1">
      <c r="B83" s="14" t="inlineStr">
        <is>
          <t>Correct escalation path was chosen</t>
        </is>
      </c>
      <c r="C83" s="79" t="inlineStr">
        <is>
          <t>N.A.</t>
        </is>
      </c>
      <c r="D83" s="14" t="n"/>
      <c r="E83" s="70" t="n"/>
      <c r="F83" s="69" t="n"/>
    </row>
    <row r="84" ht="28" customHeight="1">
      <c r="B84" s="12" t="inlineStr">
        <is>
          <t>Customer expectations about the escalation were set appropriately</t>
        </is>
      </c>
      <c r="C84" s="79" t="inlineStr">
        <is>
          <t>N.A.</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3</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No escalation made; the delivery issue arguably warranted flagging.</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Met</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Met</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Partial</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4</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Helpful, professional recovery for the customer.</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Missed</t>
        </is>
      </c>
      <c r="D107" s="12" t="inlineStr">
        <is>
          <t>Did not capture/flag the failed-resend / email-delivery problem for the next agent (weak documentation, 2/5).</t>
        </is>
      </c>
      <c r="E107" s="70" t="n"/>
      <c r="F107" s="69" t="n"/>
    </row>
    <row r="108" ht="28" customHeight="1">
      <c r="B108" s="14" t="inlineStr">
        <is>
          <t>Troubleshooting performed is documented</t>
        </is>
      </c>
      <c r="C108" s="79" t="inlineStr">
        <is>
          <t>Partial</t>
        </is>
      </c>
      <c r="D108" s="14" t="n"/>
      <c r="E108" s="70" t="n"/>
      <c r="F108" s="69" t="n"/>
    </row>
    <row r="109" ht="28" customHeight="1">
      <c r="B109" s="12" t="inlineStr">
        <is>
          <t>Key findings / discoveries noted</t>
        </is>
      </c>
      <c r="C109" s="79" t="inlineStr">
        <is>
          <t>Missed</t>
        </is>
      </c>
      <c r="D109" s="12" t="n"/>
      <c r="E109" s="70" t="n"/>
      <c r="F109" s="69" t="n"/>
    </row>
    <row r="110" ht="28" customHeight="1">
      <c r="B110" s="14" t="inlineStr">
        <is>
          <t>Agent reasoning is captured</t>
        </is>
      </c>
      <c r="C110" s="79" t="inlineStr">
        <is>
          <t>Partial</t>
        </is>
      </c>
      <c r="D110" s="14" t="n"/>
      <c r="E110" s="70" t="n"/>
      <c r="F110" s="69" t="n"/>
    </row>
    <row r="111" ht="28" customHeight="1">
      <c r="B111" s="12" t="inlineStr">
        <is>
          <t>Escalation justification included — mark N.A. if no escalation</t>
        </is>
      </c>
      <c r="C111" s="79" t="inlineStr">
        <is>
          <t>N.A.</t>
        </is>
      </c>
      <c r="D111" s="12" t="n"/>
      <c r="E111" s="70" t="n"/>
      <c r="F111" s="69" t="n"/>
    </row>
    <row r="112" ht="28" customHeight="1">
      <c r="B112" s="14" t="inlineStr">
        <is>
          <t>Next steps and follow-up actions listed (incl. callback records)</t>
        </is>
      </c>
      <c r="C112" s="79" t="inlineStr">
        <is>
          <t>Partial</t>
        </is>
      </c>
      <c r="D112" s="14" t="n"/>
      <c r="E112" s="70" t="n"/>
      <c r="F112" s="69" t="n"/>
    </row>
    <row r="113" ht="28" customHeight="1">
      <c r="B113" s="12" t="inlineStr">
        <is>
          <t>Ticket status accurately reflects case state (no premature RESOLVED; closure reason documented)</t>
        </is>
      </c>
      <c r="C113" s="79" t="inlineStr">
        <is>
          <t>Missed</t>
        </is>
      </c>
      <c r="D113" s="12" t="n"/>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Weakest area: the failed resend and email-delivery problem were not documented for continuity.</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Partial Resolution</t>
        </is>
      </c>
      <c r="D131" s="70" t="n"/>
      <c r="E131" s="70" t="n"/>
      <c r="F131" s="69" t="n"/>
    </row>
    <row r="132">
      <c r="B132" s="6" t="inlineStr">
        <is>
          <t>Primary positive outcome achieved</t>
        </is>
      </c>
      <c r="C132" s="81" t="inlineStr">
        <is>
          <t>Provided the hotline number verbally after the resend failed.</t>
        </is>
      </c>
      <c r="D132" s="70" t="n"/>
      <c r="E132" s="70" t="n"/>
      <c r="F132" s="69" t="n"/>
    </row>
    <row r="133" ht="52" customHeight="1">
      <c r="B133" s="4" t="inlineStr">
        <is>
          <t>Justification</t>
        </is>
      </c>
      <c r="C133" s="7" t="inlineStr">
        <is>
          <t>The immediate contact gap was bridged, but the email-deliverability defect - which later cost weeks - was neither diagnosed nor documented for the next agent.</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No</t>
        </is>
      </c>
      <c r="D145" s="12" t="n"/>
      <c r="E145" s="70" t="n"/>
      <c r="F145" s="69" t="n"/>
    </row>
    <row r="146" ht="26" customHeight="1">
      <c r="B146" s="14" t="inlineStr">
        <is>
          <t>Abandoned customer without a path forward</t>
        </is>
      </c>
      <c r="C146" s="79" t="inlineStr">
        <is>
          <t>No</t>
        </is>
      </c>
      <c r="D146" s="14" t="n"/>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No</t>
        </is>
      </c>
      <c r="D150" s="14" t="n"/>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Quickly bridged the contact gap by giving the hotline verbally.</t>
        </is>
      </c>
      <c r="D156" s="70" t="n"/>
      <c r="E156" s="70" t="n"/>
      <c r="F156" s="69" t="n"/>
    </row>
    <row r="157" ht="32" customHeight="1">
      <c r="B157" s="11" t="inlineStr">
        <is>
          <t>2.</t>
        </is>
      </c>
      <c r="C157" s="7" t="inlineStr">
        <is>
          <t>Stayed helpful and professional when the resend failed.</t>
        </is>
      </c>
      <c r="D157" s="70" t="n"/>
      <c r="E157" s="70" t="n"/>
      <c r="F157" s="69" t="n"/>
    </row>
    <row r="158" ht="32" customHeight="1">
      <c r="B158" s="11" t="inlineStr">
        <is>
          <t>3.</t>
        </is>
      </c>
      <c r="C158" s="7" t="inlineStr">
        <is>
          <t>Kept the customer moving rather than stalling on the email problem.</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Document failed email/resend attempts and flag a delivery problem for the next agent.</t>
        </is>
      </c>
      <c r="D160" s="70" t="n"/>
      <c r="E160" s="70" t="n"/>
      <c r="F160" s="69" t="n"/>
    </row>
    <row r="161" ht="32" customHeight="1">
      <c r="B161" s="11" t="inlineStr">
        <is>
          <t>2.</t>
        </is>
      </c>
      <c r="C161" s="7" t="inlineStr">
        <is>
          <t>Treat a repeated email-delivery failure as a diagnosable issue (verify address, test alternate channel).</t>
        </is>
      </c>
      <c r="D161" s="70" t="n"/>
      <c r="E161" s="70" t="n"/>
      <c r="F161" s="69" t="n"/>
    </row>
    <row r="162" ht="32" customHeight="1">
      <c r="B162" s="11" t="inlineStr">
        <is>
          <t>3.</t>
        </is>
      </c>
      <c r="C162" s="7" t="inlineStr">
        <is>
          <t>Raise a note/ticket flag so the deliverability defect is visible downstream.</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Coach on documentation continuity: when a resend fails, log it and flag the deliverability issue. The verbal hotline was a good save; the missed step was not surfacing the defect.</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This is the FIRST appearance of the email-deliverability problem (later isolated to the customer's Earthlink address). Surfacing it here could have saved weeks - a clear knowledge/process gap, not just one agent's miss.</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6 of 21 (Regression Contributor, handoff 2/5). The verbal hotline helped the customer but the undocumented delivery failure weakened continuity into the next touches.</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A helpful real-time recovery undercut by weak documentation. The verbal hotline was the right instinct; flagging and logging the email-deliverability defect was the missed opportunity that mattered for the journey.</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F170"/>
  <sheetViews>
    <sheetView workbookViewId="0">
      <selection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John Pagurayan</t>
        </is>
      </c>
      <c r="D5" s="6" t="inlineStr">
        <is>
          <t>Case / Ticket ID</t>
        </is>
      </c>
      <c r="E5" s="81" t="inlineStr">
        <is>
          <t>TE00089221 (Touch 7)</t>
        </is>
      </c>
      <c r="F5" s="69" t="n"/>
    </row>
    <row r="6">
      <c r="B6" s="4" t="inlineStr">
        <is>
          <t>Evaluator (QA)</t>
        </is>
      </c>
      <c r="C6" s="81" t="inlineStr">
        <is>
          <t>QA Review (per PMO Zither Calvin request)</t>
        </is>
      </c>
      <c r="D6" s="6" t="inlineStr">
        <is>
          <t>Interaction Date</t>
        </is>
      </c>
      <c r="E6" s="81" t="inlineStr">
        <is>
          <t>2025-11-21 (Touch 7)</t>
        </is>
      </c>
      <c r="F6" s="69" t="n"/>
    </row>
    <row r="7">
      <c r="B7" s="4" t="inlineStr">
        <is>
          <t>Product</t>
        </is>
      </c>
      <c r="C7" s="81" t="inlineStr">
        <is>
          <t>Velop Pro 7 (mesh)</t>
        </is>
      </c>
      <c r="D7" s="6" t="inlineStr">
        <is>
          <t>Channel</t>
        </is>
      </c>
      <c r="E7" s="81" t="inlineStr">
        <is>
          <t>Phone / Voice</t>
        </is>
      </c>
      <c r="F7" s="69" t="n"/>
    </row>
    <row r="8">
      <c r="B8" s="4" t="inlineStr">
        <is>
          <t>Warranty Status</t>
        </is>
      </c>
      <c r="C8" s="81" t="inlineStr">
        <is>
          <t>In Warranty (later pursued for replacement)</t>
        </is>
      </c>
      <c r="D8" s="6" t="inlineStr">
        <is>
          <t>Review Date</t>
        </is>
      </c>
      <c r="E8" s="81" t="inlineStr">
        <is>
          <t>Jun 15, 2026</t>
        </is>
      </c>
      <c r="F8" s="69" t="n"/>
    </row>
    <row r="9">
      <c r="B9" s="4" t="inlineStr">
        <is>
          <t>Case Type</t>
        </is>
      </c>
      <c r="C9" s="81" t="inlineStr">
        <is>
          <t>Technical - status / next-steps contact</t>
        </is>
      </c>
      <c r="D9" s="6" t="inlineStr">
        <is>
          <t>Interaction Duration</t>
        </is>
      </c>
      <c r="E9" s="81" t="inlineStr">
        <is>
          <t>Not specified</t>
        </is>
      </c>
      <c r="F9" s="69" t="n"/>
    </row>
    <row r="10">
      <c r="B10" s="4" t="inlineStr">
        <is>
          <t>Touch # (multi-touch case)</t>
        </is>
      </c>
      <c r="C10" s="81" t="inlineStr">
        <is>
          <t>7 of 21</t>
        </is>
      </c>
      <c r="D10" s="6" t="inlineStr">
        <is>
          <t>Prior touches reviewed?</t>
        </is>
      </c>
      <c r="E10" s="81" t="inlineStr">
        <is>
          <t>Yes - reviewed in full journey</t>
        </is>
      </c>
      <c r="F10" s="69" t="n"/>
    </row>
    <row r="11">
      <c r="B11" s="4" t="inlineStr">
        <is>
          <t>CSAT / Survey result</t>
        </is>
      </c>
      <c r="C11" s="81" t="inlineStr">
        <is>
          <t>Not captured</t>
        </is>
      </c>
      <c r="D11" s="6" t="inlineStr">
        <is>
          <t>FCR / total contacts</t>
        </is>
      </c>
      <c r="E11" s="81" t="inlineStr">
        <is>
          <t>Not FCR</t>
        </is>
      </c>
      <c r="F11" s="69" t="n"/>
    </row>
    <row r="12">
      <c r="B12" s="4" t="inlineStr">
        <is>
          <t>Total case time</t>
        </is>
      </c>
      <c r="C12" s="81" t="inlineStr">
        <is>
          <t>~8 months / 21 touches (full journey)</t>
        </is>
      </c>
      <c r="D12" s="6" t="inlineStr">
        <is>
          <t>SLA status</t>
        </is>
      </c>
      <c r="E12" s="81" t="inlineStr">
        <is>
          <t>Within SLA</t>
        </is>
      </c>
      <c r="F12" s="69" t="n"/>
    </row>
    <row r="13" ht="58" customHeight="1">
      <c r="B13" s="6" t="inlineStr">
        <is>
          <t>Case Summary (customer issue &amp; goal)</t>
        </is>
      </c>
      <c r="C13" s="7" t="inlineStr">
        <is>
          <t>Status/next-steps contact. Customer declined further troubleshooting; agent informed him the unit is EOL and mentioned consulting 'CAT-Eric', but no formal escalation was made or documented.</t>
        </is>
      </c>
      <c r="D13" s="70" t="n"/>
      <c r="E13" s="70" t="n"/>
      <c r="F13" s="69" t="n"/>
    </row>
    <row r="14" ht="46" customHeight="1">
      <c r="B14" s="6" t="inlineStr">
        <is>
          <t>Inherited context (what this agent received from prior touches)</t>
        </is>
      </c>
      <c r="C14" s="7" t="inlineStr">
        <is>
          <t>Inherited an open, recurring node issue with an unresolved email-delivery problem from Touch 6.</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Missed</t>
        </is>
      </c>
      <c r="D20" s="12" t="inlineStr">
        <is>
          <t>No meaningful progress; customer declined further steps and was told the unit is EOL.</t>
        </is>
      </c>
      <c r="E20" s="70" t="n"/>
      <c r="F20" s="69" t="n"/>
    </row>
    <row r="21" ht="28" customHeight="1">
      <c r="B21" s="14" t="inlineStr">
        <is>
          <t>Reasonable troubleshooting was completed before any conclusion was reached</t>
        </is>
      </c>
      <c r="C21" s="79" t="inlineStr">
        <is>
          <t>Partial</t>
        </is>
      </c>
      <c r="D21" s="14" t="n"/>
      <c r="E21" s="70" t="n"/>
      <c r="F21" s="69" t="n"/>
    </row>
    <row r="22" ht="28" customHeight="1">
      <c r="B22" s="12" t="inlineStr">
        <is>
          <t>Clear, actionable next steps were provided to the customer</t>
        </is>
      </c>
      <c r="C22" s="79" t="inlineStr">
        <is>
          <t>Missed</t>
        </is>
      </c>
      <c r="D22" s="12" t="n"/>
      <c r="E22" s="70" t="n"/>
      <c r="F22" s="69" t="n"/>
    </row>
    <row r="23" ht="28" customHeight="1">
      <c r="B23" s="14" t="inlineStr">
        <is>
          <t>Resolution path was appropriate for the situation and warranty status</t>
        </is>
      </c>
      <c r="C23" s="79" t="inlineStr">
        <is>
          <t>Partial</t>
        </is>
      </c>
      <c r="D23" s="14" t="n"/>
      <c r="E23" s="70" t="n"/>
      <c r="F23" s="69" t="n"/>
    </row>
    <row r="24" ht="28" customHeight="1">
      <c r="B24" s="12" t="inlineStr">
        <is>
          <t>Customer was moved meaningfully closer to a solution</t>
        </is>
      </c>
      <c r="C24" s="79" t="inlineStr">
        <is>
          <t>Missed</t>
        </is>
      </c>
      <c r="D24" s="12" t="n"/>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2</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Score reflects the cumulative effect of this touch within the 8-month journey: the Nov 24, 2025 hardware/RMA determination remains undelivered, and the case culminates here in executive-level escalation with no path forward offered.</t>
        </is>
      </c>
      <c r="C28" s="7" t="inlineStr">
        <is>
          <t>Stalled - declined troubleshooting + an EOL message, with no documented path forward.</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Missed</t>
        </is>
      </c>
      <c r="D33" s="12" t="inlineStr">
        <is>
          <t>Limited diagnosis; relied on an EOL framing rather than advancing the node issue.</t>
        </is>
      </c>
      <c r="E33" s="70" t="n"/>
      <c r="F33" s="69" t="n"/>
    </row>
    <row r="34" ht="28" customHeight="1">
      <c r="B34" s="14" t="inlineStr">
        <is>
          <t>Relevant diagnostic questions were asked</t>
        </is>
      </c>
      <c r="C34" s="79" t="inlineStr">
        <is>
          <t>Partial</t>
        </is>
      </c>
      <c r="D34" s="14" t="n"/>
      <c r="E34" s="70" t="n"/>
      <c r="F34" s="69" t="n"/>
    </row>
    <row r="35" ht="28" customHeight="1">
      <c r="B35" s="12" t="inlineStr">
        <is>
          <t>Logical troubleshooting methodology was followed</t>
        </is>
      </c>
      <c r="C35" s="79" t="inlineStr">
        <is>
          <t>Missed</t>
        </is>
      </c>
      <c r="D35" s="12" t="n"/>
      <c r="E35" s="70" t="n"/>
      <c r="F35" s="69" t="n"/>
    </row>
    <row r="36" ht="28" customHeight="1">
      <c r="B36" s="14" t="inlineStr">
        <is>
          <t>Available tools were used appropriately</t>
        </is>
      </c>
      <c r="C36" s="79" t="inlineStr">
        <is>
          <t>Partial</t>
        </is>
      </c>
      <c r="D36" s="14" t="n"/>
      <c r="E36" s="70" t="n"/>
      <c r="F36" s="69" t="n"/>
    </row>
    <row r="37" ht="28" customHeight="1">
      <c r="B37" s="12" t="inlineStr">
        <is>
          <t>Information provided was technically accurate</t>
        </is>
      </c>
      <c r="C37" s="79" t="inlineStr">
        <is>
          <t>Missed</t>
        </is>
      </c>
      <c r="D37" s="12" t="n"/>
      <c r="E37" s="70" t="n"/>
      <c r="F37" s="69" t="n"/>
    </row>
    <row r="38" ht="28" customHeight="1">
      <c r="B38" s="14" t="inlineStr">
        <is>
          <t>Assumptions were validated; no unsupported conclusions</t>
        </is>
      </c>
      <c r="C38" s="79" t="inlineStr">
        <is>
          <t>Partial</t>
        </is>
      </c>
      <c r="D38" s="14" t="n"/>
      <c r="E38" s="70" t="n"/>
      <c r="F38" s="69" t="n"/>
    </row>
    <row r="39" ht="28" customHeight="1">
      <c r="B39" s="12" t="inlineStr">
        <is>
          <t>Root cause (or likely cause) was identified when possible</t>
        </is>
      </c>
      <c r="C39" s="79" t="inlineStr">
        <is>
          <t>Missed</t>
        </is>
      </c>
      <c r="D39" s="12" t="n"/>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2</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Individual diagnostic steps (signal/backhaul check, swap-test proposal) were sound, but the unvalidated reversal of a prior CAT-level conclusion undermines technical credibility.</t>
        </is>
      </c>
      <c r="C43" s="7" t="inlineStr">
        <is>
          <t>Thin diagnosis; EOL framing did not move the node issue forward.</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Met</t>
        </is>
      </c>
      <c r="D48" s="12" t="n"/>
      <c r="E48" s="70" t="n"/>
      <c r="F48" s="69" t="n"/>
    </row>
    <row r="49" ht="28" customHeight="1">
      <c r="B49" s="14" t="inlineStr">
        <is>
          <t>Agent maintained control of the troubleshooting flow</t>
        </is>
      </c>
      <c r="C49" s="79" t="inlineStr">
        <is>
          <t>Partial</t>
        </is>
      </c>
      <c r="D49" s="14" t="n"/>
      <c r="E49" s="70" t="n"/>
      <c r="F49" s="69" t="n"/>
    </row>
    <row r="50" ht="28" customHeight="1">
      <c r="B50" s="12" t="inlineStr">
        <is>
          <t>Actions were explained in understandable, jargon-free language</t>
        </is>
      </c>
      <c r="C50" s="79" t="inlineStr">
        <is>
          <t>Met</t>
        </is>
      </c>
      <c r="D50" s="12" t="n"/>
      <c r="E50" s="70" t="n"/>
      <c r="F50" s="69" t="n"/>
    </row>
    <row r="51" ht="28" customHeight="1">
      <c r="B51" s="14" t="inlineStr">
        <is>
          <t>Questions were purposeful (no repetitive questioning)</t>
        </is>
      </c>
      <c r="C51" s="79" t="inlineStr">
        <is>
          <t>Partial</t>
        </is>
      </c>
      <c r="D51" s="14" t="n"/>
      <c r="E51" s="70" t="n"/>
      <c r="F51" s="69" t="n"/>
    </row>
    <row r="52" ht="28" customHeight="1">
      <c r="B52" s="12" t="inlineStr">
        <is>
          <t>Customer understanding was confirmed at key points</t>
        </is>
      </c>
      <c r="C52" s="79" t="inlineStr">
        <is>
          <t>Met</t>
        </is>
      </c>
      <c r="D52" s="12" t="n"/>
      <c r="E52" s="70" t="n"/>
      <c r="F52" s="69" t="n"/>
    </row>
    <row r="53" ht="28" customHeight="1">
      <c r="B53" s="14" t="inlineStr">
        <is>
          <t>Clear transitions between troubleshooting steps; effective time management</t>
        </is>
      </c>
      <c r="C53" s="79" t="inlineStr">
        <is>
          <t>Partial</t>
        </is>
      </c>
      <c r="D53" s="14" t="n"/>
      <c r="E53" s="70" t="n"/>
      <c r="F53" s="69" t="n"/>
    </row>
    <row r="54" ht="28" customHeight="1">
      <c r="B54" s="12" t="inlineStr">
        <is>
          <t>Difficult moments were managed professionally</t>
        </is>
      </c>
      <c r="C54" s="79" t="inlineStr">
        <is>
          <t>Met</t>
        </is>
      </c>
      <c r="D54" s="12" t="n"/>
      <c r="E54" s="70" t="n"/>
      <c r="F54" s="69" t="n"/>
    </row>
    <row r="55" ht="28" customHeight="1">
      <c r="B55" s="14" t="inlineStr">
        <is>
          <t>Communication adapted to the customer's accessibility needs (hearing, vision, age)</t>
        </is>
      </c>
      <c r="C55" s="79" t="inlineStr">
        <is>
          <t>N.A.</t>
        </is>
      </c>
      <c r="D55" s="14" t="n"/>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The core communication failure is the unacknowledged expectation gap: the customer's RMA expectation from Nov 24 was never reconciled with the renewed troubleshooting requests.</t>
        </is>
      </c>
      <c r="C59" s="7" t="inlineStr">
        <is>
          <t>Communication adequate but did not establish a clear plan.</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Missed</t>
        </is>
      </c>
      <c r="D64" s="12" t="n"/>
      <c r="E64" s="70" t="n"/>
      <c r="F64" s="69" t="n"/>
    </row>
    <row r="65" ht="28" customHeight="1">
      <c r="B65" s="14" t="inlineStr">
        <is>
          <t>Unnecessary transfers were avoided</t>
        </is>
      </c>
      <c r="C65" s="79" t="inlineStr">
        <is>
          <t>Partial</t>
        </is>
      </c>
      <c r="D65" s="14" t="n"/>
      <c r="E65" s="70" t="n"/>
      <c r="F65" s="69" t="n"/>
    </row>
    <row r="66" ht="28" customHeight="1">
      <c r="B66" s="12" t="inlineStr">
        <is>
          <t>Commitments made during the interaction were followed through</t>
        </is>
      </c>
      <c r="C66" s="79" t="inlineStr">
        <is>
          <t>Missed</t>
        </is>
      </c>
      <c r="D66" s="12" t="n"/>
      <c r="E66" s="70" t="n"/>
      <c r="F66" s="69" t="n"/>
    </row>
    <row r="67" ht="28" customHeight="1">
      <c r="B67" s="14" t="inlineStr">
        <is>
          <t>A clear path forward was created for the customer</t>
        </is>
      </c>
      <c r="C67" s="79" t="inlineStr">
        <is>
          <t>Partial</t>
        </is>
      </c>
      <c r="D67" s="14" t="n"/>
      <c r="E67" s="70" t="n"/>
      <c r="F67" s="69" t="n"/>
    </row>
    <row r="68" ht="28" customHeight="1">
      <c r="B68" s="12" t="inlineStr">
        <is>
          <t>Next actions were documented</t>
        </is>
      </c>
      <c r="C68" s="79" t="inlineStr">
        <is>
          <t>Missed</t>
        </is>
      </c>
      <c r="D68" s="12" t="n"/>
      <c r="E68" s="70" t="n"/>
      <c r="F68" s="69" t="n"/>
    </row>
    <row r="69" ht="28" customHeight="1">
      <c r="B69" s="14" t="inlineStr">
        <is>
          <t>Realistic expectations were set</t>
        </is>
      </c>
      <c r="C69" s="79" t="inlineStr">
        <is>
          <t>Partial</t>
        </is>
      </c>
      <c r="D69" s="14" t="n"/>
      <c r="E69" s="70" t="n"/>
      <c r="F69" s="69" t="n"/>
    </row>
    <row r="70" ht="28" customHeight="1">
      <c r="B70" s="12" t="inlineStr">
        <is>
          <t>Disconnect follow-up completed (callback / email / note) — mark N.A. if no disconnect</t>
        </is>
      </c>
      <c r="C70" s="79" t="inlineStr">
        <is>
          <t>N.A.</t>
        </is>
      </c>
      <c r="D70" s="12" t="n"/>
      <c r="E70" s="70" t="n"/>
      <c r="F70" s="69" t="n"/>
    </row>
    <row r="71" ht="28" customHeight="1">
      <c r="B71" s="14" t="inlineStr">
        <is>
          <t>Callback commitments were met within the agreed window (or proactively renegotiated before it lapsed)</t>
        </is>
      </c>
      <c r="C71" s="79" t="inlineStr">
        <is>
          <t>N.A.</t>
        </is>
      </c>
      <c r="D71" s="14" t="n"/>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2</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The escalation itself was a positive ownership step, but follow-through collapsed: the customer's direct questions and the SLA commitment were both left unmet, requiring PMO intervention.</t>
        </is>
      </c>
      <c r="C75" s="7" t="inlineStr">
        <is>
          <t>Ownership gap - informal 'CAT-Eric' mention without a documented escalation.</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Missed</t>
        </is>
      </c>
      <c r="D80" s="12" t="inlineStr">
        <is>
          <t>Mentioned consulting 'CAT-Eric' but did not file or document a formal escalation.</t>
        </is>
      </c>
      <c r="E80" s="70" t="n"/>
      <c r="F80" s="69" t="n"/>
    </row>
    <row r="81" ht="28" customHeight="1">
      <c r="B81" s="14" t="inlineStr">
        <is>
          <t>Legitimate escalation criteria were identified (incl. complaint / management / legal-risk triggers)</t>
        </is>
      </c>
      <c r="C81" s="79" t="inlineStr">
        <is>
          <t>Partial</t>
        </is>
      </c>
      <c r="D81" s="14" t="inlineStr">
        <is>
          <t>An informal mention is not an escalation - the path forward was left ambiguous.</t>
        </is>
      </c>
      <c r="E81" s="70" t="n"/>
      <c r="F81" s="69" t="n"/>
    </row>
    <row r="82" ht="28" customHeight="1">
      <c r="B82" s="12" t="inlineStr">
        <is>
          <t>Escalation contained complete, useful details (logs, findings, steps tried)</t>
        </is>
      </c>
      <c r="C82" s="79" t="inlineStr">
        <is>
          <t>Missed</t>
        </is>
      </c>
      <c r="D82" s="12" t="n"/>
      <c r="E82" s="70" t="n"/>
      <c r="F82" s="69" t="n"/>
    </row>
    <row r="83" ht="28" customHeight="1">
      <c r="B83" s="14" t="inlineStr">
        <is>
          <t>Correct escalation path was chosen</t>
        </is>
      </c>
      <c r="C83" s="79" t="inlineStr">
        <is>
          <t>Partial</t>
        </is>
      </c>
      <c r="D83" s="14" t="n"/>
      <c r="E83" s="70" t="n"/>
      <c r="F83" s="69" t="n"/>
    </row>
    <row r="84" ht="28" customHeight="1">
      <c r="B84" s="12" t="inlineStr">
        <is>
          <t>Customer expectations about the escalation were set appropriately</t>
        </is>
      </c>
      <c r="C84" s="79" t="inlineStr">
        <is>
          <t>Missed</t>
        </is>
      </c>
      <c r="D84" s="12" t="n"/>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2</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The escalation decision and routing were correct; the SLA management and handoff completeness after escalation were not.</t>
        </is>
      </c>
      <c r="C88" s="7" t="inlineStr">
        <is>
          <t>Escalation referenced verbally but never formalized or recorded.</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Met</t>
        </is>
      </c>
      <c r="D93" s="12" t="n"/>
      <c r="E93" s="70" t="n"/>
      <c r="F93" s="69" t="n"/>
    </row>
    <row r="94" ht="28" customHeight="1">
      <c r="B94" s="14" t="inlineStr">
        <is>
          <t>Professionalism was maintained throughout</t>
        </is>
      </c>
      <c r="C94" s="79" t="inlineStr">
        <is>
          <t>Partial</t>
        </is>
      </c>
      <c r="D94" s="14" t="n"/>
      <c r="E94" s="70" t="n"/>
      <c r="F94" s="69" t="n"/>
    </row>
    <row r="95" ht="28" customHeight="1">
      <c r="B95" s="12" t="inlineStr">
        <is>
          <t>Communication style was adapted to the customer</t>
        </is>
      </c>
      <c r="C95" s="79" t="inlineStr">
        <is>
          <t>Met</t>
        </is>
      </c>
      <c r="D95" s="12" t="n"/>
      <c r="E95" s="70" t="n"/>
      <c r="F95" s="69" t="n"/>
    </row>
    <row r="96" ht="28" customHeight="1">
      <c r="B96" s="14" t="inlineStr">
        <is>
          <t>Patience was maintained, even under pressure</t>
        </is>
      </c>
      <c r="C96" s="79" t="inlineStr">
        <is>
          <t>Partial</t>
        </is>
      </c>
      <c r="D96" s="14" t="n"/>
      <c r="E96" s="70" t="n"/>
      <c r="F96" s="69" t="n"/>
    </row>
    <row r="97" ht="28" customHeight="1">
      <c r="B97" s="12" t="inlineStr">
        <is>
          <t>Customer effort was reduced where possible</t>
        </is>
      </c>
      <c r="C97" s="79" t="inlineStr">
        <is>
          <t>Met</t>
        </is>
      </c>
      <c r="D97" s="12" t="n"/>
      <c r="E97" s="70" t="n"/>
      <c r="F97" s="69" t="n"/>
    </row>
    <row r="98" ht="28" customHeight="1">
      <c r="B98" s="14" t="inlineStr">
        <is>
          <t>Customer felt heard, understood next steps, and remained engaged</t>
        </is>
      </c>
      <c r="C98" s="79" t="inlineStr">
        <is>
          <t>Partial</t>
        </is>
      </c>
      <c r="D98" s="14" t="n"/>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3</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Professionalism was maintained, but the customer's confidence and engagement collapsed by the end of this touch.</t>
        </is>
      </c>
      <c r="C102" s="7" t="inlineStr">
        <is>
          <t>Acceptable tone, but the customer left without a concrete next step.</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Missed</t>
        </is>
      </c>
      <c r="D107" s="12" t="inlineStr">
        <is>
          <t>No formal escalation documented; next steps unclear in the record (weak continuity).</t>
        </is>
      </c>
      <c r="E107" s="70" t="n"/>
      <c r="F107" s="69" t="n"/>
    </row>
    <row r="108" ht="28" customHeight="1">
      <c r="B108" s="14" t="inlineStr">
        <is>
          <t>Troubleshooting performed is documented</t>
        </is>
      </c>
      <c r="C108" s="79" t="inlineStr">
        <is>
          <t>Partial</t>
        </is>
      </c>
      <c r="D108" s="14" t="n"/>
      <c r="E108" s="70" t="n"/>
      <c r="F108" s="69" t="n"/>
    </row>
    <row r="109" ht="28" customHeight="1">
      <c r="B109" s="12" t="inlineStr">
        <is>
          <t>Key findings / discoveries noted</t>
        </is>
      </c>
      <c r="C109" s="79" t="inlineStr">
        <is>
          <t>Missed</t>
        </is>
      </c>
      <c r="D109" s="12" t="n"/>
      <c r="E109" s="70" t="n"/>
      <c r="F109" s="69" t="n"/>
    </row>
    <row r="110" ht="28" customHeight="1">
      <c r="B110" s="14" t="inlineStr">
        <is>
          <t>Agent reasoning is captured</t>
        </is>
      </c>
      <c r="C110" s="79" t="inlineStr">
        <is>
          <t>Partial</t>
        </is>
      </c>
      <c r="D110" s="14" t="n"/>
      <c r="E110" s="70" t="n"/>
      <c r="F110" s="69" t="n"/>
    </row>
    <row r="111" ht="28" customHeight="1">
      <c r="B111" s="12" t="inlineStr">
        <is>
          <t>Escalation justification included — mark N.A. if no escalation</t>
        </is>
      </c>
      <c r="C111" s="79" t="inlineStr">
        <is>
          <t>Missed</t>
        </is>
      </c>
      <c r="D111" s="12" t="n"/>
      <c r="E111" s="70" t="n"/>
      <c r="F111" s="69" t="n"/>
    </row>
    <row r="112" ht="28" customHeight="1">
      <c r="B112" s="14" t="inlineStr">
        <is>
          <t>Next steps and follow-up actions listed (incl. callback records)</t>
        </is>
      </c>
      <c r="C112" s="79" t="inlineStr">
        <is>
          <t>Partial</t>
        </is>
      </c>
      <c r="D112" s="14" t="n"/>
      <c r="E112" s="70" t="n"/>
      <c r="F112" s="69" t="n"/>
    </row>
    <row r="113" ht="28" customHeight="1">
      <c r="B113" s="12" t="inlineStr">
        <is>
          <t>Ticket status accurately reflects case state (no premature RESOLVED; closure reason documented)</t>
        </is>
      </c>
      <c r="C113" s="79" t="inlineStr">
        <is>
          <t>Missed</t>
        </is>
      </c>
      <c r="D113" s="12" t="n"/>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Escalation steps are documented, but the case record does not carry the full history forward, and ticket status does not reflect reality.</t>
        </is>
      </c>
      <c r="C117" s="7" t="inlineStr">
        <is>
          <t>No formal escalation/next-step documented - continuity weakened (handoff 1/5).</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Ownership Gap</t>
        </is>
      </c>
      <c r="D131" s="70" t="n"/>
      <c r="E131" s="70" t="n"/>
      <c r="F131" s="69" t="n"/>
    </row>
    <row r="132">
      <c r="B132" s="6" t="inlineStr">
        <is>
          <t>Primary positive outcome achieved</t>
        </is>
      </c>
      <c r="C132" s="81" t="inlineStr">
        <is>
          <t>None - customer declined further troubleshooting; EOL stated; no documented escalation.</t>
        </is>
      </c>
      <c r="D132" s="70" t="n"/>
      <c r="E132" s="70" t="n"/>
      <c r="F132" s="69" t="n"/>
    </row>
    <row r="133" ht="52" customHeight="1">
      <c r="B133" s="4" t="inlineStr">
        <is>
          <t>Justification</t>
        </is>
      </c>
      <c r="C133" s="7" t="inlineStr">
        <is>
          <t>The touch ended without a documented path: an EOL message plus an informal 'CAT-Eric' mention that was never filed. Continuity into the next touch depended on Eric independently picking the case back up.</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n"/>
      <c r="E141" s="70" t="n"/>
      <c r="F141" s="69" t="n"/>
    </row>
    <row r="142" ht="26" customHeight="1">
      <c r="B142" s="14" t="inlineStr">
        <is>
          <t>Misrepresented product capabilities</t>
        </is>
      </c>
      <c r="C142" s="79" t="inlineStr">
        <is>
          <t>No</t>
        </is>
      </c>
      <c r="D142" s="14" t="n"/>
      <c r="E142" s="70" t="n"/>
      <c r="F142" s="69" t="n"/>
    </row>
    <row r="143" ht="26" customHeight="1">
      <c r="B143" s="12" t="inlineStr">
        <is>
          <t>Unsupported root-cause claims (e.g., ISP/customer blame w/o evidence)</t>
        </is>
      </c>
      <c r="C143" s="79" t="inlineStr">
        <is>
          <t>No</t>
        </is>
      </c>
      <c r="D143" s="12" t="n"/>
      <c r="E143" s="70" t="n"/>
      <c r="F143" s="69" t="n"/>
    </row>
    <row r="144" ht="26" customHeight="1">
      <c r="B144" s="14" t="inlineStr">
        <is>
          <t>No follow-up after disconnected call</t>
        </is>
      </c>
      <c r="C144" s="79" t="inlineStr">
        <is>
          <t>No</t>
        </is>
      </c>
      <c r="D144" s="14" t="n"/>
      <c r="E144" s="70" t="n"/>
      <c r="F144" s="69" t="n"/>
    </row>
    <row r="145" ht="26" customHeight="1">
      <c r="B145" s="12" t="inlineStr">
        <is>
          <t>Failed to complete a promised action (incl. missed agreed callback window)</t>
        </is>
      </c>
      <c r="C145" s="79" t="inlineStr">
        <is>
          <t>No</t>
        </is>
      </c>
      <c r="D145" s="12" t="n"/>
      <c r="E145" s="70" t="n"/>
      <c r="F145" s="69" t="n"/>
    </row>
    <row r="146" ht="26" customHeight="1">
      <c r="B146" s="14" t="inlineStr">
        <is>
          <t>Abandoned customer without a path forward</t>
        </is>
      </c>
      <c r="C146" s="79" t="inlineStr">
        <is>
          <t>No</t>
        </is>
      </c>
      <c r="D146" s="14" t="n"/>
      <c r="E146" s="70" t="n"/>
      <c r="F146" s="69" t="n"/>
    </row>
    <row r="147" ht="26" customHeight="1">
      <c r="B147" s="12" t="inlineStr">
        <is>
          <t>Escalated without reasonable troubleshooting / to avoid ownership</t>
        </is>
      </c>
      <c r="C147" s="79" t="inlineStr">
        <is>
          <t>No</t>
        </is>
      </c>
      <c r="D147" s="12" t="n"/>
      <c r="E147" s="70" t="n"/>
      <c r="F147" s="69" t="n"/>
    </row>
    <row r="148" ht="26" customHeight="1">
      <c r="B148" s="14" t="inlineStr">
        <is>
          <t>Unprofessional, rude, or dismissive conduct / policy violation</t>
        </is>
      </c>
      <c r="C148" s="79" t="inlineStr">
        <is>
          <t>No</t>
        </is>
      </c>
      <c r="D148" s="14" t="n"/>
      <c r="E148" s="70" t="n"/>
      <c r="F148" s="69" t="n"/>
    </row>
    <row r="149" ht="26" customHeight="1">
      <c r="B149" s="12" t="inlineStr">
        <is>
          <t>Compliance / security violation (e.g., payment card data spoken or stored in plaintext — PCI DSS)</t>
        </is>
      </c>
      <c r="C149" s="79" t="inlineStr">
        <is>
          <t>No</t>
        </is>
      </c>
      <c r="D149" s="12" t="n"/>
      <c r="E149" s="70" t="n"/>
      <c r="F149" s="69" t="n"/>
    </row>
    <row r="150" ht="26" customHeight="1">
      <c r="B150" s="14" t="inlineStr">
        <is>
          <t>Case marked Resolved while issue known to be unresolved (premature closure / no closure reason)</t>
        </is>
      </c>
      <c r="C150" s="79" t="inlineStr">
        <is>
          <t>No</t>
        </is>
      </c>
      <c r="D150" s="14" t="n"/>
      <c r="E150" s="70" t="n"/>
      <c r="F150" s="69" t="n"/>
    </row>
    <row r="151" ht="26" customHeight="1">
      <c r="B151" s="12" t="inlineStr">
        <is>
          <t>Customer complaint, management-contact, or legal-risk request not escalated</t>
        </is>
      </c>
      <c r="C151" s="79" t="inlineStr">
        <is>
          <t>No</t>
        </is>
      </c>
      <c r="D151" s="12" t="n"/>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Maintained an acceptable, professional tone.</t>
        </is>
      </c>
      <c r="D156" s="70" t="n"/>
      <c r="E156" s="70" t="n"/>
      <c r="F156" s="69" t="n"/>
    </row>
    <row r="157" ht="32" customHeight="1">
      <c r="B157" s="11" t="inlineStr">
        <is>
          <t>2.</t>
        </is>
      </c>
      <c r="C157" s="7" t="inlineStr">
        <is>
          <t>Recognized the case needed CAT/L2 involvement (named the right resource).</t>
        </is>
      </c>
      <c r="D157" s="70" t="n"/>
      <c r="E157" s="70" t="n"/>
      <c r="F157" s="69" t="n"/>
    </row>
    <row r="158" ht="32" customHeight="1">
      <c r="B158" s="11" t="inlineStr">
        <is>
          <t>3.</t>
        </is>
      </c>
      <c r="C158" s="7" t="inlineStr">
        <is>
          <t>Engaged the customer on status rather than ignoring the contact.</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If escalation is warranted, FILE and document it - do not leave it as a verbal mention.</t>
        </is>
      </c>
      <c r="D160" s="70" t="n"/>
      <c r="E160" s="70" t="n"/>
      <c r="F160" s="69" t="n"/>
    </row>
    <row r="161" ht="32" customHeight="1">
      <c r="B161" s="11" t="inlineStr">
        <is>
          <t>2.</t>
        </is>
      </c>
      <c r="C161" s="7" t="inlineStr">
        <is>
          <t>Verify EOL vs. warranty status before communicating it (the unit was later pursued for replacement).</t>
        </is>
      </c>
      <c r="D161" s="70" t="n"/>
      <c r="E161" s="70" t="n"/>
      <c r="F161" s="69" t="n"/>
    </row>
    <row r="162" ht="32" customHeight="1">
      <c r="B162" s="11" t="inlineStr">
        <is>
          <t>3.</t>
        </is>
      </c>
      <c r="C162" s="7" t="inlineStr">
        <is>
          <t>Always leave a documented next step, even when the customer declines further troubleshooting.</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Coach on closing the loop: an informal 'I'll consult CAT-Eric' is not an escalation. File it, document the next step, and confirm warranty/EOL status before stating it to the customer.</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The EOL message here sits uneasily against the later in-warranty replacement effort - a status-accuracy/knowledge gap. Also reinforces the need for a documented escalation workflow so handoffs do not rely on a named colleague.</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7 of 21 (Regression Contributor, handoff 1/5). The lowest-continuity L1 touch - the case only continued because Eric re-engaged it at Touch 8.</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Below standard. The customer left without a documented path, an unverified EOL message was given, and the escalation was only verbal. Priority coaching: formalize and document escalations and next steps.</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42"/>
  <sheetViews>
    <sheetView showGridLines="0" workbookViewId="0">
      <selection activeCell="A1" sqref="A1"/>
    </sheetView>
  </sheetViews>
  <sheetFormatPr baseColWidth="8" defaultRowHeight="15"/>
  <cols>
    <col width="4" customWidth="1" min="1" max="1"/>
    <col width="30" customWidth="1" min="2" max="2"/>
    <col width="10" customWidth="1" min="3" max="3"/>
    <col width="80" customWidth="1" min="4" max="4"/>
  </cols>
  <sheetData>
    <row r="1" ht="26" customHeight="1">
      <c r="B1" s="104" t="inlineStr">
        <is>
          <t>SCORING GUIDE &amp; CATEGORY CRITERIA</t>
        </is>
      </c>
      <c r="C1" s="67" t="n"/>
      <c r="D1" s="68" t="n"/>
    </row>
    <row r="3">
      <c r="B3" s="125" t="inlineStr">
        <is>
          <t>How to use this form</t>
        </is>
      </c>
      <c r="C3" s="67" t="n"/>
      <c r="D3" s="68" t="n"/>
    </row>
    <row r="4">
      <c r="B4" s="12" t="inlineStr">
        <is>
          <t>1. Fill in Case Information, the Case Summary, and (for multi-touch cases) the Inherited Context field.</t>
        </is>
      </c>
      <c r="C4" s="70" t="n"/>
      <c r="D4" s="69" t="n"/>
    </row>
    <row r="5">
      <c r="B5" s="14" t="inlineStr">
        <is>
          <t>2. For each category, rate every behavioral indicator: Met / Partial / Missed / N.A. (N.A. excludes it from the suggested score).</t>
        </is>
      </c>
      <c r="C5" s="70" t="n"/>
      <c r="D5" s="69" t="n"/>
    </row>
    <row r="6">
      <c r="B6" s="12" t="inlineStr">
        <is>
          <t>3. Record evidence — quotes, timestamps, or note excerpts — beside each indicator.</t>
        </is>
      </c>
      <c r="C6" s="70" t="n"/>
      <c r="D6" s="69" t="n"/>
    </row>
    <row r="7">
      <c r="B7" s="14" t="inlineStr">
        <is>
          <t>4. Review the auto-suggested score, then assign the FINAL 0-5 score using evaluator judgment and the anchors below.</t>
        </is>
      </c>
      <c r="C7" s="70" t="n"/>
      <c r="D7" s="69" t="n"/>
    </row>
    <row r="8">
      <c r="B8" s="12" t="inlineStr">
        <is>
          <t>5. Classify the Resolution Outcome and the primary positive outcome achieved.</t>
        </is>
      </c>
      <c r="C8" s="70" t="n"/>
      <c r="D8" s="69" t="n"/>
    </row>
    <row r="9">
      <c r="B9" s="14" t="inlineStr">
        <is>
          <t>6. Complete the Disconnect Follow-Up check and the Critical Failure checklist.</t>
        </is>
      </c>
      <c r="C9" s="70" t="n"/>
      <c r="D9" s="69" t="n"/>
    </row>
    <row r="10">
      <c r="B10" s="12" t="inlineStr">
        <is>
          <t>7. Write coaching feedback: at least one actionable coaching opportunity is required; add an operational improvement recommendation where applicable.</t>
        </is>
      </c>
      <c r="C10" s="70" t="n"/>
      <c r="D10" s="69" t="n"/>
    </row>
    <row r="11">
      <c r="B11" s="14" t="inlineStr">
        <is>
          <t>8. For multi-touch cases, also read the Multi-Touch Guide sheet and log every touch in the Case Tracker under the same Case ID.</t>
        </is>
      </c>
      <c r="C11" s="70" t="n"/>
      <c r="D11" s="69" t="n"/>
    </row>
    <row r="13">
      <c r="B13" s="125" t="inlineStr">
        <is>
          <t>Score Anchors (0–5 scale)</t>
        </is>
      </c>
      <c r="C13" s="67" t="n"/>
      <c r="D13" s="68" t="n"/>
    </row>
    <row r="14">
      <c r="B14" s="118" t="inlineStr">
        <is>
          <t>Score</t>
        </is>
      </c>
      <c r="C14" s="125" t="inlineStr">
        <is>
          <t>Description</t>
        </is>
      </c>
      <c r="D14" s="68" t="n"/>
    </row>
    <row r="15">
      <c r="B15" s="41" t="inlineStr">
        <is>
          <t>5</t>
        </is>
      </c>
      <c r="C15" s="12" t="inlineStr">
        <is>
          <t>Issue resolved or strongest available outcome achieved</t>
        </is>
      </c>
      <c r="D15" s="69" t="n"/>
    </row>
    <row r="16">
      <c r="B16" s="42" t="inlineStr">
        <is>
          <t>4</t>
        </is>
      </c>
      <c r="C16" s="14" t="inlineStr">
        <is>
          <t>Significant progress made with clear next steps</t>
        </is>
      </c>
      <c r="D16" s="69" t="n"/>
    </row>
    <row r="17">
      <c r="B17" s="41" t="inlineStr">
        <is>
          <t>3</t>
        </is>
      </c>
      <c r="C17" s="12" t="inlineStr">
        <is>
          <t>Partial progress made but opportunities missed</t>
        </is>
      </c>
      <c r="D17" s="69" t="n"/>
    </row>
    <row r="18">
      <c r="B18" s="42" t="inlineStr">
        <is>
          <t>2</t>
        </is>
      </c>
      <c r="C18" s="14" t="inlineStr">
        <is>
          <t>Limited progress despite available troubleshooting paths</t>
        </is>
      </c>
      <c r="D18" s="69" t="n"/>
    </row>
    <row r="19">
      <c r="B19" s="41" t="inlineStr">
        <is>
          <t>1</t>
        </is>
      </c>
      <c r="C19" s="12" t="inlineStr">
        <is>
          <t>Little or no meaningful progress</t>
        </is>
      </c>
      <c r="D19" s="69" t="n"/>
    </row>
    <row r="20">
      <c r="B20" s="42" t="inlineStr">
        <is>
          <t>0</t>
        </is>
      </c>
      <c r="C20" s="14" t="inlineStr">
        <is>
          <t>Agent actions delayed, prevented, or negatively impacted resolution</t>
        </is>
      </c>
      <c r="D20" s="69" t="n"/>
    </row>
    <row r="22">
      <c r="B22" s="125" t="inlineStr">
        <is>
          <t>Indicator ratings</t>
        </is>
      </c>
      <c r="C22" s="67" t="n"/>
      <c r="D22" s="68" t="n"/>
    </row>
    <row r="23">
      <c r="B23" s="41" t="inlineStr">
        <is>
          <t>Met</t>
        </is>
      </c>
      <c r="C23" s="12" t="inlineStr">
        <is>
          <t>Behavior fully demonstrated (counts as 5 toward the suggested score)</t>
        </is>
      </c>
      <c r="D23" s="69" t="n"/>
    </row>
    <row r="24">
      <c r="B24" s="42" t="inlineStr">
        <is>
          <t>Partial</t>
        </is>
      </c>
      <c r="C24" s="14" t="inlineStr">
        <is>
          <t>Behavior attempted but incomplete or inconsistent (counts as 2.5)</t>
        </is>
      </c>
      <c r="D24" s="69" t="n"/>
    </row>
    <row r="25">
      <c r="B25" s="41" t="inlineStr">
        <is>
          <t>Missed</t>
        </is>
      </c>
      <c r="C25" s="12" t="inlineStr">
        <is>
          <t>Behavior expected but not demonstrated (counts as 0)</t>
        </is>
      </c>
      <c r="D25" s="69" t="n"/>
    </row>
    <row r="26">
      <c r="B26" s="42" t="inlineStr">
        <is>
          <t>N.A.</t>
        </is>
      </c>
      <c r="C26" s="14" t="inlineStr">
        <is>
          <t>Not applicable to this interaction (excluded from the suggested score)</t>
        </is>
      </c>
      <c r="D26" s="69" t="n"/>
    </row>
    <row r="28">
      <c r="B28" s="125" t="inlineStr">
        <is>
          <t>Category Objectives &amp; Watch-Fors</t>
        </is>
      </c>
      <c r="C28" s="67" t="n"/>
      <c r="D28" s="68" t="n"/>
    </row>
    <row r="29" ht="60" customHeight="1">
      <c r="B29" s="43" t="inlineStr">
        <is>
          <t>Resolution / Progress Toward Resolution (30%)</t>
        </is>
      </c>
      <c r="C29" s="12" t="inlineStr">
        <is>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is>
      </c>
      <c r="D29" s="69" t="n"/>
    </row>
    <row r="30" ht="60" customHeight="1">
      <c r="B30" s="44" t="inlineStr">
        <is>
          <t>Technical Accuracy (20%)</t>
        </is>
      </c>
      <c r="C30" s="45" t="inlineStr">
        <is>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is>
      </c>
      <c r="D30" s="69" t="n"/>
    </row>
    <row r="31" ht="60" customHeight="1">
      <c r="B31" s="43" t="inlineStr">
        <is>
          <t>Communication &amp; Call Control (15%)</t>
        </is>
      </c>
      <c r="C31" s="12" t="inlineStr">
        <is>
          <t>Evaluate how effectively the agent managed the interaction. High performance: customer always knows what is happening and the agent drives the call confidently. One instruction at a time for customers who need it.</t>
        </is>
      </c>
      <c r="D31" s="69" t="n"/>
    </row>
    <row r="32" ht="60" customHeight="1">
      <c r="B32" s="44" t="inlineStr">
        <is>
          <t>Customer Ownership (15%)</t>
        </is>
      </c>
      <c r="C32" s="45" t="inlineStr">
        <is>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is>
      </c>
      <c r="D32" s="69" t="n"/>
    </row>
    <row r="33" ht="60" customHeight="1">
      <c r="B33" s="43" t="inlineStr">
        <is>
          <t>Escalation Judgment (10%)</t>
        </is>
      </c>
      <c r="C33" s="12" t="inlineStr">
        <is>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is>
      </c>
      <c r="D33" s="69" t="n"/>
    </row>
    <row r="34" ht="60" customHeight="1">
      <c r="B34" s="44" t="inlineStr">
        <is>
          <t>Customer Experience (5%)</t>
        </is>
      </c>
      <c r="C34" s="45" t="inlineStr">
        <is>
          <t>Measure the overall customer experience delivered during the interaction. Negative indicators: dismissive responses; robotic interactions; frustration escalation caused by agent behavior; marathon sessions pushed onto vulnerable customers without offering to pause and resume.</t>
        </is>
      </c>
      <c r="D34" s="69" t="n"/>
    </row>
    <row r="35" ht="60" customHeight="1">
      <c r="B35" s="43" t="inlineStr">
        <is>
          <t>Documentation &amp; Notes (5%)</t>
        </is>
      </c>
      <c r="C35" s="12" t="inlineStr">
        <is>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is>
      </c>
      <c r="D35" s="69" t="n"/>
    </row>
    <row r="37">
      <c r="B37" s="125" t="inlineStr">
        <is>
          <t>Overall Result Bands</t>
        </is>
      </c>
      <c r="C37" s="67" t="n"/>
      <c r="D37" s="68" t="n"/>
    </row>
    <row r="38">
      <c r="B38" s="46" t="inlineStr">
        <is>
          <t>≥ 85%</t>
        </is>
      </c>
      <c r="C38" s="47" t="inlineStr">
        <is>
          <t>Meets / Exceeds — strong support behavior</t>
        </is>
      </c>
      <c r="D38" s="69" t="n"/>
    </row>
    <row r="39">
      <c r="B39" s="48" t="inlineStr">
        <is>
          <t>70–84%</t>
        </is>
      </c>
      <c r="C39" s="49" t="inlineStr">
        <is>
          <t>Developing — coaching opportunities present</t>
        </is>
      </c>
      <c r="D39" s="69" t="n"/>
    </row>
    <row r="40">
      <c r="B40" s="50" t="inlineStr">
        <is>
          <t>&lt; 70%</t>
        </is>
      </c>
      <c r="C40" s="51" t="inlineStr">
        <is>
          <t>Needs improvement — prioritized coaching required</t>
        </is>
      </c>
      <c r="D40" s="69" t="n"/>
    </row>
    <row r="42" ht="40" customHeight="1">
      <c r="B42" s="52" t="inlineStr">
        <is>
          <t>A critical failure overrides the band: any flagged condition requires automatic review regardless of the weighted total. Every review must produce at least one actionable coaching opportunity and, where applicable, one operational improvement recommendation.</t>
        </is>
      </c>
      <c r="C42" s="67" t="n"/>
      <c r="D42" s="68" t="n"/>
    </row>
  </sheetData>
  <mergeCells count="36">
    <mergeCell ref="B11:D11"/>
    <mergeCell ref="C34:D34"/>
    <mergeCell ref="B42:D42"/>
    <mergeCell ref="C24:D24"/>
    <mergeCell ref="C30:D30"/>
    <mergeCell ref="C15:D15"/>
    <mergeCell ref="C33:D33"/>
    <mergeCell ref="B1:D1"/>
    <mergeCell ref="B8:D8"/>
    <mergeCell ref="B13:D13"/>
    <mergeCell ref="C14:D14"/>
    <mergeCell ref="C26:D26"/>
    <mergeCell ref="C35:D35"/>
    <mergeCell ref="B10:D10"/>
    <mergeCell ref="C20:D20"/>
    <mergeCell ref="B28:D28"/>
    <mergeCell ref="C29:D29"/>
    <mergeCell ref="B37:D37"/>
    <mergeCell ref="C16:D16"/>
    <mergeCell ref="C25:D25"/>
    <mergeCell ref="B9:D9"/>
    <mergeCell ref="C40:D40"/>
    <mergeCell ref="C31:D31"/>
    <mergeCell ref="B6:D6"/>
    <mergeCell ref="B5:D5"/>
    <mergeCell ref="B4:D4"/>
    <mergeCell ref="B7:D7"/>
    <mergeCell ref="C17:D17"/>
    <mergeCell ref="C23:D23"/>
    <mergeCell ref="C39:D39"/>
    <mergeCell ref="B3:D3"/>
    <mergeCell ref="C32:D32"/>
    <mergeCell ref="C38:D38"/>
    <mergeCell ref="B22:D22"/>
    <mergeCell ref="C19:D19"/>
    <mergeCell ref="C18:D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C47"/>
  <sheetViews>
    <sheetView showGridLines="0" workbookViewId="0">
      <pane ySplit="2" topLeftCell="A3" activePane="bottomLeft" state="frozen"/>
      <selection pane="bottomLeft" activeCell="A1" sqref="A1"/>
    </sheetView>
  </sheetViews>
  <sheetFormatPr baseColWidth="8" defaultRowHeight="15"/>
  <cols>
    <col width="4" customWidth="1" min="1" max="1"/>
    <col width="34" customWidth="1" min="2" max="2"/>
    <col width="110" customWidth="1" min="3" max="3"/>
  </cols>
  <sheetData>
    <row r="1" ht="26" customHeight="1">
      <c r="B1" s="104" t="inlineStr">
        <is>
          <t>MULTI-TOUCH CASE SCORING — HOW IT WORKS</t>
        </is>
      </c>
      <c r="C1" s="68" t="n"/>
    </row>
    <row r="3">
      <c r="B3" s="125" t="inlineStr">
        <is>
          <t>THE MECHANICS</t>
        </is>
      </c>
      <c r="C3" s="68" t="n"/>
    </row>
    <row r="4" ht="72" customHeight="1">
      <c r="B4" s="43" t="inlineStr">
        <is>
          <t>1. One scoring form per touch, not per case</t>
        </is>
      </c>
      <c r="C4" s="12" t="inlineStr">
        <is>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is>
      </c>
    </row>
    <row r="5" ht="72" customHeight="1">
      <c r="B5" s="44" t="inlineStr">
        <is>
          <t>2. Score each agent on THEIR contribution, in the context they inherited</t>
        </is>
      </c>
      <c r="C5" s="45" t="inlineStr">
        <is>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is>
      </c>
    </row>
    <row r="6" ht="72" customHeight="1">
      <c r="B6" s="43" t="inlineStr">
        <is>
          <t>3. Handoff quality is scored on the SENDING agent</t>
        </is>
      </c>
      <c r="C6" s="12" t="inlineStr">
        <is>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is>
      </c>
    </row>
    <row r="7" ht="72" customHeight="1">
      <c r="B7" s="44" t="inlineStr">
        <is>
          <t>4. Critical failures attach to a specific touch</t>
        </is>
      </c>
      <c r="C7" s="45" t="inlineStr">
        <is>
          <t>A premature RESOLVED, a missed callback window, a compliance violation, or an unescalated complaint fails THAT touch's review regardless of how the journey ends — and regardless of that touch's weighted score.</t>
        </is>
      </c>
    </row>
    <row r="8" ht="72" customHeight="1">
      <c r="B8" s="43" t="inlineStr">
        <is>
          <t>5. The journey rolls up in the Case Tracker</t>
        </is>
      </c>
      <c r="C8" s="12" t="inlineStr">
        <is>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is>
      </c>
    </row>
    <row r="9" ht="72" customHeight="1">
      <c r="B9" s="44" t="inlineStr">
        <is>
          <t>6. Watch for journey-level failure patterns</t>
        </is>
      </c>
      <c r="C9" s="45" t="inlineStr">
        <is>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is>
      </c>
    </row>
    <row r="11">
      <c r="B11" s="125" t="inlineStr">
        <is>
          <t>WORKED JOURNEY — TE00124020 / TE00127492 (Richard &amp; Diana Stell, Linksys WHW03 → MX4200, Apr 1 – May 30, 2026)</t>
        </is>
      </c>
      <c r="C11" s="68" t="n"/>
    </row>
    <row r="12" ht="58" customHeight="1">
      <c r="B12" s="53" t="inlineStr">
        <is>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is>
      </c>
      <c r="C12" s="69" t="n"/>
    </row>
    <row r="13">
      <c r="B13" s="121" t="inlineStr">
        <is>
          <t>WHERE THE CHAIN BROKE</t>
        </is>
      </c>
      <c r="C13" s="121" t="inlineStr">
        <is>
          <t>Scored against the touch that caused it</t>
        </is>
      </c>
    </row>
    <row r="14" ht="66" customHeight="1">
      <c r="B14" s="54" t="inlineStr">
        <is>
          <t>Pre-ticket history lost (CRITICAL)</t>
        </is>
      </c>
      <c r="C14" s="12" t="inlineStr">
        <is>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is>
      </c>
    </row>
    <row r="15" ht="66" customHeight="1">
      <c r="B15" s="55" t="inlineStr">
        <is>
          <t>PCI DSS violation (CRITICAL)</t>
        </is>
      </c>
      <c r="C15" s="14" t="inlineStr">
        <is>
          <t>Recording 3 (Apr 1, paid support): full card number, CVV, and expiry spoken aloud and captured in plaintext transcript; the $30 charge itself never documented in any ticket. → Critical failure on that touch + immediate compliance escalation.</t>
        </is>
      </c>
    </row>
    <row r="16" ht="66" customHeight="1">
      <c r="B16" s="54" t="inlineStr">
        <is>
          <t>Receipt-gate before troubleshooting</t>
        </is>
      </c>
      <c r="C16" s="12" t="inlineStr">
        <is>
          <t>May 1 (Riojene Ladera): customer with active 5-min drop cycles was refused troubleshooting until a warranty receipt was emailed; note reads 'No trouble shooting made.' → Resolution &amp; Ownership failure: warranty validation must not replace support on an active issue.</t>
        </is>
      </c>
    </row>
    <row r="17" ht="66" customHeight="1">
      <c r="B17" s="55" t="inlineStr">
        <is>
          <t>Premature RESOLVED ×5</t>
        </is>
      </c>
      <c r="C17" s="14" t="inlineStr">
        <is>
          <t>Ticket marked RESOLVED on Apr 28, May 1, May 4, May 18, May 19 while the streaming-stability complaint was never confirmed fixed. Final closure had no private-note reason. → Documentation/Ownership failures on each closing touch; masks true case age and breaks SLA monitoring.</t>
        </is>
      </c>
    </row>
    <row r="18" ht="66" customHeight="1">
      <c r="B18" s="54" t="inlineStr">
        <is>
          <t>Callback management collapse</t>
        </is>
      </c>
      <c r="C18" s="12" t="inlineStr">
        <is>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is>
      </c>
    </row>
    <row r="19" ht="66" customHeight="1">
      <c r="B19" s="55" t="inlineStr">
        <is>
          <t>Complaint &amp; legal threat not escalated (CRITICAL)</t>
        </is>
      </c>
      <c r="C19" s="14" t="inlineStr">
        <is>
          <t>May 19, 3:33 PM: customer email requests management contact 'before I talk to a lawyer.' Response (after TC consult) apologized but never escalated to management; no DSAT/management record until PMO intervened May 27. → Escalation Judgment failure on the final touch.</t>
        </is>
      </c>
    </row>
    <row r="20" ht="66" customHeight="1">
      <c r="B20" s="54" t="inlineStr">
        <is>
          <t>Accessibility never adapted</t>
        </is>
      </c>
      <c r="C20" s="12" t="inlineStr">
        <is>
          <t>Customer stated hearing aids and age on nearly every call; investigation cites the same 'simplify, slow down, one step at a time' opportunity for 4+ different agents. → Communication finding per touch + training-level organizational insight.</t>
        </is>
      </c>
    </row>
    <row r="22">
      <c r="B22" s="125" t="inlineStr">
        <is>
          <t>WHERE THE CHAIN RECOVERED (recognize these touches)</t>
        </is>
      </c>
      <c r="C22" s="68" t="n"/>
    </row>
    <row r="23" ht="50" customHeight="1">
      <c r="B23" s="56" t="inlineStr">
        <is>
          <t>Venn-Emir Calvin (Apr 23)</t>
        </is>
      </c>
      <c r="C23" s="12" t="inlineStr">
        <is>
          <t>Caught the mis-captured email address in under 2 minutes, corrected it, re-sent the guide — clean continuity fix; investigation found no opportunities.</t>
        </is>
      </c>
    </row>
    <row r="24" ht="50" customHeight="1">
      <c r="B24" s="57" t="inlineStr">
        <is>
          <t>Paolo Ebora (May 4)</t>
        </is>
      </c>
      <c r="C24" s="45" t="inlineStr">
        <is>
          <t>98-minute deep dive: HomeKit isolation, interference analysis, firmware validation, captured sysinfo/network logs via remote access, identified 2 bad-RSSI nodes (-90/-93 dBm), provided L2 hotline. Best diagnostics of the journey.</t>
        </is>
      </c>
    </row>
    <row r="25" ht="50" customHeight="1">
      <c r="B25" s="56" t="inlineStr">
        <is>
          <t>Eric Marbella (May 18, technical leg)</t>
        </is>
      </c>
      <c r="C25" s="12" t="inlineStr">
        <is>
          <t>3h26m session after the modem swap: correctly isolated the fault away from the ISP to the MX4200 parent node, restored internet, set up 4 child nodes with documented RSSI. The technical work was strong — the ownership collapse came the next day.</t>
        </is>
      </c>
    </row>
    <row r="27">
      <c r="B27" s="125" t="inlineStr">
        <is>
          <t>JOURNEY-LEVEL ORGANIZATIONAL INSIGHTS (do not assign to any single agent's score)</t>
        </is>
      </c>
      <c r="C27" s="68" t="n"/>
    </row>
    <row r="28" ht="40" customHeight="1">
      <c r="B28" s="12" t="inlineStr">
        <is>
          <t>• Callback management is systemic, not individual: promised windows shifted repeatedly across L1 and L2; the post-case survey says technicians 'never call back as promised.' Recommend enforced callback calendaring and a contingency script when a window is at risk.</t>
        </is>
      </c>
      <c r="C28" s="69" t="n"/>
    </row>
    <row r="29" ht="40" customHeight="1">
      <c r="B29" s="14" t="inlineStr">
        <is>
          <t>• Case Management &amp; Closure Process needs reinforcement (per investigation): RESOLVED requires customer-confirmed resolution or a documented closure reason; CALLBACK/PENDING states must be used while work is open.</t>
        </is>
      </c>
      <c r="C29" s="69" t="n"/>
    </row>
    <row r="30" ht="40" customHeight="1">
      <c r="B30" s="12" t="inlineStr">
        <is>
          <t>• Ticket linking: pre-purchase and pre-ticket history must be attached or cross-referenced when a new ticket is opened for the same customer/issue (TE00124020 → TE00127492 gap).</t>
        </is>
      </c>
      <c r="C30" s="69" t="n"/>
    </row>
    <row r="31" ht="40" customHeight="1">
      <c r="B31" s="14" t="inlineStr">
        <is>
          <t>• Compliance: PCI-safe payment flow required for paid support (no card data spoken on a recorded line); audit recordings/transcripts retention for Rec 3.</t>
        </is>
      </c>
      <c r="C31" s="69" t="n"/>
    </row>
    <row r="32" ht="40" customHeight="1">
      <c r="B32" s="12" t="inlineStr">
        <is>
          <t>• Product/advice loop: the MX4200 mixed-mesh recommendation for a 7,000 sq ft home with legacy WHW03 nodes drove 6 purchases without a coverage/topology consult — feed back to sales-advice scripts and KB.</t>
        </is>
      </c>
      <c r="C32" s="69" t="n"/>
    </row>
    <row r="33" ht="40" customHeight="1">
      <c r="B33" s="14" t="inlineStr">
        <is>
          <t>• Vulnerable-customer handling: a standard for elderly / hard-of-hearing customers (pace, one-step instructions, session-length checkpoints, offer to pause and resume) would have changed this journey's trajectory.</t>
        </is>
      </c>
      <c r="C33" s="69" t="n"/>
    </row>
    <row r="35">
      <c r="B35" s="125" t="inlineStr">
        <is>
          <t>THE TEAM / JOURNEY SCORE — SCORING THE CHAIN, NOT JUST THE LINKS</t>
        </is>
      </c>
      <c r="C35" s="68" t="n"/>
    </row>
    <row r="36" ht="46" customHeight="1">
      <c r="B36" s="52" t="inlineStr">
        <is>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is>
      </c>
      <c r="C36" s="68" t="n"/>
    </row>
    <row r="37" ht="58" customHeight="1">
      <c r="B37" s="72" t="inlineStr">
        <is>
          <t>Formula</t>
        </is>
      </c>
      <c r="C37" s="12" t="inlineStr">
        <is>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is>
      </c>
    </row>
    <row r="38" ht="52" customHeight="1">
      <c r="B38" s="44" t="inlineStr">
        <is>
          <t>Journey Outcome anchors (0-5)</t>
        </is>
      </c>
      <c r="C38" s="14" t="inlineStr">
        <is>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is>
      </c>
    </row>
    <row r="39" ht="52" customHeight="1">
      <c r="B39" s="44" t="inlineStr">
        <is>
          <t>Continuity &amp; Handoffs anchors (0-5)</t>
        </is>
      </c>
      <c r="C39" s="12" t="inlineStr">
        <is>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is>
      </c>
    </row>
    <row r="40" ht="84" customHeight="1">
      <c r="B40" s="44" t="inlineStr">
        <is>
          <t>Worked example (Stell journey)</t>
        </is>
      </c>
      <c r="C40" s="14" t="inlineStr">
        <is>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is>
      </c>
    </row>
    <row r="41" ht="52" customHeight="1">
      <c r="B41" s="44" t="inlineStr">
        <is>
          <t>Crediting the team</t>
        </is>
      </c>
      <c r="C41" s="12" t="inlineStr">
        <is>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is>
      </c>
    </row>
    <row r="43">
      <c r="B43" s="125" t="inlineStr">
        <is>
          <t>CONTRIBUTION TYPE &amp; HANDOFF QUALITY — PER-TOUCH IMPACT TAGS</t>
        </is>
      </c>
      <c r="C43" s="68" t="n"/>
    </row>
    <row r="44" ht="46" customHeight="1">
      <c r="B44" s="52" t="inlineStr">
        <is>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is>
      </c>
      <c r="C44" s="68" t="n"/>
    </row>
    <row r="45" ht="66" customHeight="1">
      <c r="B45" s="44" t="inlineStr">
        <is>
          <t>Contribution Type (per touch)</t>
        </is>
      </c>
      <c r="C45" s="12" t="inlineStr">
        <is>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Regression Contributor = reset progress, misdiagnosed, premature closure, or otherwise caused regression. Use 'N/A' only when a touch is purely administrative with no case impact.</t>
        </is>
      </c>
    </row>
    <row r="46" ht="78" customHeight="1">
      <c r="B46" s="44" t="inlineStr">
        <is>
          <t>Handoff Quality (0-5, per touch)</t>
        </is>
      </c>
      <c r="C46" s="14" t="inlineStr">
        <is>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is>
      </c>
    </row>
    <row r="47" ht="70" customHeight="1">
      <c r="B47" s="44" t="inlineStr">
        <is>
          <t>Stell journey pattern</t>
        </is>
      </c>
      <c r="C47" s="12" t="inlineStr">
        <is>
          <t>Of the 13 touches, 4 carry Handoff Quality of 1 (Dorothy's wrong callback window, Joziel's 10-15 min promise, Charmaigne's mis-captured email, Riojene's receipt-gate refusal, Jerald's third shifting promise) and 2 are Regression Contributor-tagged for premature RESOLVED closures (Nathan, and via Riojene's refusal). Only Paolo Real and Venn-Emir produced clean Resolver handoffs (4-5). This is what a Continuity score of 1/5 looks like in practice — see the Team Scoring sheet for the live breakdown.</t>
        </is>
      </c>
    </row>
  </sheetData>
  <mergeCells count="16">
    <mergeCell ref="B30:C30"/>
    <mergeCell ref="B44:C44"/>
    <mergeCell ref="B29:C29"/>
    <mergeCell ref="B33:C33"/>
    <mergeCell ref="B11:C11"/>
    <mergeCell ref="B3:C3"/>
    <mergeCell ref="B28:C28"/>
    <mergeCell ref="B22:C22"/>
    <mergeCell ref="B36:C36"/>
    <mergeCell ref="B32:C32"/>
    <mergeCell ref="B31:C31"/>
    <mergeCell ref="B27:C27"/>
    <mergeCell ref="B1:C1"/>
    <mergeCell ref="B35:C35"/>
    <mergeCell ref="B43:C43"/>
    <mergeCell ref="B12:C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D91"/>
  <sheetViews>
    <sheetView showGridLines="0" workbookViewId="0">
      <pane ySplit="11" topLeftCell="A12" activePane="bottomLeft" state="frozen"/>
      <selection pane="bottomLeft" activeCell="A1" sqref="A1"/>
    </sheetView>
  </sheetViews>
  <sheetFormatPr baseColWidth="8" defaultRowHeight="15"/>
  <cols>
    <col width="3" customWidth="1" min="1" max="1"/>
    <col width="36" customWidth="1" min="2" max="2"/>
    <col width="52" customWidth="1" min="3" max="3"/>
    <col width="58" customWidth="1" min="4" max="4"/>
  </cols>
  <sheetData>
    <row r="1" ht="28" customHeight="1">
      <c r="B1" s="104" t="inlineStr">
        <is>
          <t>TEAM SCORING — METHODOLOGY &amp; TEAM OPPORTUNITY ANALYSIS</t>
        </is>
      </c>
      <c r="C1" s="67" t="n"/>
      <c r="D1" s="68" t="n"/>
    </row>
    <row r="2" ht="32" customHeight="1">
      <c r="B2" s="105" t="inlineStr">
        <is>
          <t>Individual forms answer 'how did this agent do?'. Team Scoring answers 'how did the CHAIN perform for the customer?' and 'what should we coach, fix, or build as a TEAM?'. The scorecard below is live from the Case Tracker for TE00089221 (Larry Scerba — 21-touch, 6-agent journey).</t>
        </is>
      </c>
      <c r="C2" s="67" t="n"/>
      <c r="D2" s="68" t="n"/>
    </row>
    <row r="4" ht="24" customHeight="1">
      <c r="B4" s="106" t="inlineStr">
        <is>
          <t>◆  LIVE TEAM SCORECARD  ·  TE00089221 (Larry Scerba — 21-touch, 6-agent journey)  ◆</t>
        </is>
      </c>
      <c r="C4" s="126" t="n"/>
      <c r="D4" s="127" t="n"/>
    </row>
    <row r="5" ht="16" customHeight="1">
      <c r="B5" s="107" t="inlineStr">
        <is>
          <t>TEAM SCORE</t>
        </is>
      </c>
      <c r="C5" s="107" t="inlineStr">
        <is>
          <t>RESULT BAND</t>
        </is>
      </c>
      <c r="D5" s="107" t="inlineStr">
        <is>
          <t>CONTAINS CRITICAL FAILURE?</t>
        </is>
      </c>
    </row>
    <row r="6" ht="64" customHeight="1">
      <c r="B6" s="108">
        <f>'Case Tracker'!G56</f>
        <v/>
      </c>
      <c r="C6" s="109">
        <f>UPPER('Case Tracker'!H56)</f>
        <v/>
      </c>
      <c r="D6" s="110" t="inlineStr">
        <is>
          <t>YES - automatic review (3 critical failure conditions on Eric Marbella's consolidated form; see per-agent Scoring Forms)</t>
        </is>
      </c>
    </row>
    <row r="7" ht="16" customHeight="1">
      <c r="B7" s="111" t="inlineStr">
        <is>
          <t>EXECUTION  (50% weight)</t>
        </is>
      </c>
      <c r="C7" s="111" t="inlineStr">
        <is>
          <t>JOURNEY OUTCOME  (30% weight)</t>
        </is>
      </c>
      <c r="D7" s="111" t="inlineStr">
        <is>
          <t>CONTINUITY &amp; HANDOFFS  (20% weight)</t>
        </is>
      </c>
    </row>
    <row r="8" ht="28" customHeight="1">
      <c r="B8" s="112">
        <f>TEXT('Case Tracker'!D56,"0.0%")&amp;"  avg of "&amp;'Case Tracker'!C56&amp;" touches"</f>
        <v/>
      </c>
      <c r="C8" s="113">
        <f>'Case Tracker'!E56&amp;" / 5"</f>
        <v/>
      </c>
      <c r="D8" s="113">
        <f>'Case Tracker'!F56&amp;" / 5"</f>
        <v/>
      </c>
    </row>
    <row r="9" ht="22" customHeight="1">
      <c r="B9" s="114">
        <f>" = 50% × "&amp;TEXT('Case Tracker'!D56,"0.0%")&amp;"  +  30% × ("&amp;'Case Tracker'!E56&amp;"÷5)  +  20% × ("&amp;'Case Tracker'!F56&amp;"÷5)  =  "&amp;TEXT('Case Tracker'!G56,"0.0%")&amp;"   (the chain, not just the links)"</f>
        <v/>
      </c>
      <c r="C9" s="126" t="n"/>
      <c r="D9" s="127" t="n"/>
    </row>
    <row r="10" ht="28" customHeight="1">
      <c r="B10" s="115" t="inlineStr">
        <is>
          <t>↑ Updates automatically from the Case Tracker (Team/Journey Scores, row 56). Edit Outcome / Continuity there and this scorecard moves with it. For your own journeys, copy this block and point it at the relevant journey row.</t>
        </is>
      </c>
      <c r="C10" s="70" t="n"/>
      <c r="D10" s="69" t="n"/>
    </row>
    <row r="12">
      <c r="B12" s="125" t="inlineStr">
        <is>
          <t>1 · WHY A TEAM SCORE EXISTS</t>
        </is>
      </c>
      <c r="C12" s="67" t="n"/>
      <c r="D12" s="68" t="n"/>
    </row>
    <row r="13" ht="72" customHeight="1">
      <c r="B13" s="89" t="inlineStr">
        <is>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is>
      </c>
      <c r="C13" s="70" t="n"/>
      <c r="D13" s="69" t="n"/>
    </row>
    <row r="15">
      <c r="B15" s="125" t="inlineStr">
        <is>
          <t>2 · THE FORMULA, COMPONENT BY COMPONENT</t>
        </is>
      </c>
      <c r="C15" s="67" t="n"/>
      <c r="D15" s="68" t="n"/>
    </row>
    <row r="16">
      <c r="B16" s="125" t="inlineStr">
        <is>
          <t>Component</t>
        </is>
      </c>
      <c r="C16" s="125" t="inlineStr">
        <is>
          <t>What it measures &amp; why this weight</t>
        </is>
      </c>
      <c r="D16" s="125" t="inlineStr">
        <is>
          <t>TE00089221 (Larry Scerba) — journey numbers</t>
        </is>
      </c>
    </row>
    <row r="17" ht="104" customHeight="1">
      <c r="B17" s="88" t="inlineStr">
        <is>
          <t>EXECUTION — 50%
Average of all touch weighted scores</t>
        </is>
      </c>
      <c r="C17" s="89" t="inlineStr">
        <is>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is>
      </c>
      <c r="D17" s="89" t="inlineStr">
        <is>
          <t>21 touches averaging ≈ 60%. Strong start (Jeneth 99%, Eric's T12 80%) and a competent mid-journey, then a late collapse (T18 31%, T21 24%). A capable-on-paper team whose average is propped up by early touches.</t>
        </is>
      </c>
    </row>
    <row r="18" ht="104" customHeight="1">
      <c r="B18" s="90" t="inlineStr">
        <is>
          <t>JOURNEY OUTCOME — 30%
Evaluator-judged 0-5</t>
        </is>
      </c>
      <c r="C18" s="91" t="inlineStr">
        <is>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is>
      </c>
      <c r="D18" s="91" t="inlineStr">
        <is>
          <t>0/5 — unresolved after ~8 months / 21 touches; an RMA was 'approved as defective' (Nov) then reversed; sysinfo logs lost twice; case fragmented across 3 ticket IDs; customer escalated to the CEO and sent a certified letter, telling the agent not to respond.</t>
        </is>
      </c>
    </row>
    <row r="19" ht="104" customHeight="1">
      <c r="B19" s="88" t="inlineStr">
        <is>
          <t>CONTINUITY &amp; HANDOFFS — 20%
Evaluator-judged 0-5</t>
        </is>
      </c>
      <c r="C19" s="89" t="inlineStr">
        <is>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is>
      </c>
      <c r="D19" s="89" t="inlineStr">
        <is>
          <t>1/5 — the Earthlink email-deliverability defect was carried for weeks before isolation; sysinfo logs lost/misrouted twice; RMA determination reversed; multi-ticket fragmentation; ends in a PMO-requested reassignment (Zither Calvin).</t>
        </is>
      </c>
    </row>
    <row r="20" ht="30" customHeight="1">
      <c r="B20" s="117" t="inlineStr">
        <is>
          <t>TEAM SCORE  =  50% × 60%  +  30% × (0÷5)  +  20% × (1÷5)  ≈  34%   →   NEEDS IMPROVEMENT   (automatic-review flag also applies: 3 critical-failure conditions on Eric Marbella's consolidated form)</t>
        </is>
      </c>
      <c r="C20" s="67" t="n"/>
      <c r="D20" s="68" t="n"/>
    </row>
    <row r="22">
      <c r="B22" s="125" t="inlineStr">
        <is>
          <t>3 · READING THE RESULT — THE GAP IS THE DIAGNOSIS</t>
        </is>
      </c>
      <c r="C22" s="67" t="n"/>
      <c r="D22" s="68" t="n"/>
    </row>
    <row r="23" ht="46" customHeight="1">
      <c r="B23" s="88" t="inlineStr">
        <is>
          <t>Team Score ≈ Execution average</t>
        </is>
      </c>
      <c r="C23" s="89" t="inlineStr">
        <is>
          <t>The chain neither helped nor hurt. Coach individuals on their own findings; no major process action.</t>
        </is>
      </c>
      <c r="D23" s="69" t="n"/>
    </row>
    <row r="24" ht="46" customHeight="1">
      <c r="B24" s="90" t="inlineStr">
        <is>
          <t>Team Score WELL ABOVE Execution average</t>
        </is>
      </c>
      <c r="C24" s="91" t="inlineStr">
        <is>
          <t>Strong outcome/continuity lifted ordinary touches — the process carried the team. Recognize the chain and the process owners; capture what worked as a standard.</t>
        </is>
      </c>
      <c r="D24" s="69" t="n"/>
    </row>
    <row r="25" ht="46" customHeight="1">
      <c r="B25" s="88" t="inlineStr">
        <is>
          <t>Team Score WELL BELOW Execution average  ← Scerba: 60% vs 34%</t>
        </is>
      </c>
      <c r="C25" s="89" t="inlineStr">
        <is>
          <t>Individually 'acceptable' agents, collectively a lost customer. The failure lives BETWEEN touches: handoffs, statuses, callbacks, ticket linking. Coaching individuals harder will NOT fix this — the action plan must target process, with named owners and dates.</t>
        </is>
      </c>
      <c r="D25" s="69" t="n"/>
    </row>
    <row r="27">
      <c r="B27" s="125" t="inlineStr">
        <is>
          <t>4 · TEAM CATEGORY HEATMAP — WHERE THE TEAM IS WEAK (live formulas over Case Tracker rows 5-25)</t>
        </is>
      </c>
      <c r="C27" s="67" t="n"/>
      <c r="D27" s="68" t="n"/>
    </row>
    <row r="28" ht="40" customHeight="1">
      <c r="B28" s="98" t="inlineStr">
        <is>
          <t>Averaging each category ACROSS all 21 touches turns 21 individual reviews into one team profile. Compare each to the 0-5 scale; &lt;2.75 is a team coaching theme.</t>
        </is>
      </c>
      <c r="C28" s="70" t="n"/>
      <c r="D28" s="69" t="n"/>
    </row>
    <row r="29">
      <c r="B29" s="125" t="inlineStr">
        <is>
          <t>Category (weight)</t>
        </is>
      </c>
      <c r="C29" s="118" t="inlineStr">
        <is>
          <t>Team avg (0-5)</t>
        </is>
      </c>
      <c r="D29" s="125" t="inlineStr">
        <is>
          <t>What the journey shows</t>
        </is>
      </c>
    </row>
    <row r="30" ht="44" customHeight="1">
      <c r="B30" s="88" t="inlineStr">
        <is>
          <t>Resolution / Progress (30%)</t>
        </is>
      </c>
      <c r="C30" s="119">
        <f>ROUND(AVERAGE('Case Tracker'!E5:E25),2)</f>
        <v/>
      </c>
      <c r="D30" s="89" t="inlineStr">
        <is>
          <t>Held up by strong early touches; late touches re-litigated steps the customer believed done (T11) and ended in an unresolved, reversed RMA.</t>
        </is>
      </c>
    </row>
    <row r="31" ht="44" customHeight="1">
      <c r="B31" s="90" t="inlineStr">
        <is>
          <t>Technical Accuracy (20%)</t>
        </is>
      </c>
      <c r="C31" s="120">
        <f>ROUND(AVERAGE('Case Tracker'!F5:F25),2)</f>
        <v/>
      </c>
      <c r="D31" s="91" t="inlineStr">
        <is>
          <t>TEAM RELATIVE STRENGTH. Generally sound diagnostics — signal/firmware work, and good detective work isolating the email failure to the Earthlink address (T14-16).</t>
        </is>
      </c>
    </row>
    <row r="32" ht="44" customHeight="1">
      <c r="B32" s="88" t="inlineStr">
        <is>
          <t>Communication &amp; Call Control (15%)</t>
        </is>
      </c>
      <c r="C32" s="119">
        <f>ROUND(AVERAGE('Case Tracker'!G5:G25),2)</f>
        <v/>
      </c>
      <c r="D32" s="89" t="inlineStr">
        <is>
          <t>Mostly clear, but long silent gaps and ticket-ID confusion (LTS vs TE) repeatedly confused the customer.</t>
        </is>
      </c>
    </row>
    <row r="33" ht="44" customHeight="1">
      <c r="B33" s="90" t="inlineStr">
        <is>
          <t>Customer Ownership (15%)</t>
        </is>
      </c>
      <c r="C33" s="120">
        <f>ROUND(AVERAGE('Case Tracker'!H5:H25),2)</f>
        <v/>
      </c>
      <c r="D33" s="91" t="inlineStr">
        <is>
          <t>Strong for months then eroded — missed callbacks, a missed 24-48h escalation SLA (Mar 2-3), and a PMO-forced reassignment.</t>
        </is>
      </c>
    </row>
    <row r="34" ht="44" customHeight="1">
      <c r="B34" s="88" t="inlineStr">
        <is>
          <t>Escalation Judgment (10%)</t>
        </is>
      </c>
      <c r="C34" s="119">
        <f>ROUND(AVERAGE('Case Tracker'!I5:I25),2)</f>
        <v/>
      </c>
      <c r="D34" s="89" t="inlineStr">
        <is>
          <t>Technical escalations mostly justified; the late UPWARD escalations were reactive and missed SLA, requiring PMO intervention.</t>
        </is>
      </c>
    </row>
    <row r="35" ht="44" customHeight="1">
      <c r="B35" s="90" t="inlineStr">
        <is>
          <t>Customer Experience (5%)</t>
        </is>
      </c>
      <c r="C35" s="120">
        <f>ROUND(AVERAGE('Case Tracker'!J5:J25),2)</f>
        <v/>
      </c>
      <c r="D35" s="91" t="inlineStr">
        <is>
          <t>Polite throughout, but cumulative 8-month delays, reversals, and repeated re-asks drove the customer to a CEO escalation.</t>
        </is>
      </c>
    </row>
    <row r="36" ht="44" customHeight="1">
      <c r="B36" s="88" t="inlineStr">
        <is>
          <t>Documentation &amp; Notes (5%)</t>
        </is>
      </c>
      <c r="C36" s="119">
        <f>ROUND(AVERAGE('Case Tracker'!K5:K25),2)</f>
        <v/>
      </c>
      <c r="D36" s="89" t="inlineStr">
        <is>
          <t>THE WEAKEST CATEGORY (red). Sysinfo logs lost twice, case fragmented across 3 tickets, RMA determination reversed, status accuracy poor.</t>
        </is>
      </c>
    </row>
    <row r="37" ht="44" customHeight="1">
      <c r="B37" s="93" t="inlineStr">
        <is>
          <t>Reading: red (&lt;2.75) = team coaching theme · yellow (2.75-3.49) = monitor &amp; spot-coach · green (≥3.5) = team strength to protect. Scerba profile: a technically capable team (Tech/Comm ≈ 3.2) that loses the case on Documentation (red, ≈2.7) and late-journey Ownership — sysinfo logs lost twice, an RMA reversed, and a missed escalation SLA.</t>
        </is>
      </c>
      <c r="C37" s="67" t="n"/>
      <c r="D37" s="68" t="n"/>
    </row>
    <row r="39">
      <c r="B39" s="121" t="inlineStr">
        <is>
          <t>5 · TEAM OPPORTUNITIES IDENTIFIED — TE00089221 (LARRY SCERBA) (the team action plan)</t>
        </is>
      </c>
      <c r="C39" s="67" t="n"/>
      <c r="D39" s="68" t="n"/>
    </row>
    <row r="40">
      <c r="B40" s="125" t="inlineStr">
        <is>
          <t>Opportunity (category)</t>
        </is>
      </c>
      <c r="C40" s="125" t="inlineStr">
        <is>
          <t>Evidence across touches (why it's a TEAM issue, not one agent)</t>
        </is>
      </c>
      <c r="D40" s="125" t="inlineStr">
        <is>
          <t>Team action &amp; suggested owner</t>
        </is>
      </c>
    </row>
    <row r="41" ht="88" customHeight="1">
      <c r="B41" s="88" t="inlineStr">
        <is>
          <t>1. Email-deliverability defect (Product / Tooling / KB)</t>
        </is>
      </c>
      <c r="C41" s="89" t="inlineStr">
        <is>
          <t>Customer's Linksys email never arrived (first seen T6, Stephanie); resends failed; not isolated to the Earthlink address until T14-16 — weeks lost. No standard workaround existed.</t>
        </is>
      </c>
      <c r="D41" s="89" t="inlineStr">
        <is>
          <t>Log the Earthlink deliverability defect; ship a standard alternate-channel workaround + KB article. Owner: Product Ops + KB. → product issue driving repeat contacts; missing KB.</t>
        </is>
      </c>
    </row>
    <row r="42" ht="88" customHeight="1">
      <c r="B42" s="90" t="inlineStr">
        <is>
          <t>2. Ticket fragmentation &amp; lost logs (Process / Documentation)</t>
        </is>
      </c>
      <c r="C42" s="91" t="inlineStr">
        <is>
          <t>Case spread across TE00089221 / LTS00106915 / LTS00109368; sysinfo logs lost or misrouted twice (T17, T19).</t>
        </is>
      </c>
      <c r="D42" s="91" t="inlineStr">
        <is>
          <t>Link prior tickets at open; one source of truth for logs; attach-to-case validation. Owner: Process/Tooling. → broken process; documentation trend.</t>
        </is>
      </c>
    </row>
    <row r="43" ht="88" customHeight="1">
      <c r="B43" s="88" t="inlineStr">
        <is>
          <t>3. RMA / replacement workflow gate (Process)</t>
        </is>
      </c>
      <c r="C43" s="89" t="inlineStr">
        <is>
          <t>RMA 'approved as defective' (Nov) then reversed (T18); no inventory-availability check before promising replacement; no gate from L2 determination to final RMA.</t>
        </is>
      </c>
      <c r="D43" s="89" t="inlineStr">
        <is>
          <t>Add a determination→final-RMA gate + inventory check before any replacement promise. Owner: RMA/Ops. → broken process.</t>
        </is>
      </c>
    </row>
    <row r="44" ht="88" customHeight="1">
      <c r="B44" s="90" t="inlineStr">
        <is>
          <t>4. Callback &amp; escalation SLA discipline (Ownership / Escalation)</t>
        </is>
      </c>
      <c r="C44" s="91" t="inlineStr">
        <is>
          <t>Missed the Mar 2-3 24-48h escalation SLA; repeated callback gaps over 8 months; PMO had to intervene and force reassignment.</t>
        </is>
      </c>
      <c r="D44" s="91" t="inlineStr">
        <is>
          <t>Enforced callback calendaring + proactive renegotiation; auto-alert on approaching escalation SLA. Owner: Team Lead. → poor escalation habits.</t>
        </is>
      </c>
    </row>
    <row r="45" ht="88" customHeight="1">
      <c r="B45" s="88" t="inlineStr">
        <is>
          <t>5. Troubleshooting continuity (Technical / Training)</t>
        </is>
      </c>
      <c r="C45" s="89" t="inlineStr">
        <is>
          <t>Re-introduced steps the customer believed were done (T11); repeated power-cycles; prior-touch troubleshooting not always built upon.</t>
        </is>
      </c>
      <c r="D45" s="89" t="inlineStr">
        <is>
          <t>Training: 'read before you redo' — confirm prior steps from notes before re-running. Owner: Training. → repeated technical gaps; weak troubleshooting.</t>
        </is>
      </c>
    </row>
    <row r="46" ht="88" customHeight="1">
      <c r="B46" s="90" t="inlineStr">
        <is>
          <t>6. Closure &amp; status accuracy (Documentation)</t>
        </is>
      </c>
      <c r="C46" s="91" t="inlineStr">
        <is>
          <t>Status/closure handling inaccurate amid fragmentation; determinations changed without clear records.</t>
        </is>
      </c>
      <c r="D46" s="91" t="inlineStr">
        <is>
          <t>Reinforce closure policy: status must reflect true case state; document closure reason. Owner: QA/Process. → broken process; documentation.</t>
        </is>
      </c>
    </row>
    <row r="47" ht="88" customHeight="1">
      <c r="B47" s="88" t="inlineStr">
        <is>
          <t>7. Knowledge base content (Knowledge)</t>
        </is>
      </c>
      <c r="C47" s="89" t="inlineStr">
        <is>
          <t>No KB for email-deliverability workarounds or large-mesh node-stability triage — agents improvised across 21 touches.</t>
        </is>
      </c>
      <c r="D47" s="89" t="inlineStr">
        <is>
          <t>Publish email-deliverability + node-stability triage articles. Owner: KB team. → missing/outdated KB content.</t>
        </is>
      </c>
    </row>
    <row r="48" ht="88" customHeight="1">
      <c r="B48" s="90" t="inlineStr">
        <is>
          <t>8. Chatbot / contact-driver review (Org / Product)</t>
        </is>
      </c>
      <c r="C48" s="91" t="inlineStr">
        <is>
          <t>No chatbot touchpoints in this journey, so no chatbot knowledge gap was observed here; the recurring contact driver was the node-stability + email defect.</t>
        </is>
      </c>
      <c r="D48" s="91" t="inlineStr">
        <is>
          <t>Add node-stability + Earthlink defect to chatbot/IVR deflection and contact-driver tracking. Owner: Knowledge/Analytics. → chatbot (N/A here) + product contact driver.</t>
        </is>
      </c>
    </row>
    <row r="50">
      <c r="B50" s="125" t="inlineStr">
        <is>
          <t>6 · HOW TO RUN A TEAM REVIEW FOR YOUR OWN JOURNEYS (~30 min once touches are scored)</t>
        </is>
      </c>
      <c r="C50" s="67" t="n"/>
      <c r="D50" s="68" t="n"/>
    </row>
    <row r="51" ht="40" customHeight="1">
      <c r="B51" s="122" t="inlineStr">
        <is>
          <t>Step 1</t>
        </is>
      </c>
      <c r="C51" s="89" t="inlineStr">
        <is>
          <t>Score every touch individually first (Scoring Form per agent) and log all rows in the Case Tracker under the same Case ID.</t>
        </is>
      </c>
      <c r="D51" s="69" t="n"/>
    </row>
    <row r="52" ht="40" customHeight="1">
      <c r="B52" s="123" t="inlineStr">
        <is>
          <t>Step 2</t>
        </is>
      </c>
      <c r="C52" s="91" t="inlineStr">
        <is>
          <t>In the Team/Journey Scores section (Case Tracker, row 53+), enter the Case ID — Touches and Avg Touch % auto-fill. Judge Outcome (0-5) and Continuity (0-5) with the anchors in section 2. The Team Score computes; the hero scorecard at the top of this sheet mirrors it.</t>
        </is>
      </c>
      <c r="D52" s="69" t="n"/>
    </row>
    <row r="53" ht="40" customHeight="1">
      <c r="B53" s="122" t="inlineStr">
        <is>
          <t>Step 3</t>
        </is>
      </c>
      <c r="C53" s="89" t="inlineStr">
        <is>
          <t>Compare Team Score vs Execution average (section 3). A big negative gap = process problem; flag it as such in your report.</t>
        </is>
      </c>
      <c r="D53" s="69" t="n"/>
    </row>
    <row r="54" ht="40" customHeight="1">
      <c r="B54" s="123" t="inlineStr">
        <is>
          <t>Step 4</t>
        </is>
      </c>
      <c r="C54" s="91" t="inlineStr">
        <is>
          <t>Build the category heatmap: average each category column across the journey's tracker rows (copy the section-4 formulas, adjusting the row range). Bottom two categories = your team coaching themes.</t>
        </is>
      </c>
      <c r="D54" s="69" t="n"/>
    </row>
    <row r="55" ht="40" customHeight="1">
      <c r="B55" s="122" t="inlineStr">
        <is>
          <t>Step 5</t>
        </is>
      </c>
      <c r="C55" s="89" t="inlineStr">
        <is>
          <t>Scan for recurring patterns: same coaching note on 3+ agents (training gap) · same broken-promise type on 2+ touches (process gap) · any premature closure, lost history, or unescalated complaint (critical — name it).</t>
        </is>
      </c>
      <c r="D55" s="69" t="n"/>
    </row>
    <row r="56" ht="40" customHeight="1">
      <c r="B56" s="123" t="inlineStr">
        <is>
          <t>Step 6</t>
        </is>
      </c>
      <c r="C56" s="91" t="inlineStr">
        <is>
          <t>Write the team action plan: every opportunity gets an action, a NAMED owner, and a date (section 5 is the model). Recognize the chain's best touches explicitly — including small continuity saves. Deliver individual feedback separately from this team review.</t>
        </is>
      </c>
      <c r="D56" s="69" t="n"/>
    </row>
    <row r="58" ht="36" customHeight="1">
      <c r="B58" s="93" t="inlineStr">
        <is>
          <t>Recognition rule: when the Team Score is strong, credit the WHOLE chain — including 2-minute continuity saves like Venn-Emir's email fix. When it is weak despite strong individual touches, the coaching target is the handoff process and its owners, never a hunt for one culprit.</t>
        </is>
      </c>
      <c r="C58" s="67" t="n"/>
      <c r="D58" s="68" t="n"/>
    </row>
    <row r="60" ht="22" customHeight="1">
      <c r="B60" s="125" t="inlineStr">
        <is>
          <t>7 · CONTRIBUTION TYPE &amp; HANDOFF QUALITY — LIVE PER-TOUCH BREAKDOWN</t>
        </is>
      </c>
      <c r="C60" s="67" t="n"/>
      <c r="D60" s="68" t="n"/>
    </row>
    <row r="61" ht="32" customHeight="1">
      <c r="B61" s="52" t="inlineStr">
        <is>
          <t>Pulled live from the Case Tracker (columns O &amp; P). Use this to judge the Continuity &amp; Handoffs component above — it shows WHERE the chain held and WHERE it broke, touch by touch, instead of one averaged number.</t>
        </is>
      </c>
      <c r="C61" s="67" t="n"/>
      <c r="D61" s="68" t="n"/>
    </row>
    <row r="62" ht="34" customHeight="1">
      <c r="B62" s="128">
        <f>"Contribution mix across "&amp;COUNTA('Case Tracker'!C5:C25)&amp;" touches:  "&amp;COUNTIF('Case Tracker'!O5:O25,"Resolver")&amp;" Resolver · "&amp;COUNTIF('Case Tracker'!O5:O25,"Progress Builder")&amp;" Progress Builder · "&amp;COUNTIF('Case Tracker'!O5:O25,"Maintainer")&amp;" Maintainer · "&amp;COUNTIF('Case Tracker'!O5:O25,"Regression Contributor")&amp;" Regression Contributor"</f>
        <v/>
      </c>
      <c r="C62" s="67" t="n"/>
      <c r="D62" s="68" t="n"/>
    </row>
    <row r="63" ht="24" customHeight="1">
      <c r="B63" s="129" t="inlineStr">
        <is>
          <t>Touch (Agent)</t>
        </is>
      </c>
      <c r="C63" s="130" t="inlineStr">
        <is>
          <t>Contribution Type</t>
        </is>
      </c>
      <c r="D63" s="130" t="inlineStr">
        <is>
          <t>Handoff Quality (0-5)</t>
        </is>
      </c>
    </row>
    <row r="64">
      <c r="B64" s="14">
        <f>'Case Tracker'!D5&amp;" - "&amp;'Case Tracker'!C5</f>
        <v/>
      </c>
      <c r="C64" s="131">
        <f>'Case Tracker'!O5</f>
        <v/>
      </c>
      <c r="D64" s="131">
        <f>'Case Tracker'!P5</f>
        <v/>
      </c>
    </row>
    <row r="65">
      <c r="B65" s="14">
        <f>'Case Tracker'!D6&amp;" - "&amp;'Case Tracker'!C6</f>
        <v/>
      </c>
      <c r="C65" s="131">
        <f>'Case Tracker'!O6</f>
        <v/>
      </c>
      <c r="D65" s="131">
        <f>'Case Tracker'!P6</f>
        <v/>
      </c>
    </row>
    <row r="66">
      <c r="B66" s="14">
        <f>'Case Tracker'!D7&amp;" - "&amp;'Case Tracker'!C7</f>
        <v/>
      </c>
      <c r="C66" s="131">
        <f>'Case Tracker'!O7</f>
        <v/>
      </c>
      <c r="D66" s="131">
        <f>'Case Tracker'!P7</f>
        <v/>
      </c>
    </row>
    <row r="67">
      <c r="B67" s="14">
        <f>'Case Tracker'!D8&amp;" - "&amp;'Case Tracker'!C8</f>
        <v/>
      </c>
      <c r="C67" s="131">
        <f>'Case Tracker'!O8</f>
        <v/>
      </c>
      <c r="D67" s="131">
        <f>'Case Tracker'!P8</f>
        <v/>
      </c>
    </row>
    <row r="68">
      <c r="B68" s="14">
        <f>'Case Tracker'!D9&amp;" - "&amp;'Case Tracker'!C9</f>
        <v/>
      </c>
      <c r="C68" s="131">
        <f>'Case Tracker'!O9</f>
        <v/>
      </c>
      <c r="D68" s="131">
        <f>'Case Tracker'!P9</f>
        <v/>
      </c>
    </row>
    <row r="69">
      <c r="B69" s="14">
        <f>'Case Tracker'!D10&amp;" - "&amp;'Case Tracker'!C10</f>
        <v/>
      </c>
      <c r="C69" s="131">
        <f>'Case Tracker'!O10</f>
        <v/>
      </c>
      <c r="D69" s="131">
        <f>'Case Tracker'!P10</f>
        <v/>
      </c>
    </row>
    <row r="70">
      <c r="B70" s="14">
        <f>'Case Tracker'!D11&amp;" - "&amp;'Case Tracker'!C11</f>
        <v/>
      </c>
      <c r="C70" s="131">
        <f>'Case Tracker'!O11</f>
        <v/>
      </c>
      <c r="D70" s="131">
        <f>'Case Tracker'!P11</f>
        <v/>
      </c>
    </row>
    <row r="71">
      <c r="B71" s="14">
        <f>'Case Tracker'!D12&amp;" - "&amp;'Case Tracker'!C12</f>
        <v/>
      </c>
      <c r="C71" s="131">
        <f>'Case Tracker'!O12</f>
        <v/>
      </c>
      <c r="D71" s="131">
        <f>'Case Tracker'!P12</f>
        <v/>
      </c>
    </row>
    <row r="72">
      <c r="B72" s="14">
        <f>'Case Tracker'!D13&amp;" - "&amp;'Case Tracker'!C13</f>
        <v/>
      </c>
      <c r="C72" s="131">
        <f>'Case Tracker'!O13</f>
        <v/>
      </c>
      <c r="D72" s="131">
        <f>'Case Tracker'!P13</f>
        <v/>
      </c>
    </row>
    <row r="73">
      <c r="B73" s="14">
        <f>'Case Tracker'!D14&amp;" - "&amp;'Case Tracker'!C14</f>
        <v/>
      </c>
      <c r="C73" s="131">
        <f>'Case Tracker'!O14</f>
        <v/>
      </c>
      <c r="D73" s="131">
        <f>'Case Tracker'!P14</f>
        <v/>
      </c>
    </row>
    <row r="74">
      <c r="B74" s="14">
        <f>'Case Tracker'!D15&amp;" - "&amp;'Case Tracker'!C15</f>
        <v/>
      </c>
      <c r="C74" s="131">
        <f>'Case Tracker'!O15</f>
        <v/>
      </c>
      <c r="D74" s="131">
        <f>'Case Tracker'!P15</f>
        <v/>
      </c>
    </row>
    <row r="75">
      <c r="B75" s="14">
        <f>'Case Tracker'!D16&amp;" - "&amp;'Case Tracker'!C16</f>
        <v/>
      </c>
      <c r="C75" s="131">
        <f>'Case Tracker'!O16</f>
        <v/>
      </c>
      <c r="D75" s="131">
        <f>'Case Tracker'!P16</f>
        <v/>
      </c>
    </row>
    <row r="76">
      <c r="B76" s="14">
        <f>'Case Tracker'!D17&amp;" - "&amp;'Case Tracker'!C17</f>
        <v/>
      </c>
      <c r="C76" s="131">
        <f>'Case Tracker'!O17</f>
        <v/>
      </c>
      <c r="D76" s="131">
        <f>'Case Tracker'!P17</f>
        <v/>
      </c>
    </row>
    <row r="77" ht="40" customHeight="1">
      <c r="B77" s="14">
        <f>'Case Tracker'!D18&amp;" - "&amp;'Case Tracker'!C18</f>
        <v/>
      </c>
      <c r="C77" s="131">
        <f>'Case Tracker'!O18</f>
        <v/>
      </c>
      <c r="D77" s="131">
        <f>'Case Tracker'!P18</f>
        <v/>
      </c>
    </row>
    <row r="78">
      <c r="B78" s="14">
        <f>'Case Tracker'!D19&amp;" - "&amp;'Case Tracker'!C19</f>
        <v/>
      </c>
      <c r="C78" s="131">
        <f>'Case Tracker'!O19</f>
        <v/>
      </c>
      <c r="D78" s="131">
        <f>'Case Tracker'!P19</f>
        <v/>
      </c>
    </row>
    <row r="79">
      <c r="B79" s="14">
        <f>'Case Tracker'!D20&amp;" - "&amp;'Case Tracker'!C20</f>
        <v/>
      </c>
      <c r="C79" s="131">
        <f>'Case Tracker'!O20</f>
        <v/>
      </c>
      <c r="D79" s="131">
        <f>'Case Tracker'!P20</f>
        <v/>
      </c>
    </row>
    <row r="80">
      <c r="B80" s="14">
        <f>'Case Tracker'!D21&amp;" - "&amp;'Case Tracker'!C21</f>
        <v/>
      </c>
      <c r="C80" s="131">
        <f>'Case Tracker'!O21</f>
        <v/>
      </c>
      <c r="D80" s="131">
        <f>'Case Tracker'!P21</f>
        <v/>
      </c>
    </row>
    <row r="81">
      <c r="B81" s="14">
        <f>'Case Tracker'!D22&amp;" - "&amp;'Case Tracker'!C22</f>
        <v/>
      </c>
      <c r="C81" s="131">
        <f>'Case Tracker'!O22</f>
        <v/>
      </c>
      <c r="D81" s="131">
        <f>'Case Tracker'!P22</f>
        <v/>
      </c>
    </row>
    <row r="82">
      <c r="B82" s="14">
        <f>'Case Tracker'!D23&amp;" - "&amp;'Case Tracker'!C23</f>
        <v/>
      </c>
      <c r="C82" s="131">
        <f>'Case Tracker'!O23</f>
        <v/>
      </c>
      <c r="D82" s="131">
        <f>'Case Tracker'!P23</f>
        <v/>
      </c>
    </row>
    <row r="83">
      <c r="B83" s="14">
        <f>'Case Tracker'!D24&amp;" - "&amp;'Case Tracker'!C24</f>
        <v/>
      </c>
      <c r="C83" s="131">
        <f>'Case Tracker'!O24</f>
        <v/>
      </c>
      <c r="D83" s="131">
        <f>'Case Tracker'!P24</f>
        <v/>
      </c>
    </row>
    <row r="84">
      <c r="B84" s="14">
        <f>'Case Tracker'!D25&amp;" - "&amp;'Case Tracker'!C25</f>
        <v/>
      </c>
      <c r="C84" s="131">
        <f>'Case Tracker'!O25</f>
        <v/>
      </c>
      <c r="D84" s="131">
        <f>'Case Tracker'!P25</f>
        <v/>
      </c>
    </row>
    <row r="85">
      <c r="B85" s="133" t="n"/>
      <c r="C85" s="133" t="n"/>
      <c r="D85" s="133" t="n"/>
    </row>
    <row r="86">
      <c r="B86" s="15" t="inlineStr">
        <is>
          <t>Reading this table: a long run of Regression Contributor / low Handoff Quality rows is a process problem (closure discipline, callback management), not an individual one — see Team Opportunities above. A single Regression Contributor surrounded by Resolvers/Progress Builders points at one agent or one moment, and belongs in that agent's individual coaching instead.</t>
        </is>
      </c>
      <c r="C86" s="70" t="n"/>
      <c r="D86" s="69" t="n"/>
    </row>
    <row r="87">
      <c r="B87" s="133" t="n"/>
      <c r="C87" s="133" t="n"/>
      <c r="D87" s="133" t="n"/>
    </row>
    <row r="88">
      <c r="B88" s="133" t="n"/>
      <c r="C88" s="133" t="n"/>
      <c r="D88" s="133" t="n"/>
    </row>
    <row r="89">
      <c r="B89" s="133" t="n"/>
      <c r="C89" s="133" t="n"/>
      <c r="D89" s="133" t="n"/>
    </row>
    <row r="90">
      <c r="B90" s="133" t="n"/>
      <c r="C90" s="133" t="n"/>
      <c r="D90" s="133" t="n"/>
    </row>
    <row r="91">
      <c r="B91" s="133" t="n"/>
      <c r="C91" s="133" t="n"/>
      <c r="D91" s="133" t="n"/>
    </row>
  </sheetData>
  <mergeCells count="29">
    <mergeCell ref="B60:D60"/>
    <mergeCell ref="C24:D24"/>
    <mergeCell ref="B61:D61"/>
    <mergeCell ref="B1:D1"/>
    <mergeCell ref="B13:D13"/>
    <mergeCell ref="B10:D10"/>
    <mergeCell ref="B28:D28"/>
    <mergeCell ref="B37:D37"/>
    <mergeCell ref="C54:D54"/>
    <mergeCell ref="C25:D25"/>
    <mergeCell ref="C55:D55"/>
    <mergeCell ref="B9:D9"/>
    <mergeCell ref="C53:D53"/>
    <mergeCell ref="B15:D15"/>
    <mergeCell ref="C56:D56"/>
    <mergeCell ref="B20:D20"/>
    <mergeCell ref="C51:D51"/>
    <mergeCell ref="B4:D4"/>
    <mergeCell ref="B50:D50"/>
    <mergeCell ref="C52:D52"/>
    <mergeCell ref="B62:D62"/>
    <mergeCell ref="C23:D23"/>
    <mergeCell ref="B86:D86"/>
    <mergeCell ref="B22:D22"/>
    <mergeCell ref="B27:D27"/>
    <mergeCell ref="B58:D58"/>
    <mergeCell ref="B12:D12"/>
    <mergeCell ref="B39:D39"/>
    <mergeCell ref="B2:D2"/>
  </mergeCells>
  <conditionalFormatting sqref="B6">
    <cfRule type="cellIs" priority="1" operator="greaterThanOrEqual" dxfId="9">
      <formula>'Case Tracker'!G56&gt;=0.85</formula>
    </cfRule>
    <cfRule type="cellIs" priority="3" operator="greaterThanOrEqual" dxfId="9">
      <formula>0.85</formula>
    </cfRule>
    <cfRule type="cellIs" priority="4" operator="between" dxfId="10">
      <formula>0.70</formula>
      <formula>0.8499</formula>
    </cfRule>
    <cfRule type="cellIs" priority="5" operator="lessThan" dxfId="11">
      <formula>0.70</formula>
    </cfRule>
  </conditionalFormatting>
  <conditionalFormatting sqref="C6">
    <cfRule type="cellIs" priority="2" operator="greaterThanOrEqual" dxfId="12">
      <formula>'Case Tracker'!G56&gt;=0.85</formula>
    </cfRule>
  </conditionalFormatting>
  <conditionalFormatting sqref="C30:C36">
    <cfRule type="cellIs" priority="6" operator="lessThan" dxfId="2">
      <formula>2.75</formula>
    </cfRule>
    <cfRule type="cellIs" priority="7" operator="between" dxfId="1">
      <formula>2.75</formula>
      <formula>3.49</formula>
    </cfRule>
    <cfRule type="cellIs" priority="8" operator="greaterThanOrEqual" dxfId="0">
      <formula>3.5</formula>
    </cfRule>
  </conditionalFormatting>
  <conditionalFormatting sqref="C64:C76">
    <cfRule type="cellIs" priority="9" operator="equal" dxfId="0">
      <formula>"Resolver"</formula>
    </cfRule>
    <cfRule type="cellIs" priority="10" operator="equal" dxfId="0">
      <formula>"Progress Builder"</formula>
    </cfRule>
    <cfRule type="cellIs" priority="11" operator="equal" dxfId="17">
      <formula>"Maintainer"</formula>
    </cfRule>
    <cfRule type="cellIs" priority="12" operator="equal" dxfId="2">
      <formula>"Regression Contributor"</formula>
    </cfRule>
  </conditionalFormatting>
  <conditionalFormatting sqref="D64:D76">
    <cfRule type="cellIs" priority="13" operator="greaterThanOrEqual" dxfId="0">
      <formula>4</formula>
    </cfRule>
    <cfRule type="cellIs" priority="14" operator="between" dxfId="1">
      <formula>2</formula>
      <formula>3</formula>
    </cfRule>
    <cfRule type="cellIs" priority="15" operator="lessThanOrEqual" dxfId="2">
      <formula>1</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73" t="inlineStr">
        <is>
          <t>SUPPORT QA — SCORING FORM  (WORKED EXAMPLE — FINAL TOUCH OF A MULTI-TOUCH CASE)</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25" t="inlineStr">
        <is>
          <t>1 · CASE INFORMATION</t>
        </is>
      </c>
      <c r="C4" s="67" t="n"/>
      <c r="D4" s="67" t="n"/>
      <c r="E4" s="67" t="n"/>
      <c r="F4" s="68" t="n"/>
    </row>
    <row r="5">
      <c r="B5" s="4" t="inlineStr">
        <is>
          <t>Agent Name</t>
        </is>
      </c>
      <c r="C5" s="81" t="inlineStr">
        <is>
          <t>Eric Marbella (L2 / CAT)</t>
        </is>
      </c>
      <c r="D5" s="6" t="inlineStr">
        <is>
          <t>Case / Ticket ID</t>
        </is>
      </c>
      <c r="E5" s="81" t="inlineStr">
        <is>
          <t>TE00127492 (prior: TE00124020)</t>
        </is>
      </c>
      <c r="F5" s="69" t="n"/>
    </row>
    <row r="6">
      <c r="B6" s="4" t="inlineStr">
        <is>
          <t>Evaluator (QA)</t>
        </is>
      </c>
      <c r="C6" s="81" t="inlineStr">
        <is>
          <t>QA Specialist</t>
        </is>
      </c>
      <c r="D6" s="6" t="inlineStr">
        <is>
          <t>Interaction Date</t>
        </is>
      </c>
      <c r="E6" s="81" t="inlineStr">
        <is>
          <t>2026-05-18 to 2026-05-19</t>
        </is>
      </c>
      <c r="F6" s="69" t="n"/>
    </row>
    <row r="7">
      <c r="B7" s="4" t="inlineStr">
        <is>
          <t>Product</t>
        </is>
      </c>
      <c r="C7" s="81" t="inlineStr">
        <is>
          <t>Linksys MX4200 Velop Mesh (6× MX4200 + 5× WHW03)</t>
        </is>
      </c>
      <c r="D7" s="6" t="inlineStr">
        <is>
          <t>Channel</t>
        </is>
      </c>
      <c r="E7" s="81" t="inlineStr">
        <is>
          <t>Phone</t>
        </is>
      </c>
      <c r="F7" s="69" t="n"/>
    </row>
    <row r="8">
      <c r="B8" s="4" t="inlineStr">
        <is>
          <t>Warranty Status</t>
        </is>
      </c>
      <c r="C8" s="81" t="inlineStr">
        <is>
          <t>In-Warranty</t>
        </is>
      </c>
      <c r="D8" s="6" t="inlineStr">
        <is>
          <t>Review Date</t>
        </is>
      </c>
      <c r="E8" s="81" t="inlineStr">
        <is>
          <t>2026-05-25</t>
        </is>
      </c>
      <c r="F8" s="69" t="n"/>
    </row>
    <row r="9">
      <c r="B9" s="4" t="inlineStr">
        <is>
          <t>Case Type</t>
        </is>
      </c>
      <c r="C9" s="81" t="inlineStr">
        <is>
          <t>Connectivity</t>
        </is>
      </c>
      <c r="D9" s="6" t="inlineStr">
        <is>
          <t>Interaction Duration</t>
        </is>
      </c>
      <c r="E9" s="81" t="inlineStr">
        <is>
          <t>3 hr 26 min (session) + May 19 follow-up</t>
        </is>
      </c>
      <c r="F9" s="69" t="n"/>
    </row>
    <row r="10">
      <c r="B10" s="4" t="inlineStr">
        <is>
          <t>Touch # (multi-touch case)</t>
        </is>
      </c>
      <c r="C10" s="81" t="inlineStr">
        <is>
          <t>13 of 13 (final)</t>
        </is>
      </c>
      <c r="D10" s="6" t="inlineStr">
        <is>
          <t>Prior touches reviewed?</t>
        </is>
      </c>
      <c r="E10" s="81" t="inlineStr">
        <is>
          <t>Yes</t>
        </is>
      </c>
      <c r="F10" s="69" t="n"/>
    </row>
    <row r="11">
      <c r="B11" s="4" t="inlineStr">
        <is>
          <t>CSAT / Survey result</t>
        </is>
      </c>
      <c r="C11" s="81" t="inlineStr">
        <is>
          <t>1 / 5 — Resolution Rate: No</t>
        </is>
      </c>
      <c r="D11" s="6" t="inlineStr">
        <is>
          <t>FCR / total contacts</t>
        </is>
      </c>
      <c r="E11" s="81" t="inlineStr">
        <is>
          <t>4+ contacts (survey); 13+ recorded touches</t>
        </is>
      </c>
      <c r="F11" s="69" t="n"/>
    </row>
    <row r="12">
      <c r="B12" s="4" t="inlineStr">
        <is>
          <t>Total case time</t>
        </is>
      </c>
      <c r="C12" s="81" t="inlineStr">
        <is>
          <t>15 hr 12 min (ticket)</t>
        </is>
      </c>
      <c r="D12" s="6" t="inlineStr">
        <is>
          <t>SLA status</t>
        </is>
      </c>
      <c r="E12" s="81" t="inlineStr">
        <is>
          <t>Breached</t>
        </is>
      </c>
      <c r="F12" s="69" t="n"/>
    </row>
    <row r="13" ht="58" customHeight="1">
      <c r="B13" s="6" t="inlineStr">
        <is>
          <t>Case Summary (customer issue &amp; goal)</t>
        </is>
      </c>
      <c r="C13" s="7" t="inlineStr">
        <is>
          <t>Richard &amp; Diana Stell (80+, hearing aids, 7,000 sq ft Dallas home, AT&amp;T fiber): 7 weeks of mesh instability after Linksys advised replacing a failed WHW03 with MX4200 (6 purchased). Streaming, cameras, and pool equipment kept dropping. May 18: customer had replaced the AT&amp;T modem per prior L2 advice and could not reconnect the mesh.</t>
        </is>
      </c>
      <c r="D13" s="70" t="n"/>
      <c r="E13" s="70" t="n"/>
      <c r="F13" s="69" t="n"/>
    </row>
    <row r="14" ht="46" customHeight="1">
      <c r="B14" s="6" t="inlineStr">
        <is>
          <t>Inherited context (what this agent received from prior touches)</t>
        </is>
      </c>
      <c r="C14" s="7" t="inlineStr">
        <is>
          <t>Escalated CAT case; customer had waited 3+ hours through three L1 calls that day after multiple missed callbacks. Prior L2 (Paolo Ebora) notes: 2 bad-RSSI nodes (-90/-93 dBm), AT&amp;T SSID interference suspected (disabling never confirmed), sysinfo logs on ticket. Pre-ticket history (Recs 1-6, incl. $30 paid session) absent from the ticket.</t>
        </is>
      </c>
      <c r="D14" s="70" t="n"/>
      <c r="E14" s="70" t="n"/>
      <c r="F14" s="69" t="n"/>
    </row>
    <row r="16">
      <c r="B16" s="8" t="inlineStr">
        <is>
          <t>2 · CATEGORY ASSESSMENTS</t>
        </is>
      </c>
      <c r="C16" s="67" t="n"/>
      <c r="D16" s="67" t="n"/>
      <c r="E16" s="67" t="n"/>
      <c r="F16" s="68" t="n"/>
    </row>
    <row r="17" ht="18" customHeight="1">
      <c r="B17" s="125"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Partial</t>
        </is>
      </c>
      <c r="D20" s="12" t="inlineStr">
        <is>
          <t>Internet restored May 18 (482-530 Mbps down); but primary complaint — streaming stability — never confirmed; TV still flashing red at session end; case closed RESOLVED May 19 anyway</t>
        </is>
      </c>
      <c r="E20" s="70" t="n"/>
      <c r="F20" s="69" t="n"/>
    </row>
    <row r="21" ht="28" customHeight="1">
      <c r="B21" s="14" t="inlineStr">
        <is>
          <t>Reasonable troubleshooting was completed before any conclusion was reached</t>
        </is>
      </c>
      <c r="C21" s="79" t="inlineStr">
        <is>
          <t>Met</t>
        </is>
      </c>
      <c r="D21" s="14" t="inlineStr">
        <is>
          <t>Confirmed modem install, isolated fault away from ISP to MX4200 parent node before acting</t>
        </is>
      </c>
      <c r="E21" s="70" t="n"/>
      <c r="F21" s="69" t="n"/>
    </row>
    <row r="22" ht="28" customHeight="1">
      <c r="B22" s="12" t="inlineStr">
        <is>
          <t>Clear, actionable next steps were provided to the customer</t>
        </is>
      </c>
      <c r="C22" s="79" t="inlineStr">
        <is>
          <t>Partial</t>
        </is>
      </c>
      <c r="D22" s="12" t="inlineStr">
        <is>
          <t>Callback agreed 4-5 PM CT May 19 — then missed; final email only asked customer to propose a new time</t>
        </is>
      </c>
      <c r="E22" s="70" t="n"/>
      <c r="F22" s="69" t="n"/>
    </row>
    <row r="23" ht="28" customHeight="1">
      <c r="B23" s="14" t="inlineStr">
        <is>
          <t>Resolution path was appropriate for the situation and warranty status</t>
        </is>
      </c>
      <c r="C23" s="79" t="inlineStr">
        <is>
          <t>Partial</t>
        </is>
      </c>
      <c r="D23" s="14" t="inlineStr">
        <is>
          <t>Restoration path correct; closure path was not (RESOLVED on an unresolved case)</t>
        </is>
      </c>
      <c r="E23" s="70" t="n"/>
      <c r="F23" s="69" t="n"/>
    </row>
    <row r="24" ht="28" customHeight="1">
      <c r="B24" s="12" t="inlineStr">
        <is>
          <t>Customer was moved meaningfully closer to a solution</t>
        </is>
      </c>
      <c r="C24" s="79" t="inlineStr">
        <is>
          <t>Met</t>
        </is>
      </c>
      <c r="D24" s="12" t="inlineStr">
        <is>
          <t>4 child nodes added with documented RSSI; 1st-floor optimization and sequence reboot still outstanding</t>
        </is>
      </c>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is>
          <t>Real technical progress (internet restored) — judged in inherited context, a genuine recovery. Capped by unconfirmed primary complaint and premature closure.</t>
        </is>
      </c>
      <c r="D28" s="70" t="n"/>
      <c r="E28" s="70" t="n"/>
      <c r="F28" s="69" t="n"/>
    </row>
    <row r="30" ht="18" customHeight="1">
      <c r="B30" s="125"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Correctly framed issue as wireless coverage/stability, not internet speed</t>
        </is>
      </c>
      <c r="E33" s="70" t="n"/>
      <c r="F33" s="69" t="n"/>
    </row>
    <row r="34" ht="28" customHeight="1">
      <c r="B34" s="14" t="inlineStr">
        <is>
          <t>Relevant diagnostic questions were asked</t>
        </is>
      </c>
      <c r="C34" s="79" t="inlineStr">
        <is>
          <t>Met</t>
        </is>
      </c>
      <c r="D34" s="14" t="inlineStr">
        <is>
          <t>Verified inventory (6× MX4200), modem state, node placement before troubleshooting</t>
        </is>
      </c>
      <c r="E34" s="70" t="n"/>
      <c r="F34" s="69" t="n"/>
    </row>
    <row r="35" ht="28" customHeight="1">
      <c r="B35" s="12" t="inlineStr">
        <is>
          <t>Logical troubleshooting methodology was followed</t>
        </is>
      </c>
      <c r="C35" s="79" t="inlineStr">
        <is>
          <t>Met</t>
        </is>
      </c>
      <c r="D35" s="12" t="inlineStr">
        <is>
          <t>Logical narrowing: modem supplying internet → fault domain = parent node config</t>
        </is>
      </c>
      <c r="E35" s="70" t="n"/>
      <c r="F35" s="69" t="n"/>
    </row>
    <row r="36" ht="28" customHeight="1">
      <c r="B36" s="14" t="inlineStr">
        <is>
          <t>Available tools were used appropriately</t>
        </is>
      </c>
      <c r="C36" s="79" t="inlineStr">
        <is>
          <t>Met</t>
        </is>
      </c>
      <c r="D36" s="14" t="inlineStr">
        <is>
          <t>ZOHO remote session 480107042; RSSI per node: 04512 -68, 02733 -61, 02853 -56, 16475 -59 dBm</t>
        </is>
      </c>
      <c r="E36" s="70" t="n"/>
      <c r="F36" s="69" t="n"/>
    </row>
    <row r="37" ht="28" customHeight="1">
      <c r="B37" s="12" t="inlineStr">
        <is>
          <t>Information provided was technically accurate</t>
        </is>
      </c>
      <c r="C37" s="79" t="inlineStr">
        <is>
          <t>Met</t>
        </is>
      </c>
      <c r="D37" s="12" t="inlineStr">
        <is>
          <t>Speed and topology explanations accurate; overlap node (16267, -18 dBm) correctly identified</t>
        </is>
      </c>
      <c r="E37" s="70" t="n"/>
      <c r="F37" s="69" t="n"/>
    </row>
    <row r="38" ht="28" customHeight="1">
      <c r="B38" s="14" t="inlineStr">
        <is>
          <t>Assumptions were validated; no unsupported conclusions</t>
        </is>
      </c>
      <c r="C38" s="79" t="inlineStr">
        <is>
          <t>Partial</t>
        </is>
      </c>
      <c r="D38" s="14" t="inlineStr">
        <is>
          <t>AT&amp;T SSID disabling — prior touch's open isolation step — never confirmed during the session</t>
        </is>
      </c>
      <c r="E38" s="70" t="n"/>
      <c r="F38" s="69" t="n"/>
    </row>
    <row r="39" ht="28" customHeight="1">
      <c r="B39" s="12" t="inlineStr">
        <is>
          <t>Root cause (or likely cause) was identified when possible</t>
        </is>
      </c>
      <c r="C39" s="79" t="inlineStr">
        <is>
          <t>Partial</t>
        </is>
      </c>
      <c r="D39" s="12" t="inlineStr">
        <is>
          <t>Overlap node found, but stability root cause left unconfirmed at close</t>
        </is>
      </c>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4</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is>
          <t>Strongest technical touch of the journey alongside Paolo Ebora's May 4 session. Close the loop on inherited open steps (AT&amp;T SSID) next time.</t>
        </is>
      </c>
      <c r="D43" s="70" t="n"/>
      <c r="E43" s="70" t="n"/>
      <c r="F43" s="69" t="n"/>
    </row>
    <row r="45" ht="18" customHeight="1">
      <c r="B45" s="125"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Partial</t>
        </is>
      </c>
      <c r="D48" s="12" t="inlineStr">
        <is>
          <t>Callback window agreed clearly — then broken without proactive renegotiation</t>
        </is>
      </c>
      <c r="E48" s="70" t="n"/>
      <c r="F48" s="69" t="n"/>
    </row>
    <row r="49" ht="28" customHeight="1">
      <c r="B49" s="14" t="inlineStr">
        <is>
          <t>Agent maintained control of the troubleshooting flow</t>
        </is>
      </c>
      <c r="C49" s="79" t="inlineStr">
        <is>
          <t>Met</t>
        </is>
      </c>
      <c r="D49" s="14" t="inlineStr">
        <is>
          <t>Drove a focused 3h26m session; investigation: 'more focused than earlier contacts'</t>
        </is>
      </c>
      <c r="E49" s="70" t="n"/>
      <c r="F49" s="69" t="n"/>
    </row>
    <row r="50" ht="28" customHeight="1">
      <c r="B50" s="12" t="inlineStr">
        <is>
          <t>Actions were explained in understandable, jargon-free language</t>
        </is>
      </c>
      <c r="C50" s="79" t="inlineStr">
        <is>
          <t>Partial</t>
        </is>
      </c>
      <c r="D50" s="12" t="inlineStr">
        <is>
          <t>Investigation: 'simplify technical explanations' — terms like RSSI/SSID needed clarification</t>
        </is>
      </c>
      <c r="E50" s="70" t="n"/>
      <c r="F50" s="69" t="n"/>
    </row>
    <row r="51" ht="28" customHeight="1">
      <c r="B51" s="14" t="inlineStr">
        <is>
          <t>Questions were purposeful (no repetitive questioning)</t>
        </is>
      </c>
      <c r="C51" s="79" t="inlineStr">
        <is>
          <t>Met</t>
        </is>
      </c>
      <c r="D51" s="14" t="inlineStr">
        <is>
          <t>Questions tied to isolation; no redundant re-asking of inherited facts</t>
        </is>
      </c>
      <c r="E51" s="70" t="n"/>
      <c r="F51" s="69" t="n"/>
    </row>
    <row r="52" ht="28" customHeight="1">
      <c r="B52" s="12" t="inlineStr">
        <is>
          <t>Customer understanding was confirmed at key points</t>
        </is>
      </c>
      <c r="C52" s="79" t="inlineStr">
        <is>
          <t>Partial</t>
        </is>
      </c>
      <c r="D52" s="12" t="inlineStr">
        <is>
          <t>Investigation: 'strengthen recap and final action ownership'</t>
        </is>
      </c>
      <c r="E52" s="70" t="n"/>
      <c r="F52" s="69" t="n"/>
    </row>
    <row r="53" ht="28" customHeight="1">
      <c r="B53" s="14" t="inlineStr">
        <is>
          <t>Clear transitions between troubleshooting steps; effective time management</t>
        </is>
      </c>
      <c r="C53" s="79" t="inlineStr">
        <is>
          <t>Partial</t>
        </is>
      </c>
      <c r="D53" s="14" t="inlineStr">
        <is>
          <t>Session ran ~6 PM to 11 PM for an 80-year-old couple; no checkpoint offered to pause/resume</t>
        </is>
      </c>
      <c r="E53" s="70" t="n"/>
      <c r="F53" s="69" t="n"/>
    </row>
    <row r="54" ht="28" customHeight="1">
      <c r="B54" s="12" t="inlineStr">
        <is>
          <t>Difficult moments were managed professionally</t>
        </is>
      </c>
      <c r="C54" s="79" t="inlineStr">
        <is>
          <t>Met</t>
        </is>
      </c>
      <c r="D54" s="12" t="inlineStr">
        <is>
          <t>Stayed professional with an exhausted, frustrated customer</t>
        </is>
      </c>
      <c r="E54" s="70" t="n"/>
      <c r="F54" s="69" t="n"/>
    </row>
    <row r="55" ht="28" customHeight="1">
      <c r="B55" s="14" t="inlineStr">
        <is>
          <t>Communication adapted to the customer's accessibility needs (hearing, vision, age)</t>
        </is>
      </c>
      <c r="C55" s="79" t="inlineStr">
        <is>
          <t>Missed</t>
        </is>
      </c>
      <c r="D55" s="14" t="inlineStr">
        <is>
          <t>Hearing-difficulty adaptation cited as opportunity for this and 3 prior agents; pace unchanged</t>
        </is>
      </c>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is>
          <t>Focused and professional; needs accessibility adaptation and a stronger recap/next-step close (per investigation findings).</t>
        </is>
      </c>
      <c r="D59" s="70" t="n"/>
      <c r="E59" s="70" t="n"/>
      <c r="F59" s="69" t="n"/>
    </row>
    <row r="61" ht="18" customHeight="1">
      <c r="B61" s="125"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Partial</t>
        </is>
      </c>
      <c r="D64" s="12" t="inlineStr">
        <is>
          <t>Claimed queue, drove session, attempted callbacks + emails — but closure undermined accountability</t>
        </is>
      </c>
      <c r="E64" s="70" t="n"/>
      <c r="F64" s="69" t="n"/>
    </row>
    <row r="65" ht="28" customHeight="1">
      <c r="B65" s="14" t="inlineStr">
        <is>
          <t>Unnecessary transfers were avoided</t>
        </is>
      </c>
      <c r="C65" s="79" t="inlineStr">
        <is>
          <t>Met</t>
        </is>
      </c>
      <c r="D65" s="14" t="inlineStr">
        <is>
          <t>Owned at L2 end-to-end; no bouncing</t>
        </is>
      </c>
      <c r="E65" s="70" t="n"/>
      <c r="F65" s="69" t="n"/>
    </row>
    <row r="66" ht="28" customHeight="1">
      <c r="B66" s="12" t="inlineStr">
        <is>
          <t>Commitments made during the interaction were followed through</t>
        </is>
      </c>
      <c r="C66" s="79" t="inlineStr">
        <is>
          <t>Missed</t>
        </is>
      </c>
      <c r="D66" s="12" t="inlineStr">
        <is>
          <t>Agreed 4-5 PM CT callback missed: calls at 5:42 &amp; 6:06 PM (42-66 min late); customer: 'you called at 5:45 — 1 and 3/4 hours late'</t>
        </is>
      </c>
      <c r="E66" s="70" t="n"/>
      <c r="F66" s="69" t="n"/>
    </row>
    <row r="67" ht="28" customHeight="1">
      <c r="B67" s="14" t="inlineStr">
        <is>
          <t>A clear path forward was created for the customer</t>
        </is>
      </c>
      <c r="C67" s="79" t="inlineStr">
        <is>
          <t>Partial</t>
        </is>
      </c>
      <c r="D67" s="14" t="inlineStr">
        <is>
          <t>Replacement plan after missed callback = customer must propose a time; weak for a 7-week case</t>
        </is>
      </c>
      <c r="E67" s="70" t="n"/>
      <c r="F67" s="69" t="n"/>
    </row>
    <row r="68" ht="28" customHeight="1">
      <c r="B68" s="12" t="inlineStr">
        <is>
          <t>Next actions were documented</t>
        </is>
      </c>
      <c r="C68" s="79" t="inlineStr">
        <is>
          <t>Met</t>
        </is>
      </c>
      <c r="D68" s="12" t="inlineStr">
        <is>
          <t>Session notes detailed: speeds, RSSI per node, declined reboot, agreed window — all recorded</t>
        </is>
      </c>
      <c r="E68" s="70" t="n"/>
      <c r="F68" s="69" t="n"/>
    </row>
    <row r="69" ht="28" customHeight="1">
      <c r="B69" s="14" t="inlineStr">
        <is>
          <t>Realistic expectations were set</t>
        </is>
      </c>
      <c r="C69" s="79" t="inlineStr">
        <is>
          <t>Partial</t>
        </is>
      </c>
      <c r="D69" s="14" t="inlineStr">
        <is>
          <t>Knew 4-5 PM window conflicted with TC/OM meetings (private notes 13:48/14:42) yet did not renegotiate in advance</t>
        </is>
      </c>
      <c r="E69" s="70" t="n"/>
      <c r="F69" s="69" t="n"/>
    </row>
    <row r="70" ht="28" customHeight="1">
      <c r="B70" s="12" t="inlineStr">
        <is>
          <t>Disconnect follow-up completed (callback / email / note) — mark N.A. if no disconnect</t>
        </is>
      </c>
      <c r="C70" s="79" t="inlineStr">
        <is>
          <t>N.A.</t>
        </is>
      </c>
      <c r="D70" s="12" t="inlineStr">
        <is>
          <t>No disconnect on this touch</t>
        </is>
      </c>
      <c r="E70" s="70" t="n"/>
      <c r="F70" s="69" t="n"/>
    </row>
    <row r="71" ht="28" customHeight="1">
      <c r="B71" s="14" t="inlineStr">
        <is>
          <t>Callback commitments were met within the agreed window (or proactively renegotiated before it lapsed)</t>
        </is>
      </c>
      <c r="C71" s="79" t="inlineStr">
        <is>
          <t>Missed</t>
        </is>
      </c>
      <c r="D71" s="14" t="inlineStr">
        <is>
          <t>Window missed; conflicting explanations later ('meeting' vs 'engaged with another task')</t>
        </is>
      </c>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1</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is>
          <t>Automatic deductions applied: missed agreed callback window without proactive renegotiation + premature RESOLVED. The calendar conflict was visible in advance.</t>
        </is>
      </c>
      <c r="D75" s="70" t="n"/>
      <c r="E75" s="70" t="n"/>
      <c r="F75" s="69" t="n"/>
    </row>
    <row r="77" ht="18" customHeight="1">
      <c r="B77" s="125"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No technical escalation needed — agent is the L2 endpoint</t>
        </is>
      </c>
      <c r="E80" s="70" t="n"/>
      <c r="F80" s="69" t="n"/>
    </row>
    <row r="81" ht="28" customHeight="1">
      <c r="B81" s="14" t="inlineStr">
        <is>
          <t>Legitimate escalation criteria were identified (incl. complaint / management / legal-risk triggers)</t>
        </is>
      </c>
      <c r="C81" s="79" t="inlineStr">
        <is>
          <t>Missed</t>
        </is>
      </c>
      <c r="D81" s="14" t="inlineStr">
        <is>
          <t>May 19, 3:33 PM customer email: 'I would like to talk to your management, before I talk to a lawyer' — a textbook management/legal-risk trigger, not actioned</t>
        </is>
      </c>
      <c r="E81" s="70" t="n"/>
      <c r="F81" s="69" t="n"/>
    </row>
    <row r="82" ht="28" customHeight="1">
      <c r="B82" s="12" t="inlineStr">
        <is>
          <t>Escalation contained complete, useful details (logs, findings, steps tried)</t>
        </is>
      </c>
      <c r="C82" s="79" t="inlineStr">
        <is>
          <t>N.A.</t>
        </is>
      </c>
      <c r="D82" s="12" t="inlineStr">
        <is>
          <t>No management/DSAT escalation record until PMO intervened May 27</t>
        </is>
      </c>
      <c r="E82" s="70" t="n"/>
      <c r="F82" s="69" t="n"/>
    </row>
    <row r="83" ht="28" customHeight="1">
      <c r="B83" s="14" t="inlineStr">
        <is>
          <t>Correct escalation path was chosen</t>
        </is>
      </c>
      <c r="C83" s="79" t="inlineStr">
        <is>
          <t>Missed</t>
        </is>
      </c>
      <c r="D83" s="14" t="inlineStr">
        <is>
          <t>Consulted TC Marc Baynos about how to WORD the reply — not to escalate the complaint</t>
        </is>
      </c>
      <c r="E83" s="70" t="n"/>
      <c r="F83" s="69" t="n"/>
    </row>
    <row r="84" ht="28" customHeight="1">
      <c r="B84" s="12" t="inlineStr">
        <is>
          <t>Customer expectations about the escalation were set appropriately</t>
        </is>
      </c>
      <c r="C84" s="79" t="inlineStr">
        <is>
          <t>Missed</t>
        </is>
      </c>
      <c r="D84" s="12" t="inlineStr">
        <is>
          <t>Final email never acknowledged the management request</t>
        </is>
      </c>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1</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is>
          <t>The escalation that mattered was upward: an explicit management request with a legal threat from a vulnerable customer. It was not made. Scored 1 (TC consult occurred) rather than 0.</t>
        </is>
      </c>
      <c r="D88" s="70" t="n"/>
      <c r="E88" s="70" t="n"/>
      <c r="F88" s="69" t="n"/>
    </row>
    <row r="90" ht="18" customHeight="1">
      <c r="B90" s="125"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Partial</t>
        </is>
      </c>
      <c r="D93" s="12" t="inlineStr">
        <is>
          <t>Apologies sent, but investigation: 'acknowledge customer effort and fatigue more explicitly' (20-30 hrs, no dinner, age 80)</t>
        </is>
      </c>
      <c r="E93" s="70" t="n"/>
      <c r="F93" s="69" t="n"/>
    </row>
    <row r="94" ht="28" customHeight="1">
      <c r="B94" s="14" t="inlineStr">
        <is>
          <t>Professionalism was maintained throughout</t>
        </is>
      </c>
      <c r="C94" s="79" t="inlineStr">
        <is>
          <t>Met</t>
        </is>
      </c>
      <c r="D94" s="14" t="inlineStr">
        <is>
          <t>Courteous and calm in all calls and emails</t>
        </is>
      </c>
      <c r="E94" s="70" t="n"/>
      <c r="F94" s="69" t="n"/>
    </row>
    <row r="95" ht="28" customHeight="1">
      <c r="B95" s="12" t="inlineStr">
        <is>
          <t>Communication style was adapted to the customer</t>
        </is>
      </c>
      <c r="C95" s="79" t="inlineStr">
        <is>
          <t>Partial</t>
        </is>
      </c>
      <c r="D95" s="12" t="inlineStr">
        <is>
          <t>Some simplification, but pace/jargon unadjusted for hearing difficulty</t>
        </is>
      </c>
      <c r="E95" s="70" t="n"/>
      <c r="F95" s="69" t="n"/>
    </row>
    <row r="96" ht="28" customHeight="1">
      <c r="B96" s="14" t="inlineStr">
        <is>
          <t>Patience was maintained, even under pressure</t>
        </is>
      </c>
      <c r="C96" s="79" t="inlineStr">
        <is>
          <t>Met</t>
        </is>
      </c>
      <c r="D96" s="14" t="inlineStr">
        <is>
          <t>Patient through a 3h26m session</t>
        </is>
      </c>
      <c r="E96" s="70" t="n"/>
      <c r="F96" s="69" t="n"/>
    </row>
    <row r="97" ht="28" customHeight="1">
      <c r="B97" s="12" t="inlineStr">
        <is>
          <t>Customer effort was reduced where possible</t>
        </is>
      </c>
      <c r="C97" s="79" t="inlineStr">
        <is>
          <t>Missed</t>
        </is>
      </c>
      <c r="D97" s="12" t="inlineStr">
        <is>
          <t>11 PM finish, then customer expected to chase the reschedule; survey: 'almost impossible to get a technician who can help'</t>
        </is>
      </c>
      <c r="E97" s="70" t="n"/>
      <c r="F97" s="69" t="n"/>
    </row>
    <row r="98" ht="28" customHeight="1">
      <c r="B98" s="14" t="inlineStr">
        <is>
          <t>Customer felt heard, understood next steps, and remained engaged</t>
        </is>
      </c>
      <c r="C98" s="79" t="inlineStr">
        <is>
          <t>Missed</t>
        </is>
      </c>
      <c r="D98" s="14" t="inlineStr">
        <is>
          <t>CSAT 1/5; 'worst customer service I have ever had'; customer scrapped Linksys for Eero</t>
        </is>
      </c>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2</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is>
          <t>Patience and courtesy present; effort-reduction and fatigue acknowledgment absent. The outcome data (CSAT 1, churn) reflects the journey, but this touch's choices contributed directly.</t>
        </is>
      </c>
      <c r="D102" s="70" t="n"/>
      <c r="E102" s="70" t="n"/>
      <c r="F102" s="69" t="n"/>
    </row>
    <row r="104" ht="18" customHeight="1">
      <c r="B104" s="125"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inlineStr">
        <is>
          <t>Issue and modem-replacement context captured on claim</t>
        </is>
      </c>
      <c r="E107" s="70" t="n"/>
      <c r="F107" s="69" t="n"/>
    </row>
    <row r="108" ht="28" customHeight="1">
      <c r="B108" s="14" t="inlineStr">
        <is>
          <t>Troubleshooting performed is documented</t>
        </is>
      </c>
      <c r="C108" s="79" t="inlineStr">
        <is>
          <t>Met</t>
        </is>
      </c>
      <c r="D108" s="14" t="inlineStr">
        <is>
          <t>Session note: speeds, 4 child nodes, RSSI per node, overlap node, declined sequence reboot</t>
        </is>
      </c>
      <c r="E108" s="70" t="n"/>
      <c r="F108" s="69" t="n"/>
    </row>
    <row r="109" ht="28" customHeight="1">
      <c r="B109" s="12" t="inlineStr">
        <is>
          <t>Key findings / discoveries noted</t>
        </is>
      </c>
      <c r="C109" s="79" t="inlineStr">
        <is>
          <t>Met</t>
        </is>
      </c>
      <c r="D109" s="12" t="inlineStr">
        <is>
          <t>Key findings recorded incl. 16267 overlap at -18 dBm</t>
        </is>
      </c>
      <c r="E109" s="70" t="n"/>
      <c r="F109" s="69" t="n"/>
    </row>
    <row r="110" ht="28" customHeight="1">
      <c r="B110" s="14" t="inlineStr">
        <is>
          <t>Agent reasoning is captured</t>
        </is>
      </c>
      <c r="C110" s="79" t="inlineStr">
        <is>
          <t>Partial</t>
        </is>
      </c>
      <c r="D110" s="14" t="inlineStr">
        <is>
          <t>Why RESOLVED was chosen is nowhere — investigation: 'no private note indicating the reason for closing the unresolved case'</t>
        </is>
      </c>
      <c r="E110" s="70" t="n"/>
      <c r="F110" s="69" t="n"/>
    </row>
    <row r="111" ht="28" customHeight="1">
      <c r="B111" s="12" t="inlineStr">
        <is>
          <t>Escalation justification included — mark N.A. if no escalation</t>
        </is>
      </c>
      <c r="C111" s="79" t="inlineStr">
        <is>
          <t>Missed</t>
        </is>
      </c>
      <c r="D111" s="12" t="inlineStr">
        <is>
          <t>Customer's management/legal request never documented as an escalation item</t>
        </is>
      </c>
      <c r="E111" s="70" t="n"/>
      <c r="F111" s="69" t="n"/>
    </row>
    <row r="112" ht="28" customHeight="1">
      <c r="B112" s="14" t="inlineStr">
        <is>
          <t>Next steps and follow-up actions listed (incl. callback records)</t>
        </is>
      </c>
      <c r="C112" s="79" t="inlineStr">
        <is>
          <t>Partial</t>
        </is>
      </c>
      <c r="D112" s="14" t="inlineStr">
        <is>
          <t>Callback agreement noted; post-miss plan vague ('reply with preferred date/time')</t>
        </is>
      </c>
      <c r="E112" s="70" t="n"/>
      <c r="F112" s="69" t="n"/>
    </row>
    <row r="113" ht="28" customHeight="1">
      <c r="B113" s="12" t="inlineStr">
        <is>
          <t>Ticket status accurately reflects case state (no premature RESOLVED; closure reason documented)</t>
        </is>
      </c>
      <c r="C113" s="79" t="inlineStr">
        <is>
          <t>Missed</t>
        </is>
      </c>
      <c r="D113" s="12" t="inlineStr">
        <is>
          <t>RESOLVED set May 19 on a known-unresolved case — 5th premature closure on this ticket; NTE requested by investigation</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is>
          <t>Technical notes excellent; closure documentation failed — no reason for RESOLVED, conflicting missed-callback explanations across notes.</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132">
        <f>IF(D121="","",IF(D121&gt;=4,"Strong",IF(D121=3,"Developing","Needs Focus")))</f>
        <v/>
      </c>
    </row>
    <row r="122">
      <c r="B122" s="28" t="inlineStr">
        <is>
          <t>Technical Accuracy</t>
        </is>
      </c>
      <c r="C122" s="29" t="n">
        <v>0.2</v>
      </c>
      <c r="D122" s="30">
        <f>C42</f>
        <v/>
      </c>
      <c r="E122" s="78">
        <f>IF(D122="","",(D122/5)*C122)</f>
        <v/>
      </c>
      <c r="F122" s="131">
        <f>IF(D122="","",IF(D122&gt;=4,"Strong",IF(D122=3,"Developing","Needs Focus")))</f>
        <v/>
      </c>
    </row>
    <row r="123">
      <c r="B123" s="23" t="inlineStr">
        <is>
          <t>Communication &amp; Call Control</t>
        </is>
      </c>
      <c r="C123" s="24" t="n">
        <v>0.15</v>
      </c>
      <c r="D123" s="25">
        <f>C58</f>
        <v/>
      </c>
      <c r="E123" s="83">
        <f>IF(D123="","",(D123/5)*C123)</f>
        <v/>
      </c>
      <c r="F123" s="132">
        <f>IF(D123="","",IF(D123&gt;=4,"Strong",IF(D123=3,"Developing","Needs Focus")))</f>
        <v/>
      </c>
    </row>
    <row r="124">
      <c r="B124" s="28" t="inlineStr">
        <is>
          <t>Customer Ownership</t>
        </is>
      </c>
      <c r="C124" s="29" t="n">
        <v>0.15</v>
      </c>
      <c r="D124" s="30">
        <f>C74</f>
        <v/>
      </c>
      <c r="E124" s="78">
        <f>IF(D124="","",(D124/5)*C124)</f>
        <v/>
      </c>
      <c r="F124" s="131">
        <f>IF(D124="","",IF(D124&gt;=4,"Strong",IF(D124=3,"Developing","Needs Focus")))</f>
        <v/>
      </c>
    </row>
    <row r="125">
      <c r="B125" s="23" t="inlineStr">
        <is>
          <t>Escalation Judgment</t>
        </is>
      </c>
      <c r="C125" s="24" t="n">
        <v>0.1</v>
      </c>
      <c r="D125" s="25">
        <f>C87</f>
        <v/>
      </c>
      <c r="E125" s="83">
        <f>IF(D125="","",(D125/5)*C125)</f>
        <v/>
      </c>
      <c r="F125" s="132">
        <f>IF(D125="","",IF(D125&gt;=4,"Strong",IF(D125=3,"Developing","Needs Focus")))</f>
        <v/>
      </c>
    </row>
    <row r="126">
      <c r="B126" s="28" t="inlineStr">
        <is>
          <t>Customer Experience</t>
        </is>
      </c>
      <c r="C126" s="29" t="n">
        <v>0.05</v>
      </c>
      <c r="D126" s="30">
        <f>C101</f>
        <v/>
      </c>
      <c r="E126" s="78">
        <f>IF(D126="","",(D126/5)*C126)</f>
        <v/>
      </c>
      <c r="F126" s="131">
        <f>IF(D126="","",IF(D126&gt;=4,"Strong",IF(D126=3,"Developing","Needs Focus")))</f>
        <v/>
      </c>
    </row>
    <row r="127">
      <c r="B127" s="23" t="inlineStr">
        <is>
          <t>Documentation &amp; Notes</t>
        </is>
      </c>
      <c r="C127" s="24" t="n">
        <v>0.05</v>
      </c>
      <c r="D127" s="25">
        <f>C116</f>
        <v/>
      </c>
      <c r="E127" s="83">
        <f>IF(D127="","",(D127/5)*C127)</f>
        <v/>
      </c>
      <c r="F127" s="13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25" t="inlineStr">
        <is>
          <t>4 · RESOLUTION OUTCOME</t>
        </is>
      </c>
      <c r="C130" s="67" t="n"/>
      <c r="D130" s="67" t="n"/>
      <c r="E130" s="67" t="n"/>
      <c r="F130" s="68" t="n"/>
    </row>
    <row r="131">
      <c r="B131" s="4" t="inlineStr">
        <is>
          <t>Outcome classification</t>
        </is>
      </c>
      <c r="C131" s="37" t="inlineStr">
        <is>
          <t>Ownership Gap</t>
        </is>
      </c>
      <c r="D131" s="70" t="n"/>
      <c r="E131" s="70" t="n"/>
      <c r="F131" s="69" t="n"/>
    </row>
    <row r="132">
      <c r="B132" s="6" t="inlineStr">
        <is>
          <t>Primary positive outcome achieved</t>
        </is>
      </c>
      <c r="C132" s="81" t="inlineStr">
        <is>
          <t>None achieved</t>
        </is>
      </c>
      <c r="D132" s="70" t="n"/>
      <c r="E132" s="70" t="n"/>
      <c r="F132" s="69" t="n"/>
    </row>
    <row r="133" ht="52" customHeight="1">
      <c r="B133" s="4" t="inlineStr">
        <is>
          <t>Justification</t>
        </is>
      </c>
      <c r="C133" s="7" t="inlineStr">
        <is>
          <t>Internet restoration was real progress, but the customer's primary complaint (wireless streaming stability) was never confirmed fixed, the agreed follow-up was missed, the case was closed RESOLVED without a documented reason, and an explicit management/legal escalation request went unactioned. Customer churned to a competitor. The journey's final classification is Ownership Gap — strong technical work undone by ownership and escalation failures.</t>
        </is>
      </c>
      <c r="D133" s="70" t="n"/>
      <c r="E133" s="70" t="n"/>
      <c r="F133" s="69" t="n"/>
    </row>
    <row r="135">
      <c r="B135" s="125"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25" t="inlineStr">
        <is>
          <t>Condition</t>
        </is>
      </c>
      <c r="C140" s="118" t="inlineStr">
        <is>
          <t>Present?</t>
        </is>
      </c>
      <c r="D140" s="125"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No</t>
        </is>
      </c>
      <c r="D142" s="14" t="inlineStr"/>
      <c r="E142" s="70" t="n"/>
      <c r="F142" s="69" t="n"/>
    </row>
    <row r="143" ht="26" customHeight="1">
      <c r="B143" s="12" t="inlineStr">
        <is>
          <t>Unsupported root-cause claims (e.g., ISP/customer blame w/o evidence)</t>
        </is>
      </c>
      <c r="C143" s="79" t="inlineStr">
        <is>
          <t>No</t>
        </is>
      </c>
      <c r="D143" s="12" t="inlineStr"/>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Yes</t>
        </is>
      </c>
      <c r="D145" s="12" t="inlineStr">
        <is>
          <t>Agreed 4-5 PM CT window May 19; calls placed 5:42 &amp; 6:06 PM (42-66 min late). Conflicting explanations in notes.</t>
        </is>
      </c>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Yes</t>
        </is>
      </c>
      <c r="D150" s="14" t="inlineStr">
        <is>
          <t>RESOLVED set May 19 after apology email; no private note with closure reason; survey 3 days later: Resolution Rate = No. 5th premature RESOLVED on this ticket.</t>
        </is>
      </c>
      <c r="E150" s="70" t="n"/>
      <c r="F150" s="69" t="n"/>
    </row>
    <row r="151" ht="26" customHeight="1">
      <c r="B151" s="12" t="inlineStr">
        <is>
          <t>Customer complaint, management-contact, or legal-risk request not escalated</t>
        </is>
      </c>
      <c r="C151" s="79" t="inlineStr">
        <is>
          <t>Yes</t>
        </is>
      </c>
      <c r="D151" s="12" t="inlineStr">
        <is>
          <t>Customer email 3:33 PM May 19 requested management contact and referenced a lawyer; no management/DSAT escalation until PMO intervention May 27.</t>
        </is>
      </c>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25" t="inlineStr">
        <is>
          <t>WHAT WENT WELL — behaviors to repeat</t>
        </is>
      </c>
      <c r="C155" s="67" t="n"/>
      <c r="D155" s="67" t="n"/>
      <c r="E155" s="67" t="n"/>
      <c r="F155" s="68" t="n"/>
    </row>
    <row r="156" ht="32" customHeight="1">
      <c r="B156" s="11" t="inlineStr">
        <is>
          <t>1.</t>
        </is>
      </c>
      <c r="C156" s="7" t="inlineStr">
        <is>
          <t>Took over a collapsing case and delivered the journey's decisive technical win: fault isolated away from the ISP to the MX4200 parent node, internet restored, 4 child nodes configured with per-node RSSI documented</t>
        </is>
      </c>
      <c r="D156" s="70" t="n"/>
      <c r="E156" s="70" t="n"/>
      <c r="F156" s="69" t="n"/>
    </row>
    <row r="157" ht="32" customHeight="1">
      <c r="B157" s="11" t="inlineStr">
        <is>
          <t>2.</t>
        </is>
      </c>
      <c r="C157" s="7" t="inlineStr">
        <is>
          <t>End-to-end L2 ownership of the technical work — no bouncing, 3h26m of focused troubleshooting with remote tooling (ZOHO)</t>
        </is>
      </c>
      <c r="D157" s="70" t="n"/>
      <c r="E157" s="70" t="n"/>
      <c r="F157" s="69" t="n"/>
    </row>
    <row r="158" ht="32" customHeight="1">
      <c r="B158" s="11" t="inlineStr">
        <is>
          <t>3.</t>
        </is>
      </c>
      <c r="C158" s="7" t="inlineStr">
        <is>
          <t>Recovery attempts after the miss (2 calls, voicemails, 2 emails with reference number and hotline) show the follow-up instinct exists — the failure was timing and closure, not absence</t>
        </is>
      </c>
      <c r="D158" s="70" t="n"/>
      <c r="E158" s="70" t="n"/>
      <c r="F158" s="69" t="n"/>
    </row>
    <row r="159">
      <c r="B159" s="125" t="inlineStr">
        <is>
          <t>IMPROVEMENT OPPORTUNITIES — behaviors to improve</t>
        </is>
      </c>
      <c r="C159" s="67" t="n"/>
      <c r="D159" s="67" t="n"/>
      <c r="E159" s="67" t="n"/>
      <c r="F159" s="68" t="n"/>
    </row>
    <row r="160" ht="32" customHeight="1">
      <c r="B160" s="11" t="inlineStr">
        <is>
          <t>1.</t>
        </is>
      </c>
      <c r="C160" s="7" t="inlineStr">
        <is>
          <t>Protect or renegotiate callback commitments: the May 19 TC/OM meetings were known before the 4-5 PM window — a 2-minute proactive 'can we move to 6 PM?' email would have prevented the complaint</t>
        </is>
      </c>
      <c r="D160" s="70" t="n"/>
      <c r="E160" s="70" t="n"/>
      <c r="F160" s="69" t="n"/>
    </row>
    <row r="161" ht="32" customHeight="1">
      <c r="B161" s="11" t="inlineStr">
        <is>
          <t>2.</t>
        </is>
      </c>
      <c r="C161" s="7" t="inlineStr">
        <is>
          <t>Never set RESOLVED on a known-unresolved case: use CALLBACK/PENDING and document a closure reason; this ticket's 5th premature closure triggered an NTE</t>
        </is>
      </c>
      <c r="D161" s="70" t="n"/>
      <c r="E161" s="70" t="n"/>
      <c r="F161" s="69" t="n"/>
    </row>
    <row r="162" ht="32" customHeight="1">
      <c r="B162" s="11" t="inlineStr">
        <is>
          <t>3.</t>
        </is>
      </c>
      <c r="C162" s="7" t="inlineStr">
        <is>
          <t>Treat an explicit management request + legal reference from a vulnerable customer as a same-day mandatory escalation, independent of any apology email</t>
        </is>
      </c>
      <c r="D162" s="70" t="n"/>
      <c r="E162" s="70" t="n"/>
      <c r="F162" s="69" t="n"/>
    </row>
    <row r="163">
      <c r="B163" s="125" t="inlineStr">
        <is>
          <t>COACHING RECOMMENDATION — specific actions the agent should apply going forward</t>
        </is>
      </c>
      <c r="C163" s="67" t="n"/>
      <c r="D163" s="67" t="n"/>
      <c r="E163" s="67" t="n"/>
      <c r="F163" s="68" t="n"/>
    </row>
    <row r="164" ht="58" customHeight="1">
      <c r="B164" s="7" t="inlineStr">
        <is>
          <t>SMART (Action Owner: TC Kirby Dona, 48h per investigation): (1) For the next 30 days, every callback commitment goes on the calendar at agreement time, with a proactive renegotiation message sent BEFORE any window that conflicts. (2) Provide NTE clarifying the May 19 RESOLVED status; going forward, closure requires customer confirmation or a documented reason in a private note. (3) Complete complaint-handling refresher: management/legal requests are escalated same-day with a documented handoff.</t>
        </is>
      </c>
      <c r="C164" s="70" t="n"/>
      <c r="D164" s="70" t="n"/>
      <c r="E164" s="70" t="n"/>
      <c r="F164" s="69" t="n"/>
    </row>
    <row r="165">
      <c r="B165" s="125" t="inlineStr">
        <is>
          <t>ORGANIZATIONAL INSIGHTS — training / process / KB / chatbot / tooling / product gaps discovered</t>
        </is>
      </c>
      <c r="C165" s="67" t="n"/>
      <c r="D165" s="67" t="n"/>
      <c r="E165" s="67" t="n"/>
      <c r="F165" s="68" t="n"/>
    </row>
    <row r="166" ht="70" customHeight="1">
      <c r="B166" s="7" t="inlineStr">
        <is>
          <t>(1) Callback management is a systemic failure across L1 and L2 — enforced callback calendaring + contingency script. (2) Reinforce 'Linksys CAT Case Management and Closure Process' (Action: TCs Baynos &amp; Dona) — RESOLVED toggled 5× on this unresolved ticket. (3) Ticket-linking gap: pre-ticket history (TE00124020, Recs 1-6, $30 paid session) invisible to every later agent. (4) PCI: Rec 3 contains card number/CVV/expiry in plaintext — immediate compliance review + PCI-safe payment flow. (5) Vulnerable-customer standard needed (pace, one-step instructions, session-length checkpoints). (6) Product-advice loop: mixed WHW03/MX4200 mesh recommendation for 7,000 sq ft drove 6 purchases without a topology consult.</t>
        </is>
      </c>
      <c r="C166" s="70" t="n"/>
      <c r="D166" s="70" t="n"/>
      <c r="E166" s="70" t="n"/>
      <c r="F166" s="69" t="n"/>
    </row>
    <row r="167">
      <c r="B167" s="125" t="inlineStr">
        <is>
          <t>MULTI-TOUCH / JOURNEY NOTES — handoff quality received &amp; passed, continuity, where the chain stands</t>
        </is>
      </c>
      <c r="C167" s="67" t="n"/>
      <c r="D167" s="67" t="n"/>
      <c r="E167" s="67" t="n"/>
      <c r="F167" s="68" t="n"/>
    </row>
    <row r="168" ht="58" customHeight="1">
      <c r="B168" s="7" t="inlineStr">
        <is>
          <t>Touch 13 of 13. Handoff RECEIVED: adequate from Paolo Ebora (RSSI findings, logs) but burdened by the day's 3-hour callback chaos and 7 weeks of erosion; pre-ticket history missing through no fault of this agent. Handoff PASSED: case closed RESOLVED with no closure note and an unescalated legal-risk complaint — the chain ended here with the customer churning to Eero. See Multi-Touch Guide for the full chain analysis and Case Tracker rows 5-17 for per-touch scores.</t>
        </is>
      </c>
      <c r="C168" s="70" t="n"/>
      <c r="D168" s="70" t="n"/>
      <c r="E168" s="70" t="n"/>
      <c r="F168" s="69" t="n"/>
    </row>
    <row r="169">
      <c r="B169" s="125" t="inlineStr">
        <is>
          <t>FINAL QA ASSESSMENT — customer outcome, support quality, and coaching value</t>
        </is>
      </c>
      <c r="C169" s="67" t="n"/>
      <c r="D169" s="67" t="n"/>
      <c r="E169" s="67" t="n"/>
      <c r="F169" s="68" t="n"/>
    </row>
    <row r="170" ht="58" customHeight="1">
      <c r="B170" s="7" t="inlineStr">
        <is>
          <t>Weighted 52% (Needs Improvement) with 3 critical failures — automatic review applies regardless of score. The paradox of this touch is the coaching value: technically it was the journey's best recovery; the case was lost on ownership basics — a missed window the agent saw coming, a closure that misrepresented case state, and a complaint that demanded escalation. Fix the ownership discipline and this agent is a journey-saver, not a journey-ender.</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60"/>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10" customWidth="1" min="12" max="12"/>
    <col width="13" customWidth="1" min="13" max="13"/>
    <col width="60" customWidth="1" min="14" max="14"/>
    <col width="22" customWidth="1" min="15" max="15"/>
    <col width="14" customWidth="1" min="16" max="16"/>
  </cols>
  <sheetData>
    <row r="1" ht="26" customHeight="1">
      <c r="A1" s="104" t="inlineStr">
        <is>
          <t>CASE TRACKER — Multi-Case &amp; Multi-Touch Log</t>
        </is>
      </c>
      <c r="B1" s="67" t="n"/>
      <c r="C1" s="67" t="n"/>
      <c r="D1" s="67" t="n"/>
      <c r="E1" s="67" t="n"/>
      <c r="F1" s="67" t="n"/>
      <c r="G1" s="67" t="n"/>
      <c r="H1" s="67" t="n"/>
      <c r="I1" s="67" t="n"/>
      <c r="J1" s="67" t="n"/>
      <c r="K1" s="67" t="n"/>
      <c r="L1" s="67" t="n"/>
      <c r="M1" s="67" t="n"/>
      <c r="N1" s="67" t="n"/>
      <c r="O1" s="67" t="n"/>
      <c r="P1" s="68" t="n"/>
    </row>
    <row r="2" ht="16" customHeight="1">
      <c r="A2" s="59" t="inlineStr">
        <is>
          <t>One row per touch. Reuse a Case ID across rows to track a multi-touch journey. Scores 0-5; Weighted % and Result calculate automatically. Pre-loaded: the TE00124020 / TE00127492 journey (see Multi-Touch Guide).</t>
        </is>
      </c>
      <c r="B2" s="67" t="n"/>
      <c r="C2" s="67" t="n"/>
      <c r="D2" s="67" t="n"/>
      <c r="E2" s="67" t="n"/>
      <c r="F2" s="67" t="n"/>
      <c r="G2" s="67" t="n"/>
      <c r="H2" s="67" t="n"/>
      <c r="I2" s="67" t="n"/>
      <c r="J2" s="67" t="n"/>
      <c r="K2" s="67" t="n"/>
      <c r="L2" s="67" t="n"/>
      <c r="M2" s="67" t="n"/>
      <c r="N2" s="67" t="n"/>
      <c r="O2" s="67" t="n"/>
      <c r="P2" s="68" t="n"/>
    </row>
    <row r="3" ht="24" customHeight="1">
      <c r="A3" s="124">
        <f>" LOADED JOURNEY TEAM SCORE  ▸  TE00089221 (Larry Scerba):  "&amp;TEXT(G56,"0.0%")&amp;"   "&amp;UPPER(H56)&amp;"     —  full team analysis on the Team Scoring sheet;  scoring section below at row 53 "</f>
        <v/>
      </c>
      <c r="B3" s="67" t="n"/>
      <c r="C3" s="67" t="n"/>
      <c r="D3" s="67" t="n"/>
      <c r="E3" s="67" t="n"/>
      <c r="F3" s="67" t="n"/>
      <c r="G3" s="67" t="n"/>
      <c r="H3" s="67" t="n"/>
      <c r="I3" s="67" t="n"/>
      <c r="J3" s="67" t="n"/>
      <c r="K3" s="67" t="n"/>
      <c r="L3" s="67" t="n"/>
      <c r="M3" s="67" t="n"/>
      <c r="N3" s="67" t="n"/>
      <c r="O3" s="67" t="n"/>
      <c r="P3" s="68" t="n"/>
    </row>
    <row r="4" ht="30" customHeight="1">
      <c r="A4" s="60" t="inlineStr">
        <is>
          <t>Date</t>
        </is>
      </c>
      <c r="B4" s="60" t="inlineStr">
        <is>
          <t>Case ID</t>
        </is>
      </c>
      <c r="C4" s="60" t="inlineStr">
        <is>
          <t>Agent</t>
        </is>
      </c>
      <c r="D4" s="60" t="inlineStr">
        <is>
          <t>Touch #</t>
        </is>
      </c>
      <c r="E4" s="60" t="inlineStr">
        <is>
          <t>Res 30%</t>
        </is>
      </c>
      <c r="F4" s="60" t="inlineStr">
        <is>
          <t>Tech 20%</t>
        </is>
      </c>
      <c r="G4" s="60" t="inlineStr">
        <is>
          <t>Comm 15%</t>
        </is>
      </c>
      <c r="H4" s="60" t="inlineStr">
        <is>
          <t>Own 15%</t>
        </is>
      </c>
      <c r="I4" s="60" t="inlineStr">
        <is>
          <t>Esc 10%</t>
        </is>
      </c>
      <c r="J4" s="60" t="inlineStr">
        <is>
          <t>CX 5%</t>
        </is>
      </c>
      <c r="K4" s="60" t="inlineStr">
        <is>
          <t>Doc 5%</t>
        </is>
      </c>
      <c r="L4" s="60" t="inlineStr">
        <is>
          <t>Weighted</t>
        </is>
      </c>
      <c r="M4" s="60" t="inlineStr">
        <is>
          <t>Result</t>
        </is>
      </c>
      <c r="N4" s="60" t="inlineStr">
        <is>
          <t>Outcome / Notes</t>
        </is>
      </c>
      <c r="O4" s="130" t="inlineStr">
        <is>
          <t>Contribution Type</t>
        </is>
      </c>
      <c r="P4" s="130" t="inlineStr">
        <is>
          <t>Handoff Quality (0-5)</t>
        </is>
      </c>
    </row>
    <row r="5" ht="40" customHeight="1">
      <c r="A5" s="61" t="inlineStr">
        <is>
          <t>2025-08-04</t>
        </is>
      </c>
      <c r="B5" s="61" t="inlineStr">
        <is>
          <t>TE00089221</t>
        </is>
      </c>
      <c r="C5" s="61" t="inlineStr">
        <is>
          <t>Jeneth Villanil</t>
        </is>
      </c>
      <c r="D5" s="61" t="inlineStr">
        <is>
          <t>1</t>
        </is>
      </c>
      <c r="E5" s="61" t="n">
        <v>5</v>
      </c>
      <c r="F5" s="61" t="n">
        <v>5</v>
      </c>
      <c r="G5" s="61" t="n">
        <v>5</v>
      </c>
      <c r="H5" s="61" t="n">
        <v>5</v>
      </c>
      <c r="I5" s="61" t="n">
        <v>5</v>
      </c>
      <c r="J5" s="61" t="n">
        <v>5</v>
      </c>
      <c r="K5" s="61" t="n">
        <v>4</v>
      </c>
      <c r="L5" s="62">
        <f>IF((COUNT(E5)+COUNT(F5)+COUNT(G5)+COUNT(H5)+COUNT(I5)+COUNT(J5)+COUNT(K5))=0,"",IFERROR(E5/5*0.3,0)+IFERROR(F5/5*0.2,0)+IFERROR(G5/5*0.15,0)+IFERROR(H5/5*0.15,0)+IFERROR(I5/5*0.1,0)+IFERROR(J5/5*0.05,0)+IFERROR(K5/5*0.05,0))</f>
        <v/>
      </c>
      <c r="M5" s="132">
        <f>IF(L5="","",IF(L5&gt;=0.85,"Meets/Exceeds",IF(L5&gt;=0.70,"Developing","Needs Improv.")))</f>
        <v/>
      </c>
      <c r="N5" s="12" t="inlineStr">
        <is>
          <t>4th node paired successfully with Velop Pro 7; no issues reported</t>
        </is>
      </c>
      <c r="O5" s="132" t="inlineStr">
        <is>
          <t>Resolver</t>
        </is>
      </c>
      <c r="P5" s="132" t="n">
        <v>5</v>
      </c>
    </row>
    <row r="6" ht="40" customHeight="1">
      <c r="A6" s="61" t="inlineStr">
        <is>
          <t>2025-10-13</t>
        </is>
      </c>
      <c r="B6" s="61" t="inlineStr">
        <is>
          <t>TE00089221</t>
        </is>
      </c>
      <c r="C6" s="61" t="inlineStr">
        <is>
          <t>Deneive Luar</t>
        </is>
      </c>
      <c r="D6" s="61" t="inlineStr">
        <is>
          <t>2</t>
        </is>
      </c>
      <c r="E6" s="61" t="n">
        <v>3</v>
      </c>
      <c r="F6" s="61" t="n">
        <v>4</v>
      </c>
      <c r="G6" s="61" t="n">
        <v>4</v>
      </c>
      <c r="H6" s="61" t="n">
        <v>3</v>
      </c>
      <c r="I6" s="61" t="n">
        <v>4</v>
      </c>
      <c r="J6" s="61" t="n">
        <v>4</v>
      </c>
      <c r="K6" s="61" t="n">
        <v>3</v>
      </c>
      <c r="L6" s="63">
        <f>IF((COUNT(E6)+COUNT(F6)+COUNT(G6)+COUNT(H6)+COUNT(I6)+COUNT(J6)+COUNT(K6))=0,"",IFERROR(E6/5*0.3,0)+IFERROR(F6/5*0.2,0)+IFERROR(G6/5*0.15,0)+IFERROR(H6/5*0.15,0)+IFERROR(I6/5*0.1,0)+IFERROR(J6/5*0.05,0)+IFERROR(K6/5*0.05,0))</f>
        <v/>
      </c>
      <c r="M6" s="131">
        <f>IF(L6="","",IF(L6&gt;=0.85,"Meets/Exceeds",IF(L6&gt;=0.70,"Developing","Needs Improv.")))</f>
        <v/>
      </c>
      <c r="N6" s="14" t="inlineStr">
        <is>
          <t>Connectivity troubleshooting (reset/reposition); signal improved to -52dBm; customer agreed to monitor</t>
        </is>
      </c>
      <c r="O6" s="131" t="inlineStr">
        <is>
          <t>Maintainer</t>
        </is>
      </c>
      <c r="P6" s="131" t="n">
        <v>3</v>
      </c>
    </row>
    <row r="7" ht="40" customHeight="1">
      <c r="A7" s="61" t="inlineStr">
        <is>
          <t>2025-10-20</t>
        </is>
      </c>
      <c r="B7" s="61" t="inlineStr">
        <is>
          <t>TE00089221</t>
        </is>
      </c>
      <c r="C7" s="61" t="inlineStr">
        <is>
          <t>Dorothy Belle Oraiz</t>
        </is>
      </c>
      <c r="D7" s="61" t="inlineStr">
        <is>
          <t>3</t>
        </is>
      </c>
      <c r="E7" s="61" t="n">
        <v>4</v>
      </c>
      <c r="F7" s="61" t="n">
        <v>3</v>
      </c>
      <c r="G7" s="61" t="n">
        <v>4</v>
      </c>
      <c r="H7" s="61" t="n">
        <v>4</v>
      </c>
      <c r="I7" s="61" t="n">
        <v>5</v>
      </c>
      <c r="J7" s="61" t="n">
        <v>3</v>
      </c>
      <c r="K7" s="61" t="n">
        <v>4</v>
      </c>
      <c r="L7" s="62">
        <f>IF((COUNT(E7)+COUNT(F7)+COUNT(G7)+COUNT(H7)+COUNT(I7)+COUNT(J7)+COUNT(K7))=0,"",IFERROR(E7/5*0.3,0)+IFERROR(F7/5*0.2,0)+IFERROR(G7/5*0.15,0)+IFERROR(H7/5*0.15,0)+IFERROR(I7/5*0.1,0)+IFERROR(J7/5*0.05,0)+IFERROR(K7/5*0.05,0))</f>
        <v/>
      </c>
      <c r="M7" s="132">
        <f>IF(L7="","",IF(L7&gt;=0.85,"Meets/Exceeds",IF(L7&gt;=0.70,"Developing","Needs Improv.")))</f>
        <v/>
      </c>
      <c r="N7" s="12" t="inlineStr">
        <is>
          <t>Persistent disconnection; diagnostics blocked by router password issue; escalated to L2 w/ supervisor approval, 24-48hr callback set</t>
        </is>
      </c>
      <c r="O7" s="132" t="inlineStr">
        <is>
          <t>Progress Builder</t>
        </is>
      </c>
      <c r="P7" s="132" t="n">
        <v>4</v>
      </c>
    </row>
    <row r="8" ht="40" customHeight="1">
      <c r="A8" s="61" t="inlineStr">
        <is>
          <t>2025-10-20</t>
        </is>
      </c>
      <c r="B8" s="61" t="inlineStr">
        <is>
          <t>TE00089221</t>
        </is>
      </c>
      <c r="C8" s="61" t="inlineStr">
        <is>
          <t>Eric Marbella</t>
        </is>
      </c>
      <c r="D8" s="61" t="inlineStr">
        <is>
          <t>4</t>
        </is>
      </c>
      <c r="E8" s="61" t="n">
        <v>3</v>
      </c>
      <c r="F8" s="61" t="n">
        <v>3</v>
      </c>
      <c r="G8" s="61" t="n">
        <v>4</v>
      </c>
      <c r="H8" s="61" t="n">
        <v>4</v>
      </c>
      <c r="I8" s="61" t="n">
        <v>3</v>
      </c>
      <c r="J8" s="61" t="n">
        <v>4</v>
      </c>
      <c r="K8" s="61" t="n">
        <v>3</v>
      </c>
      <c r="L8" s="63">
        <f>IF((COUNT(E8)+COUNT(F8)+COUNT(G8)+COUNT(H8)+COUNT(I8)+COUNT(J8)+COUNT(K8))=0,"",IFERROR(E8/5*0.3,0)+IFERROR(F8/5*0.2,0)+IFERROR(G8/5*0.15,0)+IFERROR(H8/5*0.15,0)+IFERROR(I8/5*0.1,0)+IFERROR(J8/5*0.05,0)+IFERROR(K8/5*0.05,0))</f>
        <v/>
      </c>
      <c r="M8" s="131">
        <f>IF(L8="","",IF(L8&gt;=0.85,"Meets/Exceeds",IF(L8&gt;=0.70,"Developing","Needs Improv.")))</f>
        <v/>
      </c>
      <c r="N8" s="14" t="inlineStr">
        <is>
          <t>Quick callback, customer not ready, rescheduled 15 min later same day</t>
        </is>
      </c>
      <c r="O8" s="131" t="inlineStr">
        <is>
          <t>Maintainer</t>
        </is>
      </c>
      <c r="P8" s="131" t="n">
        <v>5</v>
      </c>
    </row>
    <row r="9" ht="40" customHeight="1">
      <c r="A9" s="61" t="inlineStr">
        <is>
          <t>2025-10-20</t>
        </is>
      </c>
      <c r="B9" s="61" t="inlineStr">
        <is>
          <t>TE00089221</t>
        </is>
      </c>
      <c r="C9" s="61" t="inlineStr">
        <is>
          <t>Eric Marbella</t>
        </is>
      </c>
      <c r="D9" s="61" t="inlineStr">
        <is>
          <t>5</t>
        </is>
      </c>
      <c r="E9" s="61" t="n">
        <v>4</v>
      </c>
      <c r="F9" s="61" t="n">
        <v>4</v>
      </c>
      <c r="G9" s="61" t="n">
        <v>3</v>
      </c>
      <c r="H9" s="61" t="n">
        <v>4</v>
      </c>
      <c r="I9" s="61" t="n">
        <v>4</v>
      </c>
      <c r="J9" s="61" t="n">
        <v>4</v>
      </c>
      <c r="K9" s="61" t="n">
        <v>4</v>
      </c>
      <c r="L9" s="62">
        <f>IF((COUNT(E9)+COUNT(F9)+COUNT(G9)+COUNT(H9)+COUNT(I9)+COUNT(J9)+COUNT(K9))=0,"",IFERROR(E9/5*0.3,0)+IFERROR(F9/5*0.2,0)+IFERROR(G9/5*0.15,0)+IFERROR(H9/5*0.15,0)+IFERROR(I9/5*0.1,0)+IFERROR(J9/5*0.05,0)+IFERROR(K9/5*0.05,0))</f>
        <v/>
      </c>
      <c r="M9" s="132">
        <f>IF(L9="","",IF(L9&gt;=0.85,"Meets/Exceeds",IF(L9&gt;=0.70,"Developing","Needs Improv.")))</f>
        <v/>
      </c>
      <c r="N9" s="12" t="inlineStr">
        <is>
          <t>Signal check, sysinfo log, router recovery/firmware revert performed; emailed follow-up sysinfo instructions Oct 21 (no response by Oct 23)</t>
        </is>
      </c>
      <c r="O9" s="132" t="inlineStr">
        <is>
          <t>Progress Builder</t>
        </is>
      </c>
      <c r="P9" s="132" t="n">
        <v>4</v>
      </c>
    </row>
    <row r="10" ht="40" customHeight="1">
      <c r="A10" s="61" t="inlineStr">
        <is>
          <t>2025-11-21</t>
        </is>
      </c>
      <c r="B10" s="61" t="inlineStr">
        <is>
          <t>TE00089221</t>
        </is>
      </c>
      <c r="C10" s="61" t="inlineStr">
        <is>
          <t>Stephanie 'Belle' Luspo</t>
        </is>
      </c>
      <c r="D10" s="61" t="inlineStr">
        <is>
          <t>6</t>
        </is>
      </c>
      <c r="E10" s="61" t="n">
        <v>3</v>
      </c>
      <c r="F10" s="61" t="n">
        <v>3</v>
      </c>
      <c r="G10" s="61" t="n">
        <v>4</v>
      </c>
      <c r="H10" s="61" t="n">
        <v>3</v>
      </c>
      <c r="I10" s="61" t="n">
        <v>3</v>
      </c>
      <c r="J10" s="61" t="n">
        <v>4</v>
      </c>
      <c r="K10" s="61" t="n">
        <v>2</v>
      </c>
      <c r="L10" s="63">
        <f>IF((COUNT(E10)+COUNT(F10)+COUNT(G10)+COUNT(H10)+COUNT(I10)+COUNT(J10)+COUNT(K10))=0,"",IFERROR(E10/5*0.3,0)+IFERROR(F10/5*0.2,0)+IFERROR(G10/5*0.15,0)+IFERROR(H10/5*0.15,0)+IFERROR(I10/5*0.1,0)+IFERROR(J10/5*0.05,0)+IFERROR(K10/5*0.05,0))</f>
        <v/>
      </c>
      <c r="M10" s="131">
        <f>IF(L10="","",IF(L10&gt;=0.85,"Meets/Exceeds",IF(L10&gt;=0.70,"Developing","Needs Improv.")))</f>
        <v/>
      </c>
      <c r="N10" s="14" t="inlineStr">
        <is>
          <t>Customer called - never received Eric's Oct 21 email/hotline; resend failed; provided hotline number directly by phone</t>
        </is>
      </c>
      <c r="O10" s="131" t="inlineStr">
        <is>
          <t>Regression Contributor</t>
        </is>
      </c>
      <c r="P10" s="131" t="n">
        <v>2</v>
      </c>
    </row>
    <row r="11" ht="40" customHeight="1">
      <c r="A11" s="61" t="inlineStr">
        <is>
          <t>2025-11-21</t>
        </is>
      </c>
      <c r="B11" s="61" t="inlineStr">
        <is>
          <t>TE00089221</t>
        </is>
      </c>
      <c r="C11" s="61" t="inlineStr">
        <is>
          <t>John Pagurayan</t>
        </is>
      </c>
      <c r="D11" s="61" t="inlineStr">
        <is>
          <t>7</t>
        </is>
      </c>
      <c r="E11" s="61" t="n">
        <v>2</v>
      </c>
      <c r="F11" s="61" t="n">
        <v>2</v>
      </c>
      <c r="G11" s="61" t="n">
        <v>3</v>
      </c>
      <c r="H11" s="61" t="n">
        <v>2</v>
      </c>
      <c r="I11" s="61" t="n">
        <v>2</v>
      </c>
      <c r="J11" s="61" t="n">
        <v>3</v>
      </c>
      <c r="K11" s="61" t="n">
        <v>2</v>
      </c>
      <c r="L11" s="62">
        <f>IF((COUNT(E11)+COUNT(F11)+COUNT(G11)+COUNT(H11)+COUNT(I11)+COUNT(J11)+COUNT(K11))=0,"",IFERROR(E11/5*0.3,0)+IFERROR(F11/5*0.2,0)+IFERROR(G11/5*0.15,0)+IFERROR(H11/5*0.15,0)+IFERROR(I11/5*0.1,0)+IFERROR(J11/5*0.05,0)+IFERROR(K11/5*0.05,0))</f>
        <v/>
      </c>
      <c r="M11" s="132">
        <f>IF(L11="","",IF(L11&gt;=0.85,"Meets/Exceeds",IF(L11&gt;=0.70,"Developing","Needs Improv.")))</f>
        <v/>
      </c>
      <c r="N11" s="12" t="inlineStr">
        <is>
          <t>Customer declined further troubleshooting; informed unit is EOL; mentioned consulting 'CAT-Eric' but no formal escalation made/documented</t>
        </is>
      </c>
      <c r="O11" s="132" t="inlineStr">
        <is>
          <t>Regression Contributor</t>
        </is>
      </c>
      <c r="P11" s="132" t="n">
        <v>1</v>
      </c>
    </row>
    <row r="12" ht="40" customHeight="1">
      <c r="A12" s="61" t="inlineStr">
        <is>
          <t>2025-11-24</t>
        </is>
      </c>
      <c r="B12" s="61" t="inlineStr">
        <is>
          <t>TE00089221</t>
        </is>
      </c>
      <c r="C12" s="61" t="inlineStr">
        <is>
          <t>Eric Marbella</t>
        </is>
      </c>
      <c r="D12" s="61" t="inlineStr">
        <is>
          <t>8</t>
        </is>
      </c>
      <c r="E12" s="61" t="n">
        <v>3</v>
      </c>
      <c r="F12" s="61" t="n">
        <v>3</v>
      </c>
      <c r="G12" s="61" t="n">
        <v>3</v>
      </c>
      <c r="H12" s="61" t="n">
        <v>3</v>
      </c>
      <c r="I12" s="61" t="n">
        <v>3</v>
      </c>
      <c r="J12" s="61" t="n">
        <v>3</v>
      </c>
      <c r="K12" s="61" t="n">
        <v>2</v>
      </c>
      <c r="L12" s="63">
        <f>IF((COUNT(E12)+COUNT(F12)+COUNT(G12)+COUNT(H12)+COUNT(I12)+COUNT(J12)+COUNT(K12))=0,"",IFERROR(E12/5*0.3,0)+IFERROR(F12/5*0.2,0)+IFERROR(G12/5*0.15,0)+IFERROR(H12/5*0.15,0)+IFERROR(I12/5*0.1,0)+IFERROR(J12/5*0.05,0)+IFERROR(K12/5*0.05,0))</f>
        <v/>
      </c>
      <c r="M12" s="131">
        <f>IF(L12="","",IF(L12&gt;=0.85,"Meets/Exceeds",IF(L12&gt;=0.70,"Developing","Needs Improv.")))</f>
        <v/>
      </c>
      <c r="N12" s="14" t="inlineStr">
        <is>
          <t>Callback attempt (1-month gap since Oct 23); spoke with another household member, agreed callback in ~2 hrs</t>
        </is>
      </c>
      <c r="O12" s="131" t="inlineStr">
        <is>
          <t>Maintainer</t>
        </is>
      </c>
      <c r="P12" s="131" t="n">
        <v>4</v>
      </c>
    </row>
    <row r="13" ht="40" customHeight="1">
      <c r="A13" s="61" t="inlineStr">
        <is>
          <t>2025-11-24</t>
        </is>
      </c>
      <c r="B13" s="61" t="inlineStr">
        <is>
          <t>TE00089221</t>
        </is>
      </c>
      <c r="C13" s="61" t="inlineStr">
        <is>
          <t>Eric Marbella</t>
        </is>
      </c>
      <c r="D13" s="61" t="inlineStr">
        <is>
          <t>9</t>
        </is>
      </c>
      <c r="E13" s="61" t="n">
        <v>2</v>
      </c>
      <c r="F13" s="61" t="n">
        <v>3</v>
      </c>
      <c r="G13" s="61" t="n">
        <v>2</v>
      </c>
      <c r="H13" s="61" t="n">
        <v>3</v>
      </c>
      <c r="I13" s="61" t="n">
        <v>3</v>
      </c>
      <c r="J13" s="61" t="n">
        <v>2</v>
      </c>
      <c r="K13" s="61" t="n">
        <v>2</v>
      </c>
      <c r="L13" s="62">
        <f>IF((COUNT(E13)+COUNT(F13)+COUNT(G13)+COUNT(H13)+COUNT(I13)+COUNT(J13)+COUNT(K13))=0,"",IFERROR(E13/5*0.3,0)+IFERROR(F13/5*0.2,0)+IFERROR(G13/5*0.15,0)+IFERROR(H13/5*0.15,0)+IFERROR(I13/5*0.1,0)+IFERROR(J13/5*0.05,0)+IFERROR(K13/5*0.05,0))</f>
        <v/>
      </c>
      <c r="M13" s="132">
        <f>IF(L13="","",IF(L13&gt;=0.85,"Meets/Exceeds",IF(L13&gt;=0.70,"Developing","Needs Improv.")))</f>
        <v/>
      </c>
      <c r="N13" s="12" t="inlineStr">
        <is>
          <t>Call connected then disconnected after 58s; immediate retry follows same day</t>
        </is>
      </c>
      <c r="O13" s="132" t="inlineStr">
        <is>
          <t>Maintainer</t>
        </is>
      </c>
      <c r="P13" s="132" t="n">
        <v>4</v>
      </c>
    </row>
    <row r="14" ht="40" customHeight="1">
      <c r="A14" s="61" t="inlineStr">
        <is>
          <t>2025-11-24</t>
        </is>
      </c>
      <c r="B14" s="61" t="inlineStr">
        <is>
          <t>TE00089221</t>
        </is>
      </c>
      <c r="C14" s="61" t="inlineStr">
        <is>
          <t>Eric Marbella</t>
        </is>
      </c>
      <c r="D14" s="61" t="inlineStr">
        <is>
          <t>10</t>
        </is>
      </c>
      <c r="E14" s="61" t="n">
        <v>3</v>
      </c>
      <c r="F14" s="61" t="n">
        <v>4</v>
      </c>
      <c r="G14" s="61" t="n">
        <v>2</v>
      </c>
      <c r="H14" s="61" t="n">
        <v>2</v>
      </c>
      <c r="I14" s="61" t="n">
        <v>2</v>
      </c>
      <c r="J14" s="61" t="n">
        <v>3</v>
      </c>
      <c r="K14" s="61" t="n">
        <v>3</v>
      </c>
      <c r="L14" s="63">
        <f>IF((COUNT(E14)+COUNT(F14)+COUNT(G14)+COUNT(H14)+COUNT(I14)+COUNT(J14)+COUNT(K14))=0,"",IFERROR(E14/5*0.3,0)+IFERROR(F14/5*0.2,0)+IFERROR(G14/5*0.15,0)+IFERROR(H14/5*0.15,0)+IFERROR(I14/5*0.1,0)+IFERROR(J14/5*0.05,0)+IFERROR(K14/5*0.05,0))</f>
        <v/>
      </c>
      <c r="M14" s="131">
        <f>IF(L14="","",IF(L14&gt;=0.85,"Meets/Exceeds",IF(L14&gt;=0.70,"Developing","Needs Improv.")))</f>
        <v/>
      </c>
      <c r="N14" s="14" t="inlineStr">
        <is>
          <t>Consulted CAT L2 John P.; agreed issue is hardware-related/RMA-warranted, but did not communicate that remaining troubleshooting steps were still required before RMA could proceed; email-address mixup not resolved in Happy Fox</t>
        </is>
      </c>
      <c r="O14" s="131" t="inlineStr">
        <is>
          <t>Regression Contributor</t>
        </is>
      </c>
      <c r="P14" s="131" t="n">
        <v>1</v>
      </c>
    </row>
    <row r="15" ht="40" customHeight="1">
      <c r="A15" s="61" t="inlineStr">
        <is>
          <t>2025-11-25</t>
        </is>
      </c>
      <c r="B15" s="61" t="inlineStr">
        <is>
          <t>TE00089221</t>
        </is>
      </c>
      <c r="C15" s="61" t="inlineStr">
        <is>
          <t>Eric Marbella</t>
        </is>
      </c>
      <c r="D15" s="61" t="inlineStr">
        <is>
          <t>11</t>
        </is>
      </c>
      <c r="E15" s="61" t="n">
        <v>3</v>
      </c>
      <c r="F15" s="61" t="n">
        <v>3</v>
      </c>
      <c r="G15" s="61" t="n">
        <v>3</v>
      </c>
      <c r="H15" s="61" t="n">
        <v>3</v>
      </c>
      <c r="I15" s="61" t="n">
        <v>3</v>
      </c>
      <c r="J15" s="61" t="n">
        <v>3</v>
      </c>
      <c r="K15" s="61" t="n">
        <v>3</v>
      </c>
      <c r="L15" s="62">
        <f>IF((COUNT(E15)+COUNT(F15)+COUNT(G15)+COUNT(H15)+COUNT(I15)+COUNT(J15)+COUNT(K15))=0,"",IFERROR(E15/5*0.3,0)+IFERROR(F15/5*0.2,0)+IFERROR(G15/5*0.15,0)+IFERROR(H15/5*0.15,0)+IFERROR(I15/5*0.1,0)+IFERROR(J15/5*0.05,0)+IFERROR(K15/5*0.05,0))</f>
        <v/>
      </c>
      <c r="M15" s="132">
        <f>IF(L15="","",IF(L15&gt;=0.85,"Meets/Exceeds",IF(L15&gt;=0.70,"Developing","Needs Improv.")))</f>
        <v/>
      </c>
      <c r="N15" s="12" t="inlineStr">
        <is>
          <t>Discussed voicemail/email issue; customer declined new Gmail; agreed further verification (photo/receipt) needed for RMA - reintroduced troubleshooting customer believed was done</t>
        </is>
      </c>
      <c r="O15" s="132" t="inlineStr">
        <is>
          <t>Maintainer</t>
        </is>
      </c>
      <c r="P15" s="132" t="n">
        <v>3</v>
      </c>
    </row>
    <row r="16" ht="40" customHeight="1">
      <c r="A16" s="61" t="inlineStr">
        <is>
          <t>2025-11-25</t>
        </is>
      </c>
      <c r="B16" s="61" t="inlineStr">
        <is>
          <t>TE00089221</t>
        </is>
      </c>
      <c r="C16" s="61" t="inlineStr">
        <is>
          <t>Eric Marbella</t>
        </is>
      </c>
      <c r="D16" s="61" t="inlineStr">
        <is>
          <t>12</t>
        </is>
      </c>
      <c r="E16" s="61" t="n">
        <v>4</v>
      </c>
      <c r="F16" s="61" t="n">
        <v>4</v>
      </c>
      <c r="G16" s="61" t="n">
        <v>4</v>
      </c>
      <c r="H16" s="61" t="n">
        <v>4</v>
      </c>
      <c r="I16" s="61" t="n">
        <v>4</v>
      </c>
      <c r="J16" s="61" t="n">
        <v>4</v>
      </c>
      <c r="K16" s="61" t="n">
        <v>4</v>
      </c>
      <c r="L16" s="63">
        <f>IF((COUNT(E16)+COUNT(F16)+COUNT(G16)+COUNT(H16)+COUNT(I16)+COUNT(J16)+COUNT(K16))=0,"",IFERROR(E16/5*0.3,0)+IFERROR(F16/5*0.2,0)+IFERROR(G16/5*0.15,0)+IFERROR(H16/5*0.15,0)+IFERROR(I16/5*0.1,0)+IFERROR(J16/5*0.05,0)+IFERROR(K16/5*0.05,0))</f>
        <v/>
      </c>
      <c r="M16" s="131">
        <f>IF(L16="","",IF(L16&gt;=0.85,"Meets/Exceeds",IF(L16&gt;=0.70,"Developing","Needs Improv.")))</f>
        <v/>
      </c>
      <c r="N16" s="14" t="inlineStr">
        <is>
          <t>Resolved product-registration confusion via SNLookup/register.linksys.com; confirmed receipt of photo+receipt; consulted TC Marc Baynos same day</t>
        </is>
      </c>
      <c r="O16" s="131" t="inlineStr">
        <is>
          <t>Progress Builder</t>
        </is>
      </c>
      <c r="P16" s="131" t="n">
        <v>4</v>
      </c>
    </row>
    <row r="17" ht="40" customHeight="1">
      <c r="A17" s="61" t="inlineStr">
        <is>
          <t>2025-11-26</t>
        </is>
      </c>
      <c r="B17" s="61" t="inlineStr">
        <is>
          <t>TE00089221</t>
        </is>
      </c>
      <c r="C17" s="61" t="inlineStr">
        <is>
          <t>Eric Marbella</t>
        </is>
      </c>
      <c r="D17" s="61" t="inlineStr">
        <is>
          <t>13</t>
        </is>
      </c>
      <c r="E17" s="61" t="n">
        <v>2</v>
      </c>
      <c r="F17" s="61" t="n">
        <v>3</v>
      </c>
      <c r="G17" s="61" t="n">
        <v>3</v>
      </c>
      <c r="H17" s="61" t="n">
        <v>3</v>
      </c>
      <c r="I17" s="61" t="n">
        <v>3</v>
      </c>
      <c r="J17" s="61" t="n">
        <v>2</v>
      </c>
      <c r="K17" s="61" t="n">
        <v>2</v>
      </c>
      <c r="L17" s="62">
        <f>IF((COUNT(E17)+COUNT(F17)+COUNT(G17)+COUNT(H17)+COUNT(I17)+COUNT(J17)+COUNT(K17))=0,"",IFERROR(E17/5*0.3,0)+IFERROR(F17/5*0.2,0)+IFERROR(G17/5*0.15,0)+IFERROR(H17/5*0.15,0)+IFERROR(I17/5*0.1,0)+IFERROR(J17/5*0.05,0)+IFERROR(K17/5*0.05,0))</f>
        <v/>
      </c>
      <c r="M17" s="132">
        <f>IF(L17="","",IF(L17&gt;=0.85,"Meets/Exceeds",IF(L17&gt;=0.70,"Developing","Needs Improv.")))</f>
        <v/>
      </c>
      <c r="N17" s="12" t="inlineStr">
        <is>
          <t>Two contact attempts (4s disconnect + voicemail); email clarified ticket-ID confusion (LTS00106915 vs TE00089221); Dec 9 email apologized for ~2-week gap due to health absence</t>
        </is>
      </c>
      <c r="O17" s="132" t="inlineStr">
        <is>
          <t>Maintainer</t>
        </is>
      </c>
      <c r="P17" s="132" t="n">
        <v>3</v>
      </c>
    </row>
    <row r="18">
      <c r="A18" s="61" t="inlineStr">
        <is>
          <t>2025-12-09</t>
        </is>
      </c>
      <c r="B18" s="61" t="inlineStr">
        <is>
          <t>TE00089221</t>
        </is>
      </c>
      <c r="C18" s="61" t="inlineStr">
        <is>
          <t>Eric Marbella</t>
        </is>
      </c>
      <c r="D18" s="61" t="inlineStr">
        <is>
          <t>14</t>
        </is>
      </c>
      <c r="E18" s="61" t="n">
        <v>4</v>
      </c>
      <c r="F18" s="61" t="n">
        <v>4</v>
      </c>
      <c r="G18" s="61" t="n">
        <v>4</v>
      </c>
      <c r="H18" s="61" t="n">
        <v>4</v>
      </c>
      <c r="I18" s="61" t="n">
        <v>3</v>
      </c>
      <c r="J18" s="61" t="n">
        <v>4</v>
      </c>
      <c r="K18" s="61" t="n">
        <v>3</v>
      </c>
      <c r="L18" s="63">
        <f>IF((COUNT(E18)+COUNT(F18)+COUNT(G18)+COUNT(H18)+COUNT(I18)+COUNT(J18)+COUNT(K18))=0,"",IFERROR(E18/5*0.3,0)+IFERROR(F18/5*0.2,0)+IFERROR(G18/5*0.15,0)+IFERROR(H18/5*0.15,0)+IFERROR(I18/5*0.1,0)+IFERROR(J18/5*0.05,0)+IFERROR(K18/5*0.05,0))</f>
        <v/>
      </c>
      <c r="M18" s="131">
        <f>IF(L18="","",IF(L18&gt;=0.85,"Meets/Exceeds",IF(L18&gt;=0.70,"Developing","Needs Improv.")))</f>
        <v/>
      </c>
      <c r="N18" s="14" t="inlineStr">
        <is>
          <t>Explained absence, confirmed receipt of files, requested power-adapter photo, isolated email issue to Earthlink address, offered Google email or contacting ISP</t>
        </is>
      </c>
      <c r="O18" s="131" t="inlineStr">
        <is>
          <t>Progress Builder</t>
        </is>
      </c>
      <c r="P18" s="131" t="n">
        <v>4</v>
      </c>
    </row>
    <row r="19">
      <c r="A19" s="61" t="inlineStr">
        <is>
          <t>2025-12-10</t>
        </is>
      </c>
      <c r="B19" s="61" t="inlineStr">
        <is>
          <t>TE00089221</t>
        </is>
      </c>
      <c r="C19" s="61" t="inlineStr">
        <is>
          <t>Eric Marbella</t>
        </is>
      </c>
      <c r="D19" s="61" t="inlineStr">
        <is>
          <t>15</t>
        </is>
      </c>
      <c r="E19" s="61" t="n">
        <v>4</v>
      </c>
      <c r="F19" s="61" t="n">
        <v>3</v>
      </c>
      <c r="G19" s="61" t="n">
        <v>4</v>
      </c>
      <c r="H19" s="61" t="n">
        <v>4</v>
      </c>
      <c r="I19" s="61" t="n">
        <v>3</v>
      </c>
      <c r="J19" s="61" t="n">
        <v>4</v>
      </c>
      <c r="K19" s="61" t="n">
        <v>3</v>
      </c>
      <c r="L19" s="62">
        <f>IF((COUNT(E19)+COUNT(F19)+COUNT(G19)+COUNT(H19)+COUNT(I19)+COUNT(J19)+COUNT(K19))=0,"",IFERROR(E19/5*0.3,0)+IFERROR(F19/5*0.2,0)+IFERROR(G19/5*0.15,0)+IFERROR(H19/5*0.15,0)+IFERROR(I19/5*0.1,0)+IFERROR(J19/5*0.05,0)+IFERROR(K19/5*0.05,0))</f>
        <v/>
      </c>
      <c r="M19" s="132">
        <f>IF(L19="","",IF(L19&gt;=0.85,"Meets/Exceeds",IF(L19&gt;=0.70,"Developing","Needs Improv.")))</f>
        <v/>
      </c>
      <c r="N19" s="12" t="inlineStr">
        <is>
          <t>Confirmed additional photos received; customer contacted Earthlink/added Linksys to contacts; agreed to send test email; backup Comcast address provided</t>
        </is>
      </c>
      <c r="O19" s="132" t="inlineStr">
        <is>
          <t>Progress Builder</t>
        </is>
      </c>
      <c r="P19" s="132" t="n">
        <v>4</v>
      </c>
    </row>
    <row r="20">
      <c r="A20" s="61" t="inlineStr">
        <is>
          <t>2025-12-10</t>
        </is>
      </c>
      <c r="B20" s="61" t="inlineStr">
        <is>
          <t>TE00089221</t>
        </is>
      </c>
      <c r="C20" s="61" t="inlineStr">
        <is>
          <t>Eric Marbella</t>
        </is>
      </c>
      <c r="D20" s="61" t="inlineStr">
        <is>
          <t>16</t>
        </is>
      </c>
      <c r="E20" s="61" t="n">
        <v>4</v>
      </c>
      <c r="F20" s="61" t="n">
        <v>4</v>
      </c>
      <c r="G20" s="61" t="n">
        <v>4</v>
      </c>
      <c r="H20" s="61" t="n">
        <v>4</v>
      </c>
      <c r="I20" s="61" t="n">
        <v>3</v>
      </c>
      <c r="J20" s="61" t="n">
        <v>4</v>
      </c>
      <c r="K20" s="61" t="n">
        <v>3</v>
      </c>
      <c r="L20" s="63">
        <f>IF((COUNT(E20)+COUNT(F20)+COUNT(G20)+COUNT(H20)+COUNT(I20)+COUNT(J20)+COUNT(K20))=0,"",IFERROR(E20/5*0.3,0)+IFERROR(F20/5*0.2,0)+IFERROR(G20/5*0.15,0)+IFERROR(H20/5*0.15,0)+IFERROR(I20/5*0.1,0)+IFERROR(J20/5*0.05,0)+IFERROR(K20/5*0.05,0))</f>
        <v/>
      </c>
      <c r="M20" s="131">
        <f>IF(L20="","",IF(L20&gt;=0.85,"Meets/Exceeds",IF(L20&gt;=0.70,"Developing","Needs Improv.")))</f>
        <v/>
      </c>
      <c r="N20" s="14" t="inlineStr">
        <is>
          <t>Second same-day callback; confirmed test email reached Comcast but not Earthlink - issue isolated to Earthlink; follow-up scheduled for Friday</t>
        </is>
      </c>
      <c r="O20" s="131" t="inlineStr">
        <is>
          <t>Resolver</t>
        </is>
      </c>
      <c r="P20" s="131" t="n">
        <v>4</v>
      </c>
    </row>
    <row r="21">
      <c r="A21" s="61" t="inlineStr">
        <is>
          <t>2025-12-12</t>
        </is>
      </c>
      <c r="B21" s="61" t="inlineStr">
        <is>
          <t>TE00089221</t>
        </is>
      </c>
      <c r="C21" s="61" t="inlineStr">
        <is>
          <t>Eric Marbella</t>
        </is>
      </c>
      <c r="D21" s="61" t="inlineStr">
        <is>
          <t>17</t>
        </is>
      </c>
      <c r="E21" s="61" t="n">
        <v>2</v>
      </c>
      <c r="F21" s="61" t="n">
        <v>3</v>
      </c>
      <c r="G21" s="61" t="n">
        <v>2</v>
      </c>
      <c r="H21" s="61" t="n">
        <v>2</v>
      </c>
      <c r="I21" s="61" t="n">
        <v>3</v>
      </c>
      <c r="J21" s="61" t="n">
        <v>2</v>
      </c>
      <c r="K21" s="61" t="n">
        <v>2</v>
      </c>
      <c r="L21" s="62">
        <f>IF((COUNT(E21)+COUNT(F21)+COUNT(G21)+COUNT(H21)+COUNT(I21)+COUNT(J21)+COUNT(K21))=0,"",IFERROR(E21/5*0.3,0)+IFERROR(F21/5*0.2,0)+IFERROR(G21/5*0.15,0)+IFERROR(H21/5*0.15,0)+IFERROR(I21/5*0.1,0)+IFERROR(J21/5*0.05,0)+IFERROR(K21/5*0.05,0))</f>
        <v/>
      </c>
      <c r="M21" s="132">
        <f>IF(L21="","",IF(L21&gt;=0.85,"Meets/Exceeds",IF(L21&gt;=0.70,"Developing","Needs Improv.")))</f>
        <v/>
      </c>
      <c r="N21" s="12" t="inlineStr">
        <is>
          <t>Found customer's prior email under unassigned ticket LTS00109368 (fragmentation); agreed to proceed w/ replacement via backup email, escalated to Customer Service (24-48hrs) - then same evening discovered sysinfo logs were never captured, reopening the case Dec 13 to customer's frustration</t>
        </is>
      </c>
      <c r="O21" s="132" t="inlineStr">
        <is>
          <t>Regression Contributor</t>
        </is>
      </c>
      <c r="P21" s="132" t="n">
        <v>2</v>
      </c>
    </row>
    <row r="22">
      <c r="A22" s="61" t="inlineStr">
        <is>
          <t>2025-12-16</t>
        </is>
      </c>
      <c r="B22" s="61" t="inlineStr">
        <is>
          <t>TE00089221</t>
        </is>
      </c>
      <c r="C22" s="61" t="inlineStr">
        <is>
          <t>Eric Marbella</t>
        </is>
      </c>
      <c r="D22" s="61" t="inlineStr">
        <is>
          <t>18</t>
        </is>
      </c>
      <c r="E22" s="61" t="n">
        <v>1</v>
      </c>
      <c r="F22" s="61" t="n">
        <v>2</v>
      </c>
      <c r="G22" s="61" t="n">
        <v>2</v>
      </c>
      <c r="H22" s="61" t="n">
        <v>2</v>
      </c>
      <c r="I22" s="61" t="n">
        <v>1</v>
      </c>
      <c r="J22" s="61" t="n">
        <v>1</v>
      </c>
      <c r="K22" s="61" t="n">
        <v>2</v>
      </c>
      <c r="L22" s="63">
        <f>IF((COUNT(E22)+COUNT(F22)+COUNT(G22)+COUNT(H22)+COUNT(I22)+COUNT(J22)+COUNT(K22))=0,"",IFERROR(E22/5*0.3,0)+IFERROR(F22/5*0.2,0)+IFERROR(G22/5*0.15,0)+IFERROR(H22/5*0.15,0)+IFERROR(I22/5*0.1,0)+IFERROR(J22/5*0.05,0)+IFERROR(K22/5*0.05,0))</f>
        <v/>
      </c>
      <c r="M22" s="131">
        <f>IF(L22="","",IF(L22&gt;=0.85,"Meets/Exceeds",IF(L22&gt;=0.70,"Developing","Needs Improv.")))</f>
        <v/>
      </c>
      <c r="N22" s="14" t="inlineStr">
        <is>
          <t>Logs found deleted from customer PC; device 'approved as defective' but supervisor requires sysinfo logs; Dec 18 email walks back replacement/RMA pending new before/after logs; Dec 20 customer questions replacement-unit availability - unanswered</t>
        </is>
      </c>
      <c r="O22" s="131" t="inlineStr">
        <is>
          <t>Regression Contributor</t>
        </is>
      </c>
      <c r="P22" s="131" t="n">
        <v>1</v>
      </c>
    </row>
    <row r="23">
      <c r="A23" s="61" t="inlineStr">
        <is>
          <t>2025-12-22</t>
        </is>
      </c>
      <c r="B23" s="61" t="inlineStr">
        <is>
          <t>TE00089221</t>
        </is>
      </c>
      <c r="C23" s="61" t="inlineStr">
        <is>
          <t>Eric Marbella</t>
        </is>
      </c>
      <c r="D23" s="61" t="inlineStr">
        <is>
          <t>19</t>
        </is>
      </c>
      <c r="E23" s="61" t="n">
        <v>2</v>
      </c>
      <c r="F23" s="61" t="n">
        <v>2</v>
      </c>
      <c r="G23" s="61" t="n">
        <v>3</v>
      </c>
      <c r="H23" s="61" t="n">
        <v>1</v>
      </c>
      <c r="I23" s="61" t="n">
        <v>1</v>
      </c>
      <c r="J23" s="61" t="n">
        <v>2</v>
      </c>
      <c r="K23" s="61" t="n">
        <v>2</v>
      </c>
      <c r="L23" s="62">
        <f>IF((COUNT(E23)+COUNT(F23)+COUNT(G23)+COUNT(H23)+COUNT(I23)+COUNT(J23)+COUNT(K23))=0,"",IFERROR(E23/5*0.3,0)+IFERROR(F23/5*0.2,0)+IFERROR(G23/5*0.15,0)+IFERROR(H23/5*0.15,0)+IFERROR(I23/5*0.1,0)+IFERROR(J23/5*0.05,0)+IFERROR(K23/5*0.05,0))</f>
        <v/>
      </c>
      <c r="M23" s="132">
        <f>IF(L23="","",IF(L23&gt;=0.85,"Meets/Exceeds",IF(L23&gt;=0.70,"Developing","Needs Improv.")))</f>
        <v/>
      </c>
      <c r="N23" s="12" t="inlineStr">
        <is>
          <t>Brief contact (customer unavailable until after Christmas); Dec 31 customer sends 2 logs; Jan 1 logs not found, resend requested; ~7-week gap until Feb 20 sysinfo log finally sent; Feb 24 receipt confirmed but routed to wrong ticket again</t>
        </is>
      </c>
      <c r="O23" s="132" t="inlineStr">
        <is>
          <t>Regression Contributor</t>
        </is>
      </c>
      <c r="P23" s="132" t="n">
        <v>2</v>
      </c>
    </row>
    <row r="24">
      <c r="A24" s="61" t="inlineStr">
        <is>
          <t>2026-02-24</t>
        </is>
      </c>
      <c r="B24" s="61" t="inlineStr">
        <is>
          <t>TE00089221</t>
        </is>
      </c>
      <c r="C24" s="61" t="inlineStr">
        <is>
          <t>Eric Marbella</t>
        </is>
      </c>
      <c r="D24" s="61" t="inlineStr">
        <is>
          <t>20</t>
        </is>
      </c>
      <c r="E24" s="61" t="n">
        <v>2</v>
      </c>
      <c r="F24" s="61" t="n">
        <v>3</v>
      </c>
      <c r="G24" s="61" t="n">
        <v>2</v>
      </c>
      <c r="H24" s="61" t="n">
        <v>3</v>
      </c>
      <c r="I24" s="61" t="n">
        <v>3</v>
      </c>
      <c r="J24" s="61" t="n">
        <v>2</v>
      </c>
      <c r="K24" s="61" t="n">
        <v>2</v>
      </c>
      <c r="L24" s="63">
        <f>IF((COUNT(E24)+COUNT(F24)+COUNT(G24)+COUNT(H24)+COUNT(I24)+COUNT(J24)+COUNT(K24))=0,"",IFERROR(E24/5*0.3,0)+IFERROR(F24/5*0.2,0)+IFERROR(G24/5*0.15,0)+IFERROR(H24/5*0.15,0)+IFERROR(I24/5*0.1,0)+IFERROR(J24/5*0.05,0)+IFERROR(K24/5*0.05,0))</f>
        <v/>
      </c>
      <c r="M24" s="131">
        <f>IF(L24="","",IF(L24&gt;=0.85,"Meets/Exceeds",IF(L24&gt;=0.70,"Developing","Needs Improv.")))</f>
        <v/>
      </c>
      <c r="N24" s="14" t="inlineStr">
        <is>
          <t>Callback attempt - 5s connect then voicemail; immediate retry follows same day</t>
        </is>
      </c>
      <c r="O24" s="131" t="inlineStr">
        <is>
          <t>Maintainer</t>
        </is>
      </c>
      <c r="P24" s="131" t="n">
        <v>4</v>
      </c>
    </row>
    <row r="25">
      <c r="A25" s="61" t="inlineStr">
        <is>
          <t>2026-02-24</t>
        </is>
      </c>
      <c r="B25" s="61" t="inlineStr">
        <is>
          <t>TE00089221</t>
        </is>
      </c>
      <c r="C25" s="61" t="inlineStr">
        <is>
          <t>Eric Marbella</t>
        </is>
      </c>
      <c r="D25" s="61" t="inlineStr">
        <is>
          <t>21</t>
        </is>
      </c>
      <c r="E25" s="61" t="n">
        <v>0</v>
      </c>
      <c r="F25" s="61" t="n">
        <v>2</v>
      </c>
      <c r="G25" s="61" t="n">
        <v>2</v>
      </c>
      <c r="H25" s="61" t="n">
        <v>1</v>
      </c>
      <c r="I25" s="61" t="n">
        <v>2</v>
      </c>
      <c r="J25" s="61" t="n">
        <v>1</v>
      </c>
      <c r="K25" s="61" t="n">
        <v>2</v>
      </c>
      <c r="L25" s="62">
        <f>IF((COUNT(E25)+COUNT(F25)+COUNT(G25)+COUNT(H25)+COUNT(I25)+COUNT(J25)+COUNT(K25))=0,"",IFERROR(E25/5*0.3,0)+IFERROR(F25/5*0.2,0)+IFERROR(G25/5*0.15,0)+IFERROR(H25/5*0.15,0)+IFERROR(I25/5*0.1,0)+IFERROR(J25/5*0.05,0)+IFERROR(K25/5*0.05,0))</f>
        <v/>
      </c>
      <c r="M25" s="132">
        <f>IF(L25="","",IF(L25&gt;=0.85,"Meets/Exceeds",IF(L25&gt;=0.70,"Developing","Needs Improv.")))</f>
        <v/>
      </c>
      <c r="N25" s="12" t="inlineStr">
        <is>
          <t>Confirmed sysinfo logs; node 4 still unstable; proposed node-swap isolation test, customer declined and re-litigated by email; Mar 2 customer threatens CEO escalation, requests names/IDs (unanswered), repeats unanswered inventory question; Eric escalates to TC Marc Baynos/PM meeting Mar 2-3, 24-48hr SLA missed; PMO Zither Calvin intervenes Mar 8-11 requesting reassignment; Mar 16 customer sends certified letter to CEO, tells agent not to respond</t>
        </is>
      </c>
      <c r="O25" s="132" t="inlineStr">
        <is>
          <t>Regression Contributor</t>
        </is>
      </c>
      <c r="P25" s="132" t="n">
        <v>1</v>
      </c>
    </row>
    <row r="26">
      <c r="A26" s="61" t="inlineStr"/>
      <c r="B26" s="61" t="inlineStr"/>
      <c r="C26" s="61" t="inlineStr"/>
      <c r="D26" s="61" t="inlineStr"/>
      <c r="E26" s="61" t="n"/>
      <c r="F26" s="61" t="n"/>
      <c r="G26" s="61" t="n"/>
      <c r="H26" s="61" t="n"/>
      <c r="I26" s="61" t="n"/>
      <c r="J26" s="61" t="n"/>
      <c r="K26" s="61" t="n"/>
      <c r="L26" s="63">
        <f>IF((COUNT(E26)+COUNT(F26)+COUNT(G26)+COUNT(H26)+COUNT(I26)+COUNT(J26)+COUNT(K26))=0,"",IFERROR(E26/5*0.3,0)+IFERROR(F26/5*0.2,0)+IFERROR(G26/5*0.15,0)+IFERROR(H26/5*0.15,0)+IFERROR(I26/5*0.1,0)+IFERROR(J26/5*0.05,0)+IFERROR(K26/5*0.05,0))</f>
        <v/>
      </c>
      <c r="M26" s="131">
        <f>IF(L26="","",IF(L26&gt;=0.85,"Meets/Exceeds",IF(L26&gt;=0.70,"Developing","Needs Improv.")))</f>
        <v/>
      </c>
      <c r="N26" s="14" t="inlineStr"/>
      <c r="O26" s="131" t="inlineStr"/>
      <c r="P26" s="131" t="inlineStr"/>
    </row>
    <row r="27">
      <c r="A27" s="61" t="inlineStr"/>
      <c r="B27" s="61" t="inlineStr"/>
      <c r="C27" s="61" t="inlineStr"/>
      <c r="D27" s="61" t="inlineStr"/>
      <c r="E27" s="61" t="n"/>
      <c r="F27" s="61" t="n"/>
      <c r="G27" s="61" t="n"/>
      <c r="H27" s="61" t="n"/>
      <c r="I27" s="61" t="n"/>
      <c r="J27" s="61" t="n"/>
      <c r="K27" s="61" t="n"/>
      <c r="L27" s="62">
        <f>IF((COUNT(E27)+COUNT(F27)+COUNT(G27)+COUNT(H27)+COUNT(I27)+COUNT(J27)+COUNT(K27))=0,"",IFERROR(E27/5*0.3,0)+IFERROR(F27/5*0.2,0)+IFERROR(G27/5*0.15,0)+IFERROR(H27/5*0.15,0)+IFERROR(I27/5*0.1,0)+IFERROR(J27/5*0.05,0)+IFERROR(K27/5*0.05,0))</f>
        <v/>
      </c>
      <c r="M27" s="132">
        <f>IF(L27="","",IF(L27&gt;=0.85,"Meets/Exceeds",IF(L27&gt;=0.70,"Developing","Needs Improv.")))</f>
        <v/>
      </c>
      <c r="N27" s="12" t="inlineStr"/>
      <c r="O27" s="132" t="inlineStr"/>
      <c r="P27" s="132" t="inlineStr"/>
    </row>
    <row r="28">
      <c r="A28" s="61" t="inlineStr"/>
      <c r="B28" s="61" t="inlineStr"/>
      <c r="C28" s="61" t="inlineStr"/>
      <c r="D28" s="61" t="inlineStr"/>
      <c r="E28" s="61" t="n"/>
      <c r="F28" s="61" t="n"/>
      <c r="G28" s="61" t="n"/>
      <c r="H28" s="61" t="n"/>
      <c r="I28" s="61" t="n"/>
      <c r="J28" s="61" t="n"/>
      <c r="K28" s="61" t="n"/>
      <c r="L28" s="63">
        <f>IF((COUNT(E28)+COUNT(F28)+COUNT(G28)+COUNT(H28)+COUNT(I28)+COUNT(J28)+COUNT(K28))=0,"",IFERROR(E28/5*0.3,0)+IFERROR(F28/5*0.2,0)+IFERROR(G28/5*0.15,0)+IFERROR(H28/5*0.15,0)+IFERROR(I28/5*0.1,0)+IFERROR(J28/5*0.05,0)+IFERROR(K28/5*0.05,0))</f>
        <v/>
      </c>
      <c r="M28" s="131">
        <f>IF(L28="","",IF(L28&gt;=0.85,"Meets/Exceeds",IF(L28&gt;=0.70,"Developing","Needs Improv.")))</f>
        <v/>
      </c>
      <c r="N28" s="14" t="inlineStr"/>
      <c r="O28" s="131" t="inlineStr"/>
      <c r="P28" s="131" t="inlineStr"/>
    </row>
    <row r="29">
      <c r="A29" s="61" t="inlineStr"/>
      <c r="B29" s="61" t="inlineStr"/>
      <c r="C29" s="61" t="inlineStr"/>
      <c r="D29" s="61" t="inlineStr"/>
      <c r="E29" s="61" t="n"/>
      <c r="F29" s="61" t="n"/>
      <c r="G29" s="61" t="n"/>
      <c r="H29" s="61" t="n"/>
      <c r="I29" s="61" t="n"/>
      <c r="J29" s="61" t="n"/>
      <c r="K29" s="61" t="n"/>
      <c r="L29" s="62">
        <f>IF((COUNT(E29)+COUNT(F29)+COUNT(G29)+COUNT(H29)+COUNT(I29)+COUNT(J29)+COUNT(K29))=0,"",IFERROR(E29/5*0.3,0)+IFERROR(F29/5*0.2,0)+IFERROR(G29/5*0.15,0)+IFERROR(H29/5*0.15,0)+IFERROR(I29/5*0.1,0)+IFERROR(J29/5*0.05,0)+IFERROR(K29/5*0.05,0))</f>
        <v/>
      </c>
      <c r="M29" s="132">
        <f>IF(L29="","",IF(L29&gt;=0.85,"Meets/Exceeds",IF(L29&gt;=0.70,"Developing","Needs Improv.")))</f>
        <v/>
      </c>
      <c r="N29" s="12" t="inlineStr"/>
      <c r="O29" s="132" t="inlineStr"/>
      <c r="P29" s="132" t="inlineStr"/>
    </row>
    <row r="30">
      <c r="A30" s="61" t="inlineStr"/>
      <c r="B30" s="61" t="inlineStr"/>
      <c r="C30" s="61" t="inlineStr"/>
      <c r="D30" s="61" t="inlineStr"/>
      <c r="E30" s="61" t="n"/>
      <c r="F30" s="61" t="n"/>
      <c r="G30" s="61" t="n"/>
      <c r="H30" s="61" t="n"/>
      <c r="I30" s="61" t="n"/>
      <c r="J30" s="61" t="n"/>
      <c r="K30" s="61" t="n"/>
      <c r="L30" s="63">
        <f>IF((COUNT(E30)+COUNT(F30)+COUNT(G30)+COUNT(H30)+COUNT(I30)+COUNT(J30)+COUNT(K30))=0,"",IFERROR(E30/5*0.3,0)+IFERROR(F30/5*0.2,0)+IFERROR(G30/5*0.15,0)+IFERROR(H30/5*0.15,0)+IFERROR(I30/5*0.1,0)+IFERROR(J30/5*0.05,0)+IFERROR(K30/5*0.05,0))</f>
        <v/>
      </c>
      <c r="M30" s="131">
        <f>IF(L30="","",IF(L30&gt;=0.85,"Meets/Exceeds",IF(L30&gt;=0.70,"Developing","Needs Improv.")))</f>
        <v/>
      </c>
      <c r="N30" s="14" t="inlineStr"/>
      <c r="O30" s="131" t="inlineStr"/>
      <c r="P30" s="131" t="inlineStr"/>
    </row>
    <row r="31">
      <c r="A31" s="61" t="inlineStr"/>
      <c r="B31" s="61" t="inlineStr"/>
      <c r="C31" s="61" t="inlineStr"/>
      <c r="D31" s="61" t="inlineStr"/>
      <c r="E31" s="61" t="n"/>
      <c r="F31" s="61" t="n"/>
      <c r="G31" s="61" t="n"/>
      <c r="H31" s="61" t="n"/>
      <c r="I31" s="61" t="n"/>
      <c r="J31" s="61" t="n"/>
      <c r="K31" s="61" t="n"/>
      <c r="L31" s="62">
        <f>IF((COUNT(E31)+COUNT(F31)+COUNT(G31)+COUNT(H31)+COUNT(I31)+COUNT(J31)+COUNT(K31))=0,"",IFERROR(E31/5*0.3,0)+IFERROR(F31/5*0.2,0)+IFERROR(G31/5*0.15,0)+IFERROR(H31/5*0.15,0)+IFERROR(I31/5*0.1,0)+IFERROR(J31/5*0.05,0)+IFERROR(K31/5*0.05,0))</f>
        <v/>
      </c>
      <c r="M31" s="132">
        <f>IF(L31="","",IF(L31&gt;=0.85,"Meets/Exceeds",IF(L31&gt;=0.70,"Developing","Needs Improv.")))</f>
        <v/>
      </c>
      <c r="N31" s="12" t="inlineStr"/>
      <c r="O31" s="132" t="inlineStr"/>
      <c r="P31" s="132" t="inlineStr"/>
    </row>
    <row r="32">
      <c r="A32" s="61" t="inlineStr"/>
      <c r="B32" s="61" t="inlineStr"/>
      <c r="C32" s="61" t="inlineStr"/>
      <c r="D32" s="61" t="inlineStr"/>
      <c r="E32" s="61" t="n"/>
      <c r="F32" s="61" t="n"/>
      <c r="G32" s="61" t="n"/>
      <c r="H32" s="61" t="n"/>
      <c r="I32" s="61" t="n"/>
      <c r="J32" s="61" t="n"/>
      <c r="K32" s="61" t="n"/>
      <c r="L32" s="63">
        <f>IF((COUNT(E32)+COUNT(F32)+COUNT(G32)+COUNT(H32)+COUNT(I32)+COUNT(J32)+COUNT(K32))=0,"",IFERROR(E32/5*0.3,0)+IFERROR(F32/5*0.2,0)+IFERROR(G32/5*0.15,0)+IFERROR(H32/5*0.15,0)+IFERROR(I32/5*0.1,0)+IFERROR(J32/5*0.05,0)+IFERROR(K32/5*0.05,0))</f>
        <v/>
      </c>
      <c r="M32" s="131">
        <f>IF(L32="","",IF(L32&gt;=0.85,"Meets/Exceeds",IF(L32&gt;=0.70,"Developing","Needs Improv.")))</f>
        <v/>
      </c>
      <c r="N32" s="14" t="inlineStr"/>
      <c r="O32" s="131" t="inlineStr"/>
      <c r="P32" s="131" t="inlineStr"/>
    </row>
    <row r="33">
      <c r="A33" s="61" t="inlineStr"/>
      <c r="B33" s="61" t="inlineStr"/>
      <c r="C33" s="61" t="inlineStr"/>
      <c r="D33" s="61" t="inlineStr"/>
      <c r="E33" s="61" t="n"/>
      <c r="F33" s="61" t="n"/>
      <c r="G33" s="61" t="n"/>
      <c r="H33" s="61" t="n"/>
      <c r="I33" s="61" t="n"/>
      <c r="J33" s="61" t="n"/>
      <c r="K33" s="61" t="n"/>
      <c r="L33" s="62">
        <f>IF((COUNT(E33)+COUNT(F33)+COUNT(G33)+COUNT(H33)+COUNT(I33)+COUNT(J33)+COUNT(K33))=0,"",IFERROR(E33/5*0.3,0)+IFERROR(F33/5*0.2,0)+IFERROR(G33/5*0.15,0)+IFERROR(H33/5*0.15,0)+IFERROR(I33/5*0.1,0)+IFERROR(J33/5*0.05,0)+IFERROR(K33/5*0.05,0))</f>
        <v/>
      </c>
      <c r="M33" s="132">
        <f>IF(L33="","",IF(L33&gt;=0.85,"Meets/Exceeds",IF(L33&gt;=0.70,"Developing","Needs Improv.")))</f>
        <v/>
      </c>
      <c r="N33" s="12" t="inlineStr"/>
      <c r="O33" s="132" t="inlineStr"/>
      <c r="P33" s="132" t="inlineStr"/>
    </row>
    <row r="34">
      <c r="A34" s="61" t="inlineStr"/>
      <c r="B34" s="61" t="inlineStr"/>
      <c r="C34" s="61" t="inlineStr"/>
      <c r="D34" s="61" t="inlineStr"/>
      <c r="E34" s="61" t="n"/>
      <c r="F34" s="61" t="n"/>
      <c r="G34" s="61" t="n"/>
      <c r="H34" s="61" t="n"/>
      <c r="I34" s="61" t="n"/>
      <c r="J34" s="61" t="n"/>
      <c r="K34" s="61" t="n"/>
      <c r="L34" s="63">
        <f>IF((COUNT(E34)+COUNT(F34)+COUNT(G34)+COUNT(H34)+COUNT(I34)+COUNT(J34)+COUNT(K34))=0,"",IFERROR(E34/5*0.3,0)+IFERROR(F34/5*0.2,0)+IFERROR(G34/5*0.15,0)+IFERROR(H34/5*0.15,0)+IFERROR(I34/5*0.1,0)+IFERROR(J34/5*0.05,0)+IFERROR(K34/5*0.05,0))</f>
        <v/>
      </c>
      <c r="M34" s="131">
        <f>IF(L34="","",IF(L34&gt;=0.85,"Meets/Exceeds",IF(L34&gt;=0.70,"Developing","Needs Improv.")))</f>
        <v/>
      </c>
      <c r="N34" s="14" t="inlineStr"/>
      <c r="O34" s="131" t="inlineStr"/>
      <c r="P34" s="131" t="inlineStr"/>
    </row>
    <row r="35">
      <c r="A35" s="61" t="inlineStr"/>
      <c r="B35" s="61" t="inlineStr"/>
      <c r="C35" s="61" t="inlineStr"/>
      <c r="D35" s="61" t="inlineStr"/>
      <c r="E35" s="61" t="n"/>
      <c r="F35" s="61" t="n"/>
      <c r="G35" s="61" t="n"/>
      <c r="H35" s="61" t="n"/>
      <c r="I35" s="61" t="n"/>
      <c r="J35" s="61" t="n"/>
      <c r="K35" s="61" t="n"/>
      <c r="L35" s="62">
        <f>IF((COUNT(E35)+COUNT(F35)+COUNT(G35)+COUNT(H35)+COUNT(I35)+COUNT(J35)+COUNT(K35))=0,"",IFERROR(E35/5*0.3,0)+IFERROR(F35/5*0.2,0)+IFERROR(G35/5*0.15,0)+IFERROR(H35/5*0.15,0)+IFERROR(I35/5*0.1,0)+IFERROR(J35/5*0.05,0)+IFERROR(K35/5*0.05,0))</f>
        <v/>
      </c>
      <c r="M35" s="132">
        <f>IF(L35="","",IF(L35&gt;=0.85,"Meets/Exceeds",IF(L35&gt;=0.70,"Developing","Needs Improv.")))</f>
        <v/>
      </c>
      <c r="N35" s="12" t="inlineStr"/>
      <c r="O35" s="132" t="inlineStr"/>
      <c r="P35" s="132" t="inlineStr"/>
    </row>
    <row r="36">
      <c r="A36" s="61" t="inlineStr"/>
      <c r="B36" s="61" t="inlineStr"/>
      <c r="C36" s="61" t="inlineStr"/>
      <c r="D36" s="61" t="inlineStr"/>
      <c r="E36" s="61" t="n"/>
      <c r="F36" s="61" t="n"/>
      <c r="G36" s="61" t="n"/>
      <c r="H36" s="61" t="n"/>
      <c r="I36" s="61" t="n"/>
      <c r="J36" s="61" t="n"/>
      <c r="K36" s="61" t="n"/>
      <c r="L36" s="63">
        <f>IF((COUNT(E36)+COUNT(F36)+COUNT(G36)+COUNT(H36)+COUNT(I36)+COUNT(J36)+COUNT(K36))=0,"",IFERROR(E36/5*0.3,0)+IFERROR(F36/5*0.2,0)+IFERROR(G36/5*0.15,0)+IFERROR(H36/5*0.15,0)+IFERROR(I36/5*0.1,0)+IFERROR(J36/5*0.05,0)+IFERROR(K36/5*0.05,0))</f>
        <v/>
      </c>
      <c r="M36" s="131">
        <f>IF(L36="","",IF(L36&gt;=0.85,"Meets/Exceeds",IF(L36&gt;=0.70,"Developing","Needs Improv.")))</f>
        <v/>
      </c>
      <c r="N36" s="14" t="inlineStr"/>
      <c r="O36" s="131" t="inlineStr"/>
      <c r="P36" s="131" t="inlineStr"/>
    </row>
    <row r="37">
      <c r="A37" s="61" t="inlineStr"/>
      <c r="B37" s="61" t="inlineStr"/>
      <c r="C37" s="61" t="inlineStr"/>
      <c r="D37" s="61" t="inlineStr"/>
      <c r="E37" s="61" t="n"/>
      <c r="F37" s="61" t="n"/>
      <c r="G37" s="61" t="n"/>
      <c r="H37" s="61" t="n"/>
      <c r="I37" s="61" t="n"/>
      <c r="J37" s="61" t="n"/>
      <c r="K37" s="61" t="n"/>
      <c r="L37" s="62">
        <f>IF((COUNT(E37)+COUNT(F37)+COUNT(G37)+COUNT(H37)+COUNT(I37)+COUNT(J37)+COUNT(K37))=0,"",IFERROR(E37/5*0.3,0)+IFERROR(F37/5*0.2,0)+IFERROR(G37/5*0.15,0)+IFERROR(H37/5*0.15,0)+IFERROR(I37/5*0.1,0)+IFERROR(J37/5*0.05,0)+IFERROR(K37/5*0.05,0))</f>
        <v/>
      </c>
      <c r="M37" s="132">
        <f>IF(L37="","",IF(L37&gt;=0.85,"Meets/Exceeds",IF(L37&gt;=0.70,"Developing","Needs Improv.")))</f>
        <v/>
      </c>
      <c r="N37" s="12" t="inlineStr"/>
      <c r="O37" s="132" t="inlineStr"/>
      <c r="P37" s="132" t="inlineStr"/>
    </row>
    <row r="38">
      <c r="A38" s="61" t="inlineStr"/>
      <c r="B38" s="61" t="inlineStr"/>
      <c r="C38" s="61" t="inlineStr"/>
      <c r="D38" s="61" t="inlineStr"/>
      <c r="E38" s="61" t="n"/>
      <c r="F38" s="61" t="n"/>
      <c r="G38" s="61" t="n"/>
      <c r="H38" s="61" t="n"/>
      <c r="I38" s="61" t="n"/>
      <c r="J38" s="61" t="n"/>
      <c r="K38" s="61" t="n"/>
      <c r="L38" s="63">
        <f>IF((COUNT(E38)+COUNT(F38)+COUNT(G38)+COUNT(H38)+COUNT(I38)+COUNT(J38)+COUNT(K38))=0,"",IFERROR(E38/5*0.3,0)+IFERROR(F38/5*0.2,0)+IFERROR(G38/5*0.15,0)+IFERROR(H38/5*0.15,0)+IFERROR(I38/5*0.1,0)+IFERROR(J38/5*0.05,0)+IFERROR(K38/5*0.05,0))</f>
        <v/>
      </c>
      <c r="M38" s="131">
        <f>IF(L38="","",IF(L38&gt;=0.85,"Meets/Exceeds",IF(L38&gt;=0.70,"Developing","Needs Improv.")))</f>
        <v/>
      </c>
      <c r="N38" s="14" t="inlineStr"/>
      <c r="O38" s="131" t="inlineStr"/>
      <c r="P38" s="131" t="inlineStr"/>
    </row>
    <row r="39">
      <c r="A39" s="61" t="inlineStr"/>
      <c r="B39" s="61" t="inlineStr"/>
      <c r="C39" s="61" t="inlineStr"/>
      <c r="D39" s="61" t="inlineStr"/>
      <c r="E39" s="61" t="n"/>
      <c r="F39" s="61" t="n"/>
      <c r="G39" s="61" t="n"/>
      <c r="H39" s="61" t="n"/>
      <c r="I39" s="61" t="n"/>
      <c r="J39" s="61" t="n"/>
      <c r="K39" s="61" t="n"/>
      <c r="L39" s="62">
        <f>IF((COUNT(E39)+COUNT(F39)+COUNT(G39)+COUNT(H39)+COUNT(I39)+COUNT(J39)+COUNT(K39))=0,"",IFERROR(E39/5*0.3,0)+IFERROR(F39/5*0.2,0)+IFERROR(G39/5*0.15,0)+IFERROR(H39/5*0.15,0)+IFERROR(I39/5*0.1,0)+IFERROR(J39/5*0.05,0)+IFERROR(K39/5*0.05,0))</f>
        <v/>
      </c>
      <c r="M39" s="132">
        <f>IF(L39="","",IF(L39&gt;=0.85,"Meets/Exceeds",IF(L39&gt;=0.70,"Developing","Needs Improv.")))</f>
        <v/>
      </c>
      <c r="N39" s="12" t="inlineStr"/>
      <c r="O39" s="132" t="inlineStr"/>
      <c r="P39" s="132" t="inlineStr"/>
    </row>
    <row r="40">
      <c r="A40" s="61" t="inlineStr"/>
      <c r="B40" s="61" t="inlineStr"/>
      <c r="C40" s="61" t="inlineStr"/>
      <c r="D40" s="61" t="inlineStr"/>
      <c r="E40" s="61" t="n"/>
      <c r="F40" s="61" t="n"/>
      <c r="G40" s="61" t="n"/>
      <c r="H40" s="61" t="n"/>
      <c r="I40" s="61" t="n"/>
      <c r="J40" s="61" t="n"/>
      <c r="K40" s="61" t="n"/>
      <c r="L40" s="63">
        <f>IF((COUNT(E40)+COUNT(F40)+COUNT(G40)+COUNT(H40)+COUNT(I40)+COUNT(J40)+COUNT(K40))=0,"",IFERROR(E40/5*0.3,0)+IFERROR(F40/5*0.2,0)+IFERROR(G40/5*0.15,0)+IFERROR(H40/5*0.15,0)+IFERROR(I40/5*0.1,0)+IFERROR(J40/5*0.05,0)+IFERROR(K40/5*0.05,0))</f>
        <v/>
      </c>
      <c r="M40" s="131">
        <f>IF(L40="","",IF(L40&gt;=0.85,"Meets/Exceeds",IF(L40&gt;=0.70,"Developing","Needs Improv.")))</f>
        <v/>
      </c>
      <c r="N40" s="14" t="inlineStr"/>
      <c r="O40" s="131" t="inlineStr"/>
      <c r="P40" s="131" t="inlineStr"/>
    </row>
    <row r="41">
      <c r="A41" s="61" t="inlineStr"/>
      <c r="B41" s="61" t="inlineStr"/>
      <c r="C41" s="61" t="inlineStr"/>
      <c r="D41" s="61" t="inlineStr"/>
      <c r="E41" s="61" t="n"/>
      <c r="F41" s="61" t="n"/>
      <c r="G41" s="61" t="n"/>
      <c r="H41" s="61" t="n"/>
      <c r="I41" s="61" t="n"/>
      <c r="J41" s="61" t="n"/>
      <c r="K41" s="61" t="n"/>
      <c r="L41" s="62">
        <f>IF((COUNT(E41)+COUNT(F41)+COUNT(G41)+COUNT(H41)+COUNT(I41)+COUNT(J41)+COUNT(K41))=0,"",IFERROR(E41/5*0.3,0)+IFERROR(F41/5*0.2,0)+IFERROR(G41/5*0.15,0)+IFERROR(H41/5*0.15,0)+IFERROR(I41/5*0.1,0)+IFERROR(J41/5*0.05,0)+IFERROR(K41/5*0.05,0))</f>
        <v/>
      </c>
      <c r="M41" s="132">
        <f>IF(L41="","",IF(L41&gt;=0.85,"Meets/Exceeds",IF(L41&gt;=0.70,"Developing","Needs Improv.")))</f>
        <v/>
      </c>
      <c r="N41" s="12" t="inlineStr"/>
      <c r="O41" s="132" t="inlineStr"/>
      <c r="P41" s="132" t="inlineStr"/>
    </row>
    <row r="42">
      <c r="A42" s="61" t="inlineStr"/>
      <c r="B42" s="61" t="inlineStr"/>
      <c r="C42" s="61" t="inlineStr"/>
      <c r="D42" s="61" t="inlineStr"/>
      <c r="E42" s="61" t="n"/>
      <c r="F42" s="61" t="n"/>
      <c r="G42" s="61" t="n"/>
      <c r="H42" s="61" t="n"/>
      <c r="I42" s="61" t="n"/>
      <c r="J42" s="61" t="n"/>
      <c r="K42" s="61" t="n"/>
      <c r="L42" s="63">
        <f>IF((COUNT(E42)+COUNT(F42)+COUNT(G42)+COUNT(H42)+COUNT(I42)+COUNT(J42)+COUNT(K42))=0,"",IFERROR(E42/5*0.3,0)+IFERROR(F42/5*0.2,0)+IFERROR(G42/5*0.15,0)+IFERROR(H42/5*0.15,0)+IFERROR(I42/5*0.1,0)+IFERROR(J42/5*0.05,0)+IFERROR(K42/5*0.05,0))</f>
        <v/>
      </c>
      <c r="M42" s="131">
        <f>IF(L42="","",IF(L42&gt;=0.85,"Meets/Exceeds",IF(L42&gt;=0.70,"Developing","Needs Improv.")))</f>
        <v/>
      </c>
      <c r="N42" s="14" t="inlineStr"/>
      <c r="O42" s="131" t="inlineStr"/>
      <c r="P42" s="131" t="inlineStr"/>
    </row>
    <row r="43">
      <c r="A43" s="61" t="inlineStr"/>
      <c r="B43" s="61" t="inlineStr"/>
      <c r="C43" s="61" t="inlineStr"/>
      <c r="D43" s="61" t="inlineStr"/>
      <c r="E43" s="61" t="n"/>
      <c r="F43" s="61" t="n"/>
      <c r="G43" s="61" t="n"/>
      <c r="H43" s="61" t="n"/>
      <c r="I43" s="61" t="n"/>
      <c r="J43" s="61" t="n"/>
      <c r="K43" s="61" t="n"/>
      <c r="L43" s="62">
        <f>IF((COUNT(E43)+COUNT(F43)+COUNT(G43)+COUNT(H43)+COUNT(I43)+COUNT(J43)+COUNT(K43))=0,"",IFERROR(E43/5*0.3,0)+IFERROR(F43/5*0.2,0)+IFERROR(G43/5*0.15,0)+IFERROR(H43/5*0.15,0)+IFERROR(I43/5*0.1,0)+IFERROR(J43/5*0.05,0)+IFERROR(K43/5*0.05,0))</f>
        <v/>
      </c>
      <c r="M43" s="132">
        <f>IF(L43="","",IF(L43&gt;=0.85,"Meets/Exceeds",IF(L43&gt;=0.70,"Developing","Needs Improv.")))</f>
        <v/>
      </c>
      <c r="N43" s="12" t="inlineStr"/>
      <c r="O43" s="132" t="inlineStr"/>
      <c r="P43" s="132" t="inlineStr"/>
    </row>
    <row r="44">
      <c r="A44" s="61" t="inlineStr"/>
      <c r="B44" s="61" t="inlineStr"/>
      <c r="C44" s="61" t="inlineStr"/>
      <c r="D44" s="61" t="inlineStr"/>
      <c r="E44" s="61" t="n"/>
      <c r="F44" s="61" t="n"/>
      <c r="G44" s="61" t="n"/>
      <c r="H44" s="61" t="n"/>
      <c r="I44" s="61" t="n"/>
      <c r="J44" s="61" t="n"/>
      <c r="K44" s="61" t="n"/>
      <c r="L44" s="63">
        <f>IF((COUNT(E44)+COUNT(F44)+COUNT(G44)+COUNT(H44)+COUNT(I44)+COUNT(J44)+COUNT(K44))=0,"",IFERROR(E44/5*0.3,0)+IFERROR(F44/5*0.2,0)+IFERROR(G44/5*0.15,0)+IFERROR(H44/5*0.15,0)+IFERROR(I44/5*0.1,0)+IFERROR(J44/5*0.05,0)+IFERROR(K44/5*0.05,0))</f>
        <v/>
      </c>
      <c r="M44" s="131">
        <f>IF(L44="","",IF(L44&gt;=0.85,"Meets/Exceeds",IF(L44&gt;=0.70,"Developing","Needs Improv.")))</f>
        <v/>
      </c>
      <c r="N44" s="14" t="inlineStr"/>
      <c r="O44" s="131" t="inlineStr"/>
      <c r="P44" s="131" t="inlineStr"/>
    </row>
    <row r="45">
      <c r="A45" s="61" t="inlineStr"/>
      <c r="B45" s="61" t="inlineStr"/>
      <c r="C45" s="61" t="inlineStr"/>
      <c r="D45" s="61" t="inlineStr"/>
      <c r="E45" s="61" t="n"/>
      <c r="F45" s="61" t="n"/>
      <c r="G45" s="61" t="n"/>
      <c r="H45" s="61" t="n"/>
      <c r="I45" s="61" t="n"/>
      <c r="J45" s="61" t="n"/>
      <c r="K45" s="61" t="n"/>
      <c r="L45" s="62">
        <f>IF((COUNT(E45)+COUNT(F45)+COUNT(G45)+COUNT(H45)+COUNT(I45)+COUNT(J45)+COUNT(K45))=0,"",IFERROR(E45/5*0.3,0)+IFERROR(F45/5*0.2,0)+IFERROR(G45/5*0.15,0)+IFERROR(H45/5*0.15,0)+IFERROR(I45/5*0.1,0)+IFERROR(J45/5*0.05,0)+IFERROR(K45/5*0.05,0))</f>
        <v/>
      </c>
      <c r="M45" s="132">
        <f>IF(L45="","",IF(L45&gt;=0.85,"Meets/Exceeds",IF(L45&gt;=0.70,"Developing","Needs Improv.")))</f>
        <v/>
      </c>
      <c r="N45" s="12" t="inlineStr"/>
      <c r="O45" s="132" t="inlineStr"/>
      <c r="P45" s="132" t="inlineStr"/>
    </row>
    <row r="46">
      <c r="A46" s="61" t="inlineStr"/>
      <c r="B46" s="61" t="inlineStr"/>
      <c r="C46" s="61" t="inlineStr"/>
      <c r="D46" s="61" t="inlineStr"/>
      <c r="E46" s="61" t="n"/>
      <c r="F46" s="61" t="n"/>
      <c r="G46" s="61" t="n"/>
      <c r="H46" s="61" t="n"/>
      <c r="I46" s="61" t="n"/>
      <c r="J46" s="61" t="n"/>
      <c r="K46" s="61" t="n"/>
      <c r="L46" s="63">
        <f>IF((COUNT(E46)+COUNT(F46)+COUNT(G46)+COUNT(H46)+COUNT(I46)+COUNT(J46)+COUNT(K46))=0,"",IFERROR(E46/5*0.3,0)+IFERROR(F46/5*0.2,0)+IFERROR(G46/5*0.15,0)+IFERROR(H46/5*0.15,0)+IFERROR(I46/5*0.1,0)+IFERROR(J46/5*0.05,0)+IFERROR(K46/5*0.05,0))</f>
        <v/>
      </c>
      <c r="M46" s="131">
        <f>IF(L46="","",IF(L46&gt;=0.85,"Meets/Exceeds",IF(L46&gt;=0.70,"Developing","Needs Improv.")))</f>
        <v/>
      </c>
      <c r="N46" s="14" t="inlineStr"/>
      <c r="O46" s="131" t="inlineStr"/>
      <c r="P46" s="131" t="inlineStr"/>
    </row>
    <row r="47">
      <c r="A47" s="61" t="inlineStr"/>
      <c r="B47" s="61" t="inlineStr"/>
      <c r="C47" s="61" t="inlineStr"/>
      <c r="D47" s="61" t="inlineStr"/>
      <c r="E47" s="61" t="n"/>
      <c r="F47" s="61" t="n"/>
      <c r="G47" s="61" t="n"/>
      <c r="H47" s="61" t="n"/>
      <c r="I47" s="61" t="n"/>
      <c r="J47" s="61" t="n"/>
      <c r="K47" s="61" t="n"/>
      <c r="L47" s="62">
        <f>IF((COUNT(E47)+COUNT(F47)+COUNT(G47)+COUNT(H47)+COUNT(I47)+COUNT(J47)+COUNT(K47))=0,"",IFERROR(E47/5*0.3,0)+IFERROR(F47/5*0.2,0)+IFERROR(G47/5*0.15,0)+IFERROR(H47/5*0.15,0)+IFERROR(I47/5*0.1,0)+IFERROR(J47/5*0.05,0)+IFERROR(K47/5*0.05,0))</f>
        <v/>
      </c>
      <c r="M47" s="132">
        <f>IF(L47="","",IF(L47&gt;=0.85,"Meets/Exceeds",IF(L47&gt;=0.70,"Developing","Needs Improv.")))</f>
        <v/>
      </c>
      <c r="N47" s="12" t="inlineStr"/>
      <c r="O47" s="132" t="inlineStr"/>
      <c r="P47" s="132" t="inlineStr"/>
    </row>
    <row r="48">
      <c r="A48" s="61" t="inlineStr"/>
      <c r="B48" s="61" t="inlineStr"/>
      <c r="C48" s="61" t="inlineStr"/>
      <c r="D48" s="61" t="inlineStr"/>
      <c r="E48" s="61" t="n"/>
      <c r="F48" s="61" t="n"/>
      <c r="G48" s="61" t="n"/>
      <c r="H48" s="61" t="n"/>
      <c r="I48" s="61" t="n"/>
      <c r="J48" s="61" t="n"/>
      <c r="K48" s="61" t="n"/>
      <c r="L48" s="63">
        <f>IF((COUNT(E48)+COUNT(F48)+COUNT(G48)+COUNT(H48)+COUNT(I48)+COUNT(J48)+COUNT(K48))=0,"",IFERROR(E48/5*0.3,0)+IFERROR(F48/5*0.2,0)+IFERROR(G48/5*0.15,0)+IFERROR(H48/5*0.15,0)+IFERROR(I48/5*0.1,0)+IFERROR(J48/5*0.05,0)+IFERROR(K48/5*0.05,0))</f>
        <v/>
      </c>
      <c r="M48" s="131">
        <f>IF(L48="","",IF(L48&gt;=0.85,"Meets/Exceeds",IF(L48&gt;=0.70,"Developing","Needs Improv.")))</f>
        <v/>
      </c>
      <c r="N48" s="14" t="inlineStr"/>
      <c r="O48" s="131" t="inlineStr"/>
      <c r="P48" s="131" t="inlineStr"/>
    </row>
    <row r="49">
      <c r="A49" s="61" t="inlineStr"/>
      <c r="B49" s="61" t="inlineStr"/>
      <c r="C49" s="61" t="inlineStr"/>
      <c r="D49" s="61" t="inlineStr"/>
      <c r="E49" s="61" t="n"/>
      <c r="F49" s="61" t="n"/>
      <c r="G49" s="61" t="n"/>
      <c r="H49" s="61" t="n"/>
      <c r="I49" s="61" t="n"/>
      <c r="J49" s="61" t="n"/>
      <c r="K49" s="61" t="n"/>
      <c r="L49" s="62">
        <f>IF((COUNT(E49)+COUNT(F49)+COUNT(G49)+COUNT(H49)+COUNT(I49)+COUNT(J49)+COUNT(K49))=0,"",IFERROR(E49/5*0.3,0)+IFERROR(F49/5*0.2,0)+IFERROR(G49/5*0.15,0)+IFERROR(H49/5*0.15,0)+IFERROR(I49/5*0.1,0)+IFERROR(J49/5*0.05,0)+IFERROR(K49/5*0.05,0))</f>
        <v/>
      </c>
      <c r="M49" s="132">
        <f>IF(L49="","",IF(L49&gt;=0.85,"Meets/Exceeds",IF(L49&gt;=0.70,"Developing","Needs Improv.")))</f>
        <v/>
      </c>
      <c r="N49" s="12" t="inlineStr"/>
      <c r="O49" s="132" t="inlineStr"/>
      <c r="P49" s="132" t="inlineStr"/>
    </row>
    <row r="51">
      <c r="A51" s="8" t="inlineStr">
        <is>
          <t>TEAM AVERAGE</t>
        </is>
      </c>
      <c r="B51" s="67" t="n"/>
      <c r="C51" s="67" t="n"/>
      <c r="D51" s="68" t="n"/>
      <c r="E51" s="64">
        <f>IFERROR(AVERAGE(E5:E49),"")</f>
        <v/>
      </c>
      <c r="F51" s="64">
        <f>IFERROR(AVERAGE(F5:F49),"")</f>
        <v/>
      </c>
      <c r="G51" s="64">
        <f>IFERROR(AVERAGE(G5:G49),"")</f>
        <v/>
      </c>
      <c r="H51" s="64">
        <f>IFERROR(AVERAGE(H5:H49),"")</f>
        <v/>
      </c>
      <c r="I51" s="64">
        <f>IFERROR(AVERAGE(I5:I49),"")</f>
        <v/>
      </c>
      <c r="J51" s="64">
        <f>IFERROR(AVERAGE(J5:J49),"")</f>
        <v/>
      </c>
      <c r="K51" s="64">
        <f>IFERROR(AVERAGE(K5:K49),"")</f>
        <v/>
      </c>
      <c r="L51" s="65">
        <f>IFERROR(AVERAGE(L5:L49),"")</f>
        <v/>
      </c>
      <c r="M51" s="34" t="inlineStr"/>
      <c r="N51" s="66" t="inlineStr">
        <is>
          <t>Average of logged touches</t>
        </is>
      </c>
    </row>
    <row r="53" ht="22" customHeight="1">
      <c r="A53" s="73" t="inlineStr">
        <is>
          <t>TEAM / JOURNEY SCORES — MULTI-TOUCH CASES</t>
        </is>
      </c>
      <c r="B53" s="67" t="n"/>
      <c r="C53" s="67" t="n"/>
      <c r="D53" s="67" t="n"/>
      <c r="E53" s="67" t="n"/>
      <c r="F53" s="67" t="n"/>
      <c r="G53" s="67" t="n"/>
      <c r="H53" s="67" t="n"/>
      <c r="I53" s="67" t="n"/>
      <c r="J53" s="67" t="n"/>
      <c r="K53" s="67" t="n"/>
      <c r="L53" s="67" t="n"/>
      <c r="M53" s="67" t="n"/>
      <c r="N53" s="67" t="n"/>
      <c r="O53" s="67" t="n"/>
      <c r="P53" s="68" t="n"/>
    </row>
    <row r="54" ht="32" customHeight="1">
      <c r="A54" s="74" t="inlineStr">
        <is>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is>
      </c>
      <c r="B54" s="67" t="n"/>
      <c r="C54" s="67" t="n"/>
      <c r="D54" s="67" t="n"/>
      <c r="E54" s="67" t="n"/>
      <c r="F54" s="67" t="n"/>
      <c r="G54" s="67" t="n"/>
      <c r="H54" s="67" t="n"/>
      <c r="I54" s="67" t="n"/>
      <c r="J54" s="67" t="n"/>
      <c r="K54" s="67" t="n"/>
      <c r="L54" s="67" t="n"/>
      <c r="M54" s="67" t="n"/>
      <c r="N54" s="67" t="n"/>
      <c r="O54" s="67" t="n"/>
      <c r="P54" s="68" t="n"/>
    </row>
    <row r="55" ht="26" customHeight="1">
      <c r="A55" s="118" t="inlineStr">
        <is>
          <t>Journey / Case ID(s)</t>
        </is>
      </c>
      <c r="B55" s="68" t="n"/>
      <c r="C55" s="118" t="inlineStr">
        <is>
          <t>Touches</t>
        </is>
      </c>
      <c r="D55" s="60" t="inlineStr">
        <is>
          <t>Avg Touch %</t>
        </is>
      </c>
      <c r="E55" s="60" t="inlineStr">
        <is>
          <t>Outcome (0-5)</t>
        </is>
      </c>
      <c r="F55" s="60" t="inlineStr">
        <is>
          <t>Continuity (0-5)</t>
        </is>
      </c>
      <c r="G55" s="60" t="inlineStr">
        <is>
          <t>TEAM SCORE</t>
        </is>
      </c>
      <c r="H55" s="118" t="inlineStr">
        <is>
          <t>Band</t>
        </is>
      </c>
      <c r="I55" s="125" t="inlineStr">
        <is>
          <t>Journey notes (where the chain broke / recovered)</t>
        </is>
      </c>
      <c r="J55" s="67" t="n"/>
      <c r="K55" s="67" t="n"/>
      <c r="L55" s="67" t="n"/>
      <c r="M55" s="67" t="n"/>
      <c r="N55" s="68" t="n"/>
    </row>
    <row r="56" ht="48" customHeight="1">
      <c r="A56" s="76" t="inlineStr">
        <is>
          <t>TE00089221</t>
        </is>
      </c>
      <c r="B56" s="69" t="n"/>
      <c r="C56" s="131">
        <f>IF(A56="","",COUNTIF(B5:B49,A56))</f>
        <v/>
      </c>
      <c r="D56" s="78">
        <f>IF(A56="","",IFERROR(AVERAGEIF(B5:B49,A56,L5:L49),""))</f>
        <v/>
      </c>
      <c r="E56" s="79" t="n">
        <v>0</v>
      </c>
      <c r="F56" s="79" t="n">
        <v>1</v>
      </c>
      <c r="G56" s="80">
        <f>IF(OR(A56="",D56="",E56="",F56=""),"",0.5*D56+0.3*(E56/5)+0.2*(F56/5))</f>
        <v/>
      </c>
      <c r="H56" s="131">
        <f>IF(G56="","",IF(G56&gt;=0.85,"Meets/Exceeds",IF(G56&gt;=0.70,"Developing","Needs Improv.")))</f>
        <v/>
      </c>
      <c r="I56" s="14" t="inlineStr">
        <is>
          <t>8-month, 21-touch, 6-agent journey. Avg touch execution ~60% but Outcome=0 (unresolved, customer escalated to CEO) and Continuity=1 (Nov 24 RMA determination reversed; sysinfo logs lost twice; 8-ticket fragmentation; ends in PMO-requested reassignment) drag the Team Score to ~34% ('Needs Improvement'). See Scoring Form for Eric Marbella's full Touch 21 evaluation.</t>
        </is>
      </c>
      <c r="J56" s="70" t="n"/>
      <c r="K56" s="70" t="n"/>
      <c r="L56" s="70" t="n"/>
      <c r="M56" s="70" t="n"/>
      <c r="N56" s="69" t="n"/>
    </row>
    <row r="57" ht="28" customHeight="1">
      <c r="A57" s="81" t="inlineStr"/>
      <c r="B57" s="69" t="n"/>
      <c r="C57" s="131">
        <f>IF(A57="","",COUNTIF(B5:B49,A57))</f>
        <v/>
      </c>
      <c r="D57" s="78">
        <f>IF(A57="","",IFERROR(AVERAGEIF(B5:B49,A57,L5:L49),""))</f>
        <v/>
      </c>
      <c r="E57" s="79" t="n"/>
      <c r="F57" s="79" t="n"/>
      <c r="G57" s="80">
        <f>IF(OR(A57="",D57="",E57="",F57=""),"",0.5*D57+0.3*(E57/5)+0.2*(F57/5))</f>
        <v/>
      </c>
      <c r="H57" s="131">
        <f>IF(G57="","",IF(G57&gt;=0.85,"Meets/Exceeds",IF(G57&gt;=0.70,"Developing","Needs Improv.")))</f>
        <v/>
      </c>
      <c r="I57" s="7" t="inlineStr"/>
      <c r="J57" s="70" t="n"/>
      <c r="K57" s="70" t="n"/>
      <c r="L57" s="70" t="n"/>
      <c r="M57" s="70" t="n"/>
      <c r="N57" s="69" t="n"/>
    </row>
    <row r="58" ht="28" customHeight="1">
      <c r="A58" s="81" t="inlineStr"/>
      <c r="B58" s="69" t="n"/>
      <c r="C58" s="132">
        <f>IF(A58="","",COUNTIF(B5:B49,A58))</f>
        <v/>
      </c>
      <c r="D58" s="83">
        <f>IF(A58="","",IFERROR(AVERAGEIF(B5:B49,A58,L5:L49),""))</f>
        <v/>
      </c>
      <c r="E58" s="79" t="n"/>
      <c r="F58" s="79" t="n"/>
      <c r="G58" s="84">
        <f>IF(OR(A58="",D58="",E58="",F58=""),"",0.5*D58+0.3*(E58/5)+0.2*(F58/5))</f>
        <v/>
      </c>
      <c r="H58" s="132">
        <f>IF(G58="","",IF(G58&gt;=0.85,"Meets/Exceeds",IF(G58&gt;=0.70,"Developing","Needs Improv.")))</f>
        <v/>
      </c>
      <c r="I58" s="7" t="inlineStr"/>
      <c r="J58" s="70" t="n"/>
      <c r="K58" s="70" t="n"/>
      <c r="L58" s="70" t="n"/>
      <c r="M58" s="70" t="n"/>
      <c r="N58" s="69" t="n"/>
    </row>
    <row r="59" ht="28" customHeight="1">
      <c r="A59" s="81" t="inlineStr"/>
      <c r="B59" s="69" t="n"/>
      <c r="C59" s="131">
        <f>IF(A59="","",COUNTIF(B5:B49,A59))</f>
        <v/>
      </c>
      <c r="D59" s="78">
        <f>IF(A59="","",IFERROR(AVERAGEIF(B5:B49,A59,L5:L49),""))</f>
        <v/>
      </c>
      <c r="E59" s="79" t="n"/>
      <c r="F59" s="79" t="n"/>
      <c r="G59" s="80">
        <f>IF(OR(A59="",D59="",E59="",F59=""),"",0.5*D59+0.3*(E59/5)+0.2*(F59/5))</f>
        <v/>
      </c>
      <c r="H59" s="131">
        <f>IF(G59="","",IF(G59&gt;=0.85,"Meets/Exceeds",IF(G59&gt;=0.70,"Developing","Needs Improv.")))</f>
        <v/>
      </c>
      <c r="I59" s="7" t="inlineStr"/>
      <c r="J59" s="70" t="n"/>
      <c r="K59" s="70" t="n"/>
      <c r="L59" s="70" t="n"/>
      <c r="M59" s="70" t="n"/>
      <c r="N59" s="69" t="n"/>
    </row>
    <row r="60" ht="28" customHeight="1">
      <c r="A60" s="15" t="inlineStr">
        <is>
          <t>Template rows: type a Case ID in the first column — Touches and Avg Touch % auto-fill from the log above, then judge Outcome and Continuity (0-5). For journeys spanning multiple Case IDs (like the pre-loaded one), enter the Avg Touch % formula over the journey's row range manually.</t>
        </is>
      </c>
      <c r="B60" s="70" t="n"/>
      <c r="C60" s="70" t="n"/>
      <c r="D60" s="70" t="n"/>
      <c r="E60" s="70" t="n"/>
      <c r="F60" s="70" t="n"/>
      <c r="G60" s="70" t="n"/>
      <c r="H60" s="70" t="n"/>
      <c r="I60" s="70" t="n"/>
      <c r="J60" s="70" t="n"/>
      <c r="K60" s="70" t="n"/>
      <c r="L60" s="70" t="n"/>
      <c r="M60" s="70" t="n"/>
      <c r="N60" s="69" t="n"/>
    </row>
  </sheetData>
  <mergeCells count="17">
    <mergeCell ref="I55:N55"/>
    <mergeCell ref="A59:B59"/>
    <mergeCell ref="I59:N59"/>
    <mergeCell ref="A1:P1"/>
    <mergeCell ref="A57:B57"/>
    <mergeCell ref="A56:B56"/>
    <mergeCell ref="A54:P54"/>
    <mergeCell ref="A53:P53"/>
    <mergeCell ref="I56:N56"/>
    <mergeCell ref="A60:N60"/>
    <mergeCell ref="A3:P3"/>
    <mergeCell ref="A51:D51"/>
    <mergeCell ref="I57:N57"/>
    <mergeCell ref="I58:N58"/>
    <mergeCell ref="A58:B58"/>
    <mergeCell ref="A55:B55"/>
    <mergeCell ref="A2:P2"/>
  </mergeCells>
  <conditionalFormatting sqref="L5:L49">
    <cfRule type="cellIs" priority="1" operator="greaterThanOrEqual" dxfId="0">
      <formula>0.85</formula>
    </cfRule>
    <cfRule type="cellIs" priority="2" operator="between" dxfId="1">
      <formula>0.70</formula>
      <formula>0.8499</formula>
    </cfRule>
    <cfRule type="cellIs" priority="3" operator="lessThan" dxfId="2">
      <formula>0.70</formula>
    </cfRule>
  </conditionalFormatting>
  <conditionalFormatting sqref="M5:M49">
    <cfRule type="cellIs" priority="4" operator="equal" dxfId="6">
      <formula>"Meets/Exceeds"</formula>
    </cfRule>
    <cfRule type="cellIs" priority="5" operator="equal" dxfId="7">
      <formula>"Developing"</formula>
    </cfRule>
    <cfRule type="cellIs" priority="6" operator="equal" dxfId="8">
      <formula>"Needs Improv."</formula>
    </cfRule>
  </conditionalFormatting>
  <conditionalFormatting sqref="G56:G59">
    <cfRule type="cellIs" priority="7" operator="greaterThanOrEqual" dxfId="0">
      <formula>0.85</formula>
    </cfRule>
    <cfRule type="cellIs" priority="8" operator="between" dxfId="1">
      <formula>0.70</formula>
      <formula>0.8499</formula>
    </cfRule>
    <cfRule type="cellIs" priority="9" operator="lessThan" dxfId="2">
      <formula>0.70</formula>
    </cfRule>
  </conditionalFormatting>
  <conditionalFormatting sqref="H56:H59">
    <cfRule type="cellIs" priority="10" operator="equal" dxfId="6">
      <formula>"Meets/Exceeds"</formula>
    </cfRule>
    <cfRule type="cellIs" priority="11" operator="equal" dxfId="7">
      <formula>"Developing"</formula>
    </cfRule>
    <cfRule type="cellIs" priority="12" operator="equal" dxfId="8">
      <formula>"Needs Improv."</formula>
    </cfRule>
  </conditionalFormatting>
  <conditionalFormatting sqref="A3">
    <cfRule type="cellIs" priority="13" operator="greaterThanOrEqual" dxfId="13">
      <formula>$G$56&gt;=0.85</formula>
    </cfRule>
    <cfRule type="expression" priority="14" dxfId="14">
      <formula>$G$56&gt;=0.85</formula>
    </cfRule>
    <cfRule type="expression" priority="15" dxfId="15">
      <formula>AND($G$56&gt;=0.7,$G$56&lt;0.85)</formula>
    </cfRule>
    <cfRule type="expression" priority="16" dxfId="16">
      <formula>$G$56&lt;0.7</formula>
    </cfRule>
  </conditionalFormatting>
  <conditionalFormatting sqref="O5:O49">
    <cfRule type="cellIs" priority="17" operator="equal" dxfId="0">
      <formula>"Resolver"</formula>
    </cfRule>
    <cfRule type="cellIs" priority="18" operator="equal" dxfId="0">
      <formula>"Progress Builder"</formula>
    </cfRule>
    <cfRule type="cellIs" priority="19" operator="equal" dxfId="17">
      <formula>"Maintainer"</formula>
    </cfRule>
    <cfRule type="cellIs" priority="20" operator="equal" dxfId="2">
      <formula>"Regression Contributor"</formula>
    </cfRule>
  </conditionalFormatting>
  <conditionalFormatting sqref="P5:P49">
    <cfRule type="cellIs" priority="21" operator="greaterThanOrEqual" dxfId="0">
      <formula>4</formula>
    </cfRule>
    <cfRule type="cellIs" priority="22" operator="between" dxfId="1">
      <formula>2</formula>
      <formula>3</formula>
    </cfRule>
    <cfRule type="cellIs" priority="23" operator="lessThanOrEqual" dxfId="2">
      <formula>1</formula>
    </cfRule>
  </conditionalFormatting>
  <dataValidations count="4">
    <dataValidation sqref="E5:K5 E6:K6 E7:K7 E8:K8 E9:K9 E10:K10 E11:K11 E12:K12 E13:K13 E14:K14 E15:K15 E16:K16 E17:K17 E18:K18 E19:K19 E20:K20 E21:K21 E22:K22 E23:K23 E24:K24 E25:K25 E26:K26 E27:K27 E28:K28 E29:K29 E30:K30 E31:K31 E32:K32 E33:K33 E34:K34 E35:K35 E36:K36 E37:K37 E38:K38 E39:K39 E40:K40 E41:K41 E42:K42 E43:K43 E44:K44 E45:K45 E46:K46 E47:K47 E48:K48 E49:K49" showDropDown="0" showInputMessage="0" showErrorMessage="1" allowBlank="1" errorTitle="Invalid score" error="Enter 0 to 5." type="whole" operator="between">
      <formula1>0</formula1>
      <formula2>5</formula2>
    </dataValidation>
    <dataValidation sqref="E56:F56 E57:F57 E58:F58 E59:F59" showDropDown="0" showInputMessage="0" showErrorMessage="1" allowBlank="1" errorTitle="Invalid score" error="Enter 0 to 5 (anchors on Multi-Touch Guide)." type="whole" operator="between">
      <formula1>0</formula1>
      <formula2>5</formula2>
    </dataValidation>
    <dataValidation sqref="O5:O49" showDropDown="0" showInputMessage="0" showErrorMessage="1" allowBlank="1" errorTitle="Invalid type" error="Pick Resolver, Progress Builder, Maintainer, Breaker, or N/A." type="list">
      <formula1>"Resolver,Progress Builder,Maintainer,Regression Contributor,N/A"</formula1>
    </dataValidation>
    <dataValidation sqref="P5:P16 P18:P49" showDropDown="0" showInputMessage="0" showErrorMessage="1" allowBlank="1" errorTitle="Invalid score" error="Enter 0 to 5, or leave blank / type N/A for a final touch with no further handoff." type="whole" operator="between">
      <formula1>0</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2026-06-10T01:33:30Z</dcterms:created>
  <dcterms:modified xmlns:dcterms="http://purl.org/dc/terms/" xmlns:xsi="http://www.w3.org/2001/XMLSchema-instance" xsi:type="dcterms:W3CDTF">2026-06-15T21:45:40Z</dcterms:modified>
</cp:coreProperties>
</file>